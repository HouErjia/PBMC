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105"/>
  </bookViews>
  <sheets>
    <sheet name="全部菌密码子" sheetId="14" r:id="rId1"/>
    <sheet name="全部菌密码子mean" sheetId="1" r:id="rId2"/>
    <sheet name="alljun" sheetId="12" r:id="rId3"/>
    <sheet name="精氨酸" sheetId="2" r:id="rId4"/>
    <sheet name="Arg" sheetId="6" r:id="rId5"/>
    <sheet name="Sheet1" sheetId="13" r:id="rId6"/>
    <sheet name="缬氨酸" sheetId="8" r:id="rId7"/>
    <sheet name="Val" sheetId="7" r:id="rId8"/>
    <sheet name="脯氨酸" sheetId="4" r:id="rId9"/>
    <sheet name="Pro" sheetId="9" r:id="rId10"/>
    <sheet name="赖氨酸" sheetId="5" r:id="rId11"/>
    <sheet name="Lys" sheetId="10" r:id="rId12"/>
    <sheet name="total" sheetId="11" r:id="rId13"/>
  </sheets>
  <externalReferences>
    <externalReference r:id="rId14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<sst xmlns="http://schemas.openxmlformats.org/spreadsheetml/2006/main" count="1543" uniqueCount="354">
  <si>
    <t>ASV45:s_unclassified_g__Escherichia-Shigella</t>
  </si>
  <si>
    <t>ASV1833:s_unclassified_g__Enterococcus</t>
  </si>
  <si>
    <t>ASV3729:s_Cloacibacillus_porcorum</t>
  </si>
  <si>
    <t>ASV31:s_Lactobacillus_vaginalis_g__Bacillus</t>
  </si>
  <si>
    <t>ASV17:s_uncultured_bacterium_g__Sharpea</t>
  </si>
  <si>
    <t>ASV9:s_unclassified_g__Romboutsia</t>
  </si>
  <si>
    <t>ASV73:s_unclassified_g__Turicibacter</t>
  </si>
  <si>
    <t>ASV1517:s_unclassified_g__Escherichia-Shigella</t>
  </si>
  <si>
    <t>ASV7:s_unclassified_g__Lactobacillus</t>
  </si>
  <si>
    <t>ASV30:s_unclassified_g__Clostridium_sensu_stricto_1</t>
  </si>
  <si>
    <t>ASV21:s_Clostridium_scindens</t>
  </si>
  <si>
    <t>ASV54:s_unclassified_g__Clostridium_sensu_stricto_1</t>
  </si>
  <si>
    <t>ASV33:s_gut_metagenome_g__norank_f__norank</t>
  </si>
  <si>
    <t>ASV1834:s_unclassified_f__Lachnospiraceae</t>
  </si>
  <si>
    <t>ASV28:s_uncultured_prokaryote_g__Christensenellaceae_R-7_group</t>
  </si>
  <si>
    <t>ASV3787:s_uncultured_organism_g__UCG-002</t>
  </si>
  <si>
    <t>ASV8:s_unclassified_g__Coprococcus</t>
  </si>
  <si>
    <t>ASV4:s_uncultured_spirochete_g__Christensenellaceae_R-7_group</t>
  </si>
  <si>
    <t>ASV1831:s_Eubacterium_coprostanoligenes</t>
  </si>
  <si>
    <t>ASV1555:s_unclassified_g__Enterococcus</t>
  </si>
  <si>
    <t>ASV1853:s_unclassified_g__Lactobacillus</t>
  </si>
  <si>
    <t>ASV22:s_unclassified_g__Lactobacillus</t>
  </si>
  <si>
    <t>ASV7036:s_unclassified_g__Bacteroides</t>
  </si>
  <si>
    <t>ASV2:s_unclassified_g__Lactobacillus</t>
  </si>
  <si>
    <t>ASV77:s_unclassified_g__Lactobacillus</t>
  </si>
  <si>
    <t>ASV167:s_unclassified_g__Collinsella</t>
  </si>
  <si>
    <t>ASV1540:s_unclassified_g__Megasphaera</t>
  </si>
  <si>
    <t>ASV3402:s_unclassified_g__Megasphaera</t>
  </si>
  <si>
    <t>ASV2874:s_unclassified_g__Fusobacterium</t>
  </si>
  <si>
    <t>ASV2996:s_unclassified_g__Fusobacterium</t>
  </si>
  <si>
    <t>ASV318:s_unclassified_g__Peptostreptococcus</t>
  </si>
  <si>
    <t>ASV2586:s_unclassified_g__Campylobacter</t>
  </si>
  <si>
    <t>ASV1515:s_unclassified_g__Streptococcus</t>
  </si>
  <si>
    <t>ASV5:s_unclassified_g__UCG-002</t>
  </si>
  <si>
    <t>ASV2860:s_unclassified_g__Phascolarctobacterium</t>
  </si>
  <si>
    <t>ASV48:s_unclassified_g__Blautia</t>
  </si>
  <si>
    <t>ASV38:s_unclassified_g__Blautia</t>
  </si>
  <si>
    <t>ASV2839:s_Pasteurella_aerogenes</t>
  </si>
  <si>
    <t>ASV1527:s_Lactobacillus_vaginalis_g__Bacillus</t>
  </si>
  <si>
    <t>ASV172:s_uncultured_bacterium_g__Mogibacterium</t>
  </si>
  <si>
    <t>ASV1089:s_Fusobacterium_gastrosuis</t>
  </si>
  <si>
    <t>ASV3058:s_uncultured_bacterium_g__Allisonella</t>
  </si>
  <si>
    <t>H6_PBMC</t>
  </si>
  <si>
    <t>H7_PBMC</t>
  </si>
  <si>
    <t>W10_PBMC</t>
  </si>
  <si>
    <t>W6_PBMC</t>
  </si>
  <si>
    <t>AAA</t>
  </si>
  <si>
    <t>AAC</t>
  </si>
  <si>
    <t>AAG</t>
  </si>
  <si>
    <t>AAT</t>
  </si>
  <si>
    <t>ACA</t>
  </si>
  <si>
    <t>ACC</t>
  </si>
  <si>
    <t>ACG</t>
  </si>
  <si>
    <t>ACT</t>
  </si>
  <si>
    <t>AGA</t>
  </si>
  <si>
    <t>AGC</t>
  </si>
  <si>
    <t>AGG</t>
  </si>
  <si>
    <t>AGT</t>
  </si>
  <si>
    <t>ATA</t>
  </si>
  <si>
    <t>ATC</t>
  </si>
  <si>
    <t>ATT</t>
  </si>
  <si>
    <t>CAA</t>
  </si>
  <si>
    <t>CAC</t>
  </si>
  <si>
    <t>CAG</t>
  </si>
  <si>
    <t>CAT</t>
  </si>
  <si>
    <t>CCA</t>
  </si>
  <si>
    <t>CCC</t>
  </si>
  <si>
    <t>CCG</t>
  </si>
  <si>
    <t>CCT</t>
  </si>
  <si>
    <t>CGA</t>
  </si>
  <si>
    <t>CGC</t>
  </si>
  <si>
    <t>CGG</t>
  </si>
  <si>
    <t>CGT</t>
  </si>
  <si>
    <t>CTA</t>
  </si>
  <si>
    <t>CTC</t>
  </si>
  <si>
    <t>CTG</t>
  </si>
  <si>
    <t>CTT</t>
  </si>
  <si>
    <t>GAA</t>
  </si>
  <si>
    <t>GAC</t>
  </si>
  <si>
    <t>GAG</t>
  </si>
  <si>
    <t>GAT</t>
  </si>
  <si>
    <t>GCA</t>
  </si>
  <si>
    <t>GCC</t>
  </si>
  <si>
    <t>GCG</t>
  </si>
  <si>
    <t>GCT</t>
  </si>
  <si>
    <t>GGA</t>
  </si>
  <si>
    <t>GGC</t>
  </si>
  <si>
    <t>GGG</t>
  </si>
  <si>
    <t>GGT</t>
  </si>
  <si>
    <t>GTA</t>
  </si>
  <si>
    <t>GTC</t>
  </si>
  <si>
    <t>GTG</t>
  </si>
  <si>
    <t>GTT</t>
  </si>
  <si>
    <t>TAA</t>
  </si>
  <si>
    <t>TAC</t>
  </si>
  <si>
    <t>TAG</t>
  </si>
  <si>
    <t>TAT</t>
  </si>
  <si>
    <t>TCA</t>
  </si>
  <si>
    <t>TCC</t>
  </si>
  <si>
    <t>TCG</t>
  </si>
  <si>
    <t>TCT</t>
  </si>
  <si>
    <t>TGA</t>
  </si>
  <si>
    <t>TGC</t>
  </si>
  <si>
    <t>TGT</t>
  </si>
  <si>
    <t>TTA</t>
  </si>
  <si>
    <t>TTC</t>
  </si>
  <si>
    <t>TTG</t>
  </si>
  <si>
    <t>TTT</t>
  </si>
  <si>
    <t>ASV45:s__unclassified_g__Escherichia-Shigella</t>
  </si>
  <si>
    <t>ASV1833:s__unclassified_g__Enterococcus</t>
  </si>
  <si>
    <t>ASV3729:s__Cloacibacillus_porcorum</t>
  </si>
  <si>
    <t>ASV31:s__Lactobacillus_vaginalis_g__Bacillus</t>
  </si>
  <si>
    <t>ASV17:s__uncultured_bacterium_g__Sharpea</t>
  </si>
  <si>
    <t>ASV9:s__unclassified_g__Romboutsia</t>
  </si>
  <si>
    <t>ASV73:s__unclassified_g__Turicibacter</t>
  </si>
  <si>
    <t>ASV1517:s__unclassified_g__Escherichia-Shigella</t>
  </si>
  <si>
    <t>ASV7:s__unclassified_g__Lactobacillus</t>
  </si>
  <si>
    <t>ASV30:s__unclassified_g__Clostridium_sensu_stricto_1</t>
  </si>
  <si>
    <t>ASV21:s__Clostridium_scindens</t>
  </si>
  <si>
    <t>ASV54:s__unclassified_g__Clostridium_sensu_stricto_1</t>
  </si>
  <si>
    <t>ASV33:s__gut_metagenome_g__norank_f__norank</t>
  </si>
  <si>
    <t>ASV1834:s__unclassified_f__Lachnospiraceae</t>
  </si>
  <si>
    <t>ASV28:s__uncultured_prokaryote_g__Christensenellaceae_R-7_group</t>
  </si>
  <si>
    <t>ASV3787:s__uncultured_organism_g__UCG-002</t>
  </si>
  <si>
    <t>ASV8:s__unclassified_g__Coprococcus</t>
  </si>
  <si>
    <t>ASV4:s__uncultured_spirochete_g__Christensenellaceae_R-7_group</t>
  </si>
  <si>
    <t>ASV1831:s__Eubacterium_coprostanoligenes</t>
  </si>
  <si>
    <t>ASV1555:s__unclassified_g__Enterococcus</t>
  </si>
  <si>
    <t>ASV1853:s__unclassified_g__Lactobacillus</t>
  </si>
  <si>
    <t>ASV22:s__unclassified_g__Lactobacillus</t>
  </si>
  <si>
    <t>ASV7036:s__unclassified_g__Bacteroides</t>
  </si>
  <si>
    <t>ASV2:s__unclassified_g__Lactobacillus</t>
  </si>
  <si>
    <t>ASV77:s__unclassified_g__Lactobacillus</t>
  </si>
  <si>
    <t>ASV167:s__unclassified_g__Collinsella</t>
  </si>
  <si>
    <t>ASV1540:s__unclassified_g__Megasphaera</t>
  </si>
  <si>
    <t>ASV3402:s__unclassified_g__Megasphaera</t>
  </si>
  <si>
    <t>ASV2874:s__unclassified_g__Fusobacterium</t>
  </si>
  <si>
    <t>ASV2996:s__unclassified_g__Fusobacterium</t>
  </si>
  <si>
    <t>ASV318:s__unclassified_g__Peptostreptococcus</t>
  </si>
  <si>
    <t>ASV2586:s__unclassified_g__Campylobacter</t>
  </si>
  <si>
    <t>ASV1515:s__unclassified_g__Streptococcus</t>
  </si>
  <si>
    <t>ASV5:s__unclassified_g__UCG-002</t>
  </si>
  <si>
    <t>ASV2860:s__unclassified_g__Phascolarctobacterium</t>
  </si>
  <si>
    <t>ASV48:s__unclassified_g__Blautia</t>
  </si>
  <si>
    <t>ASV38:s__unclassified_g__Blautia</t>
  </si>
  <si>
    <t>ASV2839:s__Pasteurella_aerogenes</t>
  </si>
  <si>
    <t>ASV1527:s__Lactobacillus_vaginalis_g__Bacillus</t>
  </si>
  <si>
    <t>ASV172:s__uncultured_bacterium_g__Mogibacterium</t>
  </si>
  <si>
    <t>ASV1089:s__Fusobacterium_gastrosuis</t>
  </si>
  <si>
    <t>ASV3058:s__uncultured_bacterium_g__Allisonella</t>
  </si>
  <si>
    <t>allAA_AT3</t>
  </si>
  <si>
    <t>allAA_GC3</t>
  </si>
  <si>
    <t>asv</t>
  </si>
  <si>
    <t>ASV45</t>
  </si>
  <si>
    <t>ASV1833</t>
  </si>
  <si>
    <t>ASV3729</t>
  </si>
  <si>
    <t>ASV31</t>
  </si>
  <si>
    <t>ASV17</t>
  </si>
  <si>
    <t>ASV9</t>
  </si>
  <si>
    <t>ASV73</t>
  </si>
  <si>
    <t>ASV1517</t>
  </si>
  <si>
    <t>ASV7</t>
  </si>
  <si>
    <t>ASV30</t>
  </si>
  <si>
    <t>ASV21</t>
  </si>
  <si>
    <t>ASV54</t>
  </si>
  <si>
    <t>ASV33</t>
  </si>
  <si>
    <t>ASV1834</t>
  </si>
  <si>
    <t>ASV28</t>
  </si>
  <si>
    <t>ASV3787</t>
  </si>
  <si>
    <t>ASV8</t>
  </si>
  <si>
    <t>ASV4</t>
  </si>
  <si>
    <t>ASV1831</t>
  </si>
  <si>
    <t>ASV1555</t>
  </si>
  <si>
    <t>ASV1853</t>
  </si>
  <si>
    <t>ASV22</t>
  </si>
  <si>
    <t>ASV7036</t>
  </si>
  <si>
    <t>ASV2</t>
  </si>
  <si>
    <t>ASV77</t>
  </si>
  <si>
    <t>ASV167</t>
  </si>
  <si>
    <t>ASV1540</t>
  </si>
  <si>
    <t>ASV3402</t>
  </si>
  <si>
    <t>ASV2874</t>
  </si>
  <si>
    <t>ASV2996</t>
  </si>
  <si>
    <t>ASV318</t>
  </si>
  <si>
    <t>ASV2586</t>
  </si>
  <si>
    <t>ASV1515</t>
  </si>
  <si>
    <t>ASV5</t>
  </si>
  <si>
    <t>ASV2860</t>
  </si>
  <si>
    <t>ASV48</t>
  </si>
  <si>
    <t>ASV38</t>
  </si>
  <si>
    <t>ASV2839</t>
  </si>
  <si>
    <t>ASV1527</t>
  </si>
  <si>
    <t>ASV172</t>
  </si>
  <si>
    <t>ASV1089</t>
  </si>
  <si>
    <t>ASV3058</t>
  </si>
  <si>
    <t>HW_name</t>
  </si>
  <si>
    <t>H_CE_GCA_000005845.2</t>
  </si>
  <si>
    <t>H_CE_GCA_000407565.1</t>
  </si>
  <si>
    <t>H_CE_GCA_001701045.1</t>
  </si>
  <si>
    <t>H_CE_GCA_003703885.1</t>
  </si>
  <si>
    <t>H_CE_GCA_009695655.1</t>
  </si>
  <si>
    <t>H_CE_GCA_012317385.1</t>
  </si>
  <si>
    <t>H_CE_GCA_013046825.1</t>
  </si>
  <si>
    <t>H_CE_GCA_013374815.1</t>
  </si>
  <si>
    <t>H_CE_GCA_014058685.1</t>
  </si>
  <si>
    <t>H_CE_GCA_020138775.1</t>
  </si>
  <si>
    <t>H_CE_GCA_020892115.1</t>
  </si>
  <si>
    <t>H_CE_GCA_021412605.1</t>
  </si>
  <si>
    <t>H_CE_GCA_022010015.1</t>
  </si>
  <si>
    <t>H_CE_GCA_022845955.1</t>
  </si>
  <si>
    <t>H_CE_GCA_022846015.1</t>
  </si>
  <si>
    <t>H_CE_GCA_022846095.1</t>
  </si>
  <si>
    <t>H_CE_GCA_025149785.1</t>
  </si>
  <si>
    <t>H_CE_GCA_900163975.1</t>
  </si>
  <si>
    <t>H_CE_GCA_900167205.1</t>
  </si>
  <si>
    <t>H_CE_GCA_900474605.1</t>
  </si>
  <si>
    <t>W_CE_GCA_000056065.1</t>
  </si>
  <si>
    <t>W_CE_GCA_014898655.1</t>
  </si>
  <si>
    <t>W_CE_GCA_000025985.1</t>
  </si>
  <si>
    <t>W_CE_GCA_000194115.1</t>
  </si>
  <si>
    <t>W_CE_GCA_001908415.1</t>
  </si>
  <si>
    <t>W_CE_GCA_002736145.1</t>
  </si>
  <si>
    <t>W_CE_GCA_003006415.1</t>
  </si>
  <si>
    <t>W_CE_GCA_003010495.1</t>
  </si>
  <si>
    <t>W_CE_GCA_003019315.1</t>
  </si>
  <si>
    <t>W_CE_GCA_003732525.1</t>
  </si>
  <si>
    <t>W_CE_GCA_009695815.1</t>
  </si>
  <si>
    <t>W_CE_GCA_009730395.1</t>
  </si>
  <si>
    <t>W_CE_GCA_013267695.1</t>
  </si>
  <si>
    <t>W_CE_GCA_014982935.1</t>
  </si>
  <si>
    <t>W_CE_GCA_023497905.1</t>
  </si>
  <si>
    <t>W_CE_GCA_025147765.1</t>
  </si>
  <si>
    <t>W_CE_GCA_025148125.1</t>
  </si>
  <si>
    <t>W_CE_GCA_025264445.1</t>
  </si>
  <si>
    <t>W_CE_GCA_025311515.1</t>
  </si>
  <si>
    <t>W_CE_GCA_029224645.1</t>
  </si>
  <si>
    <t>W_CE_GCA_034174805.1</t>
  </si>
  <si>
    <t>W_CE_GCA_900103425.1</t>
  </si>
  <si>
    <t>name</t>
  </si>
  <si>
    <t>GCA_000005845.2</t>
  </si>
  <si>
    <t>GCA_000407565.1</t>
  </si>
  <si>
    <t>GCA_001701045.1</t>
  </si>
  <si>
    <t>GCA_003703885.1</t>
  </si>
  <si>
    <t>GCA_009695655.1</t>
  </si>
  <si>
    <t>GCA_012317385.1</t>
  </si>
  <si>
    <t>GCA_013046825.1</t>
  </si>
  <si>
    <t>GCA_013374815.1</t>
  </si>
  <si>
    <t>GCA_014058685.1</t>
  </si>
  <si>
    <t>GCA_020138775.1</t>
  </si>
  <si>
    <t>GCA_020892115.1</t>
  </si>
  <si>
    <t>GCA_021412605.1</t>
  </si>
  <si>
    <t>GCA_022010015.1</t>
  </si>
  <si>
    <t>GCA_022845955.1</t>
  </si>
  <si>
    <t>GCA_022846015.1</t>
  </si>
  <si>
    <t>GCA_022846095.1</t>
  </si>
  <si>
    <t>GCA_025149785.1</t>
  </si>
  <si>
    <t>GCA_900163975.1</t>
  </si>
  <si>
    <t>GCA_900167205.1</t>
  </si>
  <si>
    <t>GCA_900474605.1</t>
  </si>
  <si>
    <t>GCA_000056065.1</t>
  </si>
  <si>
    <t>GCA_014898655.1</t>
  </si>
  <si>
    <t>GCA_000025985.1</t>
  </si>
  <si>
    <t>GCA_000194115.1</t>
  </si>
  <si>
    <t>GCA_001908415.1</t>
  </si>
  <si>
    <t>GCA_002736145.1</t>
  </si>
  <si>
    <t>GCA_003006415.1</t>
  </si>
  <si>
    <t>GCA_003010495.1</t>
  </si>
  <si>
    <t>GCA_003019315.1</t>
  </si>
  <si>
    <t>GCA_003732525.1</t>
  </si>
  <si>
    <t>GCA_009695815.1</t>
  </si>
  <si>
    <t>GCA_009730395.1</t>
  </si>
  <si>
    <t>GCA_013267695.1</t>
  </si>
  <si>
    <t>GCA_014982935.1</t>
  </si>
  <si>
    <t>GCA_023497905.1</t>
  </si>
  <si>
    <t>GCA_025147765.1</t>
  </si>
  <si>
    <t>GCA_025148125.1</t>
  </si>
  <si>
    <t>GCA_025264445.1</t>
  </si>
  <si>
    <t>GCA_025311515.1</t>
  </si>
  <si>
    <t>GCA_029224645.1</t>
  </si>
  <si>
    <t>GCA_034174805.1</t>
  </si>
  <si>
    <t>GCA_900103425.1</t>
  </si>
  <si>
    <t>ASV45:g__Escherichia-Shigella_s__unclassified_g__Escherichia-Shigella</t>
  </si>
  <si>
    <t>ASV1833:g__Enterococcus_s__unclassified_g__Enterococcus</t>
  </si>
  <si>
    <t>ASV3729:g__Cloacibacillus_s__Cloacibacillus_porcorum</t>
  </si>
  <si>
    <t>ASV31:g__Bacillus_s__Lactobacillus_vaginalis_g__Bacillus</t>
  </si>
  <si>
    <t>ASV17:g__Sharpea_s__uncultured_bacterium_g__Sharpea</t>
  </si>
  <si>
    <t>ASV9:g__Romboutsia_s__unclassified_g__Romboutsia</t>
  </si>
  <si>
    <t>ASV73:g__Turicibacter_s__unclassified_g__Turicibacter</t>
  </si>
  <si>
    <t>ASV1517:g__Escherichia-Shigella_s__unclassified_g__Escherichia-Shigella</t>
  </si>
  <si>
    <t>ASV7:g__Lactobacillus_s__unclassified_g__Lactobacillus</t>
  </si>
  <si>
    <t>ASV30:g__Clostridium_sensu_stricto_1_s__unclassified_g__Clostridium_sensu_stricto_1</t>
  </si>
  <si>
    <t>ASV21:g__Lachnoclostridium_s__Clostridium_scindens</t>
  </si>
  <si>
    <t>ASV54:g__Clostridium_sensu_stricto_1_s__unclassified_g__Clostridium_sensu_stricto_1</t>
  </si>
  <si>
    <t>ASV33:g__norank_f__norank_o__Clostridia_vadinBB60_group_s__gut_metagenome_g__norank_f__norank</t>
  </si>
  <si>
    <t>ASV1834:g__unclassified_f__Lachnospiraceae_s__unclassified_f__Lachnospiraceae</t>
  </si>
  <si>
    <t>ASV28:g__Christensenellaceae_R-7_group_s__uncultured_prokaryote_g__Christensenellaceae_R-7_group</t>
  </si>
  <si>
    <t>ASV3787:g__UCG-002_s__uncultured_organism_g__UCG-002</t>
  </si>
  <si>
    <t>ASV8:g__Coprococcus_s__unclassified_g__Coprococcus</t>
  </si>
  <si>
    <t>ASV4:g__Christensenellaceae_R-7_group_s__uncultured_spirochete_g__Christensenellaceae_R-7_group</t>
  </si>
  <si>
    <t>ASV1831:g__norank_f__Eubacterium_coprostanoligenes_group_s__Eubacterium_coprostanoligenes</t>
  </si>
  <si>
    <t>ASV1555:g__Enterococcus_s__unclassified_g__Enterococcus</t>
  </si>
  <si>
    <t>ASV1853:g__Lactobacillus_s__unclassified_g__Lactobacillus</t>
  </si>
  <si>
    <t>ASV22:g__Lactobacillus_s__unclassified_g__Lactobacillus</t>
  </si>
  <si>
    <t>ASV7036:g__Bacteroides_s__unclassified_g__Bacteroides</t>
  </si>
  <si>
    <t>ASV2:g__Lactobacillus_s__unclassified_g__Lactobacillus</t>
  </si>
  <si>
    <t>ASV77:g__Lactobacillus_s__unclassified_g__Lactobacillus</t>
  </si>
  <si>
    <t>ASV167:g__Collinsella_s__unclassified_g__Collinsella</t>
  </si>
  <si>
    <t>ASV1540:g__Megasphaera_s__unclassified_g__Megasphaera</t>
  </si>
  <si>
    <t>ASV3402:g__Megasphaera_s__unclassified_g__Megasphaera</t>
  </si>
  <si>
    <t>ASV2874:g__Fusobacterium_s__unclassified_g__Fusobacterium</t>
  </si>
  <si>
    <t>ASV2996:g__Fusobacterium_s__unclassified_g__Fusobacterium</t>
  </si>
  <si>
    <t>ASV318:g__Peptostreptococcus_s__unclassified_g__Peptostreptococcus</t>
  </si>
  <si>
    <t>ASV2586:g__Campylobacter_s__unclassified_g__Campylobacter</t>
  </si>
  <si>
    <t>ASV1515:g__Streptococcus_s__unclassified_g__Streptococcus</t>
  </si>
  <si>
    <t>ASV5:g__UCG-002_s__unclassified_g__UCG-002</t>
  </si>
  <si>
    <t>ASV2860:g__Phascolarctobacterium_s__unclassified_g__Phascolarctobacterium</t>
  </si>
  <si>
    <t>ASV48:g__Blautia_s__unclassified_g__Blautia</t>
  </si>
  <si>
    <t>ASV38:g__Blautia_s__unclassified_g__Blautia</t>
  </si>
  <si>
    <t>ASV2839:g__Pasteurella_s__Pasteurella_aerogenes</t>
  </si>
  <si>
    <t>ASV1527:g__Bacillus_s__Lactobacillus_vaginalis_g__Bacillus</t>
  </si>
  <si>
    <t>ASV172:g__Mogibacterium_s__uncultured_bacterium_g__Mogibacterium</t>
  </si>
  <si>
    <t>ASV1089:g__Fusobacterium_s__Fusobacterium_gastrosuis</t>
  </si>
  <si>
    <t>ASV3058:g__Allisonella_s__uncultured_bacterium_g__Allisonella</t>
  </si>
  <si>
    <t>AT3</t>
  </si>
  <si>
    <t>GC3</t>
  </si>
  <si>
    <t>Arg</t>
  </si>
  <si>
    <t>H_CE_GCA_014982935.1</t>
  </si>
  <si>
    <t>allAA_1GC3</t>
  </si>
  <si>
    <t>H_GCA_003703885.1</t>
  </si>
  <si>
    <t>W_GCA_000056065.1</t>
  </si>
  <si>
    <t>ASV55</t>
  </si>
  <si>
    <t>W_1CaeC</t>
  </si>
  <si>
    <t>W_3CaeC</t>
  </si>
  <si>
    <t>W_8CaeC</t>
  </si>
  <si>
    <t>W_4CaeC</t>
  </si>
  <si>
    <t>W_7CaeC</t>
  </si>
  <si>
    <t>W_10CaeC</t>
  </si>
  <si>
    <t>W_2CaeC</t>
  </si>
  <si>
    <t>W_5CaeC</t>
  </si>
  <si>
    <t>W_9CaeC</t>
  </si>
  <si>
    <t>W_6CaeC</t>
  </si>
  <si>
    <t>H_10CaeC</t>
  </si>
  <si>
    <t>H_8CaeC</t>
  </si>
  <si>
    <t>H_3CaeC</t>
  </si>
  <si>
    <t>H_7CaeC</t>
  </si>
  <si>
    <t>H_6CaeC</t>
  </si>
  <si>
    <t>H_2CaeC</t>
  </si>
  <si>
    <t>H_4CaeC</t>
  </si>
  <si>
    <t>H_5CaeC</t>
  </si>
  <si>
    <t>H_1CaeC</t>
  </si>
  <si>
    <t>H_9CaeC</t>
  </si>
  <si>
    <t>W-CE</t>
  </si>
  <si>
    <t>H-CE</t>
  </si>
  <si>
    <t>ASV34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</si>
</sst>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_);[Red]\(0.0000\)"/>
    <numFmt numFmtId="177" formatCode="0.00000_);[Red]\(0.00000\)"/>
  </numFmts>
  <fonts count="29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indexed="8"/>
      <name val="等线"/>
      <charset val="134"/>
    </font>
    <font>
      <sz val="8"/>
      <color rgb="FF333333"/>
      <name val="Segoe UI"/>
      <charset val="134"/>
    </font>
    <font>
      <sz val="11"/>
      <name val="宋体"/>
      <charset val="134"/>
    </font>
    <font>
      <b/>
      <sz val="11"/>
      <name val="宋体"/>
      <charset val="134"/>
    </font>
    <font>
      <sz val="11"/>
      <color indexed="8"/>
      <name val="宋体"/>
      <charset val="134"/>
    </font>
    <font>
      <b/>
      <sz val="11"/>
      <color indexed="25"/>
      <name val="宋体"/>
      <charset val="134"/>
    </font>
    <font>
      <sz val="11"/>
      <color rgb="FF000000"/>
      <name val="宋体"/>
      <charset val="134"/>
      <scheme val="minor"/>
    </font>
    <font>
      <sz val="9.75"/>
      <color rgb="FF333333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9BC2E6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4B5E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A3F4C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1454817346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11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12" borderId="4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3" borderId="4" applyNumberFormat="0" applyAlignment="0" applyProtection="0">
      <alignment vertical="center"/>
    </xf>
    <xf numFmtId="0" fontId="21" fillId="14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7" fillId="36" borderId="0" applyNumberFormat="0" applyBorder="0" applyAlignment="0" applyProtection="0">
      <alignment vertical="center"/>
    </xf>
    <xf numFmtId="0" fontId="28" fillId="37" borderId="0" applyNumberFormat="0" applyBorder="0" applyAlignment="0" applyProtection="0">
      <alignment vertical="center"/>
    </xf>
    <xf numFmtId="0" fontId="28" fillId="38" borderId="0" applyNumberFormat="0" applyBorder="0" applyAlignment="0" applyProtection="0">
      <alignment vertical="center"/>
    </xf>
    <xf numFmtId="0" fontId="27" fillId="39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Font="1">
      <alignment vertical="center"/>
    </xf>
    <xf numFmtId="0" fontId="2" fillId="3" borderId="0" xfId="0" applyFont="1" applyFill="1">
      <alignment vertical="center"/>
    </xf>
    <xf numFmtId="0" fontId="2" fillId="0" borderId="0" xfId="0" applyFont="1" applyAlignment="1"/>
    <xf numFmtId="0" fontId="3" fillId="0" borderId="0" xfId="0" applyFont="1">
      <alignment vertical="center"/>
    </xf>
    <xf numFmtId="0" fontId="4" fillId="4" borderId="0" xfId="0" applyFont="1" applyFill="1">
      <alignment vertical="center"/>
    </xf>
    <xf numFmtId="0" fontId="5" fillId="4" borderId="0" xfId="0" applyFont="1" applyFill="1">
      <alignment vertical="center"/>
    </xf>
    <xf numFmtId="0" fontId="0" fillId="5" borderId="0" xfId="0" applyFill="1">
      <alignment vertical="center"/>
    </xf>
    <xf numFmtId="0" fontId="6" fillId="0" borderId="0" xfId="0" applyFont="1">
      <alignment vertical="center"/>
    </xf>
    <xf numFmtId="0" fontId="4" fillId="6" borderId="0" xfId="0" applyFont="1" applyFill="1">
      <alignment vertical="center"/>
    </xf>
    <xf numFmtId="0" fontId="5" fillId="6" borderId="0" xfId="0" applyFont="1" applyFill="1">
      <alignment vertical="center"/>
    </xf>
    <xf numFmtId="0" fontId="6" fillId="7" borderId="0" xfId="0" applyFont="1" applyFill="1">
      <alignment vertical="center"/>
    </xf>
    <xf numFmtId="0" fontId="6" fillId="3" borderId="0" xfId="0" applyFont="1" applyFill="1">
      <alignment vertical="center"/>
    </xf>
    <xf numFmtId="0" fontId="0" fillId="5" borderId="0" xfId="0" applyFont="1" applyFill="1">
      <alignment vertical="center"/>
    </xf>
    <xf numFmtId="0" fontId="7" fillId="6" borderId="0" xfId="0" applyFont="1" applyFill="1">
      <alignment vertical="center"/>
    </xf>
    <xf numFmtId="0" fontId="8" fillId="7" borderId="0" xfId="0" applyFont="1" applyFill="1">
      <alignment vertical="center"/>
    </xf>
    <xf numFmtId="0" fontId="8" fillId="3" borderId="0" xfId="0" applyFont="1" applyFill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Font="1">
      <alignment vertical="center"/>
    </xf>
    <xf numFmtId="0" fontId="9" fillId="0" borderId="0" xfId="0" applyFont="1">
      <alignment vertical="center"/>
    </xf>
    <xf numFmtId="0" fontId="0" fillId="8" borderId="0" xfId="0" applyFill="1">
      <alignment vertical="center"/>
    </xf>
    <xf numFmtId="0" fontId="0" fillId="9" borderId="0" xfId="0" applyFill="1">
      <alignment vertical="center"/>
    </xf>
    <xf numFmtId="177" fontId="6" fillId="0" borderId="0" xfId="0" applyNumberFormat="1" applyFont="1">
      <alignment vertical="center"/>
    </xf>
    <xf numFmtId="0" fontId="0" fillId="10" borderId="0" xfId="0" applyFill="1">
      <alignment vertical="center"/>
    </xf>
    <xf numFmtId="0" fontId="0" fillId="10" borderId="0" xfId="0" applyFont="1" applyFill="1">
      <alignment vertical="center"/>
    </xf>
    <xf numFmtId="0" fontId="0" fillId="9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ill>
        <patternFill patternType="solid">
          <bgColor rgb="FFFF990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7" Type="http://schemas.openxmlformats.org/officeDocument/2006/relationships/styles" Target="styles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analysis\pig\jun\TOP50&#20248;&#21183;&#33740;H-W&#65288;&#31579;&#3687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HW-DC"/>
      <sheetName val="HW-JC"/>
      <sheetName val="HW-IC"/>
      <sheetName val="HW-CE"/>
      <sheetName val="HW-COL"/>
      <sheetName val="H-DC "/>
      <sheetName val="W-DC"/>
      <sheetName val="H-JC"/>
      <sheetName val="W-JC"/>
      <sheetName val="H-IC"/>
      <sheetName val="W-IC"/>
      <sheetName val="H-CE"/>
      <sheetName val="W-CE"/>
      <sheetName val="H-COL"/>
      <sheetName val="W-COL"/>
    </sheetNames>
    <sheetDataSet>
      <sheetData sheetId="0">
        <row r="1">
          <cell r="G1" t="str">
            <v>asv</v>
          </cell>
          <cell r="H1" t="str">
            <v>genus</v>
          </cell>
          <cell r="I1" t="str">
            <v>species</v>
          </cell>
        </row>
        <row r="2">
          <cell r="G2" t="str">
            <v>ASV2</v>
          </cell>
          <cell r="H2" t="str">
            <v>g__Lactobacillus</v>
          </cell>
          <cell r="I2" t="str">
            <v>s__unclassified_g__Lactobacillus</v>
          </cell>
        </row>
        <row r="3">
          <cell r="G3" t="str">
            <v>ASV1527</v>
          </cell>
          <cell r="H3" t="str">
            <v>g__Bacillus</v>
          </cell>
          <cell r="I3" t="str">
            <v>s__Lactobacillus_vaginalis_g__Bacillus</v>
          </cell>
        </row>
        <row r="4">
          <cell r="G4" t="str">
            <v>ASV7</v>
          </cell>
          <cell r="H4" t="str">
            <v>g__Lactobacillus</v>
          </cell>
          <cell r="I4" t="str">
            <v>s__unclassified_g__Lactobacillus</v>
          </cell>
        </row>
        <row r="5">
          <cell r="G5" t="str">
            <v>ASV77</v>
          </cell>
          <cell r="H5" t="str">
            <v>g__Lactobacillus</v>
          </cell>
          <cell r="I5" t="str">
            <v>s__unclassified_g__Lactobacillus</v>
          </cell>
        </row>
        <row r="6">
          <cell r="G6" t="str">
            <v>ASV181</v>
          </cell>
          <cell r="H6" t="str">
            <v>g__Veillonella</v>
          </cell>
          <cell r="I6" t="str">
            <v>s__bacterium_RA2114</v>
          </cell>
        </row>
        <row r="7">
          <cell r="G7" t="str">
            <v>ASV45</v>
          </cell>
          <cell r="H7" t="str">
            <v>g__Escherichia-Shigella</v>
          </cell>
          <cell r="I7" t="str">
            <v>s__unclassified_g__Escherichia-Shigella</v>
          </cell>
        </row>
        <row r="8">
          <cell r="G8" t="str">
            <v>ASV22</v>
          </cell>
          <cell r="H8" t="str">
            <v>g__Lactobacillus</v>
          </cell>
          <cell r="I8" t="str">
            <v>s__unclassified_g__Lactobacillus</v>
          </cell>
        </row>
        <row r="9">
          <cell r="G9" t="str">
            <v>ASV9</v>
          </cell>
          <cell r="H9" t="str">
            <v>g__Romboutsia</v>
          </cell>
          <cell r="I9" t="str">
            <v>s__unclassified_g__Romboutsia</v>
          </cell>
        </row>
        <row r="10">
          <cell r="G10" t="str">
            <v>ASV2874</v>
          </cell>
          <cell r="H10" t="str">
            <v>g__Fusobacterium</v>
          </cell>
          <cell r="I10" t="str">
            <v>s__unclassified_g__Fusobacterium</v>
          </cell>
        </row>
        <row r="11">
          <cell r="G11" t="str">
            <v>ASV1540</v>
          </cell>
          <cell r="H11" t="str">
            <v>g__Megasphaera</v>
          </cell>
          <cell r="I11" t="str">
            <v>s__unclassified_g__Megasphaera</v>
          </cell>
        </row>
        <row r="12">
          <cell r="G12" t="str">
            <v>ASV2586</v>
          </cell>
          <cell r="H12" t="str">
            <v>g__Campylobacter</v>
          </cell>
          <cell r="I12" t="str">
            <v>s__unclassified_g__Campylobacter</v>
          </cell>
        </row>
        <row r="13">
          <cell r="G13" t="str">
            <v>ASV1555</v>
          </cell>
          <cell r="H13" t="str">
            <v>g__Enterococcus</v>
          </cell>
          <cell r="I13" t="str">
            <v>s__unclassified_g__Enterococcus</v>
          </cell>
        </row>
        <row r="14">
          <cell r="G14" t="str">
            <v>ASV1512</v>
          </cell>
          <cell r="H14" t="str">
            <v>g__Veillonella</v>
          </cell>
          <cell r="I14" t="str">
            <v>s__bacterium_RA2114</v>
          </cell>
        </row>
        <row r="15">
          <cell r="G15" t="str">
            <v>ASV167</v>
          </cell>
          <cell r="H15" t="str">
            <v>g__Collinsella</v>
          </cell>
          <cell r="I15" t="str">
            <v>s__unclassified_g__Collinsella</v>
          </cell>
        </row>
        <row r="16">
          <cell r="G16" t="str">
            <v>ASV3796</v>
          </cell>
          <cell r="H16" t="str">
            <v>g__unclassified_f__Lachnospiraceae</v>
          </cell>
          <cell r="I16" t="str">
            <v>s__unclassified_f__Lachnospiraceae</v>
          </cell>
        </row>
        <row r="17">
          <cell r="G17" t="str">
            <v>ASV24</v>
          </cell>
          <cell r="H17" t="str">
            <v>g__Terrisporobacter</v>
          </cell>
          <cell r="I17" t="str">
            <v>s__uncultured_bacterium_g__Terrisporobacter</v>
          </cell>
        </row>
        <row r="18">
          <cell r="G18" t="str">
            <v>ASV1</v>
          </cell>
          <cell r="H18" t="str">
            <v>g__Colidextribacter</v>
          </cell>
          <cell r="I18" t="str">
            <v>s__unclassified_g__Colidextribacter</v>
          </cell>
        </row>
        <row r="19">
          <cell r="G19" t="str">
            <v>ASV6</v>
          </cell>
          <cell r="H19" t="str">
            <v>g__Lactobacillus</v>
          </cell>
          <cell r="I19" t="str">
            <v>s__unclassified_g__Lactobacillus</v>
          </cell>
        </row>
        <row r="20">
          <cell r="G20" t="str">
            <v>ASV31</v>
          </cell>
          <cell r="H20" t="str">
            <v>g__Bacillus</v>
          </cell>
          <cell r="I20" t="str">
            <v>s__Lactobacillus_vaginalis_g__Bacillus</v>
          </cell>
        </row>
        <row r="21">
          <cell r="G21" t="str">
            <v>ASV2996</v>
          </cell>
          <cell r="H21" t="str">
            <v>g__Fusobacterium</v>
          </cell>
          <cell r="I21" t="str">
            <v>s__unclassified_g__Fusobacterium</v>
          </cell>
        </row>
        <row r="22">
          <cell r="G22" t="str">
            <v>ASV1831</v>
          </cell>
          <cell r="H22" t="str">
            <v>g__norank_f__Eubacterium_coprostanoligenes_group</v>
          </cell>
          <cell r="I22" t="str">
            <v>s__Eubacterium_coprostanoligenes</v>
          </cell>
        </row>
        <row r="23">
          <cell r="G23" t="str">
            <v>ASV13</v>
          </cell>
          <cell r="H23" t="str">
            <v>g__Lachnoclostridium</v>
          </cell>
          <cell r="I23" t="str">
            <v>s__unclassified_g__Lachnoclostridium</v>
          </cell>
        </row>
        <row r="24">
          <cell r="G24" t="str">
            <v>ASV30</v>
          </cell>
          <cell r="H24" t="str">
            <v>g__Clostridium_sensu_stricto_1</v>
          </cell>
          <cell r="I24" t="str">
            <v>s__unclassified_g__Clostridium_sensu_stricto_1</v>
          </cell>
        </row>
        <row r="25">
          <cell r="G25" t="str">
            <v>ASV17</v>
          </cell>
          <cell r="H25" t="str">
            <v>g__Sharpea</v>
          </cell>
          <cell r="I25" t="str">
            <v>s__uncultured_bacterium_g__Sharpea</v>
          </cell>
        </row>
        <row r="26">
          <cell r="G26" t="str">
            <v>ASV3740</v>
          </cell>
          <cell r="H26" t="str">
            <v>g__Fusobacterium</v>
          </cell>
          <cell r="I26" t="str">
            <v>s__Bacillus_bogoriensis_ATCC_BAA-922</v>
          </cell>
        </row>
        <row r="27">
          <cell r="G27" t="str">
            <v>ASV1514</v>
          </cell>
          <cell r="H27" t="str">
            <v>g__Lactobacillus</v>
          </cell>
          <cell r="I27" t="str">
            <v>s__unclassified_g__Lactobacillus</v>
          </cell>
        </row>
        <row r="28">
          <cell r="G28" t="str">
            <v>ASV3</v>
          </cell>
          <cell r="H28" t="str">
            <v>g__Ruminococcus</v>
          </cell>
          <cell r="I28" t="str">
            <v>s__bacterium_ic1277</v>
          </cell>
        </row>
        <row r="29">
          <cell r="G29" t="str">
            <v>ASV1515</v>
          </cell>
          <cell r="H29" t="str">
            <v>g__Streptococcus</v>
          </cell>
          <cell r="I29" t="str">
            <v>s__unclassified_g__Streptococcus</v>
          </cell>
        </row>
        <row r="30">
          <cell r="G30" t="str">
            <v>ASV4</v>
          </cell>
          <cell r="H30" t="str">
            <v>g__Christensenellaceae_R-7_group</v>
          </cell>
          <cell r="I30" t="str">
            <v>s__uncultured_spirochete_g__Christensenellaceae_R-7_group</v>
          </cell>
        </row>
        <row r="31">
          <cell r="G31" t="str">
            <v>ASV55</v>
          </cell>
          <cell r="H31" t="str">
            <v>g__Tyzzerella</v>
          </cell>
          <cell r="I31" t="str">
            <v>s__Anaerotignum_lactatifermentans</v>
          </cell>
        </row>
        <row r="32">
          <cell r="G32" t="str">
            <v>ASV44</v>
          </cell>
          <cell r="H32" t="str">
            <v>g__norank_f__Eubacterium_coprostanoligenes_group</v>
          </cell>
          <cell r="I32" t="str">
            <v>s__human_gut_metagenome_g__norank_f__Eubacterium_coprostanoligenes_group</v>
          </cell>
        </row>
        <row r="33">
          <cell r="G33" t="str">
            <v>ASV5</v>
          </cell>
          <cell r="H33" t="str">
            <v>g__UCG-002</v>
          </cell>
          <cell r="I33" t="str">
            <v>s__unclassified_g__UCG-002</v>
          </cell>
        </row>
        <row r="34">
          <cell r="G34" t="str">
            <v>ASV1916</v>
          </cell>
          <cell r="H34" t="str">
            <v>g__Campylobacter</v>
          </cell>
          <cell r="I34" t="str">
            <v>s__unclassified_g__Campylobacter</v>
          </cell>
        </row>
        <row r="35">
          <cell r="G35" t="str">
            <v>ASV40</v>
          </cell>
          <cell r="H35" t="str">
            <v>g__Subdoligranulum</v>
          </cell>
          <cell r="I35" t="str">
            <v>s__unclassified_g__Subdoligranulum</v>
          </cell>
        </row>
        <row r="36">
          <cell r="G36" t="str">
            <v>ASV36</v>
          </cell>
          <cell r="H36" t="str">
            <v>g__Tyzzerella</v>
          </cell>
          <cell r="I36" t="str">
            <v>s__Anaerotignum_lactatifermentans</v>
          </cell>
        </row>
        <row r="37">
          <cell r="G37" t="str">
            <v>ASV318</v>
          </cell>
          <cell r="H37" t="str">
            <v>g__Peptostreptococcus</v>
          </cell>
          <cell r="I37" t="str">
            <v>s__unclassified_g__Peptostreptococcus</v>
          </cell>
        </row>
        <row r="38">
          <cell r="G38" t="str">
            <v>ASV71</v>
          </cell>
          <cell r="H38" t="str">
            <v>g__unclassified_c__Bacilli</v>
          </cell>
          <cell r="I38" t="str">
            <v>s__unclassified_c__Bacilli</v>
          </cell>
        </row>
        <row r="39">
          <cell r="G39" t="str">
            <v>ASV3402</v>
          </cell>
          <cell r="H39" t="str">
            <v>g__Megasphaera</v>
          </cell>
          <cell r="I39" t="str">
            <v>s__unclassified_g__Megasphaera</v>
          </cell>
        </row>
        <row r="40">
          <cell r="G40" t="str">
            <v>ASV1853</v>
          </cell>
          <cell r="H40" t="str">
            <v>g__Lactobacillus</v>
          </cell>
          <cell r="I40" t="str">
            <v>s__unclassified_g__Lactobacillus</v>
          </cell>
        </row>
        <row r="41">
          <cell r="G41" t="str">
            <v>ASV73</v>
          </cell>
          <cell r="H41" t="str">
            <v>g__Turicibacter</v>
          </cell>
          <cell r="I41" t="str">
            <v>s__unclassified_g__Turicibacter</v>
          </cell>
        </row>
        <row r="42">
          <cell r="G42" t="str">
            <v>ASV19</v>
          </cell>
          <cell r="H42" t="str">
            <v>g__unclassified_f__Oscillospiraceae</v>
          </cell>
          <cell r="I42" t="str">
            <v>s__unclassified_f__Oscillospiraceae</v>
          </cell>
        </row>
        <row r="43">
          <cell r="G43" t="str">
            <v>ASV202</v>
          </cell>
          <cell r="H43" t="str">
            <v>g__Clostridium_sensu_stricto_1</v>
          </cell>
          <cell r="I43" t="str">
            <v>s__unclassified_g__Clostridium_sensu_stricto_1</v>
          </cell>
        </row>
        <row r="44">
          <cell r="G44" t="str">
            <v>ASV422</v>
          </cell>
          <cell r="H44" t="str">
            <v>g__norank_f__Erysipelotrichaceae</v>
          </cell>
          <cell r="I44" t="str">
            <v>s__uncultured_bacterium_g__norank_f__Erysipelotrichaceae</v>
          </cell>
        </row>
        <row r="45">
          <cell r="G45" t="str">
            <v>ASV1089</v>
          </cell>
          <cell r="H45" t="str">
            <v>g__Fusobacterium</v>
          </cell>
          <cell r="I45" t="str">
            <v>s__Fusobacterium_gastrosuis</v>
          </cell>
        </row>
        <row r="46">
          <cell r="G46" t="str">
            <v>ASV38</v>
          </cell>
          <cell r="H46" t="str">
            <v>g__Blautia</v>
          </cell>
          <cell r="I46" t="str">
            <v>s__unclassified_g__Blautia</v>
          </cell>
        </row>
        <row r="47">
          <cell r="G47" t="str">
            <v>ASV48</v>
          </cell>
          <cell r="H47" t="str">
            <v>g__Blautia</v>
          </cell>
          <cell r="I47" t="str">
            <v>s__unclassified_g__Blautia</v>
          </cell>
        </row>
        <row r="48">
          <cell r="G48" t="str">
            <v>ASV1513</v>
          </cell>
          <cell r="H48" t="str">
            <v>g__Lactobacillus</v>
          </cell>
          <cell r="I48" t="str">
            <v>s__unclassified_g__Lactobacillus</v>
          </cell>
        </row>
        <row r="49">
          <cell r="G49" t="str">
            <v>ASV54</v>
          </cell>
          <cell r="H49" t="str">
            <v>g__Clostridium_sensu_stricto_1</v>
          </cell>
          <cell r="I49" t="str">
            <v>s__unclassified_g__Clostridium_sensu_stricto_1</v>
          </cell>
        </row>
        <row r="50">
          <cell r="G50" t="str">
            <v>ASV65</v>
          </cell>
          <cell r="H50" t="str">
            <v>g__Veillonella</v>
          </cell>
          <cell r="I50" t="str">
            <v>s__unclassified_g__Veillonella</v>
          </cell>
        </row>
        <row r="51">
          <cell r="G51" t="str">
            <v>ASV1536</v>
          </cell>
          <cell r="H51" t="str">
            <v>g__Lactobacillus</v>
          </cell>
          <cell r="I51" t="str">
            <v>s__Lactobacillus_coleohominis</v>
          </cell>
        </row>
        <row r="52">
          <cell r="G52" t="str">
            <v>ASV3058</v>
          </cell>
          <cell r="H52" t="str">
            <v>g__Allisonella</v>
          </cell>
          <cell r="I52" t="str">
            <v>s__uncultured_bacterium_g__Allisonella</v>
          </cell>
        </row>
        <row r="53">
          <cell r="G53" t="str">
            <v>ASV51</v>
          </cell>
          <cell r="H53" t="str">
            <v>g__Peptococcus</v>
          </cell>
          <cell r="I53" t="str">
            <v>s__uncultured_bacterium_g__Peptococcus</v>
          </cell>
        </row>
        <row r="54">
          <cell r="G54" t="str">
            <v>ASV2894</v>
          </cell>
          <cell r="H54" t="str">
            <v>g__Bacteroides</v>
          </cell>
          <cell r="I54" t="str">
            <v>s__uncultured_bacterium_g__Bacteroides</v>
          </cell>
        </row>
        <row r="55">
          <cell r="G55" t="str">
            <v>ASV2839</v>
          </cell>
          <cell r="H55" t="str">
            <v>g__Pasteurella</v>
          </cell>
          <cell r="I55" t="str">
            <v>s__Pasteurella_aerogenes</v>
          </cell>
        </row>
        <row r="56">
          <cell r="G56" t="str">
            <v>ASV1997</v>
          </cell>
          <cell r="H56" t="str">
            <v>g__Tyzzerella</v>
          </cell>
          <cell r="I56" t="str">
            <v>s__Anaerotignum_lactatifermentans</v>
          </cell>
        </row>
        <row r="57">
          <cell r="G57" t="str">
            <v>ASV1519</v>
          </cell>
          <cell r="H57" t="str">
            <v>g__Lactobacillus</v>
          </cell>
          <cell r="I57" t="str">
            <v>s__unclassified_g__Lactobacillus</v>
          </cell>
        </row>
        <row r="58">
          <cell r="G58" t="str">
            <v>ASV8</v>
          </cell>
          <cell r="H58" t="str">
            <v>g__Coprococcus</v>
          </cell>
          <cell r="I58" t="str">
            <v>s__unclassified_g__Coprococcus</v>
          </cell>
        </row>
        <row r="59">
          <cell r="G59" t="str">
            <v>ASV1844</v>
          </cell>
          <cell r="H59" t="str">
            <v>g__Christensenellaceae_R-7_group</v>
          </cell>
          <cell r="I59" t="str">
            <v>s__uncultured_prokaryote_g__Christensenellaceae_R-7_group</v>
          </cell>
        </row>
        <row r="60">
          <cell r="G60" t="str">
            <v>ASV15120</v>
          </cell>
          <cell r="H60" t="str">
            <v>g__Lactobacillus</v>
          </cell>
          <cell r="I60" t="str">
            <v>s__unclassified_g__Lactobacillus</v>
          </cell>
        </row>
        <row r="61">
          <cell r="G61" t="str">
            <v>ASV795</v>
          </cell>
          <cell r="H61" t="str">
            <v>g__norank_f__Saccharimonadaceae</v>
          </cell>
          <cell r="I61" t="str">
            <v>s__uncultured_bacterium_g__norank_f__Saccharimonadaceae</v>
          </cell>
        </row>
        <row r="62">
          <cell r="G62" t="str">
            <v>ASV2865</v>
          </cell>
          <cell r="H62" t="str">
            <v>g__Blautia</v>
          </cell>
          <cell r="I62" t="str">
            <v>s__unclassified_g__Blautia</v>
          </cell>
        </row>
        <row r="63">
          <cell r="G63" t="str">
            <v>ASV1861</v>
          </cell>
          <cell r="H63" t="str">
            <v>g__Christensenellaceae_R-7_group</v>
          </cell>
          <cell r="I63" t="str">
            <v>s__unclassified_g__Christensenellaceae_R-7_group</v>
          </cell>
        </row>
        <row r="64">
          <cell r="G64" t="str">
            <v>ASV3729</v>
          </cell>
          <cell r="H64" t="str">
            <v>g__Cloacibacillus</v>
          </cell>
          <cell r="I64" t="str">
            <v>s__Cloacibacillus_porcorum</v>
          </cell>
        </row>
        <row r="65">
          <cell r="G65" t="str">
            <v>ASV3414</v>
          </cell>
          <cell r="H65" t="str">
            <v>g__Olsenella</v>
          </cell>
          <cell r="I65" t="str">
            <v>s__Olsenella_umbonata</v>
          </cell>
        </row>
        <row r="66">
          <cell r="G66" t="str">
            <v>ASV1902</v>
          </cell>
          <cell r="H66" t="str">
            <v>g__UCG-002</v>
          </cell>
          <cell r="I66" t="str">
            <v>s__uncultured_organism_g__UCG-002</v>
          </cell>
        </row>
        <row r="67">
          <cell r="G67" t="str">
            <v>ASV1520</v>
          </cell>
          <cell r="H67" t="str">
            <v>g__Collinsella</v>
          </cell>
          <cell r="I67" t="str">
            <v>s__unclassified_g__Collinsella</v>
          </cell>
        </row>
        <row r="68">
          <cell r="G68" t="str">
            <v>ASV2909</v>
          </cell>
          <cell r="H68" t="str">
            <v>g__Fusicatenibacter</v>
          </cell>
          <cell r="I68" t="str">
            <v>s__unclassified_g__Fusicatenibacter</v>
          </cell>
        </row>
        <row r="69">
          <cell r="G69" t="str">
            <v>ASV2582</v>
          </cell>
          <cell r="H69" t="str">
            <v>g__Bacillus</v>
          </cell>
          <cell r="I69" t="str">
            <v>s__Lactobacillus_vaginalis_g__Bacillus</v>
          </cell>
        </row>
        <row r="70">
          <cell r="G70" t="str">
            <v>ASV2955</v>
          </cell>
          <cell r="H70" t="str">
            <v>g__Acidaminococcus</v>
          </cell>
          <cell r="I70" t="str">
            <v>s__Acidaminococcus_fermentans_DSM_20731</v>
          </cell>
        </row>
        <row r="71">
          <cell r="G71" t="str">
            <v>ASV2654</v>
          </cell>
          <cell r="H71" t="str">
            <v>g__Acinetobacter</v>
          </cell>
          <cell r="I71" t="str">
            <v>s__unclassified_g__Acinetobacter</v>
          </cell>
        </row>
        <row r="72">
          <cell r="G72" t="str">
            <v>ASV1833</v>
          </cell>
          <cell r="H72" t="str">
            <v>g__Enterococcus</v>
          </cell>
          <cell r="I72" t="str">
            <v>s__unclassified_g__Enterococcus</v>
          </cell>
        </row>
        <row r="73">
          <cell r="G73" t="str">
            <v>ASV219</v>
          </cell>
          <cell r="H73" t="str">
            <v>g__Enterococcus</v>
          </cell>
          <cell r="I73" t="str">
            <v>s__unclassified_g__Enterococcus</v>
          </cell>
        </row>
        <row r="74">
          <cell r="G74" t="str">
            <v>ASV161</v>
          </cell>
          <cell r="H74" t="str">
            <v>g__Terrisporobacter</v>
          </cell>
          <cell r="I74" t="str">
            <v>s__unclassified_g__Terrisporobacter</v>
          </cell>
        </row>
        <row r="75">
          <cell r="G75" t="str">
            <v>ASV2983</v>
          </cell>
          <cell r="H75" t="str">
            <v>g__Lactobacillus</v>
          </cell>
          <cell r="I75" t="str">
            <v>s__unclassified_g__Lactobacillus</v>
          </cell>
        </row>
        <row r="76">
          <cell r="G76" t="str">
            <v>ASV169</v>
          </cell>
          <cell r="H76" t="str">
            <v>g__Clostridium_sensu_stricto_1</v>
          </cell>
          <cell r="I76" t="str">
            <v>s__unclassified_g__Clostridium_sensu_stricto_1</v>
          </cell>
        </row>
        <row r="77">
          <cell r="G77" t="str">
            <v>ASV1517</v>
          </cell>
          <cell r="H77" t="str">
            <v>g__Escherichia-Shigella</v>
          </cell>
          <cell r="I77" t="str">
            <v>s__unclassified_g__Escherichia-Shigella</v>
          </cell>
        </row>
        <row r="78">
          <cell r="G78" t="str">
            <v>ASV134</v>
          </cell>
          <cell r="H78" t="str">
            <v>g__Lactobacillus</v>
          </cell>
          <cell r="I78" t="str">
            <v>s__unclassified_g__Lactobacillus</v>
          </cell>
        </row>
        <row r="79">
          <cell r="G79" t="str">
            <v>ASV2828</v>
          </cell>
          <cell r="H79" t="str">
            <v>g__Moraxella</v>
          </cell>
          <cell r="I79" t="str">
            <v>s__unclassified_g__Moraxella</v>
          </cell>
        </row>
        <row r="80">
          <cell r="G80" t="str">
            <v>ASV34</v>
          </cell>
          <cell r="H80" t="str">
            <v>g__Clostridium_sensu_stricto_1</v>
          </cell>
          <cell r="I80" t="str">
            <v>s__unclassified_g__Clostridium_sensu_stricto_1</v>
          </cell>
        </row>
        <row r="81">
          <cell r="G81" t="str">
            <v>ASV279</v>
          </cell>
          <cell r="H81" t="str">
            <v>g__Streptococcus</v>
          </cell>
          <cell r="I81" t="str">
            <v>s__unclassified_g__Streptococcus</v>
          </cell>
        </row>
        <row r="82">
          <cell r="G82" t="str">
            <v>ASV1597</v>
          </cell>
          <cell r="H82" t="str">
            <v>g__Rothia</v>
          </cell>
          <cell r="I82" t="str">
            <v>s__unclassified_g__Rothia</v>
          </cell>
        </row>
        <row r="83">
          <cell r="G83" t="str">
            <v>ASV247</v>
          </cell>
          <cell r="H83" t="str">
            <v>g__Cloacibacillus</v>
          </cell>
          <cell r="I83" t="str">
            <v>s__Cloacibacillus_porcorum</v>
          </cell>
        </row>
        <row r="84">
          <cell r="G84" t="str">
            <v>ASV3730</v>
          </cell>
          <cell r="H84" t="str">
            <v>g__Phascolarctobacterium</v>
          </cell>
          <cell r="I84" t="str">
            <v>s__unclassified_g__Phascolarctobacterium</v>
          </cell>
        </row>
        <row r="85">
          <cell r="G85" t="str">
            <v>ASV21</v>
          </cell>
          <cell r="H85" t="str">
            <v>g__Lachnoclostridium</v>
          </cell>
          <cell r="I85" t="str">
            <v>s__Clostridium_scindens</v>
          </cell>
        </row>
        <row r="86">
          <cell r="G86" t="str">
            <v>ASV119</v>
          </cell>
          <cell r="H86" t="str">
            <v>g__UCG-002</v>
          </cell>
          <cell r="I86" t="str">
            <v>s__uncultured_bacterium_g__UCG-002</v>
          </cell>
        </row>
        <row r="87">
          <cell r="G87" t="str">
            <v>ASV2659</v>
          </cell>
          <cell r="H87" t="str">
            <v>g__Pseudomonas</v>
          </cell>
          <cell r="I87" t="str">
            <v>s__unclassified_g__Pseudomonas</v>
          </cell>
        </row>
        <row r="88">
          <cell r="G88" t="str">
            <v>ASV158</v>
          </cell>
          <cell r="H88" t="str">
            <v>g__Clostridium_sensu_stricto_1</v>
          </cell>
          <cell r="I88" t="str">
            <v>s__Clostridium_butyricum</v>
          </cell>
        </row>
        <row r="89">
          <cell r="G89" t="str">
            <v>ASV3787</v>
          </cell>
          <cell r="H89" t="str">
            <v>g__UCG-002</v>
          </cell>
          <cell r="I89" t="str">
            <v>s__uncultured_organism_g__UCG-002</v>
          </cell>
        </row>
        <row r="90">
          <cell r="G90" t="str">
            <v>ASV211</v>
          </cell>
          <cell r="H90" t="str">
            <v>g__Ruminococcus_torques_group</v>
          </cell>
          <cell r="I90" t="str">
            <v>s__unclassified_g__Ruminococcus_torques_group</v>
          </cell>
        </row>
        <row r="91">
          <cell r="G91" t="str">
            <v>ASV28</v>
          </cell>
          <cell r="H91" t="str">
            <v>g__Christensenellaceae_R-7_group</v>
          </cell>
          <cell r="I91" t="str">
            <v>s__uncultured_prokaryote_g__Christensenellaceae_R-7_group</v>
          </cell>
        </row>
        <row r="92">
          <cell r="G92" t="str">
            <v>ASV168</v>
          </cell>
          <cell r="H92" t="str">
            <v>g__Streptococcus</v>
          </cell>
          <cell r="I92" t="str">
            <v>s__Streptococcus_parasuis</v>
          </cell>
        </row>
        <row r="93">
          <cell r="G93" t="str">
            <v>ASV67</v>
          </cell>
          <cell r="H93" t="str">
            <v>g__NK4A214_group</v>
          </cell>
          <cell r="I93" t="str">
            <v>s__unclassified_g__NK4A214_group</v>
          </cell>
        </row>
        <row r="94">
          <cell r="G94" t="str">
            <v>ASV1551</v>
          </cell>
          <cell r="H94" t="str">
            <v>g__norank_f__Muribaculaceae</v>
          </cell>
          <cell r="I94" t="str">
            <v>s__uncultured_Porphyromonadaceae_bacterium_g__norank_f__Muribaculaceae</v>
          </cell>
        </row>
        <row r="95">
          <cell r="G95" t="str">
            <v>ASV87</v>
          </cell>
          <cell r="H95" t="str">
            <v>g__Christensenellaceae_R-7_group</v>
          </cell>
          <cell r="I95" t="str">
            <v>s__unclassified_g__Christensenellaceae_R-7_group</v>
          </cell>
        </row>
        <row r="96">
          <cell r="G96" t="str">
            <v>ASV229</v>
          </cell>
          <cell r="H96" t="str">
            <v>g__Actinobacillus</v>
          </cell>
          <cell r="I96" t="str">
            <v>s__Actinobacillus_porcinus</v>
          </cell>
        </row>
        <row r="97">
          <cell r="G97" t="str">
            <v>ASV172</v>
          </cell>
          <cell r="H97" t="str">
            <v>g__Mogibacterium</v>
          </cell>
          <cell r="I97" t="str">
            <v>s__uncultured_bacterium_g__Mogibacterium</v>
          </cell>
        </row>
        <row r="98">
          <cell r="G98" t="str">
            <v>ASV354</v>
          </cell>
          <cell r="H98" t="str">
            <v>g__norank_f__Eggerthellaceae</v>
          </cell>
          <cell r="I98" t="str">
            <v>s__uncultured_bacterium_g__norank_f__Eggerthellaceae</v>
          </cell>
        </row>
        <row r="99">
          <cell r="G99" t="str">
            <v>ASV3027</v>
          </cell>
          <cell r="H99" t="str">
            <v>g__unclassified_f__Lachnospiraceae</v>
          </cell>
          <cell r="I99" t="str">
            <v>s__unclassified_f__Lachnospiraceae</v>
          </cell>
        </row>
        <row r="100">
          <cell r="G100" t="str">
            <v>ASV2860</v>
          </cell>
          <cell r="H100" t="str">
            <v>g__Phascolarctobacterium</v>
          </cell>
          <cell r="I100" t="str">
            <v>s__unclassified_g__Phascolarctobacterium</v>
          </cell>
        </row>
        <row r="101">
          <cell r="G101" t="str">
            <v>ASV15</v>
          </cell>
          <cell r="H101" t="str">
            <v>g__unclassified_f__Lachnospiraceae</v>
          </cell>
          <cell r="I101" t="str">
            <v>s__unclassified_f__Lachnospiraceae</v>
          </cell>
        </row>
        <row r="102">
          <cell r="G102" t="str">
            <v>ASV2810</v>
          </cell>
          <cell r="H102" t="str">
            <v>g__Veillonella</v>
          </cell>
          <cell r="I102" t="str">
            <v>s__bacterium_RA2114</v>
          </cell>
        </row>
        <row r="103">
          <cell r="G103" t="str">
            <v>ASV2583</v>
          </cell>
          <cell r="H103" t="str">
            <v>g__Veillonella</v>
          </cell>
          <cell r="I103" t="str">
            <v>s__bacterium_RA2114</v>
          </cell>
        </row>
        <row r="104">
          <cell r="G104" t="str">
            <v>ASV12</v>
          </cell>
          <cell r="H104" t="str">
            <v>g__norank_f__Muribaculaceae</v>
          </cell>
          <cell r="I104" t="str">
            <v>s__uncultured_Porphyromonadaceae_bacterium_g__norank_f__Muribaculaceae</v>
          </cell>
        </row>
        <row r="105">
          <cell r="G105" t="str">
            <v>ASV3064</v>
          </cell>
          <cell r="H105" t="str">
            <v>g__Campylobacter</v>
          </cell>
          <cell r="I105" t="str">
            <v>s__unclassified_g__Campylobacter</v>
          </cell>
        </row>
        <row r="106">
          <cell r="G106" t="str">
            <v>ASV2587</v>
          </cell>
          <cell r="H106" t="str">
            <v>g__Bacillus</v>
          </cell>
          <cell r="I106" t="str">
            <v>s__Lactobacillus_vaginalis_g__Bacillus</v>
          </cell>
        </row>
        <row r="107">
          <cell r="G107" t="str">
            <v>ASV2849</v>
          </cell>
          <cell r="H107" t="str">
            <v>g__Alloprevotella</v>
          </cell>
          <cell r="I107" t="str">
            <v>s__Prevotella_sp._canine_oral_taxon_282</v>
          </cell>
        </row>
        <row r="108">
          <cell r="G108" t="str">
            <v>ASV2585</v>
          </cell>
          <cell r="H108" t="str">
            <v>g__Lactobacillus</v>
          </cell>
          <cell r="I108" t="str">
            <v>s__Lactobacillus_coleohominis</v>
          </cell>
        </row>
        <row r="109">
          <cell r="G109" t="str">
            <v>ASV63</v>
          </cell>
          <cell r="H109" t="str">
            <v>g__norank_f__Ruminococcaceae</v>
          </cell>
          <cell r="I109" t="str">
            <v>s__gut_metagenome_g__norank_f__Ruminococcaceae</v>
          </cell>
        </row>
        <row r="110">
          <cell r="G110" t="str">
            <v>ASV8746</v>
          </cell>
          <cell r="H110" t="str">
            <v>g__Succiniclasticum</v>
          </cell>
          <cell r="I110" t="str">
            <v>s__uncultured_rumen_bacterium_4C28d-16</v>
          </cell>
        </row>
        <row r="111">
          <cell r="G111" t="str">
            <v>ASV23</v>
          </cell>
          <cell r="H111" t="str">
            <v>g__CAG-873</v>
          </cell>
          <cell r="I111" t="str">
            <v>s__uncultured_bacterium_g__CAG-873</v>
          </cell>
        </row>
        <row r="112">
          <cell r="G112" t="str">
            <v>ASV3094</v>
          </cell>
          <cell r="H112" t="str">
            <v>g__Bacteroides</v>
          </cell>
          <cell r="I112" t="str">
            <v>s__unclassified_g__Bacteroides</v>
          </cell>
        </row>
        <row r="113">
          <cell r="G113" t="str">
            <v>ASV2813</v>
          </cell>
          <cell r="H113" t="str">
            <v>g__Clostridium_sensu_stricto_1</v>
          </cell>
          <cell r="I113" t="str">
            <v>s__Clostridium_sp._ND2</v>
          </cell>
        </row>
        <row r="114">
          <cell r="G114" t="str">
            <v>ASV69</v>
          </cell>
          <cell r="H114" t="str">
            <v>g__Phascolarctobacterium</v>
          </cell>
          <cell r="I114" t="str">
            <v>s__unclassified_g__Phascolarctobacterium</v>
          </cell>
        </row>
        <row r="115">
          <cell r="G115" t="str">
            <v>ASV1876</v>
          </cell>
          <cell r="H115" t="str">
            <v>g__Candidatus_Saccharimonas</v>
          </cell>
          <cell r="I115" t="str">
            <v>s__uncultured_bacterium_g__Candidatus_Saccharimonas</v>
          </cell>
        </row>
        <row r="116">
          <cell r="G116" t="str">
            <v>ASV104</v>
          </cell>
          <cell r="H116" t="str">
            <v>g__Eubacterium_fissicatena_group</v>
          </cell>
          <cell r="I116" t="str">
            <v>s__unclassified_g__Eubacterium_fissicatena_group</v>
          </cell>
        </row>
        <row r="117">
          <cell r="G117" t="str">
            <v>ASV106</v>
          </cell>
          <cell r="H117" t="str">
            <v>g__norank_f__Ruminococcaceae</v>
          </cell>
          <cell r="I117" t="str">
            <v>s__gut_metagenome_g__norank_f__Ruminococcaceae</v>
          </cell>
        </row>
        <row r="118">
          <cell r="G118" t="str">
            <v>ASV734</v>
          </cell>
          <cell r="H118" t="str">
            <v>g__norank_f__norank_o__Saccharimonadales</v>
          </cell>
          <cell r="I118" t="str">
            <v>s__TM7_phylum_sp._oral_clone_FR058</v>
          </cell>
        </row>
        <row r="119">
          <cell r="G119" t="str">
            <v>ASV1896</v>
          </cell>
          <cell r="H119" t="str">
            <v>g__unclassified_f__Lachnospiraceae</v>
          </cell>
          <cell r="I119" t="str">
            <v>s__unclassified_f__Lachnospiraceae</v>
          </cell>
        </row>
        <row r="120">
          <cell r="G120" t="str">
            <v>ASV186</v>
          </cell>
          <cell r="H120" t="str">
            <v>g__Streptococcus</v>
          </cell>
          <cell r="I120" t="str">
            <v>s__unclassified_g__Streptococcus</v>
          </cell>
        </row>
        <row r="121">
          <cell r="G121" t="str">
            <v>ASV46</v>
          </cell>
          <cell r="H121" t="str">
            <v>g__Lactobacillus</v>
          </cell>
          <cell r="I121" t="str">
            <v>s__unclassified_g__Lactobacillus</v>
          </cell>
        </row>
        <row r="122">
          <cell r="G122" t="str">
            <v>ASV52</v>
          </cell>
          <cell r="H122" t="str">
            <v>g__Holdemanella</v>
          </cell>
          <cell r="I122" t="str">
            <v>s__unclassified_g__Holdemanella</v>
          </cell>
        </row>
        <row r="123">
          <cell r="G123" t="str">
            <v>ASV2832</v>
          </cell>
          <cell r="H123" t="str">
            <v>g__Anaerovibrio</v>
          </cell>
          <cell r="I123" t="str">
            <v>s__Anaerovibrio_sp._765</v>
          </cell>
        </row>
        <row r="124">
          <cell r="G124" t="str">
            <v>ASV2723</v>
          </cell>
          <cell r="H124" t="str">
            <v>g__Lachnoclostridium</v>
          </cell>
          <cell r="I124" t="str">
            <v>s__unclassified_g__Lachnoclostridium</v>
          </cell>
        </row>
        <row r="125">
          <cell r="G125" t="str">
            <v>ASV2811</v>
          </cell>
          <cell r="H125" t="str">
            <v>g__Bergeyella</v>
          </cell>
          <cell r="I125" t="str">
            <v>s__unclassified_g__Bergeyella</v>
          </cell>
        </row>
        <row r="126">
          <cell r="G126" t="str">
            <v>ASV10377</v>
          </cell>
          <cell r="H126" t="str">
            <v>g__Christensenellaceae_R-7_group</v>
          </cell>
          <cell r="I126" t="str">
            <v>s__uncultured_prokaryote_g__Christensenellaceae_R-7_group</v>
          </cell>
        </row>
        <row r="127">
          <cell r="G127" t="str">
            <v>ASV42</v>
          </cell>
          <cell r="H127" t="str">
            <v>g__Family_XIII_AD3011_group</v>
          </cell>
          <cell r="I127" t="str">
            <v>s__uncultured_organism_g__Family_XIII_AD3011_group</v>
          </cell>
        </row>
        <row r="128">
          <cell r="G128" t="str">
            <v>ASV1929</v>
          </cell>
          <cell r="H128" t="str">
            <v>g__Treponema</v>
          </cell>
          <cell r="I128" t="str">
            <v>s__uncultured_bacterium_g__Treponema</v>
          </cell>
        </row>
        <row r="129">
          <cell r="G129" t="str">
            <v>ASV2632</v>
          </cell>
          <cell r="H129" t="str">
            <v>g__Lactobacillus</v>
          </cell>
          <cell r="I129" t="str">
            <v>s__Lactobacillus_coleohominis</v>
          </cell>
        </row>
        <row r="130">
          <cell r="G130" t="str">
            <v>ASV33</v>
          </cell>
          <cell r="H130" t="str">
            <v>g__norank_f__norank_o__Clostridia_vadinBB60_group</v>
          </cell>
          <cell r="I130" t="str">
            <v>s__gut_metagenome_g__norank_f__norank</v>
          </cell>
        </row>
        <row r="131">
          <cell r="G131" t="str">
            <v>ASV3731</v>
          </cell>
          <cell r="H131" t="str">
            <v>g__Cloacibacillus</v>
          </cell>
          <cell r="I131" t="str">
            <v>s__Cloacibacillus_porcorum</v>
          </cell>
        </row>
        <row r="132">
          <cell r="G132" t="str">
            <v>ASV2867</v>
          </cell>
          <cell r="H132" t="str">
            <v>g__Bacteroides</v>
          </cell>
          <cell r="I132" t="str">
            <v>s__unclassified_g__Bacteroides</v>
          </cell>
        </row>
        <row r="133">
          <cell r="G133" t="str">
            <v>ASV1523</v>
          </cell>
          <cell r="H133" t="str">
            <v>g__Lactobacillus</v>
          </cell>
          <cell r="I133" t="str">
            <v>s__unclassified_g__Lactobacillus</v>
          </cell>
        </row>
        <row r="134">
          <cell r="G134" t="str">
            <v>ASV2616</v>
          </cell>
          <cell r="H134" t="str">
            <v>g__norank_f__norank_o__Saccharimonadales</v>
          </cell>
          <cell r="I134" t="str">
            <v>s__TM7_phylum_sp._oral_clone_FR058</v>
          </cell>
        </row>
        <row r="135">
          <cell r="G135" t="str">
            <v>ASV14</v>
          </cell>
          <cell r="H135" t="str">
            <v>g__Prevotella</v>
          </cell>
          <cell r="I135" t="str">
            <v>s__human_gut_metagenome_g__Prevotella</v>
          </cell>
        </row>
        <row r="136">
          <cell r="G136" t="str">
            <v>ASV7036</v>
          </cell>
          <cell r="H136" t="str">
            <v>g__Bacteroides</v>
          </cell>
          <cell r="I136" t="str">
            <v>s__unclassified_g__Bacteroides</v>
          </cell>
        </row>
        <row r="137">
          <cell r="G137" t="str">
            <v>ASV1847</v>
          </cell>
          <cell r="H137" t="str">
            <v>g__Christensenellaceae_R-7_group</v>
          </cell>
          <cell r="I137" t="str">
            <v>s__uncultured_spirochete_g__Christensenellaceae_R-7_group</v>
          </cell>
        </row>
        <row r="138">
          <cell r="G138" t="str">
            <v>ASV3076</v>
          </cell>
          <cell r="H138" t="str">
            <v>g__Mitsuokella</v>
          </cell>
          <cell r="I138" t="str">
            <v>s__uncultured_bacterium_g__Mitsuokella</v>
          </cell>
        </row>
        <row r="139">
          <cell r="G139" t="str">
            <v>ASV3367</v>
          </cell>
          <cell r="H139" t="str">
            <v>g__Bifidobacterium</v>
          </cell>
          <cell r="I139" t="str">
            <v>s__unclassified_g__Bifidobacterium</v>
          </cell>
        </row>
        <row r="140">
          <cell r="G140" t="str">
            <v>ASV1834</v>
          </cell>
          <cell r="H140" t="str">
            <v>g__unclassified_f__Lachnospiraceae</v>
          </cell>
          <cell r="I140" t="str">
            <v>s__unclassified_f__Lachnospiraceae</v>
          </cell>
        </row>
        <row r="141">
          <cell r="G141" t="str">
            <v>ASV2736</v>
          </cell>
          <cell r="H141" t="str">
            <v>g__norank_f__Oscillospiraceae</v>
          </cell>
          <cell r="I141" t="str">
            <v>s__unclassified_g__norank_f__Oscillospiraceae</v>
          </cell>
        </row>
        <row r="142">
          <cell r="G142" t="str">
            <v>ASV1836</v>
          </cell>
          <cell r="H142" t="str">
            <v>g__unclassified_f__Lachnospiraceae</v>
          </cell>
          <cell r="I142" t="str">
            <v>s__unclassified_f__Lachnospiraceae</v>
          </cell>
        </row>
        <row r="143">
          <cell r="G143" t="str">
            <v>ASV32</v>
          </cell>
          <cell r="H143" t="str">
            <v>g__Mitsuokella</v>
          </cell>
          <cell r="I143" t="str">
            <v>s__uncultured_bacterium_g__Mitsuokella</v>
          </cell>
        </row>
        <row r="144">
          <cell r="G144" t="str">
            <v>ASV8389</v>
          </cell>
          <cell r="H144" t="str">
            <v>g__Prevotella</v>
          </cell>
          <cell r="I144" t="str">
            <v>s__Prevotella_sp._RS2</v>
          </cell>
        </row>
        <row r="145">
          <cell r="G145" t="str">
            <v>ASV117</v>
          </cell>
          <cell r="H145" t="str">
            <v>g__unclassified_f__Oscillospiraceae</v>
          </cell>
          <cell r="I145" t="str">
            <v>s__unclassified_f__Oscillospiraceae</v>
          </cell>
        </row>
        <row r="146">
          <cell r="G146" t="str">
            <v>ASV3389</v>
          </cell>
          <cell r="H146" t="str">
            <v>g__UCG-005</v>
          </cell>
          <cell r="I146" t="str">
            <v>s__unclassified_g__UCG-005</v>
          </cell>
        </row>
        <row r="147">
          <cell r="G147" t="str">
            <v>ASV1832</v>
          </cell>
          <cell r="H147" t="str">
            <v>g__Christensenellaceae_R-7_group</v>
          </cell>
          <cell r="I147" t="str">
            <v>s__uncultured_prokaryote_g__Christensenellaceae_R-7_group</v>
          </cell>
        </row>
        <row r="148">
          <cell r="G148" t="str">
            <v>ASV1516</v>
          </cell>
          <cell r="H148" t="str">
            <v>g__Clostridium_sensu_stricto_1</v>
          </cell>
          <cell r="I148" t="str">
            <v>s__unclassified_g__Clostridium_sensu_stricto_1</v>
          </cell>
        </row>
        <row r="149">
          <cell r="G149" t="str">
            <v>ASV74</v>
          </cell>
          <cell r="H149" t="str">
            <v>g__Christensenellaceae_R-7_group</v>
          </cell>
          <cell r="I149" t="str">
            <v>s__uncultured_prokaryote_g__Christensenellaceae_R-7_group</v>
          </cell>
        </row>
        <row r="150">
          <cell r="G150" t="str">
            <v>ASV176</v>
          </cell>
          <cell r="H150" t="str">
            <v>g__norank_f__p-2534-18B5_gut_group</v>
          </cell>
          <cell r="I150" t="str">
            <v>s__uncultured_bacterium_g__norank_f__p-2534-18B5_gut_group</v>
          </cell>
        </row>
        <row r="151">
          <cell r="G151" t="str">
            <v>ASV2984</v>
          </cell>
          <cell r="H151" t="str">
            <v>g__Mageibacillus</v>
          </cell>
          <cell r="I151" t="str">
            <v>s__Clostridiales_bacterium_canine_oral_taxon_216</v>
          </cell>
        </row>
        <row r="152">
          <cell r="G152" t="str">
            <v>ASV401</v>
          </cell>
          <cell r="H152" t="str">
            <v>g__Rothia</v>
          </cell>
          <cell r="I152" t="str">
            <v>s__unclassified_g__Rothia</v>
          </cell>
        </row>
        <row r="153">
          <cell r="G153" t="str">
            <v>ASV2584</v>
          </cell>
          <cell r="H153" t="str">
            <v>g__Bacillus</v>
          </cell>
          <cell r="I153" t="str">
            <v>s__Lactobacillus_vaginalis_g__Bacillus</v>
          </cell>
        </row>
        <row r="154">
          <cell r="G154" t="str">
            <v>ASV1837</v>
          </cell>
          <cell r="H154" t="str">
            <v>g__UCG-005</v>
          </cell>
          <cell r="I154" t="str">
            <v>s__unclassified_g__UCG-005</v>
          </cell>
        </row>
        <row r="155">
          <cell r="G155" t="str">
            <v>ASV2812</v>
          </cell>
          <cell r="H155" t="str">
            <v>g__Actinobacillus</v>
          </cell>
          <cell r="I155" t="str">
            <v>s__unclassified_g__Actinobacillus</v>
          </cell>
        </row>
        <row r="156">
          <cell r="G156" t="str">
            <v>ASV1562</v>
          </cell>
          <cell r="H156" t="str">
            <v>g__Streptococcus</v>
          </cell>
          <cell r="I156" t="str">
            <v>s__unclassified_g__Streptococcus</v>
          </cell>
        </row>
        <row r="157">
          <cell r="G157" t="str">
            <v>ASV1843</v>
          </cell>
          <cell r="H157" t="str">
            <v>g__NK4A214_group</v>
          </cell>
          <cell r="I157" t="str">
            <v>s__unclassified_g__NK4A214_group</v>
          </cell>
        </row>
        <row r="158">
          <cell r="G158" t="str">
            <v>ASV2699</v>
          </cell>
          <cell r="H158" t="str">
            <v>g__unclassified_f__Lachnospiraceae</v>
          </cell>
          <cell r="I158" t="str">
            <v>s__unclassified_f__Lachnospiraceae</v>
          </cell>
        </row>
        <row r="159">
          <cell r="G159" t="str">
            <v>ASV2628</v>
          </cell>
          <cell r="H159" t="str">
            <v>g__Veillonella</v>
          </cell>
          <cell r="I159" t="str">
            <v>s__unclassified_g__Veillonella</v>
          </cell>
        </row>
        <row r="160">
          <cell r="G160" t="str">
            <v>ASV2640</v>
          </cell>
          <cell r="H160" t="str">
            <v>g__Veillonella</v>
          </cell>
          <cell r="I160" t="str">
            <v>s__unclassified_g__Veillonella</v>
          </cell>
        </row>
        <row r="161">
          <cell r="G161" t="str">
            <v>ASV3073</v>
          </cell>
          <cell r="H161" t="str">
            <v>g__Bifidobacterium</v>
          </cell>
          <cell r="I161" t="str">
            <v>s__unclassified_g__Bifidobacterium</v>
          </cell>
        </row>
        <row r="162">
          <cell r="G162" t="str">
            <v>ASV575</v>
          </cell>
          <cell r="H162" t="str">
            <v>g__Akkermansia</v>
          </cell>
          <cell r="I162" t="str">
            <v>s__uncultured_bacterium_g__Akkermansia</v>
          </cell>
        </row>
        <row r="163">
          <cell r="G163" t="str">
            <v>ASV11</v>
          </cell>
          <cell r="H163" t="str">
            <v>g__norank_f__Muribaculaceae</v>
          </cell>
          <cell r="I163" t="str">
            <v>s__uncultured_Porphyromonadaceae_bacterium_g__norank_f__Muribaculaceae</v>
          </cell>
        </row>
        <row r="164">
          <cell r="G164" t="str">
            <v>ASV3732</v>
          </cell>
          <cell r="H164" t="str">
            <v>g__Cloacibacillus</v>
          </cell>
          <cell r="I164" t="str">
            <v>s__Cloacibacillus_porcorum</v>
          </cell>
        </row>
        <row r="165">
          <cell r="G165" t="str">
            <v>ASV60</v>
          </cell>
          <cell r="H165" t="str">
            <v>g__Christensenellaceae_R-7_group</v>
          </cell>
          <cell r="I165" t="str">
            <v>s__unclassified_g__Christensenellaceae_R-7_group</v>
          </cell>
        </row>
        <row r="166">
          <cell r="G166" t="str">
            <v>ASV3097</v>
          </cell>
          <cell r="H166" t="str">
            <v>g__Subdoligranulum</v>
          </cell>
          <cell r="I166" t="str">
            <v>s__uncultured_bacterium_g__Subdoligranulum</v>
          </cell>
        </row>
        <row r="167">
          <cell r="G167" t="str">
            <v>ASV2670</v>
          </cell>
          <cell r="H167" t="str">
            <v>g__Fusobacterium</v>
          </cell>
          <cell r="I167" t="str">
            <v>s__unclassified_g__Fusobacterium</v>
          </cell>
        </row>
        <row r="168">
          <cell r="G168" t="str">
            <v>ASV81</v>
          </cell>
          <cell r="H168" t="str">
            <v>g__Prevotella</v>
          </cell>
          <cell r="I168" t="str">
            <v>s__Prevotella_sp._DJF_LS16</v>
          </cell>
        </row>
        <row r="169">
          <cell r="G169" t="str">
            <v>ASV2593</v>
          </cell>
          <cell r="H169" t="str">
            <v>g__Sphingomonas</v>
          </cell>
          <cell r="I169" t="str">
            <v>s__unclassified_g__Sphingomonas</v>
          </cell>
        </row>
        <row r="170">
          <cell r="G170" t="str">
            <v>ASV5492</v>
          </cell>
          <cell r="H170" t="str">
            <v>g__Subdoligranulum</v>
          </cell>
          <cell r="I170" t="str">
            <v>s__unclassified_g__Subdoligranulum</v>
          </cell>
        </row>
        <row r="171">
          <cell r="G171" t="str">
            <v>ASV2766</v>
          </cell>
          <cell r="H171" t="str">
            <v>g__Mogibacterium</v>
          </cell>
          <cell r="I171" t="str">
            <v>s__uncultured_Enterococcus_sp._g__Mogibacterium</v>
          </cell>
        </row>
        <row r="172">
          <cell r="G172" t="str">
            <v>ASV128</v>
          </cell>
          <cell r="H172" t="str">
            <v>g__unclassified_f__Oscillospiraceae</v>
          </cell>
          <cell r="I172" t="str">
            <v>s__unclassified_f__Oscillospiraceae</v>
          </cell>
        </row>
        <row r="173">
          <cell r="G173" t="str">
            <v>ASV8256</v>
          </cell>
          <cell r="H173" t="str">
            <v>g__Denitrobacterium</v>
          </cell>
          <cell r="I173" t="str">
            <v>s__Eggerthellaceae_bacterium_AT8</v>
          </cell>
        </row>
        <row r="174">
          <cell r="G174" t="str">
            <v>ASV57</v>
          </cell>
          <cell r="H174" t="str">
            <v>g__Marvinbryantia</v>
          </cell>
          <cell r="I174" t="str">
            <v>s__unclassified_g__Marvinbryantia</v>
          </cell>
        </row>
        <row r="175">
          <cell r="G175" t="str">
            <v>ASV20</v>
          </cell>
          <cell r="H175" t="str">
            <v>g__Parabacteroides</v>
          </cell>
          <cell r="I175" t="str">
            <v>s__Porphyromonadaceae_bacterium_DJF_B175</v>
          </cell>
        </row>
        <row r="176">
          <cell r="G176" t="str">
            <v>ASV3566</v>
          </cell>
          <cell r="H176" t="str">
            <v>g__Bacteroides</v>
          </cell>
          <cell r="I176" t="str">
            <v>s__unclassified_g__Bacteroides</v>
          </cell>
        </row>
        <row r="177">
          <cell r="G177" t="str">
            <v>ASV29</v>
          </cell>
          <cell r="H177" t="str">
            <v>g__Lactobacillus</v>
          </cell>
          <cell r="I177" t="str">
            <v>s__unclassified_g__Lactobacillus</v>
          </cell>
        </row>
        <row r="178">
          <cell r="G178" t="str">
            <v>ASV136</v>
          </cell>
          <cell r="H178" t="str">
            <v>g__Streptococcus</v>
          </cell>
          <cell r="I178" t="str">
            <v>s__Streptococcus_hyointestinalis</v>
          </cell>
        </row>
        <row r="179">
          <cell r="G179" t="str">
            <v>ASV2861</v>
          </cell>
          <cell r="H179" t="str">
            <v>g__Prevotella</v>
          </cell>
          <cell r="I179" t="str">
            <v>s__unclassified_g__Prevotella</v>
          </cell>
        </row>
        <row r="180">
          <cell r="G180" t="str">
            <v>ASV1532</v>
          </cell>
          <cell r="H180" t="str">
            <v>g__Lactobacillus</v>
          </cell>
          <cell r="I180" t="str">
            <v>s__unclassified_g__Lactobacillus</v>
          </cell>
        </row>
        <row r="181">
          <cell r="G181" t="str">
            <v>ASV234</v>
          </cell>
          <cell r="H181" t="str">
            <v>g__UCG-005</v>
          </cell>
          <cell r="I181" t="str">
            <v>s__unclassified_g__UCG-005</v>
          </cell>
        </row>
        <row r="182">
          <cell r="G182" t="str">
            <v>ASV93</v>
          </cell>
          <cell r="H182" t="str">
            <v>g__Lachnospiraceae_XPB1014_group</v>
          </cell>
          <cell r="I182" t="str">
            <v>s__uncultured_bacterium_g__Lachnospiraceae_XPB1014_group</v>
          </cell>
        </row>
        <row r="183">
          <cell r="G183" t="str">
            <v>ASV102</v>
          </cell>
          <cell r="H183" t="str">
            <v>g__norank_f__Erysipelotrichaceae</v>
          </cell>
          <cell r="I183" t="str">
            <v>s__uncultured_bacterium_g__norank_f__Erysipelotrichaceae</v>
          </cell>
        </row>
        <row r="184">
          <cell r="G184" t="str">
            <v>ASV1589</v>
          </cell>
          <cell r="H184" t="str">
            <v>g__Gemella</v>
          </cell>
          <cell r="I184" t="str">
            <v>s__unclassified_g__Gemella</v>
          </cell>
        </row>
        <row r="185">
          <cell r="G185" t="str">
            <v>ASV236</v>
          </cell>
          <cell r="H185" t="str">
            <v>g__Sphaerochaeta</v>
          </cell>
          <cell r="I185" t="str">
            <v>s__uncultured_prokaryote_g__Sphaerochaeta</v>
          </cell>
        </row>
        <row r="186">
          <cell r="G186" t="str">
            <v>ASV3733</v>
          </cell>
          <cell r="H186" t="str">
            <v>g__norank_f__Eubacterium_coprostanoligenes_group</v>
          </cell>
          <cell r="I186" t="str">
            <v>s__human_gut_metagenome_g__norank_f__Eubacterium_coprostanoligenes_group</v>
          </cell>
        </row>
        <row r="187">
          <cell r="G187" t="str">
            <v>ASV10</v>
          </cell>
          <cell r="H187" t="str">
            <v>g__Prevotella</v>
          </cell>
          <cell r="I187" t="str">
            <v>s__human_gut_metagenome_g__Prevotella</v>
          </cell>
        </row>
        <row r="188">
          <cell r="G188" t="str">
            <v>ASV1867</v>
          </cell>
          <cell r="H188" t="str">
            <v>g__norank_f__Muribaculaceae</v>
          </cell>
          <cell r="I188" t="str">
            <v>s__uncultured_Porphyromonadaceae_bacterium_g__norank_f__Muribaculaceae</v>
          </cell>
        </row>
        <row r="189">
          <cell r="G189" t="str">
            <v>ASV59</v>
          </cell>
          <cell r="H189" t="str">
            <v>g__Mitsuokella</v>
          </cell>
          <cell r="I189" t="str">
            <v>s__unclassified_g__Mitsuokella</v>
          </cell>
        </row>
        <row r="190">
          <cell r="G190" t="str">
            <v>ASV2814</v>
          </cell>
          <cell r="H190" t="str">
            <v>g__Moraxella</v>
          </cell>
          <cell r="I190" t="str">
            <v>s__Moraxella_porci_DSM_25326</v>
          </cell>
        </row>
        <row r="191">
          <cell r="G191" t="str">
            <v>ASV2823</v>
          </cell>
          <cell r="H191" t="str">
            <v>g__Veillonella</v>
          </cell>
          <cell r="I191" t="str">
            <v>s__unclassified_g__Veillonella</v>
          </cell>
        </row>
        <row r="192">
          <cell r="G192" t="str">
            <v>ASV1866</v>
          </cell>
          <cell r="H192" t="str">
            <v>g__Christensenellaceae_R-7_group</v>
          </cell>
          <cell r="I192" t="str">
            <v>s__uncultured_prokaryote_g__Christensenellaceae_R-7_group</v>
          </cell>
        </row>
        <row r="193">
          <cell r="G193" t="str">
            <v>ASV2817</v>
          </cell>
          <cell r="H193" t="str">
            <v>g__Streptococcus</v>
          </cell>
          <cell r="I193" t="str">
            <v>s__unclassified_g__Streptococcus</v>
          </cell>
        </row>
        <row r="194">
          <cell r="G194" t="str">
            <v>ASV180</v>
          </cell>
          <cell r="H194" t="str">
            <v>g__Rikenellaceae_RC9_gut_group</v>
          </cell>
          <cell r="I194" t="str">
            <v>s__uncultured_bacterium_g__Rikenellaceae_RC9_gut_group</v>
          </cell>
        </row>
        <row r="195">
          <cell r="G195" t="str">
            <v>ASV3060</v>
          </cell>
          <cell r="H195" t="str">
            <v>g__Allisonella</v>
          </cell>
          <cell r="I195" t="str">
            <v>s__uncultured_bacterium_g__Allisonella</v>
          </cell>
        </row>
        <row r="196">
          <cell r="G196" t="str">
            <v>ASV3012</v>
          </cell>
          <cell r="H196" t="str">
            <v>g__UCG-002</v>
          </cell>
          <cell r="I196" t="str">
            <v>s__unclassified_g__UCG-002</v>
          </cell>
        </row>
        <row r="197">
          <cell r="G197" t="str">
            <v>ASV1845</v>
          </cell>
          <cell r="H197" t="str">
            <v>g__UCG-002</v>
          </cell>
          <cell r="I197" t="str">
            <v>s__unclassified_g__UCG-002</v>
          </cell>
        </row>
        <row r="198">
          <cell r="G198" t="str">
            <v>ASV3565</v>
          </cell>
          <cell r="H198" t="str">
            <v>g__Alloprevotella</v>
          </cell>
          <cell r="I198" t="str">
            <v>s__Prevotella_sp._canine_oral_taxon_282</v>
          </cell>
        </row>
        <row r="199">
          <cell r="G199" t="str">
            <v>ASV3063</v>
          </cell>
          <cell r="H199" t="str">
            <v>g__Faecalibacterium</v>
          </cell>
          <cell r="I199" t="str">
            <v>s__unclassified_g__Faecalibacterium</v>
          </cell>
        </row>
        <row r="200">
          <cell r="G200" t="str">
            <v>ASV6488</v>
          </cell>
          <cell r="H200" t="str">
            <v>g__Psychrobacter</v>
          </cell>
          <cell r="I200" t="str">
            <v>s__unclassified_g__Psychrobacter</v>
          </cell>
        </row>
        <row r="201">
          <cell r="G201" t="str">
            <v>ASV43</v>
          </cell>
          <cell r="H201" t="str">
            <v>g__Catenisphaera</v>
          </cell>
          <cell r="I201" t="str">
            <v>s__uncultured_bacterium_g__Catenisphaera</v>
          </cell>
        </row>
        <row r="202">
          <cell r="G202" t="str">
            <v>ASV5654</v>
          </cell>
          <cell r="H202" t="str">
            <v>g__Bacteroides</v>
          </cell>
          <cell r="I202" t="str">
            <v>s__unclassified_g__Bacteroides</v>
          </cell>
        </row>
        <row r="203">
          <cell r="G203" t="str">
            <v>ASV2692</v>
          </cell>
          <cell r="H203" t="str">
            <v>g__Fusobacterium</v>
          </cell>
          <cell r="I203" t="str">
            <v>s__unclassified_g__Fusobacterium</v>
          </cell>
        </row>
        <row r="204">
          <cell r="G204" t="str">
            <v>ASV3059</v>
          </cell>
          <cell r="H204" t="str">
            <v>g__Roseburia</v>
          </cell>
          <cell r="I204" t="str">
            <v>s__unclassified_g__Roseburia</v>
          </cell>
        </row>
        <row r="205">
          <cell r="G205" t="str">
            <v>ASV47</v>
          </cell>
          <cell r="H205" t="str">
            <v>g__Mitsuokella</v>
          </cell>
          <cell r="I205" t="str">
            <v>s__uncultured_bacterium_g__Mitsuokella</v>
          </cell>
        </row>
        <row r="206">
          <cell r="G206" t="str">
            <v>ASV49</v>
          </cell>
          <cell r="H206" t="str">
            <v>g__Lachnospiraceae_FCS020_group</v>
          </cell>
          <cell r="I206" t="str">
            <v>s__unclassified_g__Lachnospiraceae_FCS020_group</v>
          </cell>
        </row>
        <row r="207">
          <cell r="G207" t="str">
            <v>ASV25</v>
          </cell>
          <cell r="H207" t="str">
            <v>g__norank_f__Muribaculaceae</v>
          </cell>
          <cell r="I207" t="str">
            <v>s__uncultured_Porphyromonadaceae_bacterium_g__norank_f__Muribaculaceae</v>
          </cell>
        </row>
        <row r="208">
          <cell r="G208" t="str">
            <v>ASV2950</v>
          </cell>
          <cell r="H208" t="str">
            <v>g__norank_f__Butyricicoccaceae</v>
          </cell>
          <cell r="I208" t="str">
            <v>s__uncultured_bacterium_g__norank_f__Butyricicoccaceae</v>
          </cell>
        </row>
        <row r="209">
          <cell r="G209" t="str">
            <v>ASV3620</v>
          </cell>
          <cell r="H209" t="str">
            <v>g__Prevotella</v>
          </cell>
          <cell r="I209" t="str">
            <v>s__unclassified_g__Prevotella</v>
          </cell>
        </row>
        <row r="210">
          <cell r="G210" t="str">
            <v>ASV2594</v>
          </cell>
          <cell r="H210" t="str">
            <v>g__Brevundimonas</v>
          </cell>
          <cell r="I210" t="str">
            <v>s__unclassified_g__Brevundimonas</v>
          </cell>
        </row>
        <row r="211">
          <cell r="G211" t="str">
            <v>ASV101</v>
          </cell>
          <cell r="H211" t="str">
            <v>g__Oscillospira</v>
          </cell>
          <cell r="I211" t="str">
            <v>s__uncultured_bacterium_g__Oscillospira</v>
          </cell>
        </row>
        <row r="212">
          <cell r="G212" t="str">
            <v>ASV2836</v>
          </cell>
          <cell r="H212" t="str">
            <v>g__unclassified_f__Prevotellaceae</v>
          </cell>
          <cell r="I212" t="str">
            <v>s__unclassified_f__Prevotellaceae</v>
          </cell>
        </row>
        <row r="213">
          <cell r="G213" t="str">
            <v>ASV1553</v>
          </cell>
          <cell r="H213" t="str">
            <v>g__Sarcina</v>
          </cell>
          <cell r="I213" t="str">
            <v>s__uncultured_bacterium_g__Sarcina</v>
          </cell>
        </row>
        <row r="214">
          <cell r="G214" t="str">
            <v>ASV2825</v>
          </cell>
          <cell r="H214" t="str">
            <v>g__Bacteroides</v>
          </cell>
          <cell r="I214" t="str">
            <v>s__unclassified_g__Bacteroides</v>
          </cell>
        </row>
        <row r="215">
          <cell r="G215" t="str">
            <v>ASV2829</v>
          </cell>
          <cell r="H215" t="str">
            <v>g__Prevotella</v>
          </cell>
          <cell r="I215" t="str">
            <v>s__unclassified_g__Prevotella</v>
          </cell>
        </row>
        <row r="216">
          <cell r="G216" t="str">
            <v>ASV166</v>
          </cell>
          <cell r="H216" t="str">
            <v>g__Family_XIII_AD3011_group</v>
          </cell>
          <cell r="I216" t="str">
            <v>s__unclassified_g__Family_XIII_AD3011_group</v>
          </cell>
        </row>
        <row r="217">
          <cell r="G217" t="str">
            <v>ASV4387</v>
          </cell>
          <cell r="H217" t="str">
            <v>g__Prevotella</v>
          </cell>
          <cell r="I217" t="str">
            <v>s__unclassified_g__Prevotella</v>
          </cell>
        </row>
        <row r="218">
          <cell r="G218" t="str">
            <v>ASV3061</v>
          </cell>
          <cell r="H218" t="str">
            <v>g__Allisonella</v>
          </cell>
          <cell r="I218" t="str">
            <v>s__uncultured_bacterium_g__Allisonella</v>
          </cell>
        </row>
        <row r="219">
          <cell r="G219" t="str">
            <v>ASV2111</v>
          </cell>
          <cell r="H219" t="str">
            <v>g__Bacteroides</v>
          </cell>
          <cell r="I219" t="str">
            <v>s__Bacteroides_plebeius</v>
          </cell>
        </row>
        <row r="220">
          <cell r="G220" t="str">
            <v>ASV16</v>
          </cell>
          <cell r="H220" t="str">
            <v>g__NK4A214_group</v>
          </cell>
          <cell r="I220" t="str">
            <v>s__unclassified_g__NK4A214_group</v>
          </cell>
        </row>
        <row r="221">
          <cell r="G221" t="str">
            <v>ASV1552</v>
          </cell>
          <cell r="H221" t="str">
            <v>g__Streptococcus</v>
          </cell>
          <cell r="I221" t="str">
            <v>s__Streptococcus_parasuis</v>
          </cell>
        </row>
        <row r="222">
          <cell r="G222" t="str">
            <v>ASV26</v>
          </cell>
          <cell r="H222" t="str">
            <v>g__norank_f__norank_o__Clostridia_vadinBB60_group</v>
          </cell>
          <cell r="I222" t="str">
            <v>s__uncultured_bacterium_g__norank_f__norank_o__Clostridia_vadinBB60_group</v>
          </cell>
        </row>
        <row r="223">
          <cell r="G223" t="str">
            <v>ASV50</v>
          </cell>
          <cell r="H223" t="str">
            <v>g__Candidatus_Soleaferrea</v>
          </cell>
          <cell r="I223" t="str">
            <v>s__uncultured_bacterium_g__Candidatus_Soleaferrea</v>
          </cell>
        </row>
        <row r="224">
          <cell r="G224" t="str">
            <v>ASV18</v>
          </cell>
          <cell r="H224" t="str">
            <v>g__norank_f__norank_o__norank_c__norank_p__WPS-2</v>
          </cell>
          <cell r="I224" t="str">
            <v>s__uncultured_rumen_bacterium_g__norank_f__norank_o__norank_c__norank</v>
          </cell>
        </row>
        <row r="225">
          <cell r="G225" t="str">
            <v>ASV2622</v>
          </cell>
          <cell r="H225" t="str">
            <v>g__Streptococcus</v>
          </cell>
          <cell r="I225" t="str">
            <v>s__unclassified_g__Streptococcus</v>
          </cell>
        </row>
        <row r="226">
          <cell r="G226" t="str">
            <v>ASV3087</v>
          </cell>
          <cell r="H226" t="str">
            <v>g__Faecalibacterium</v>
          </cell>
          <cell r="I226" t="str">
            <v>s__unclassified_g__Faecalibacterium</v>
          </cell>
        </row>
        <row r="227">
          <cell r="G227" t="str">
            <v>ASV3403</v>
          </cell>
          <cell r="H227" t="str">
            <v>g__Actinobacillus</v>
          </cell>
          <cell r="I227" t="str">
            <v>s__Actinobacillus_porcinus</v>
          </cell>
        </row>
        <row r="228">
          <cell r="G228" t="str">
            <v>ASV122</v>
          </cell>
          <cell r="H228" t="str">
            <v>g__Phascolarctobacterium</v>
          </cell>
          <cell r="I228" t="str">
            <v>s__uncultured_Veillonellaceae_bacterium_g__Phascolarctobacterium</v>
          </cell>
        </row>
        <row r="229">
          <cell r="G229" t="str">
            <v>ASV8394</v>
          </cell>
          <cell r="H229" t="str">
            <v>g__Prevotella</v>
          </cell>
          <cell r="I229" t="str">
            <v>s__Prevotella_sp._RS2</v>
          </cell>
        </row>
        <row r="230">
          <cell r="G230" t="str">
            <v>ASV4433</v>
          </cell>
          <cell r="H230" t="str">
            <v>g__Sphaerochaeta</v>
          </cell>
          <cell r="I230" t="str">
            <v>s__uncultured_prokaryote_g__Sphaerochaeta</v>
          </cell>
        </row>
        <row r="231">
          <cell r="G231" t="str">
            <v>ASV23743</v>
          </cell>
          <cell r="H231" t="str">
            <v>g__Fusobacterium</v>
          </cell>
          <cell r="I231" t="str">
            <v>s__unclassified_g__Fusobacterium</v>
          </cell>
        </row>
        <row r="232">
          <cell r="G232" t="str">
            <v>ASV2673</v>
          </cell>
          <cell r="H232" t="str">
            <v>g__Clostridium_sensu_stricto_1</v>
          </cell>
          <cell r="I232" t="str">
            <v>s__unclassified_g__Clostridium_sensu_stricto_1</v>
          </cell>
        </row>
        <row r="233">
          <cell r="G233" t="str">
            <v>ASV6997</v>
          </cell>
          <cell r="H233" t="str">
            <v>g__Collinsella</v>
          </cell>
          <cell r="I233" t="str">
            <v>s__unclassified_g__Collinsella</v>
          </cell>
        </row>
        <row r="234">
          <cell r="G234" t="str">
            <v>ASV3062</v>
          </cell>
          <cell r="H234" t="str">
            <v>g__Allisonella</v>
          </cell>
          <cell r="I234" t="str">
            <v>s__uncultured_bacterium_g__Allisonella</v>
          </cell>
        </row>
        <row r="235">
          <cell r="G235" t="str">
            <v>ASV1518</v>
          </cell>
          <cell r="H235" t="str">
            <v>g__Terrisporobacter</v>
          </cell>
          <cell r="I235" t="str">
            <v>s__uncultured_bacterium_g__Terrisporobacter</v>
          </cell>
        </row>
        <row r="236">
          <cell r="G236" t="str">
            <v>ASV15104</v>
          </cell>
          <cell r="H236" t="str">
            <v>g__norank_f__norank_o__Clostridia_UCG-014</v>
          </cell>
          <cell r="I236" t="str">
            <v>s__unclassified_g__norank_f__norank_o__Clostridia_UCG-014</v>
          </cell>
        </row>
        <row r="237">
          <cell r="G237" t="str">
            <v>ASV2605</v>
          </cell>
          <cell r="H237" t="str">
            <v>g__unclassified_f__Lachnospiraceae</v>
          </cell>
          <cell r="I237" t="str">
            <v>s__unclassified_f__Lachnospiraceae</v>
          </cell>
        </row>
        <row r="238">
          <cell r="G238" t="str">
            <v>ASV7450</v>
          </cell>
          <cell r="H238" t="str">
            <v>g__unclassified_f__Oscillospiraceae</v>
          </cell>
          <cell r="I238" t="str">
            <v>s__unclassified_f__Oscillospiraceae</v>
          </cell>
        </row>
        <row r="239">
          <cell r="G239" t="str">
            <v>ASV1840</v>
          </cell>
          <cell r="H239" t="str">
            <v>g__Ruminococcus</v>
          </cell>
          <cell r="I239" t="str">
            <v>s__unclassified_g__Ruminococcus</v>
          </cell>
        </row>
        <row r="240">
          <cell r="G240" t="str">
            <v>ASV199</v>
          </cell>
          <cell r="H240" t="str">
            <v>g__Streptococcus</v>
          </cell>
          <cell r="I240" t="str">
            <v>s__Streptococcus_sp._C5I1</v>
          </cell>
        </row>
        <row r="241">
          <cell r="G241" t="str">
            <v>ASV6489</v>
          </cell>
          <cell r="H241" t="str">
            <v>g__unclassified_p__Proteobacteria</v>
          </cell>
          <cell r="I241" t="str">
            <v>s__unclassified_p__Proteobacteria</v>
          </cell>
        </row>
        <row r="242">
          <cell r="G242" t="str">
            <v>ASV284</v>
          </cell>
          <cell r="H242" t="str">
            <v>g__Phascolarctobacterium</v>
          </cell>
          <cell r="I242" t="str">
            <v>s__unclassified_g__Phascolarctobacterium</v>
          </cell>
        </row>
        <row r="243">
          <cell r="G243" t="str">
            <v>ASV197</v>
          </cell>
          <cell r="H243" t="str">
            <v>g__Actinobacillus</v>
          </cell>
          <cell r="I243" t="str">
            <v>s__Actinobacillus_porcitonsillarum</v>
          </cell>
        </row>
        <row r="244">
          <cell r="G244" t="str">
            <v>ASV2651</v>
          </cell>
          <cell r="H244" t="str">
            <v>g__Fusobacterium</v>
          </cell>
          <cell r="I244" t="str">
            <v>s__unclassified_g__Fusobacterium</v>
          </cell>
        </row>
        <row r="245">
          <cell r="G245" t="str">
            <v>ASV261</v>
          </cell>
          <cell r="H245" t="str">
            <v>g__Howardella</v>
          </cell>
          <cell r="I245" t="str">
            <v>s__unclassified_g__Howardella</v>
          </cell>
        </row>
        <row r="246">
          <cell r="G246" t="str">
            <v>ASV108</v>
          </cell>
          <cell r="H246" t="str">
            <v>g__Christensenellaceae_R-7_group</v>
          </cell>
          <cell r="I246" t="str">
            <v>s__unclassified_g__Christensenellaceae_R-7_group</v>
          </cell>
        </row>
        <row r="247">
          <cell r="G247" t="str">
            <v>ASV2617</v>
          </cell>
          <cell r="H247" t="str">
            <v>g__Streptococcus</v>
          </cell>
          <cell r="I247" t="str">
            <v>s__unclassified_g__Streptococcus</v>
          </cell>
        </row>
        <row r="248">
          <cell r="G248" t="str">
            <v>ASV3567</v>
          </cell>
          <cell r="H248" t="str">
            <v>g__Bacteroides</v>
          </cell>
          <cell r="I248" t="str">
            <v>s__unclassified_g__Bacteroides</v>
          </cell>
        </row>
        <row r="249">
          <cell r="G249" t="str">
            <v>ASV11083</v>
          </cell>
          <cell r="H249" t="str">
            <v>g__Succiniclasticum</v>
          </cell>
          <cell r="I249" t="str">
            <v>s__uncultured_rumen_bacterium_4C28d-16</v>
          </cell>
        </row>
        <row r="250">
          <cell r="G250" t="str">
            <v>ASV7029</v>
          </cell>
          <cell r="H250" t="str">
            <v>g__Bacteroides</v>
          </cell>
          <cell r="I250" t="str">
            <v>s__unclassified_g__Bacteroides</v>
          </cell>
        </row>
        <row r="251">
          <cell r="G251" t="str">
            <v>ASV2859</v>
          </cell>
          <cell r="H251" t="str">
            <v>g__Neisseria</v>
          </cell>
          <cell r="I251" t="str">
            <v>s__unclassified_g__Neisseria</v>
          </cell>
        </row>
        <row r="252">
          <cell r="G252" t="str">
            <v>ASV9126</v>
          </cell>
          <cell r="H252" t="str">
            <v>g__Faecalibacterium</v>
          </cell>
          <cell r="I252" t="str">
            <v>s__unclassified_g__Faecalibacterium</v>
          </cell>
        </row>
        <row r="253">
          <cell r="G253" t="str">
            <v>ASV11084</v>
          </cell>
          <cell r="H253" t="str">
            <v>g__Succiniclasticum</v>
          </cell>
          <cell r="I253" t="str">
            <v>s__uncultured_rumen_bacterium_4C28d-16</v>
          </cell>
        </row>
        <row r="254">
          <cell r="G254" t="str">
            <v>ASV131</v>
          </cell>
          <cell r="H254" t="str">
            <v>g__CHKCI001</v>
          </cell>
          <cell r="I254" t="str">
            <v>s__uncultured_bacterium_g__CHKCI001</v>
          </cell>
        </row>
        <row r="255">
          <cell r="G255" t="str">
            <v>ASV3085</v>
          </cell>
          <cell r="H255" t="str">
            <v>g__Mitsuokella</v>
          </cell>
          <cell r="I255" t="str">
            <v>s__unclassified_g__Mitsuokella</v>
          </cell>
        </row>
        <row r="256">
          <cell r="G256" t="str">
            <v>ASV91</v>
          </cell>
          <cell r="H256" t="str">
            <v>g__Blautia</v>
          </cell>
          <cell r="I256" t="str">
            <v>s__unclassified_g__Blautia</v>
          </cell>
        </row>
        <row r="257">
          <cell r="G257" t="str">
            <v>ASV2620</v>
          </cell>
          <cell r="H257" t="str">
            <v>g__Staphylococcus</v>
          </cell>
          <cell r="I257" t="str">
            <v>s__unclassified_g__Staphylococcus</v>
          </cell>
        </row>
        <row r="258">
          <cell r="G258" t="str">
            <v>ASV481</v>
          </cell>
          <cell r="H258" t="str">
            <v>g__dgA-11_gut_group</v>
          </cell>
          <cell r="I258" t="str">
            <v>s__uncultured_Bacteroidales_bacterium_g__dgA-11_gut_group</v>
          </cell>
        </row>
        <row r="259">
          <cell r="G259" t="str">
            <v>ASV124</v>
          </cell>
          <cell r="H259" t="str">
            <v>g__norank_f__Muribaculaceae</v>
          </cell>
          <cell r="I259" t="str">
            <v>s__uncultured_Porphyromonadaceae_bacterium_g__norank_f__Muribaculaceae</v>
          </cell>
        </row>
        <row r="260">
          <cell r="G260" t="str">
            <v>ASV1848</v>
          </cell>
          <cell r="H260" t="str">
            <v>g__Christensenellaceae_R-7_group</v>
          </cell>
          <cell r="I260" t="str">
            <v>s__uncultured_prokaryote_g__Christensenellaceae_R-7_group</v>
          </cell>
        </row>
        <row r="261">
          <cell r="G261" t="str">
            <v>ASV83</v>
          </cell>
          <cell r="H261" t="str">
            <v>g__norank_f__norank_o__Clostridia_vadinBB60_group</v>
          </cell>
          <cell r="I261" t="str">
            <v>s__unclassified_g__norank_f__norank_o__Clostridia_vadinBB60_group</v>
          </cell>
        </row>
        <row r="262">
          <cell r="G262" t="str">
            <v>ASV1549</v>
          </cell>
          <cell r="H262" t="str">
            <v>g__norank_f__norank_o__Clostridia_UCG-014</v>
          </cell>
          <cell r="I262" t="str">
            <v>s__Clostridiales_bacterium_canine_oral_taxon_100</v>
          </cell>
        </row>
        <row r="263">
          <cell r="G263" t="str">
            <v>ASV1521</v>
          </cell>
          <cell r="H263" t="str">
            <v>g__Clostridium_sensu_stricto_1</v>
          </cell>
          <cell r="I263" t="str">
            <v>s__unclassified_g__Clostridium_sensu_stricto_1</v>
          </cell>
        </row>
        <row r="264">
          <cell r="G264" t="str">
            <v>ASV3405</v>
          </cell>
          <cell r="H264" t="str">
            <v>g__Actinobacillus</v>
          </cell>
          <cell r="I264" t="str">
            <v>s__Actinobacillus_porcinus</v>
          </cell>
        </row>
        <row r="265">
          <cell r="G265" t="str">
            <v>ASV2347</v>
          </cell>
          <cell r="H265" t="str">
            <v>g__unclassified_f__Lachnospiraceae</v>
          </cell>
          <cell r="I265" t="str">
            <v>s__unclassified_f__Lachnospiraceae</v>
          </cell>
        </row>
        <row r="266">
          <cell r="G266" t="str">
            <v>ASV27</v>
          </cell>
          <cell r="H266" t="str">
            <v>g__Christensenellaceae_R-7_group</v>
          </cell>
          <cell r="I266" t="str">
            <v>s__unclassified_g__Christensenellaceae_R-7_group</v>
          </cell>
        </row>
        <row r="267">
          <cell r="G267" t="str">
            <v>ASV3382</v>
          </cell>
          <cell r="H267" t="str">
            <v>g__Negativibacillus</v>
          </cell>
          <cell r="I267" t="str">
            <v>s__uncultured_bacterium_g__Negativibacillus</v>
          </cell>
        </row>
        <row r="268">
          <cell r="G268" t="str">
            <v>ASV1577</v>
          </cell>
          <cell r="H268" t="str">
            <v>g__Actinomyces</v>
          </cell>
          <cell r="I268" t="str">
            <v>s__unclassified_g__Actinomyces</v>
          </cell>
        </row>
        <row r="269">
          <cell r="G269" t="str">
            <v>ASV2685</v>
          </cell>
          <cell r="H269" t="str">
            <v>g__Acinetobacter</v>
          </cell>
          <cell r="I269" t="str">
            <v>s__unclassified_g__Acinetobacter</v>
          </cell>
        </row>
        <row r="270">
          <cell r="G270" t="str">
            <v>ASV3407</v>
          </cell>
          <cell r="H270" t="str">
            <v>g__Actinobacillus</v>
          </cell>
          <cell r="I270" t="str">
            <v>s__Actinobacillus_porcinus</v>
          </cell>
        </row>
        <row r="271">
          <cell r="G271" t="str">
            <v>ASV3401</v>
          </cell>
          <cell r="H271" t="str">
            <v>g__Escherichia-Shigella</v>
          </cell>
          <cell r="I271" t="str">
            <v>s__unclassified_g__Escherichia-Shigella</v>
          </cell>
        </row>
        <row r="272">
          <cell r="G272" t="str">
            <v>ASV66</v>
          </cell>
          <cell r="H272" t="str">
            <v>g__UCG-005</v>
          </cell>
          <cell r="I272" t="str">
            <v>s__uncultured_organism_g__UCG-005</v>
          </cell>
        </row>
        <row r="273">
          <cell r="G273" t="str">
            <v>ASV35</v>
          </cell>
          <cell r="H273" t="str">
            <v>g__norank_f__Oscillospiraceae</v>
          </cell>
          <cell r="I273" t="str">
            <v>s__unclassified_g__norank_f__Oscillospiraceae</v>
          </cell>
        </row>
        <row r="274">
          <cell r="G274" t="str">
            <v>ASV80</v>
          </cell>
          <cell r="H274" t="str">
            <v>g__unclassified_f__Oscillospiraceae</v>
          </cell>
          <cell r="I274" t="str">
            <v>s__unclassified_f__Oscillospiraceae</v>
          </cell>
        </row>
        <row r="275">
          <cell r="G275" t="str">
            <v>ASV1534</v>
          </cell>
          <cell r="H275" t="str">
            <v>g__Lactobacillus</v>
          </cell>
          <cell r="I275" t="str">
            <v>s__unclassified_g__Lactobacillus</v>
          </cell>
        </row>
        <row r="276">
          <cell r="G276" t="str">
            <v>ASV177</v>
          </cell>
          <cell r="H276" t="str">
            <v>g__norank_f__norank_o__Clostridia_UCG-014</v>
          </cell>
          <cell r="I276" t="str">
            <v>s__unclassified_g__norank_f__norank_o__Clostridia_UCG-014</v>
          </cell>
        </row>
        <row r="277">
          <cell r="G277" t="str">
            <v>ASV2624</v>
          </cell>
          <cell r="H277" t="str">
            <v>g__norank_f__Saccharimonadaceae</v>
          </cell>
          <cell r="I277" t="str">
            <v>s__uncultured_bacterium_g__norank_f__Saccharimonadaceae</v>
          </cell>
        </row>
        <row r="278">
          <cell r="G278" t="str">
            <v>ASV1849</v>
          </cell>
          <cell r="H278" t="str">
            <v>g__Christensenellaceae_R-7_group</v>
          </cell>
          <cell r="I278" t="str">
            <v>s__unclassified_g__Christensenellaceae_R-7_group</v>
          </cell>
        </row>
        <row r="279">
          <cell r="G279" t="str">
            <v>ASV5490</v>
          </cell>
          <cell r="H279" t="str">
            <v>g__Bacteroides</v>
          </cell>
          <cell r="I279" t="str">
            <v>s__uncultured_bacterium_g__Bacteroides</v>
          </cell>
        </row>
        <row r="280">
          <cell r="G280" t="str">
            <v>ASV3735</v>
          </cell>
          <cell r="H280" t="str">
            <v>g__Fusobacterium</v>
          </cell>
          <cell r="I280" t="str">
            <v>s__unclassified_g__Fusobacterium</v>
          </cell>
        </row>
        <row r="281">
          <cell r="G281" t="str">
            <v>ASV97</v>
          </cell>
          <cell r="H281" t="str">
            <v>g__Lachnospiraceae_NK4A136_group</v>
          </cell>
          <cell r="I281" t="str">
            <v>s__unclassified_g__Lachnospiraceae_NK4A136_group</v>
          </cell>
        </row>
        <row r="282">
          <cell r="G282" t="str">
            <v>ASV8381</v>
          </cell>
          <cell r="H282" t="str">
            <v>g__Acidaminococcus</v>
          </cell>
          <cell r="I282" t="str">
            <v>s__Acidaminococcus_fermentans_DSM_20731</v>
          </cell>
        </row>
        <row r="283">
          <cell r="G283" t="str">
            <v>ASV7454</v>
          </cell>
          <cell r="H283" t="str">
            <v>g__norank_f__Muribaculaceae</v>
          </cell>
          <cell r="I283" t="str">
            <v>s__uncultured_bacterium_g__norank_f__Muribaculaceae</v>
          </cell>
        </row>
        <row r="284">
          <cell r="G284" t="str">
            <v>ASV8382</v>
          </cell>
          <cell r="H284" t="str">
            <v>g__Mitsuokella</v>
          </cell>
          <cell r="I284" t="str">
            <v>s__unclassified_g__Mitsuokella</v>
          </cell>
        </row>
        <row r="285">
          <cell r="G285" t="str">
            <v>ASV1649</v>
          </cell>
          <cell r="H285" t="str">
            <v>g__norank_f__norank_o__Clostridia_UCG-014</v>
          </cell>
          <cell r="I285" t="str">
            <v>s__Clostridiales_bacterium_oral_taxon_075</v>
          </cell>
        </row>
        <row r="286">
          <cell r="G286" t="str">
            <v>ASV1856</v>
          </cell>
          <cell r="H286" t="str">
            <v>g__UCG-002</v>
          </cell>
          <cell r="I286" t="str">
            <v>s__unclassified_g__UCG-002</v>
          </cell>
        </row>
        <row r="287">
          <cell r="G287" t="str">
            <v>ASV6996</v>
          </cell>
          <cell r="H287" t="str">
            <v>g__Allisonella</v>
          </cell>
          <cell r="I287" t="str">
            <v>s__uncultured_bacterium_g__Allisonella</v>
          </cell>
        </row>
        <row r="288">
          <cell r="G288" t="str">
            <v>ASV1852</v>
          </cell>
          <cell r="H288" t="str">
            <v>g__unclassified_f__Lachnospiraceae</v>
          </cell>
          <cell r="I288" t="str">
            <v>s__unclassified_f__Lachnospiraceae</v>
          </cell>
        </row>
        <row r="289">
          <cell r="G289" t="str">
            <v>ASV735</v>
          </cell>
          <cell r="H289" t="str">
            <v>g__UBA1819</v>
          </cell>
          <cell r="I289" t="str">
            <v>s__unclassified_g__UBA1819</v>
          </cell>
        </row>
        <row r="290">
          <cell r="G290" t="str">
            <v>ASV3745</v>
          </cell>
          <cell r="H290" t="str">
            <v>g__Parabacteroides</v>
          </cell>
          <cell r="I290" t="str">
            <v>s__unclassified_g__Parabacteroides</v>
          </cell>
        </row>
        <row r="291">
          <cell r="G291" t="str">
            <v>ASV2602</v>
          </cell>
          <cell r="H291" t="str">
            <v>g__Rothia</v>
          </cell>
          <cell r="I291" t="str">
            <v>s__unclassified_g__Rothia</v>
          </cell>
        </row>
        <row r="292">
          <cell r="G292" t="str">
            <v>ASV1842</v>
          </cell>
          <cell r="H292" t="str">
            <v>g__Christensenellaceae_R-7_group</v>
          </cell>
          <cell r="I292" t="str">
            <v>s__unclassified_g__Christensenellaceae_R-7_group</v>
          </cell>
        </row>
        <row r="293">
          <cell r="G293" t="str">
            <v>ASV2596</v>
          </cell>
          <cell r="H293" t="str">
            <v>g__Streptococcus</v>
          </cell>
          <cell r="I293" t="str">
            <v>s__unclassified_g__Streptococcus</v>
          </cell>
        </row>
        <row r="294">
          <cell r="G294" t="str">
            <v>ASV120</v>
          </cell>
          <cell r="H294" t="str">
            <v>g__Christensenellaceae_R-7_group</v>
          </cell>
          <cell r="I294" t="str">
            <v>s__unclassified_g__Christensenellaceae_R-7_group</v>
          </cell>
        </row>
        <row r="295">
          <cell r="G295" t="str">
            <v>ASV6520</v>
          </cell>
          <cell r="H295" t="str">
            <v>g__Fusobacterium</v>
          </cell>
          <cell r="I295" t="str">
            <v>s__unclassified_g__Fusobacterium</v>
          </cell>
        </row>
        <row r="296">
          <cell r="G296" t="str">
            <v>ASV1978</v>
          </cell>
          <cell r="H296" t="str">
            <v>g__Bacteroides</v>
          </cell>
          <cell r="I296" t="str">
            <v>s__unclassified_g__Bacteroides</v>
          </cell>
        </row>
        <row r="297">
          <cell r="G297" t="str">
            <v>ASV2619</v>
          </cell>
          <cell r="H297" t="str">
            <v>g__Streptococcus</v>
          </cell>
          <cell r="I297" t="str">
            <v>s__Streptococcus_plurextorum</v>
          </cell>
        </row>
        <row r="298">
          <cell r="G298" t="str">
            <v>ASV2621</v>
          </cell>
          <cell r="H298" t="str">
            <v>g__Streptococcus</v>
          </cell>
          <cell r="I298" t="str">
            <v>s__unclassified_g__Streptococcus</v>
          </cell>
        </row>
        <row r="299">
          <cell r="G299" t="str">
            <v>ASV3568</v>
          </cell>
          <cell r="H299" t="str">
            <v>g__Actinobacillus</v>
          </cell>
          <cell r="I299" t="str">
            <v>s__unclassified_g__Actinobacillus</v>
          </cell>
        </row>
        <row r="300">
          <cell r="G300" t="str">
            <v>ASV3676</v>
          </cell>
          <cell r="H300" t="str">
            <v>g__Aquabacterium</v>
          </cell>
          <cell r="I300" t="str">
            <v>s__unclassified_g__Aquabacterium</v>
          </cell>
        </row>
        <row r="301">
          <cell r="G301" t="str">
            <v>ASV3573</v>
          </cell>
          <cell r="H301" t="str">
            <v>g__Lactobacillus</v>
          </cell>
          <cell r="I301" t="str">
            <v>s__unclassified_g__Lactobacillus</v>
          </cell>
        </row>
        <row r="302">
          <cell r="G302" t="str">
            <v>ASV3366</v>
          </cell>
          <cell r="H302" t="str">
            <v>g__Family_XIII_AD3011_group</v>
          </cell>
          <cell r="I302" t="str">
            <v>s__unclassified_g__Family_XIII_AD3011_group</v>
          </cell>
        </row>
        <row r="303">
          <cell r="G303" t="str">
            <v>ASV2919</v>
          </cell>
          <cell r="H303" t="str">
            <v>g__Olsenella</v>
          </cell>
          <cell r="I303" t="str">
            <v>s__metagenome_g__Olsenella</v>
          </cell>
        </row>
        <row r="304">
          <cell r="G304" t="str">
            <v>ASV5453</v>
          </cell>
          <cell r="H304" t="str">
            <v>g__norank_f__norank_o__RF39</v>
          </cell>
          <cell r="I304" t="str">
            <v>s__unclassified_g__norank_f__norank_o__RF39</v>
          </cell>
        </row>
        <row r="305">
          <cell r="G305" t="str">
            <v>ASV201</v>
          </cell>
          <cell r="H305" t="str">
            <v>g__Prevotella</v>
          </cell>
          <cell r="I305" t="str">
            <v>s__unclassified_g__Prevotella</v>
          </cell>
        </row>
        <row r="306">
          <cell r="G306" t="str">
            <v>ASV85</v>
          </cell>
          <cell r="H306" t="str">
            <v>g__UCG-002</v>
          </cell>
          <cell r="I306" t="str">
            <v>s__uncultured_bacterium_g__UCG-002</v>
          </cell>
        </row>
        <row r="307">
          <cell r="G307" t="str">
            <v>ASV3075</v>
          </cell>
          <cell r="H307" t="str">
            <v>g__Sutterella</v>
          </cell>
          <cell r="I307" t="str">
            <v>s__uncultured_bacterium_g__Sutterella</v>
          </cell>
        </row>
        <row r="308">
          <cell r="G308" t="str">
            <v>ASV4460</v>
          </cell>
          <cell r="H308" t="str">
            <v>g__norank_f__Ruminococcaceae</v>
          </cell>
          <cell r="I308" t="str">
            <v>s__uncultured_bacterium_g__norank_f__Ruminococcaceae</v>
          </cell>
        </row>
        <row r="309">
          <cell r="G309" t="str">
            <v>ASV7317</v>
          </cell>
          <cell r="H309" t="str">
            <v>g__Lactobacillus</v>
          </cell>
          <cell r="I309" t="str">
            <v>s__unclassified_g__Lactobacillus</v>
          </cell>
        </row>
        <row r="310">
          <cell r="G310" t="str">
            <v>ASV3023</v>
          </cell>
          <cell r="H310" t="str">
            <v>g__Synergistes</v>
          </cell>
          <cell r="I310" t="str">
            <v>s__Synergistes_jonesii</v>
          </cell>
        </row>
        <row r="311">
          <cell r="G311" t="str">
            <v>ASV164</v>
          </cell>
          <cell r="H311" t="str">
            <v>g__norank_f__UCG-010</v>
          </cell>
          <cell r="I311" t="str">
            <v>s__unclassified_g__norank_f__UCG-010</v>
          </cell>
        </row>
        <row r="312">
          <cell r="G312" t="str">
            <v>ASV2768</v>
          </cell>
          <cell r="H312" t="str">
            <v>g__Oscillospira</v>
          </cell>
          <cell r="I312" t="str">
            <v>s__uncultured_bacterium_g__Oscillospira</v>
          </cell>
        </row>
        <row r="313">
          <cell r="G313" t="str">
            <v>ASV165</v>
          </cell>
          <cell r="H313" t="str">
            <v>g__Prevotella</v>
          </cell>
          <cell r="I313" t="str">
            <v>s__unclassified_g__Prevotella</v>
          </cell>
        </row>
        <row r="314">
          <cell r="G314" t="str">
            <v>ASV5498</v>
          </cell>
          <cell r="H314" t="str">
            <v>g__unclassified_f__Ruminococcaceae</v>
          </cell>
          <cell r="I314" t="str">
            <v>s__unclassified_f__Ruminococcaceae</v>
          </cell>
        </row>
        <row r="315">
          <cell r="G315" t="str">
            <v>ASV2725</v>
          </cell>
          <cell r="H315" t="str">
            <v>g__Pseudomonas</v>
          </cell>
          <cell r="I315" t="str">
            <v>s__unclassified_g__Pseudomonas</v>
          </cell>
        </row>
        <row r="316">
          <cell r="G316" t="str">
            <v>ASV328</v>
          </cell>
          <cell r="H316" t="str">
            <v>g__Family_XIII_AD3011_group</v>
          </cell>
          <cell r="I316" t="str">
            <v>s__uncultured_organism_g__Family_XIII_AD3011_group</v>
          </cell>
        </row>
        <row r="317">
          <cell r="G317" t="str">
            <v>ASV7223</v>
          </cell>
          <cell r="H317" t="str">
            <v>g__unclassified_f__Lachnospiraceae</v>
          </cell>
          <cell r="I317" t="str">
            <v>s__unclassified_f__Lachnospiraceae</v>
          </cell>
        </row>
        <row r="318">
          <cell r="G318" t="str">
            <v>ASV190</v>
          </cell>
          <cell r="H318" t="str">
            <v>g__norank_f__Eubacterium_coprostanoligenes_group</v>
          </cell>
          <cell r="I318" t="str">
            <v>s__uncultured_bacterium_g__norank_f__Eubacterium_coprostanoligenes_group</v>
          </cell>
        </row>
        <row r="319">
          <cell r="G319" t="str">
            <v>ASV3734</v>
          </cell>
          <cell r="H319" t="str">
            <v>g__norank_f__Eubacterium_coprostanoligenes_group</v>
          </cell>
          <cell r="I319" t="str">
            <v>s__human_gut_metagenome_g__norank_f__Eubacterium_coprostanoligenes_group</v>
          </cell>
        </row>
        <row r="320">
          <cell r="G320" t="str">
            <v>ASV13226</v>
          </cell>
          <cell r="H320" t="str">
            <v>g__Christensenellaceae_R-7_group</v>
          </cell>
          <cell r="I320" t="str">
            <v>s__uncultured_prokaryote_g__Christensenellaceae_R-7_group</v>
          </cell>
        </row>
        <row r="321">
          <cell r="G321" t="str">
            <v>ASV9938</v>
          </cell>
          <cell r="H321" t="str">
            <v>g__Christensenellaceae_R-7_group</v>
          </cell>
          <cell r="I321" t="str">
            <v>s__unclassified_g__Christensenellaceae_R-7_group</v>
          </cell>
        </row>
        <row r="322">
          <cell r="G322" t="str">
            <v>ASV3088</v>
          </cell>
          <cell r="H322" t="str">
            <v>g__Bacteroides</v>
          </cell>
          <cell r="I322" t="str">
            <v>s__unclassified_g__Bacteroides</v>
          </cell>
        </row>
        <row r="323">
          <cell r="G323" t="str">
            <v>ASV5454</v>
          </cell>
          <cell r="H323" t="str">
            <v>g__norank_f__norank_o__RF39</v>
          </cell>
          <cell r="I323" t="str">
            <v>s__gut_metagenome_g__norank_f__norank_o__RF39</v>
          </cell>
        </row>
        <row r="324">
          <cell r="G324" t="str">
            <v>ASV1851</v>
          </cell>
          <cell r="H324" t="str">
            <v>g__Eubacterium_hallii_group</v>
          </cell>
          <cell r="I324" t="str">
            <v>s__uncultured_bacterium_g__Eubacterium_hallii_group</v>
          </cell>
        </row>
        <row r="325">
          <cell r="G325" t="str">
            <v>ASV3764</v>
          </cell>
          <cell r="H325" t="str">
            <v>g__norank_f__Eubacterium_coprostanoligenes_group</v>
          </cell>
          <cell r="I325" t="str">
            <v>s__uncultured_Clostridiales_bacterium_g__norank_f__Eubacterium_coprostanoligenes_group</v>
          </cell>
        </row>
        <row r="326">
          <cell r="G326" t="str">
            <v>ASV7001</v>
          </cell>
          <cell r="H326" t="str">
            <v>g__Lactobacillus</v>
          </cell>
          <cell r="I326" t="str">
            <v>s__unclassified_g__Lactobacillus</v>
          </cell>
        </row>
        <row r="327">
          <cell r="G327" t="str">
            <v>ASV4979</v>
          </cell>
          <cell r="H327" t="str">
            <v>g__norank_f__norank_o__Clostridia_vadinBB60_group</v>
          </cell>
          <cell r="I327" t="str">
            <v>s__uncultured_bacterium_g__norank_f__norank_o__Clostridia_vadinBB60_group</v>
          </cell>
        </row>
        <row r="328">
          <cell r="G328" t="str">
            <v>ASV1864</v>
          </cell>
          <cell r="H328" t="str">
            <v>g__Treponema</v>
          </cell>
          <cell r="I328" t="str">
            <v>s__Treponema_berlinense</v>
          </cell>
        </row>
        <row r="329">
          <cell r="G329" t="str">
            <v>ASV5474</v>
          </cell>
          <cell r="H329" t="str">
            <v>g__Bacteroides</v>
          </cell>
          <cell r="I329" t="str">
            <v>s__unclassified_g__Bacteroides</v>
          </cell>
        </row>
        <row r="330">
          <cell r="G330" t="str">
            <v>ASV3065</v>
          </cell>
          <cell r="H330" t="str">
            <v>g__Bacteroides</v>
          </cell>
          <cell r="I330" t="str">
            <v>s__uncultured_bacterium_g__Bacteroides</v>
          </cell>
        </row>
        <row r="331">
          <cell r="G331" t="str">
            <v>ASV5522</v>
          </cell>
          <cell r="H331" t="str">
            <v>g__Prevotella</v>
          </cell>
          <cell r="I331" t="str">
            <v>s__Prevotella_sp._DJF_LS16</v>
          </cell>
        </row>
        <row r="332">
          <cell r="G332" t="str">
            <v>ASV17442</v>
          </cell>
          <cell r="H332" t="str">
            <v>g__Blautia</v>
          </cell>
          <cell r="I332" t="str">
            <v>s__unclassified_g__Blautia</v>
          </cell>
        </row>
        <row r="333">
          <cell r="G333" t="str">
            <v>ASV3570</v>
          </cell>
          <cell r="H333" t="str">
            <v>g__Prevotella</v>
          </cell>
          <cell r="I333" t="str">
            <v>s__unclassified_g__Prevotella</v>
          </cell>
        </row>
        <row r="334">
          <cell r="G334" t="str">
            <v>ASV10395</v>
          </cell>
          <cell r="H334" t="str">
            <v>g__norank_f__Eubacterium_coprostanoligenes_group</v>
          </cell>
          <cell r="I334" t="str">
            <v>s__uncultured_bacterium_g__norank_f__Eubacterium_coprostanoligenes_group</v>
          </cell>
        </row>
        <row r="335">
          <cell r="G335" t="str">
            <v>ASV2603</v>
          </cell>
          <cell r="H335" t="str">
            <v>g__Bradyrhizobium</v>
          </cell>
          <cell r="I335" t="str">
            <v>s__unclassified_g__Bradyrhizobium</v>
          </cell>
        </row>
        <row r="336">
          <cell r="G336" t="str">
            <v>ASV110</v>
          </cell>
          <cell r="H336" t="str">
            <v>g__Bacteroides</v>
          </cell>
          <cell r="I336" t="str">
            <v>s__unclassified_g__Bacteroides</v>
          </cell>
        </row>
        <row r="337">
          <cell r="G337" t="str">
            <v>ASV371</v>
          </cell>
          <cell r="H337" t="str">
            <v>g__unclassified_f__Oscillospiraceae</v>
          </cell>
          <cell r="I337" t="str">
            <v>s__unclassified_f__Oscillospiraceae</v>
          </cell>
        </row>
        <row r="338">
          <cell r="G338" t="str">
            <v>ASV96</v>
          </cell>
          <cell r="H338" t="str">
            <v>g__Christensenellaceae_R-7_group</v>
          </cell>
          <cell r="I338" t="str">
            <v>s__unclassified_g__Christensenellaceae_R-7_group</v>
          </cell>
        </row>
        <row r="339">
          <cell r="G339" t="str">
            <v>ASV3082</v>
          </cell>
          <cell r="H339" t="str">
            <v>g__Sutterella</v>
          </cell>
          <cell r="I339" t="str">
            <v>s__uncultured_bacterium_g__Sutterella</v>
          </cell>
        </row>
        <row r="340">
          <cell r="G340" t="str">
            <v>ASV111</v>
          </cell>
          <cell r="H340" t="str">
            <v>g__Intestinimonas</v>
          </cell>
          <cell r="I340" t="str">
            <v>s__unclassified_g__Intestinimonas</v>
          </cell>
        </row>
        <row r="341">
          <cell r="G341" t="str">
            <v>ASV3569</v>
          </cell>
          <cell r="H341" t="str">
            <v>g__unclassified_f__Moraxellaceae</v>
          </cell>
          <cell r="I341" t="str">
            <v>s__unclassified_f__Moraxellaceae</v>
          </cell>
        </row>
        <row r="342">
          <cell r="G342" t="str">
            <v>ASV2997</v>
          </cell>
          <cell r="H342" t="str">
            <v>g__norank_f__Anaerovoracaceae</v>
          </cell>
          <cell r="I342" t="str">
            <v>s__Peptostreptococcaceae_bacterium_canine_oral_taxon_221</v>
          </cell>
        </row>
        <row r="343">
          <cell r="G343" t="str">
            <v>ASV7313</v>
          </cell>
          <cell r="H343" t="str">
            <v>g__Mitsuokella</v>
          </cell>
          <cell r="I343" t="str">
            <v>s__uncultured_bacterium_g__Mitsuokella</v>
          </cell>
        </row>
        <row r="344">
          <cell r="G344" t="str">
            <v>ASV56</v>
          </cell>
          <cell r="H344" t="str">
            <v>g__Prevotella</v>
          </cell>
          <cell r="I344" t="str">
            <v>s__Prevotella_sp._DJF_LS16</v>
          </cell>
        </row>
        <row r="345">
          <cell r="G345" t="str">
            <v>ASV2880</v>
          </cell>
          <cell r="H345" t="str">
            <v>g__Peptostreptococcus</v>
          </cell>
          <cell r="I345" t="str">
            <v>s__unclassified_g__Peptostreptococcus</v>
          </cell>
        </row>
        <row r="346">
          <cell r="G346" t="str">
            <v>ASV130</v>
          </cell>
          <cell r="H346" t="str">
            <v>g__Phascolarctobacterium</v>
          </cell>
          <cell r="I346" t="str">
            <v>s__unclassified_g__Phascolarctobacterium</v>
          </cell>
        </row>
        <row r="347">
          <cell r="G347" t="str">
            <v>ASV222</v>
          </cell>
          <cell r="H347" t="str">
            <v>g__Intestinimonas</v>
          </cell>
          <cell r="I347" t="str">
            <v>s__Intestinimonas_butyriciproducens</v>
          </cell>
        </row>
        <row r="348">
          <cell r="G348" t="str">
            <v>ASV15105</v>
          </cell>
          <cell r="H348" t="str">
            <v>g__UCG-005</v>
          </cell>
          <cell r="I348" t="str">
            <v>s__unclassified_g__UCG-005</v>
          </cell>
        </row>
        <row r="349">
          <cell r="G349" t="str">
            <v>ASV115</v>
          </cell>
          <cell r="H349" t="str">
            <v>g__Christensenellaceae_R-7_group</v>
          </cell>
          <cell r="I349" t="str">
            <v>s__unclassified_g__Christensenellaceae_R-7_group</v>
          </cell>
        </row>
        <row r="350">
          <cell r="G350" t="str">
            <v>ASV1568</v>
          </cell>
          <cell r="H350" t="str">
            <v>g__Cloacibacillus</v>
          </cell>
          <cell r="I350" t="str">
            <v>s__Cloacibacillus_porcorum</v>
          </cell>
        </row>
        <row r="351">
          <cell r="G351" t="str">
            <v>ASV1522</v>
          </cell>
          <cell r="H351" t="str">
            <v>g__Bifidobacterium</v>
          </cell>
          <cell r="I351" t="str">
            <v>s__unclassified_g__Bifidobacterium</v>
          </cell>
        </row>
        <row r="352">
          <cell r="G352" t="str">
            <v>ASV891</v>
          </cell>
          <cell r="H352" t="str">
            <v>g__Eubacterium</v>
          </cell>
          <cell r="I352" t="str">
            <v>s__unclassified_g__Eubacterium</v>
          </cell>
        </row>
        <row r="353">
          <cell r="G353" t="str">
            <v>ASV9983</v>
          </cell>
          <cell r="H353" t="str">
            <v>g__norank_f__Eubacterium_coprostanoligenes_group</v>
          </cell>
          <cell r="I353" t="str">
            <v>s__uncultured_bacterium_g__norank_f__Eubacterium_coprostanoligenes_group</v>
          </cell>
        </row>
        <row r="354">
          <cell r="G354" t="str">
            <v>ASV3698</v>
          </cell>
          <cell r="H354" t="str">
            <v>g__Eubacterium_nodatum_group</v>
          </cell>
          <cell r="I354" t="str">
            <v>s__Eubacterium_sp._68-3-10</v>
          </cell>
        </row>
        <row r="355">
          <cell r="G355" t="str">
            <v>ASV2754</v>
          </cell>
          <cell r="H355" t="str">
            <v>g__unclassified_f__Prevotellaceae</v>
          </cell>
          <cell r="I355" t="str">
            <v>s__unclassified_f__Prevotellaceae</v>
          </cell>
        </row>
        <row r="356">
          <cell r="G356" t="str">
            <v>ASV193</v>
          </cell>
          <cell r="H356" t="str">
            <v>g__Clostridium_sensu_stricto_1</v>
          </cell>
          <cell r="I356" t="str">
            <v>s__unclassified_g__Clostridium_sensu_stricto_1</v>
          </cell>
        </row>
        <row r="357">
          <cell r="G357" t="str">
            <v>ASV3961</v>
          </cell>
          <cell r="H357" t="str">
            <v>g__Eubacterium_brachy_group</v>
          </cell>
          <cell r="I357" t="str">
            <v>s__unclassified_g__Eubacterium_brachy_group</v>
          </cell>
        </row>
        <row r="358">
          <cell r="G358" t="str">
            <v>ASV2818</v>
          </cell>
          <cell r="H358" t="str">
            <v>g__Lactobacillus</v>
          </cell>
          <cell r="I358" t="str">
            <v>s__unclassified_g__Lactobacillus</v>
          </cell>
        </row>
        <row r="359">
          <cell r="G359" t="str">
            <v>ASV159</v>
          </cell>
          <cell r="H359" t="str">
            <v>g__Anaerovibrio</v>
          </cell>
          <cell r="I359" t="str">
            <v>s__uncultured_bacterium_g__Anaerovibrio</v>
          </cell>
        </row>
        <row r="360">
          <cell r="G360" t="str">
            <v>ASV325</v>
          </cell>
          <cell r="H360" t="str">
            <v>g__Streptococcus</v>
          </cell>
          <cell r="I360" t="str">
            <v>s__unclassified_g__Streptococcus</v>
          </cell>
        </row>
        <row r="361">
          <cell r="G361" t="str">
            <v>ASV1891</v>
          </cell>
          <cell r="H361" t="str">
            <v>g__Sphaerochaeta</v>
          </cell>
          <cell r="I361" t="str">
            <v>s__uncultured_bacterium_g__Sphaerochaeta</v>
          </cell>
        </row>
        <row r="362">
          <cell r="G362" t="str">
            <v>ASV3776</v>
          </cell>
          <cell r="H362" t="str">
            <v>g__Christensenellaceae_R-7_group</v>
          </cell>
          <cell r="I362" t="str">
            <v>s__bacterium_YE57</v>
          </cell>
        </row>
        <row r="363">
          <cell r="G363" t="str">
            <v>ASV107</v>
          </cell>
          <cell r="H363" t="str">
            <v>g__Christensenellaceae_R-7_group</v>
          </cell>
          <cell r="I363" t="str">
            <v>s__gut_metagenome_g__Christensenellaceae_R-7_group</v>
          </cell>
        </row>
        <row r="364">
          <cell r="G364" t="str">
            <v>ASV185</v>
          </cell>
          <cell r="H364" t="str">
            <v>g__UCG-005</v>
          </cell>
          <cell r="I364" t="str">
            <v>s__unclassified_g__UCG-005</v>
          </cell>
        </row>
        <row r="365">
          <cell r="G365" t="str">
            <v>ASV10364</v>
          </cell>
          <cell r="H365" t="str">
            <v>g__Christensenellaceae_R-7_group</v>
          </cell>
          <cell r="I365" t="str">
            <v>s__uncultured_prokaryote_g__Christensenellaceae_R-7_group</v>
          </cell>
        </row>
        <row r="366">
          <cell r="G366" t="str">
            <v>ASV13667</v>
          </cell>
          <cell r="H366" t="str">
            <v>g__Megasphaera</v>
          </cell>
          <cell r="I366" t="str">
            <v>s__unclassified_g__Megasphaera</v>
          </cell>
        </row>
        <row r="367">
          <cell r="G367" t="str">
            <v>ASV13231</v>
          </cell>
          <cell r="H367" t="str">
            <v>g__Cloacibacillus</v>
          </cell>
          <cell r="I367" t="str">
            <v>s__unclassified_g__Cloacibacillus</v>
          </cell>
        </row>
        <row r="368">
          <cell r="G368" t="str">
            <v>ASV53</v>
          </cell>
          <cell r="H368" t="str">
            <v>g__Prevotella</v>
          </cell>
          <cell r="I368" t="str">
            <v>s__unclassified_g__Prevotella</v>
          </cell>
        </row>
        <row r="369">
          <cell r="G369" t="str">
            <v>ASV2820</v>
          </cell>
          <cell r="H369" t="str">
            <v>g__Actinobacillus</v>
          </cell>
          <cell r="I369" t="str">
            <v>s__unclassified_g__Actinobacillus</v>
          </cell>
        </row>
        <row r="370">
          <cell r="G370" t="str">
            <v>ASV6999</v>
          </cell>
          <cell r="H370" t="str">
            <v>g__Allisonella</v>
          </cell>
          <cell r="I370" t="str">
            <v>s__uncultured_bacterium_g__Allisonella</v>
          </cell>
        </row>
        <row r="371">
          <cell r="G371" t="str">
            <v>ASV11085</v>
          </cell>
          <cell r="H371" t="str">
            <v>g__norank_f__norank_o__Clostridia_UCG-014</v>
          </cell>
          <cell r="I371" t="str">
            <v>s__unclassified_g__norank_f__norank_o__Clostridia_UCG-014</v>
          </cell>
        </row>
        <row r="372">
          <cell r="G372" t="str">
            <v>ASV2841</v>
          </cell>
          <cell r="H372" t="str">
            <v>g__Bacteroides</v>
          </cell>
          <cell r="I372" t="str">
            <v>s__unclassified_g__Bacteroides</v>
          </cell>
        </row>
        <row r="373">
          <cell r="G373" t="str">
            <v>ASV5462</v>
          </cell>
          <cell r="H373" t="str">
            <v>g__Christensenellaceae_R-7_group</v>
          </cell>
          <cell r="I373" t="str">
            <v>s__uncultured_prokaryote_g__Christensenellaceae_R-7_group</v>
          </cell>
        </row>
        <row r="374">
          <cell r="G374" t="str">
            <v>ASV3592</v>
          </cell>
          <cell r="H374" t="str">
            <v>g__unclassified_f__Prevotellaceae</v>
          </cell>
          <cell r="I374" t="str">
            <v>s__unclassified_f__Prevotellaceae</v>
          </cell>
        </row>
        <row r="375">
          <cell r="G375" t="str">
            <v>ASV8390</v>
          </cell>
          <cell r="H375" t="str">
            <v>g__Acidaminococcus</v>
          </cell>
          <cell r="I375" t="str">
            <v>s__unclassified_g__Acidaminococcus</v>
          </cell>
        </row>
        <row r="376">
          <cell r="G376" t="str">
            <v>ASV98</v>
          </cell>
          <cell r="H376" t="str">
            <v>g__Christensenellaceae_R-7_group</v>
          </cell>
          <cell r="I376" t="str">
            <v>s__uncultured_prokaryote_g__Christensenellaceae_R-7_group</v>
          </cell>
        </row>
        <row r="377">
          <cell r="G377" t="str">
            <v>ASV1531</v>
          </cell>
          <cell r="H377" t="str">
            <v>g__Lactobacillus</v>
          </cell>
          <cell r="I377" t="str">
            <v>s__Lactobacillus_mucosae</v>
          </cell>
        </row>
        <row r="378">
          <cell r="G378" t="str">
            <v>ASV3571</v>
          </cell>
          <cell r="H378" t="str">
            <v>g__Fusobacterium</v>
          </cell>
          <cell r="I378" t="str">
            <v>s__unclassified_g__Fusobacterium</v>
          </cell>
        </row>
        <row r="379">
          <cell r="G379" t="str">
            <v>ASV123</v>
          </cell>
          <cell r="H379" t="str">
            <v>g__Ruminococcus</v>
          </cell>
          <cell r="I379" t="str">
            <v>s__unclassified_g__Ruminococcus</v>
          </cell>
        </row>
        <row r="380">
          <cell r="G380" t="str">
            <v>ASV314</v>
          </cell>
          <cell r="H380" t="str">
            <v>g__Streptococcus</v>
          </cell>
          <cell r="I380" t="str">
            <v>s__unclassified_g__Streptococcus</v>
          </cell>
        </row>
        <row r="381">
          <cell r="G381" t="str">
            <v>ASV1850</v>
          </cell>
          <cell r="H381" t="str">
            <v>g__Christensenellaceae_R-7_group</v>
          </cell>
          <cell r="I381" t="str">
            <v>s__uncultured_prokaryote_g__Christensenellaceae_R-7_group</v>
          </cell>
        </row>
        <row r="382">
          <cell r="G382" t="str">
            <v>ASV41</v>
          </cell>
          <cell r="H382" t="str">
            <v>g__norank_f__Muribaculaceae</v>
          </cell>
          <cell r="I382" t="str">
            <v>s__uncultured_bacterium_g__norank_f__Muribaculaceae</v>
          </cell>
        </row>
        <row r="383">
          <cell r="G383" t="str">
            <v>ASV3157</v>
          </cell>
          <cell r="H383" t="str">
            <v>g__Odoribacter</v>
          </cell>
          <cell r="I383" t="str">
            <v>s__uncultured_bacterium_g__Odoribacter</v>
          </cell>
        </row>
        <row r="384">
          <cell r="G384" t="str">
            <v>ASV14959</v>
          </cell>
          <cell r="H384" t="str">
            <v>g__Bacteroides</v>
          </cell>
          <cell r="I384" t="str">
            <v>s__uncultured_bacterium_g__Bacteroides</v>
          </cell>
        </row>
        <row r="385">
          <cell r="G385" t="str">
            <v>ASV70</v>
          </cell>
          <cell r="H385" t="str">
            <v>g__Oscillibacter</v>
          </cell>
          <cell r="I385" t="str">
            <v>s__unclassified_g__Oscillibacter</v>
          </cell>
        </row>
        <row r="386">
          <cell r="G386" t="str">
            <v>ASV4556</v>
          </cell>
          <cell r="H386" t="str">
            <v>g__unclassified_f__Lachnospiraceae</v>
          </cell>
          <cell r="I386" t="str">
            <v>s__unclassified_f__Lachnospiraceae</v>
          </cell>
        </row>
        <row r="387">
          <cell r="G387" t="str">
            <v>ASV39</v>
          </cell>
          <cell r="H387" t="str">
            <v>g__UCG-002</v>
          </cell>
          <cell r="I387" t="str">
            <v>s__uncultured_bacterium_g__UCG-002</v>
          </cell>
        </row>
        <row r="388">
          <cell r="G388" t="str">
            <v>ASV2633</v>
          </cell>
          <cell r="H388" t="str">
            <v>g__Actinomyces</v>
          </cell>
          <cell r="I388" t="str">
            <v>s__unclassified_g__Actinomyces</v>
          </cell>
        </row>
        <row r="389">
          <cell r="G389" t="str">
            <v>ASV2595</v>
          </cell>
          <cell r="H389" t="str">
            <v>g__Pseudomonas</v>
          </cell>
          <cell r="I389" t="str">
            <v>s__unclassified_g__Pseudomonas</v>
          </cell>
        </row>
        <row r="390">
          <cell r="G390" t="str">
            <v>ASV8383</v>
          </cell>
          <cell r="H390" t="str">
            <v>g__Mitsuokella</v>
          </cell>
          <cell r="I390" t="str">
            <v>s__uncultured_bacterium_g__Mitsuokella</v>
          </cell>
        </row>
        <row r="391">
          <cell r="G391" t="str">
            <v>ASV489</v>
          </cell>
          <cell r="H391" t="str">
            <v>g__norank_f__Prevotellaceae</v>
          </cell>
          <cell r="I391" t="str">
            <v>s__uncultured_bacterium_g__norank_f__Prevotellaceae</v>
          </cell>
        </row>
        <row r="392">
          <cell r="G392" t="str">
            <v>ASV2591</v>
          </cell>
          <cell r="H392" t="str">
            <v>g__Bacillus</v>
          </cell>
          <cell r="I392" t="str">
            <v>s__Lactobacillus_vaginalis_g__Bacillus</v>
          </cell>
        </row>
        <row r="393">
          <cell r="G393" t="str">
            <v>ASV8399</v>
          </cell>
          <cell r="H393" t="str">
            <v>g__Lactobacillus</v>
          </cell>
          <cell r="I393" t="str">
            <v>s__unclassified_g__Lactobacillus</v>
          </cell>
        </row>
        <row r="394">
          <cell r="G394" t="str">
            <v>ASV5465</v>
          </cell>
          <cell r="H394" t="str">
            <v>g__unclassified_f__Prevotellaceae</v>
          </cell>
          <cell r="I394" t="str">
            <v>s__unclassified_f__Prevotellaceae</v>
          </cell>
        </row>
        <row r="395">
          <cell r="G395" t="str">
            <v>ASV5455</v>
          </cell>
          <cell r="H395" t="str">
            <v>g__UCG-005</v>
          </cell>
          <cell r="I395" t="str">
            <v>s__unclassified_g__UCG-005</v>
          </cell>
        </row>
        <row r="396">
          <cell r="G396" t="str">
            <v>ASV7227</v>
          </cell>
          <cell r="H396" t="str">
            <v>g__Parabacteroides</v>
          </cell>
          <cell r="I396" t="str">
            <v>s__unclassified_g__Parabacteroides</v>
          </cell>
        </row>
        <row r="397">
          <cell r="G397" t="str">
            <v>ASV3357</v>
          </cell>
          <cell r="H397" t="str">
            <v>g__Bacillus</v>
          </cell>
          <cell r="I397" t="str">
            <v>s__Lactobacillus_vaginalis_g__Bacillus</v>
          </cell>
        </row>
        <row r="398">
          <cell r="G398" t="str">
            <v>ASV5471</v>
          </cell>
          <cell r="H398" t="str">
            <v>g__UCG-004</v>
          </cell>
          <cell r="I398" t="str">
            <v>s__uncultured_bacterium_g__UCG-004</v>
          </cell>
        </row>
        <row r="399">
          <cell r="G399" t="str">
            <v>ASV133</v>
          </cell>
          <cell r="H399" t="str">
            <v>g__Parabacteroides</v>
          </cell>
          <cell r="I399" t="str">
            <v>s__Porphyromonadaceae_bacterium_DJF_B175</v>
          </cell>
        </row>
        <row r="400">
          <cell r="G400" t="str">
            <v>ASV3748</v>
          </cell>
          <cell r="H400" t="str">
            <v>g__Desulfovibrio</v>
          </cell>
          <cell r="I400" t="str">
            <v>s__unclassified_g__Desulfovibrio</v>
          </cell>
        </row>
        <row r="401">
          <cell r="G401" t="str">
            <v>ASV2623</v>
          </cell>
          <cell r="H401" t="str">
            <v>g__Actinomyces</v>
          </cell>
          <cell r="I401" t="str">
            <v>s__unclassified_g__Actinomyces</v>
          </cell>
        </row>
        <row r="402">
          <cell r="G402" t="str">
            <v>ASV2646</v>
          </cell>
          <cell r="H402" t="str">
            <v>g__Streptococcus</v>
          </cell>
          <cell r="I402" t="str">
            <v>s__unclassified_g__Streptococcus</v>
          </cell>
        </row>
        <row r="403">
          <cell r="G403" t="str">
            <v>ASV226</v>
          </cell>
          <cell r="H403" t="str">
            <v>g__NK4A214_group</v>
          </cell>
          <cell r="I403" t="str">
            <v>s__uncultured_rumen_bacterium_g__NK4A214_group</v>
          </cell>
        </row>
        <row r="404">
          <cell r="G404" t="str">
            <v>ASV3757</v>
          </cell>
          <cell r="H404" t="str">
            <v>g__Family_XIII_AD3011_group</v>
          </cell>
          <cell r="I404" t="str">
            <v>s__uncultured_bacterium_g__Family_XIII_AD3011_group</v>
          </cell>
        </row>
        <row r="405">
          <cell r="G405" t="str">
            <v>ASV5457</v>
          </cell>
          <cell r="H405" t="str">
            <v>g__Rikenellaceae_RC9_gut_group</v>
          </cell>
          <cell r="I405" t="str">
            <v>s__uncultured_beta_proteobacterium_g__Rikenellaceae_RC9_gut_group</v>
          </cell>
        </row>
        <row r="406">
          <cell r="G406" t="str">
            <v>ASV244</v>
          </cell>
          <cell r="H406" t="str">
            <v>g__Blautia</v>
          </cell>
          <cell r="I406" t="str">
            <v>s__unclassified_g__Blautia</v>
          </cell>
        </row>
        <row r="407">
          <cell r="G407" t="str">
            <v>ASV5481</v>
          </cell>
          <cell r="H407" t="str">
            <v>g__dgA-11_gut_group</v>
          </cell>
          <cell r="I407" t="str">
            <v>s__uncultured_Bacteroidales_bacterium_g__dgA-11_gut_group</v>
          </cell>
        </row>
        <row r="408">
          <cell r="G408" t="str">
            <v>ASV3665</v>
          </cell>
          <cell r="H408" t="str">
            <v>g__Parvimonas</v>
          </cell>
          <cell r="I408" t="str">
            <v>s__unclassified_g__Parvimonas</v>
          </cell>
        </row>
        <row r="409">
          <cell r="G409" t="str">
            <v>ASV2615</v>
          </cell>
          <cell r="H409" t="str">
            <v>g__Streptococcus</v>
          </cell>
          <cell r="I409" t="str">
            <v>s__Streptococcus_ferus</v>
          </cell>
        </row>
        <row r="410">
          <cell r="G410" t="str">
            <v>ASV7233</v>
          </cell>
          <cell r="H410" t="str">
            <v>g__Fusobacterium</v>
          </cell>
          <cell r="I410" t="str">
            <v>s__unclassified_g__Fusobacterium</v>
          </cell>
        </row>
        <row r="411">
          <cell r="G411" t="str">
            <v>ASV1946</v>
          </cell>
          <cell r="H411" t="str">
            <v>g__Prevotellaceae_UCG-004</v>
          </cell>
          <cell r="I411" t="str">
            <v>s__uncultured_bacterium_g__Prevotellaceae_UCG-004</v>
          </cell>
        </row>
        <row r="412">
          <cell r="G412" t="str">
            <v>ASV2588</v>
          </cell>
          <cell r="H412" t="str">
            <v>g__Veillonella</v>
          </cell>
          <cell r="I412" t="str">
            <v>s__unclassified_g__Veillonella</v>
          </cell>
        </row>
        <row r="413">
          <cell r="G413" t="str">
            <v>ASV145</v>
          </cell>
          <cell r="H413" t="str">
            <v>g__UCG-005</v>
          </cell>
          <cell r="I413" t="str">
            <v>s__unclassified_g__UCG-005</v>
          </cell>
        </row>
        <row r="414">
          <cell r="G414" t="str">
            <v>ASV15106</v>
          </cell>
          <cell r="H414" t="str">
            <v>g__unclassified_f__Rikenellaceae</v>
          </cell>
          <cell r="I414" t="str">
            <v>s__unclassified_f__Rikenellaceae</v>
          </cell>
        </row>
        <row r="415">
          <cell r="G415" t="str">
            <v>ASV10363</v>
          </cell>
          <cell r="H415" t="str">
            <v>g__Christensenellaceae_R-7_group</v>
          </cell>
          <cell r="I415" t="str">
            <v>s__uncultured_prokaryote_g__Christensenellaceae_R-7_group</v>
          </cell>
        </row>
        <row r="416">
          <cell r="G416" t="str">
            <v>ASV5501</v>
          </cell>
          <cell r="H416" t="str">
            <v>g__UCG-003</v>
          </cell>
          <cell r="I416" t="str">
            <v>s__unclassified_g__UCG-003</v>
          </cell>
        </row>
        <row r="417">
          <cell r="G417" t="str">
            <v>ASV95</v>
          </cell>
          <cell r="H417" t="str">
            <v>g__norank_f__norank_o__RF39</v>
          </cell>
          <cell r="I417" t="str">
            <v>s__uncultured_bacterium_g__norank_f__norank_o__RF39</v>
          </cell>
        </row>
        <row r="418">
          <cell r="G418" t="str">
            <v>ASV15109</v>
          </cell>
          <cell r="H418" t="str">
            <v>g__Blautia</v>
          </cell>
          <cell r="I418" t="str">
            <v>s__unclassified_g__Blautia</v>
          </cell>
        </row>
        <row r="419">
          <cell r="G419" t="str">
            <v>ASV79</v>
          </cell>
          <cell r="H419" t="str">
            <v>g__NK4A214_group</v>
          </cell>
          <cell r="I419" t="str">
            <v>s__uncultured_rumen_bacterium_g__NK4A214_group</v>
          </cell>
        </row>
        <row r="420">
          <cell r="G420" t="str">
            <v>ASV8384</v>
          </cell>
          <cell r="H420" t="str">
            <v>g__Mitsuokella</v>
          </cell>
          <cell r="I420" t="str">
            <v>s__uncultured_bacterium_g__Mitsuokella</v>
          </cell>
        </row>
        <row r="421">
          <cell r="G421" t="str">
            <v>ASV37</v>
          </cell>
          <cell r="H421" t="str">
            <v>g__Oscillibacter</v>
          </cell>
          <cell r="I421" t="str">
            <v>s__unclassified_g__Oscillibacter</v>
          </cell>
        </row>
        <row r="422">
          <cell r="G422" t="str">
            <v>ASV213</v>
          </cell>
          <cell r="H422" t="str">
            <v>g__NK4A214_group</v>
          </cell>
          <cell r="I422" t="str">
            <v>s__unclassified_g__NK4A214_group</v>
          </cell>
        </row>
        <row r="423">
          <cell r="G423" t="str">
            <v>ASV2991</v>
          </cell>
          <cell r="H423" t="str">
            <v>g__Bacillus</v>
          </cell>
          <cell r="I423" t="str">
            <v>s__Lactobacillus_vaginalis_g__Bacillus</v>
          </cell>
        </row>
        <row r="424">
          <cell r="G424" t="str">
            <v>ASV175</v>
          </cell>
          <cell r="H424" t="str">
            <v>g__Prevotella</v>
          </cell>
          <cell r="I424" t="str">
            <v>s__unclassified_g__Prevotella</v>
          </cell>
        </row>
        <row r="425">
          <cell r="G425" t="str">
            <v>ASV12491</v>
          </cell>
          <cell r="H425" t="str">
            <v>g__Bacteroides</v>
          </cell>
          <cell r="I425" t="str">
            <v>s__unclassified_g__Bacteroides</v>
          </cell>
        </row>
        <row r="426">
          <cell r="G426" t="str">
            <v>ASV2679</v>
          </cell>
          <cell r="H426" t="str">
            <v>g__Streptococcus</v>
          </cell>
          <cell r="I426" t="str">
            <v>s__unclassified_g__Streptococcus</v>
          </cell>
        </row>
        <row r="427">
          <cell r="G427" t="str">
            <v>ASV162</v>
          </cell>
          <cell r="H427" t="str">
            <v>g__Bacteroides</v>
          </cell>
          <cell r="I427" t="str">
            <v>s__unclassified_g__Bacteroides</v>
          </cell>
        </row>
        <row r="428">
          <cell r="G428" t="str">
            <v>ASV94</v>
          </cell>
          <cell r="H428" t="str">
            <v>g__UCG-005</v>
          </cell>
          <cell r="I428" t="str">
            <v>s__unclassified_g__UCG-005</v>
          </cell>
        </row>
        <row r="429">
          <cell r="G429" t="str">
            <v>ASV8388</v>
          </cell>
          <cell r="H429" t="str">
            <v>g__Prevotella</v>
          </cell>
          <cell r="I429" t="str">
            <v>s__unclassified_g__Prevotella</v>
          </cell>
        </row>
        <row r="430">
          <cell r="G430" t="str">
            <v>ASV2872</v>
          </cell>
          <cell r="H430" t="str">
            <v>g__Stenotrophomonas</v>
          </cell>
          <cell r="I430" t="str">
            <v>s__unclassified_g__Stenotrophomonas</v>
          </cell>
        </row>
        <row r="431">
          <cell r="G431" t="str">
            <v>ASV6519</v>
          </cell>
          <cell r="H431" t="str">
            <v>g__Streptococcus</v>
          </cell>
          <cell r="I431" t="str">
            <v>s__unclassified_g__Streptococcus</v>
          </cell>
        </row>
        <row r="432">
          <cell r="G432" t="str">
            <v>ASV2844</v>
          </cell>
          <cell r="H432" t="str">
            <v>g__norank_f__Alcaligenaceae</v>
          </cell>
          <cell r="I432" t="str">
            <v>s__Pelistega_suis</v>
          </cell>
        </row>
        <row r="433">
          <cell r="G433" t="str">
            <v>ASV238</v>
          </cell>
          <cell r="H433" t="str">
            <v>g__norank_f__Oscillospiraceae</v>
          </cell>
          <cell r="I433" t="str">
            <v>s__Pseudoflavonifractor_sp._Marseille-P3106</v>
          </cell>
        </row>
        <row r="434">
          <cell r="G434" t="str">
            <v>ASV3018</v>
          </cell>
          <cell r="H434" t="str">
            <v>g__unclassified_f__Ruminococcaceae</v>
          </cell>
          <cell r="I434" t="str">
            <v>s__unclassified_f__Ruminococcaceae</v>
          </cell>
        </row>
        <row r="435">
          <cell r="G435" t="str">
            <v>ASV6995</v>
          </cell>
          <cell r="H435" t="str">
            <v>g__Faecalibacterium</v>
          </cell>
          <cell r="I435" t="str">
            <v>s__unclassified_g__Faecalibacterium</v>
          </cell>
        </row>
        <row r="436">
          <cell r="G436" t="str">
            <v>ASV2985</v>
          </cell>
          <cell r="H436" t="str">
            <v>g__Mageibacillus</v>
          </cell>
          <cell r="I436" t="str">
            <v>s__Clostridiales_bacterium_canine_oral_taxon_216</v>
          </cell>
        </row>
        <row r="437">
          <cell r="G437" t="str">
            <v>ASV5469</v>
          </cell>
          <cell r="H437" t="str">
            <v>g__Rikenellaceae_RC9_gut_group</v>
          </cell>
          <cell r="I437" t="str">
            <v>s__uncultured_bacterium_g__Rikenellaceae_RC9_gut_group</v>
          </cell>
        </row>
        <row r="438">
          <cell r="G438" t="str">
            <v>ASV3759</v>
          </cell>
          <cell r="H438" t="str">
            <v>g__Phascolarctobacterium</v>
          </cell>
          <cell r="I438" t="str">
            <v>s__unclassified_g__Phascolarctobacterium</v>
          </cell>
        </row>
        <row r="439">
          <cell r="G439" t="str">
            <v>ASV157</v>
          </cell>
          <cell r="H439" t="str">
            <v>g__Intestinimonas</v>
          </cell>
          <cell r="I439" t="str">
            <v>s__unclassified_g__Intestinimonas</v>
          </cell>
        </row>
        <row r="440">
          <cell r="G440" t="str">
            <v>ASV4802</v>
          </cell>
          <cell r="H440" t="str">
            <v>g__Prevotellaceae_UCG-003</v>
          </cell>
          <cell r="I440" t="str">
            <v>s__uncultured_bacterium_g__Prevotellaceae_UCG-003</v>
          </cell>
        </row>
        <row r="441">
          <cell r="G441" t="str">
            <v>ASV1904</v>
          </cell>
          <cell r="H441" t="str">
            <v>g__Streptococcus</v>
          </cell>
          <cell r="I441" t="str">
            <v>s__unclassified_g__Streptococcus</v>
          </cell>
        </row>
        <row r="442">
          <cell r="G442" t="str">
            <v>ASV5456</v>
          </cell>
          <cell r="H442" t="str">
            <v>g__Bacteroides</v>
          </cell>
          <cell r="I442" t="str">
            <v>s__Bacteroides_caecigallinarum</v>
          </cell>
        </row>
        <row r="443">
          <cell r="G443" t="str">
            <v>ASV1859</v>
          </cell>
          <cell r="H443" t="str">
            <v>g__Monoglobus</v>
          </cell>
          <cell r="I443" t="str">
            <v>s__unclassified_g__Monoglobus</v>
          </cell>
        </row>
        <row r="444">
          <cell r="G444" t="str">
            <v>ASV127</v>
          </cell>
          <cell r="H444" t="str">
            <v>g__UCG-005</v>
          </cell>
          <cell r="I444" t="str">
            <v>s__unclassified_g__UCG-005</v>
          </cell>
        </row>
        <row r="445">
          <cell r="G445" t="str">
            <v>ASV3387</v>
          </cell>
          <cell r="H445" t="str">
            <v>g__Desulfovibrio</v>
          </cell>
          <cell r="I445" t="str">
            <v>s__bacterium_g__Desulfovibrio</v>
          </cell>
        </row>
        <row r="446">
          <cell r="G446" t="str">
            <v>ASV630</v>
          </cell>
          <cell r="H446" t="str">
            <v>g__Christensenellaceae_R-7_group</v>
          </cell>
          <cell r="I446" t="str">
            <v>s__unclassified_g__Christensenellaceae_R-7_group</v>
          </cell>
        </row>
        <row r="447">
          <cell r="G447" t="str">
            <v>ASV2599</v>
          </cell>
          <cell r="H447" t="str">
            <v>g__Pseudomonas</v>
          </cell>
          <cell r="I447" t="str">
            <v>s__unclassified_g__Pseudomonas</v>
          </cell>
        </row>
        <row r="448">
          <cell r="G448" t="str">
            <v>ASV4007</v>
          </cell>
          <cell r="H448" t="str">
            <v>g__Christensenellaceae_R-7_group</v>
          </cell>
          <cell r="I448" t="str">
            <v>s__gut_metagenome_g__Christensenellaceae_R-7_group</v>
          </cell>
        </row>
        <row r="449">
          <cell r="G449" t="str">
            <v>ASV2638</v>
          </cell>
          <cell r="H449" t="str">
            <v>g__Gemella</v>
          </cell>
          <cell r="I449" t="str">
            <v>s__uncultured_bacterium_g__Gemella</v>
          </cell>
        </row>
        <row r="450">
          <cell r="G450" t="str">
            <v>ASV5789</v>
          </cell>
          <cell r="H450" t="str">
            <v>g__Christensenellaceae_R-7_group</v>
          </cell>
          <cell r="I450" t="str">
            <v>s__unclassified_g__Christensenellaceae_R-7_group</v>
          </cell>
        </row>
        <row r="451">
          <cell r="G451" t="str">
            <v>ASV2636</v>
          </cell>
          <cell r="H451" t="str">
            <v>g__Actinomyces</v>
          </cell>
          <cell r="I451" t="str">
            <v>s__unclassified_g__Actinomyces</v>
          </cell>
        </row>
        <row r="452">
          <cell r="G452" t="str">
            <v>ASV7138</v>
          </cell>
          <cell r="H452" t="str">
            <v>g__Christensenellaceae_R-7_group</v>
          </cell>
          <cell r="I452" t="str">
            <v>s__unclassified_g__Christensenellaceae_R-7_group</v>
          </cell>
        </row>
        <row r="453">
          <cell r="G453" t="str">
            <v>ASV146</v>
          </cell>
          <cell r="H453" t="str">
            <v>g__Bacteroides</v>
          </cell>
          <cell r="I453" t="str">
            <v>s__unclassified_g__Bacteroides</v>
          </cell>
        </row>
        <row r="454">
          <cell r="G454" t="str">
            <v>ASV5470</v>
          </cell>
          <cell r="H454" t="str">
            <v>g__Sphaerochaeta</v>
          </cell>
          <cell r="I454" t="str">
            <v>s__uncultured_bacterium_g__Sphaerochaeta</v>
          </cell>
        </row>
        <row r="455">
          <cell r="G455" t="str">
            <v>ASV2988</v>
          </cell>
          <cell r="H455" t="str">
            <v>g__Lactobacillus</v>
          </cell>
          <cell r="I455" t="str">
            <v>s__unclassified_g__Lactobacillus</v>
          </cell>
        </row>
        <row r="456">
          <cell r="G456" t="str">
            <v>ASV4065</v>
          </cell>
          <cell r="H456" t="str">
            <v>g__unclassified_c__Clostridia</v>
          </cell>
          <cell r="I456" t="str">
            <v>s__unclassified_c__Clostridia</v>
          </cell>
        </row>
        <row r="457">
          <cell r="G457" t="str">
            <v>ASV126</v>
          </cell>
          <cell r="H457" t="str">
            <v>g__Lachnospiraceae_UCG-010</v>
          </cell>
          <cell r="I457" t="str">
            <v>s__uncultured_bacterium_g__Lachnospiraceae_UCG-010</v>
          </cell>
        </row>
        <row r="458">
          <cell r="G458" t="str">
            <v>ASV2639</v>
          </cell>
          <cell r="H458" t="str">
            <v>g__Gemella</v>
          </cell>
          <cell r="I458" t="str">
            <v>s__unclassified_g__Gemella</v>
          </cell>
        </row>
        <row r="459">
          <cell r="G459" t="str">
            <v>ASV3038</v>
          </cell>
          <cell r="H459" t="str">
            <v>g__Prevotellaceae_UCG-004</v>
          </cell>
          <cell r="I459" t="str">
            <v>s__uncultured_bacterium_g__Prevotellaceae_UCG-004</v>
          </cell>
        </row>
        <row r="460">
          <cell r="G460" t="str">
            <v>ASV301</v>
          </cell>
          <cell r="H460" t="str">
            <v>g__Bacteroides</v>
          </cell>
          <cell r="I460" t="str">
            <v>s__unclassified_g__Bacteroides</v>
          </cell>
        </row>
        <row r="461">
          <cell r="G461" t="str">
            <v>ASV2853</v>
          </cell>
          <cell r="H461" t="str">
            <v>g__unclassified_f__Prevotellaceae</v>
          </cell>
          <cell r="I461" t="str">
            <v>s__unclassified_f__Prevotellaceae</v>
          </cell>
        </row>
        <row r="462">
          <cell r="G462" t="str">
            <v>ASV1530</v>
          </cell>
          <cell r="H462" t="str">
            <v>g__Lactobacillus</v>
          </cell>
          <cell r="I462" t="str">
            <v>s__unclassified_g__Lactobacillus</v>
          </cell>
        </row>
        <row r="463">
          <cell r="G463" t="str">
            <v>ASV3738</v>
          </cell>
          <cell r="H463" t="str">
            <v>g__UCG-005</v>
          </cell>
          <cell r="I463" t="str">
            <v>s__unclassified_g__UCG-005</v>
          </cell>
        </row>
        <row r="464">
          <cell r="G464" t="str">
            <v>ASV239</v>
          </cell>
          <cell r="H464" t="str">
            <v>g__Bacteroides</v>
          </cell>
          <cell r="I464" t="str">
            <v>s__unclassified_g__Bacteroides</v>
          </cell>
        </row>
        <row r="465">
          <cell r="G465" t="str">
            <v>ASV64</v>
          </cell>
          <cell r="H465" t="str">
            <v>g__NK4A214_group</v>
          </cell>
          <cell r="I465" t="str">
            <v>s__unclassified_g__NK4A214_group</v>
          </cell>
        </row>
        <row r="466">
          <cell r="G466" t="str">
            <v>ASV76</v>
          </cell>
          <cell r="H466" t="str">
            <v>g__Mitsuokella</v>
          </cell>
          <cell r="I466" t="str">
            <v>s__uncultured_bacterium_g__Mitsuokella</v>
          </cell>
        </row>
        <row r="467">
          <cell r="G467" t="str">
            <v>ASV3736</v>
          </cell>
          <cell r="H467" t="str">
            <v>g__UCG-005</v>
          </cell>
          <cell r="I467" t="str">
            <v>s__unclassified_g__UCG-005</v>
          </cell>
        </row>
        <row r="468">
          <cell r="G468" t="str">
            <v>ASV3753</v>
          </cell>
          <cell r="H468" t="str">
            <v>g__Butyricimonas</v>
          </cell>
          <cell r="I468" t="str">
            <v>s__unclassified_g__Butyricimonas</v>
          </cell>
        </row>
        <row r="469">
          <cell r="G469" t="str">
            <v>ASV1525</v>
          </cell>
          <cell r="H469" t="str">
            <v>g__Sharpea</v>
          </cell>
          <cell r="I469" t="str">
            <v>s__uncultured_bacterium_g__Sharpea</v>
          </cell>
        </row>
        <row r="470">
          <cell r="G470" t="str">
            <v>ASV1871</v>
          </cell>
          <cell r="H470" t="str">
            <v>g__UCG-008</v>
          </cell>
          <cell r="I470" t="str">
            <v>s__uncultured_bacterium_g__UCG-008</v>
          </cell>
        </row>
        <row r="471">
          <cell r="G471" t="str">
            <v>ASV194</v>
          </cell>
          <cell r="H471" t="str">
            <v>g__Prevotella</v>
          </cell>
          <cell r="I471" t="str">
            <v>s__Prevotella_sp._DJF_LS16</v>
          </cell>
        </row>
        <row r="472">
          <cell r="G472" t="str">
            <v>ASV1879</v>
          </cell>
          <cell r="H472" t="str">
            <v>g__norank_f__UCG-010</v>
          </cell>
          <cell r="I472" t="str">
            <v>s__metagenome_g__norank_f__UCG-010</v>
          </cell>
        </row>
        <row r="473">
          <cell r="G473" t="str">
            <v>ASV7433</v>
          </cell>
          <cell r="H473" t="str">
            <v>g__Subdoligranulum</v>
          </cell>
          <cell r="I473" t="str">
            <v>s__unclassified_g__Subdoligranulum</v>
          </cell>
        </row>
        <row r="474">
          <cell r="G474" t="str">
            <v>ASV3741</v>
          </cell>
          <cell r="H474" t="str">
            <v>g__Roseburia</v>
          </cell>
          <cell r="I474" t="str">
            <v>s__unclassified_g__Roseburia</v>
          </cell>
        </row>
        <row r="475">
          <cell r="G475" t="str">
            <v>ASV19212</v>
          </cell>
          <cell r="H475" t="str">
            <v>g__unclassified_f__Lachnospiraceae</v>
          </cell>
          <cell r="I475" t="str">
            <v>s__unclassified_f__Lachnospiraceae</v>
          </cell>
        </row>
        <row r="476">
          <cell r="G476" t="str">
            <v>ASV2637</v>
          </cell>
          <cell r="H476" t="str">
            <v>g__Gemella</v>
          </cell>
          <cell r="I476" t="str">
            <v>s__unclassified_g__Gemella</v>
          </cell>
        </row>
        <row r="477">
          <cell r="G477" t="str">
            <v>ASV2976</v>
          </cell>
          <cell r="H477" t="str">
            <v>g__Sphingomonas</v>
          </cell>
          <cell r="I477" t="str">
            <v>s__unclassified_g__Sphingomonas</v>
          </cell>
        </row>
        <row r="478">
          <cell r="G478" t="str">
            <v>ASV3072</v>
          </cell>
          <cell r="H478" t="str">
            <v>g__Campylobacter</v>
          </cell>
          <cell r="I478" t="str">
            <v>s__Campylobacter_lanienae_NCTC_13004</v>
          </cell>
        </row>
        <row r="479">
          <cell r="G479" t="str">
            <v>ASV2835</v>
          </cell>
          <cell r="H479" t="str">
            <v>g__Leptotrichia</v>
          </cell>
          <cell r="I479" t="str">
            <v>s__uncultured_bacterium_g__Leptotrichia</v>
          </cell>
        </row>
        <row r="480">
          <cell r="G480" t="str">
            <v>ASV1894</v>
          </cell>
          <cell r="H480" t="str">
            <v>g__unclassified_f__Ruminococcaceae</v>
          </cell>
          <cell r="I480" t="str">
            <v>s__unclassified_f__Ruminococcaceae</v>
          </cell>
        </row>
        <row r="481">
          <cell r="G481" t="str">
            <v>ASV10134</v>
          </cell>
          <cell r="H481" t="str">
            <v>g__unclassified_f__Lachnospiraceae</v>
          </cell>
          <cell r="I481" t="str">
            <v>s__unclassified_f__Lachnospiraceae</v>
          </cell>
        </row>
        <row r="482">
          <cell r="G482" t="str">
            <v>ASV129</v>
          </cell>
          <cell r="H482" t="str">
            <v>g__norank_f__Erysipelotrichaceae</v>
          </cell>
          <cell r="I482" t="str">
            <v>s__uncultured_bacterium_g__norank_f__Erysipelotrichaceae</v>
          </cell>
        </row>
        <row r="483">
          <cell r="G483" t="str">
            <v>ASV10366</v>
          </cell>
          <cell r="H483" t="str">
            <v>g__Christensenellaceae_R-7_group</v>
          </cell>
          <cell r="I483" t="str">
            <v>s__uncultured_prokaryote_g__Christensenellaceae_R-7_group</v>
          </cell>
        </row>
        <row r="484">
          <cell r="G484" t="str">
            <v>ASV2989</v>
          </cell>
          <cell r="H484" t="str">
            <v>g__Streptococcus</v>
          </cell>
          <cell r="I484" t="str">
            <v>s__unclassified_g__Streptococcus</v>
          </cell>
        </row>
        <row r="485">
          <cell r="G485" t="str">
            <v>ASV1901</v>
          </cell>
          <cell r="H485" t="str">
            <v>g__norank_f__Muribaculaceae</v>
          </cell>
          <cell r="I485" t="str">
            <v>s__uncultured_bacterium_g__norank_f__Muribaculaceae</v>
          </cell>
        </row>
        <row r="486">
          <cell r="G486" t="str">
            <v>ASV9869</v>
          </cell>
          <cell r="H486" t="str">
            <v>g__Bacteroides</v>
          </cell>
          <cell r="I486" t="str">
            <v>s__unclassified_g__Bacteroides</v>
          </cell>
        </row>
        <row r="487">
          <cell r="G487" t="str">
            <v>ASV17582</v>
          </cell>
          <cell r="H487" t="str">
            <v>g__Fusobacterium</v>
          </cell>
          <cell r="I487" t="str">
            <v>s__unclassified_g__Fusobacterium</v>
          </cell>
        </row>
        <row r="488">
          <cell r="G488" t="str">
            <v>ASV1846</v>
          </cell>
          <cell r="H488" t="str">
            <v>g__norank_f__Eubacterium_coprostanoligenes_group</v>
          </cell>
          <cell r="I488" t="str">
            <v>s__uncultured_bacterium_g__norank_f__Eubacterium_coprostanoligenes_group</v>
          </cell>
        </row>
        <row r="489">
          <cell r="G489" t="str">
            <v>ASV14960</v>
          </cell>
          <cell r="H489" t="str">
            <v>g__Bacteroides</v>
          </cell>
          <cell r="I489" t="str">
            <v>s__uncultured_bacterium_g__Bacteroides</v>
          </cell>
        </row>
        <row r="490">
          <cell r="G490" t="str">
            <v>ASV5458</v>
          </cell>
          <cell r="H490" t="str">
            <v>g__Holdemanella</v>
          </cell>
          <cell r="I490" t="str">
            <v>s__unclassified_g__Holdemanella</v>
          </cell>
        </row>
        <row r="491">
          <cell r="G491" t="str">
            <v>ASV2772</v>
          </cell>
          <cell r="H491" t="str">
            <v>g__Phyllobacterium</v>
          </cell>
          <cell r="I491" t="str">
            <v>s__unclassified_g__Phyllobacterium</v>
          </cell>
        </row>
        <row r="492">
          <cell r="G492" t="str">
            <v>ASV1565</v>
          </cell>
          <cell r="H492" t="str">
            <v>g__Intestinibacter</v>
          </cell>
          <cell r="I492" t="str">
            <v>s__unclassified_g__Intestinibacter</v>
          </cell>
        </row>
        <row r="493">
          <cell r="G493" t="str">
            <v>ASV1882</v>
          </cell>
          <cell r="H493" t="str">
            <v>g__Christensenellaceae_R-7_group</v>
          </cell>
          <cell r="I493" t="str">
            <v>s__unclassified_g__Christensenellaceae_R-7_group</v>
          </cell>
        </row>
        <row r="494">
          <cell r="G494" t="str">
            <v>ASV1598</v>
          </cell>
          <cell r="H494" t="str">
            <v>g__norank_f__Atopobiaceae</v>
          </cell>
          <cell r="I494" t="str">
            <v>s__uncultured_bacterium_g__norank_f__Atopobiaceae</v>
          </cell>
        </row>
        <row r="495">
          <cell r="G495" t="str">
            <v>ASV3074</v>
          </cell>
          <cell r="H495" t="str">
            <v>g__Lachnoclostridium</v>
          </cell>
          <cell r="I495" t="str">
            <v>s__unclassified_g__Lachnoclostridium</v>
          </cell>
        </row>
        <row r="496">
          <cell r="G496" t="str">
            <v>ASV3742</v>
          </cell>
          <cell r="H496" t="str">
            <v>g__Escherichia-Shigella</v>
          </cell>
          <cell r="I496" t="str">
            <v>s__unclassified_g__Escherichia-Shigella</v>
          </cell>
        </row>
        <row r="497">
          <cell r="G497" t="str">
            <v>ASV13227</v>
          </cell>
          <cell r="H497" t="str">
            <v>g__Christensenellaceae_R-7_group</v>
          </cell>
          <cell r="I497" t="str">
            <v>s__uncultured_prokaryote_g__Christensenellaceae_R-7_group</v>
          </cell>
        </row>
        <row r="498">
          <cell r="G498" t="str">
            <v>ASV1893</v>
          </cell>
          <cell r="H498" t="str">
            <v>g__Christensenellaceae_R-7_group</v>
          </cell>
          <cell r="I498" t="str">
            <v>s__unclassified_g__Christensenellaceae_R-7_group</v>
          </cell>
        </row>
        <row r="499">
          <cell r="G499" t="str">
            <v>ASV2858</v>
          </cell>
          <cell r="H499" t="str">
            <v>g__Actinobacillus</v>
          </cell>
          <cell r="I499" t="str">
            <v>s__Actinobacillus_minor</v>
          </cell>
        </row>
        <row r="500">
          <cell r="G500" t="str">
            <v>ASV1603</v>
          </cell>
          <cell r="H500" t="str">
            <v>g__unclassified_f__Lachnospiraceae</v>
          </cell>
          <cell r="I500" t="str">
            <v>s__unclassified_f__Lachnospiraceae</v>
          </cell>
        </row>
        <row r="501">
          <cell r="G501" t="str">
            <v>ASV3364</v>
          </cell>
          <cell r="H501" t="str">
            <v>g__Stenotrophomonas</v>
          </cell>
          <cell r="I501" t="str">
            <v>s__unclassified_g__Stenotrophomonas</v>
          </cell>
        </row>
        <row r="502">
          <cell r="G502" t="str">
            <v>ASV2990</v>
          </cell>
          <cell r="H502" t="str">
            <v>g__Bacillus</v>
          </cell>
          <cell r="I502" t="str">
            <v>s__Lactobacillus_vaginalis_g__Bacillus</v>
          </cell>
        </row>
        <row r="503">
          <cell r="G503" t="str">
            <v>ASV2718</v>
          </cell>
          <cell r="H503" t="str">
            <v>g__Faecalicoccus</v>
          </cell>
          <cell r="I503" t="str">
            <v>s__Faecalicoccus_pleomorphus</v>
          </cell>
        </row>
        <row r="504">
          <cell r="G504" t="str">
            <v>ASV1631</v>
          </cell>
          <cell r="H504" t="str">
            <v>g__Veillonella</v>
          </cell>
          <cell r="I504" t="str">
            <v>s__unclassified_g__Veillonella</v>
          </cell>
        </row>
        <row r="505">
          <cell r="G505" t="str">
            <v>ASV58</v>
          </cell>
          <cell r="H505" t="str">
            <v>g__Parabacteroides</v>
          </cell>
          <cell r="I505" t="str">
            <v>s__Porphyromonadaceae_bacterium_DJF_B175</v>
          </cell>
        </row>
        <row r="506">
          <cell r="G506" t="str">
            <v>ASV8685</v>
          </cell>
          <cell r="H506" t="str">
            <v>g__Lactobacillus</v>
          </cell>
          <cell r="I506" t="str">
            <v>s__unclassified_g__Lactobacillus</v>
          </cell>
        </row>
        <row r="507">
          <cell r="G507" t="str">
            <v>ASV2824</v>
          </cell>
          <cell r="H507" t="str">
            <v>g__Lactobacillus</v>
          </cell>
          <cell r="I507" t="str">
            <v>s__unclassified_g__Lactobacillus</v>
          </cell>
        </row>
        <row r="508">
          <cell r="G508" t="str">
            <v>ASV61</v>
          </cell>
          <cell r="H508" t="str">
            <v>g__Christensenellaceae_R-7_group</v>
          </cell>
          <cell r="I508" t="str">
            <v>s__bacterium_YE57</v>
          </cell>
        </row>
        <row r="509">
          <cell r="G509" t="str">
            <v>ASV68</v>
          </cell>
          <cell r="H509" t="str">
            <v>g__Parabacteroides</v>
          </cell>
          <cell r="I509" t="str">
            <v>s__Porphyromonadaceae_bacterium_DJF_B175</v>
          </cell>
        </row>
        <row r="510">
          <cell r="G510" t="str">
            <v>ASV1533</v>
          </cell>
          <cell r="H510" t="str">
            <v>g__Actinobacillus</v>
          </cell>
          <cell r="I510" t="str">
            <v>s__unclassified_g__Actinobacillus</v>
          </cell>
        </row>
        <row r="511">
          <cell r="G511" t="str">
            <v>ASV3272</v>
          </cell>
          <cell r="H511" t="str">
            <v>g__Rikenellaceae_RC9_gut_group</v>
          </cell>
          <cell r="I511" t="str">
            <v>s__uncultured_bacterium_g__Rikenellaceae_RC9_gut_group</v>
          </cell>
        </row>
        <row r="512">
          <cell r="G512" t="str">
            <v>ASV1463</v>
          </cell>
          <cell r="H512" t="str">
            <v>g__Actinobacillus</v>
          </cell>
          <cell r="I512" t="str">
            <v>s__unclassified_g__Actinobacillus</v>
          </cell>
        </row>
        <row r="513">
          <cell r="G513" t="str">
            <v>ASV3361</v>
          </cell>
          <cell r="H513" t="str">
            <v>g__Clostridium_sensu_stricto_1</v>
          </cell>
          <cell r="I513" t="str">
            <v>s__unclassified_g__Clostridium_sensu_stricto_1</v>
          </cell>
        </row>
        <row r="514">
          <cell r="G514" t="str">
            <v>ASV2607</v>
          </cell>
          <cell r="H514" t="str">
            <v>g__Streptococcus</v>
          </cell>
          <cell r="I514" t="str">
            <v>s__Streptococcus_sp._C5I1</v>
          </cell>
        </row>
        <row r="515">
          <cell r="G515" t="str">
            <v>ASV3231</v>
          </cell>
          <cell r="H515" t="str">
            <v>g__Megasphaera</v>
          </cell>
          <cell r="I515" t="str">
            <v>s__Megasphaera_hexanoica</v>
          </cell>
        </row>
        <row r="516">
          <cell r="G516" t="str">
            <v>ASV3628</v>
          </cell>
          <cell r="H516" t="str">
            <v>g__Solobacterium</v>
          </cell>
          <cell r="I516" t="str">
            <v>s__uncultured_organism_g__Solobacterium</v>
          </cell>
        </row>
        <row r="517">
          <cell r="G517" t="str">
            <v>ASV1838</v>
          </cell>
          <cell r="H517" t="str">
            <v>g__Christensenellaceae_R-7_group</v>
          </cell>
          <cell r="I517" t="str">
            <v>s__unclassified_g__Christensenellaceae_R-7_group</v>
          </cell>
        </row>
        <row r="518">
          <cell r="G518" t="str">
            <v>ASV75</v>
          </cell>
          <cell r="H518" t="str">
            <v>g__unclassified_f__Lachnospiraceae</v>
          </cell>
          <cell r="I518" t="str">
            <v>s__unclassified_f__Lachnospiraceae</v>
          </cell>
        </row>
        <row r="519">
          <cell r="G519" t="str">
            <v>ASV1582</v>
          </cell>
          <cell r="H519" t="str">
            <v>g__Actinobacillus</v>
          </cell>
          <cell r="I519" t="str">
            <v>s__unclassified_g__Actinobacillus</v>
          </cell>
        </row>
        <row r="520">
          <cell r="G520" t="str">
            <v>ASV8265</v>
          </cell>
          <cell r="H520" t="str">
            <v>g__Eubacterium_nodatum_group</v>
          </cell>
          <cell r="I520" t="str">
            <v>s__uncultured_bacterium_g__Eubacterium_nodatum_group</v>
          </cell>
        </row>
        <row r="521">
          <cell r="G521" t="str">
            <v>ASV1854</v>
          </cell>
          <cell r="H521" t="str">
            <v>g__norank_f__norank_o__Clostridia_UCG-014</v>
          </cell>
          <cell r="I521" t="str">
            <v>s__unclassified_g__norank_f__norank_o__Clostridia_UCG-014</v>
          </cell>
        </row>
        <row r="522">
          <cell r="G522" t="str">
            <v>ASV1868</v>
          </cell>
          <cell r="H522" t="str">
            <v>g__Christensenellaceae_R-7_group</v>
          </cell>
          <cell r="I522" t="str">
            <v>s__uncultured_prokaryote_g__Christensenellaceae_R-7_group</v>
          </cell>
        </row>
        <row r="523">
          <cell r="G523" t="str">
            <v>ASV1835</v>
          </cell>
          <cell r="H523" t="str">
            <v>g__Coprococcus</v>
          </cell>
          <cell r="I523" t="str">
            <v>s__unclassified_g__Coprococcus</v>
          </cell>
        </row>
        <row r="524">
          <cell r="G524" t="str">
            <v>ASV4392</v>
          </cell>
          <cell r="H524" t="str">
            <v>g__Treponema</v>
          </cell>
          <cell r="I524" t="str">
            <v>s__Treponema_berlinense</v>
          </cell>
        </row>
        <row r="525">
          <cell r="G525" t="str">
            <v>ASV2782</v>
          </cell>
          <cell r="H525" t="str">
            <v>g__Pelomonas</v>
          </cell>
          <cell r="I525" t="str">
            <v>s__unclassified_g__Pelomonas</v>
          </cell>
        </row>
        <row r="526">
          <cell r="G526" t="str">
            <v>ASV3083</v>
          </cell>
          <cell r="H526" t="str">
            <v>g__Sutterella</v>
          </cell>
          <cell r="I526" t="str">
            <v>s__unclassified_g__Sutterella</v>
          </cell>
        </row>
        <row r="527">
          <cell r="G527" t="str">
            <v>ASV3765</v>
          </cell>
          <cell r="H527" t="str">
            <v>g__norank_f__Peptococcaceae</v>
          </cell>
          <cell r="I527" t="str">
            <v>s__uncultured_bacterium_g__norank_f__Peptococcaceae</v>
          </cell>
        </row>
        <row r="528">
          <cell r="G528" t="str">
            <v>ASV5463</v>
          </cell>
          <cell r="H528" t="str">
            <v>g__unclassified_o__Bacteroidales</v>
          </cell>
          <cell r="I528" t="str">
            <v>s__unclassified_o__Bacteroidales</v>
          </cell>
        </row>
        <row r="529">
          <cell r="G529" t="str">
            <v>ASV3070</v>
          </cell>
          <cell r="H529" t="str">
            <v>g__Phascolarctobacterium</v>
          </cell>
          <cell r="I529" t="str">
            <v>s__unclassified_g__Phascolarctobacterium</v>
          </cell>
        </row>
        <row r="530">
          <cell r="G530" t="str">
            <v>ASV2987</v>
          </cell>
          <cell r="H530" t="str">
            <v>g__Mageibacillus</v>
          </cell>
          <cell r="I530" t="str">
            <v>s__Clostridiales_bacterium_canine_oral_taxon_216</v>
          </cell>
        </row>
        <row r="531">
          <cell r="G531" t="str">
            <v>ASV1873</v>
          </cell>
          <cell r="H531" t="str">
            <v>g__UCG-005</v>
          </cell>
          <cell r="I531" t="str">
            <v>s__unclassified_g__UCG-005</v>
          </cell>
        </row>
        <row r="532">
          <cell r="G532" t="str">
            <v>ASV7453</v>
          </cell>
          <cell r="H532" t="str">
            <v>g__norank_f__Peptococcaceae</v>
          </cell>
          <cell r="I532" t="str">
            <v>s__unclassified_g__norank_f__Peptococcaceae</v>
          </cell>
        </row>
        <row r="533">
          <cell r="G533" t="str">
            <v>ASV3737</v>
          </cell>
          <cell r="H533" t="str">
            <v>g__Pyramidobacter</v>
          </cell>
          <cell r="I533" t="str">
            <v>s__uncultured_bacterium_g__Pyramidobacter</v>
          </cell>
        </row>
        <row r="534">
          <cell r="G534" t="str">
            <v>ASV3751</v>
          </cell>
          <cell r="H534" t="str">
            <v>g__Synergistes</v>
          </cell>
          <cell r="I534" t="str">
            <v>s__uncultured_organism_g__Synergistes</v>
          </cell>
        </row>
        <row r="535">
          <cell r="G535" t="str">
            <v>ASV2827</v>
          </cell>
          <cell r="H535" t="str">
            <v>g__Alloprevotella</v>
          </cell>
          <cell r="I535" t="str">
            <v>s__Prevotella_sp._canine_oral_taxon_282</v>
          </cell>
        </row>
        <row r="536">
          <cell r="G536" t="str">
            <v>ASV163</v>
          </cell>
          <cell r="H536" t="str">
            <v>g__Anaerorhabdus_furcosa_group</v>
          </cell>
          <cell r="I536" t="str">
            <v>s__uncultured_bacterium_g__Anaerorhabdus_furcosa_group</v>
          </cell>
        </row>
        <row r="537">
          <cell r="G537" t="str">
            <v>ASV1558</v>
          </cell>
          <cell r="H537" t="str">
            <v>g__Veillonella</v>
          </cell>
          <cell r="I537" t="str">
            <v>s__unclassified_g__Veillonella</v>
          </cell>
        </row>
        <row r="538">
          <cell r="G538" t="str">
            <v>ASV17581</v>
          </cell>
          <cell r="H538" t="str">
            <v>g__Fusobacterium</v>
          </cell>
          <cell r="I538" t="str">
            <v>s__unclassified_g__Fusobacterium</v>
          </cell>
        </row>
        <row r="539">
          <cell r="G539" t="str">
            <v>ASV2645</v>
          </cell>
          <cell r="H539" t="str">
            <v>g__Arcanobacterium</v>
          </cell>
          <cell r="I539" t="str">
            <v>s__unclassified_g__Arcanobacterium</v>
          </cell>
        </row>
        <row r="540">
          <cell r="G540" t="str">
            <v>ASV62</v>
          </cell>
          <cell r="H540" t="str">
            <v>g__UCG-005</v>
          </cell>
          <cell r="I540" t="str">
            <v>s__unclassified_g__UCG-005</v>
          </cell>
        </row>
        <row r="541">
          <cell r="G541" t="str">
            <v>ASV3575</v>
          </cell>
          <cell r="H541" t="str">
            <v>g__Streptococcus</v>
          </cell>
          <cell r="I541" t="str">
            <v>s__Streptococcus_sp._C5I1</v>
          </cell>
        </row>
        <row r="542">
          <cell r="G542" t="str">
            <v>ASV4439</v>
          </cell>
          <cell r="H542" t="str">
            <v>g__Prevotella</v>
          </cell>
          <cell r="I542" t="str">
            <v>s__unclassified_g__Prevotella</v>
          </cell>
        </row>
        <row r="543">
          <cell r="G543" t="str">
            <v>ASV7543</v>
          </cell>
          <cell r="H543" t="str">
            <v>g__UCG-005</v>
          </cell>
          <cell r="I543" t="str">
            <v>s__unclassified_g__UCG-005</v>
          </cell>
        </row>
        <row r="544">
          <cell r="G544" t="str">
            <v>ASV3763</v>
          </cell>
          <cell r="H544" t="str">
            <v>g__Parabacteroides</v>
          </cell>
          <cell r="I544" t="str">
            <v>s__Parabacteroides_merdae</v>
          </cell>
        </row>
        <row r="545">
          <cell r="G545" t="str">
            <v>ASV8277</v>
          </cell>
          <cell r="H545" t="str">
            <v>g__Prevotella</v>
          </cell>
          <cell r="I545" t="str">
            <v>s__unclassified_g__Prevotella</v>
          </cell>
        </row>
        <row r="546">
          <cell r="G546" t="str">
            <v>ASV17580</v>
          </cell>
          <cell r="H546" t="str">
            <v>g__Fusobacterium</v>
          </cell>
          <cell r="I546" t="str">
            <v>s__unclassified_g__Fusobacterium</v>
          </cell>
        </row>
        <row r="547">
          <cell r="G547" t="str">
            <v>ASV2992</v>
          </cell>
          <cell r="H547" t="str">
            <v>g__Streptococcus</v>
          </cell>
          <cell r="I547" t="str">
            <v>s__unclassified_g__Streptococcus</v>
          </cell>
        </row>
        <row r="548">
          <cell r="G548" t="str">
            <v>ASV138</v>
          </cell>
          <cell r="H548" t="str">
            <v>g__unclassified_f__Ruminococcaceae</v>
          </cell>
          <cell r="I548" t="str">
            <v>s__unclassified_f__Ruminococcaceae</v>
          </cell>
        </row>
        <row r="549">
          <cell r="G549" t="str">
            <v>ASV1699</v>
          </cell>
          <cell r="H549" t="str">
            <v>g__Parvimonas</v>
          </cell>
          <cell r="I549" t="str">
            <v>s__unclassified_g__Parvimonas</v>
          </cell>
        </row>
        <row r="550">
          <cell r="G550" t="str">
            <v>ASV2630</v>
          </cell>
          <cell r="H550" t="str">
            <v>g__norank_f__Erysipelotrichaceae</v>
          </cell>
          <cell r="I550" t="str">
            <v>s__unclassified_g__norank_f__Erysipelotrichaceae</v>
          </cell>
        </row>
        <row r="551">
          <cell r="G551" t="str">
            <v>ASV153</v>
          </cell>
          <cell r="H551" t="str">
            <v>g__Lactobacillus</v>
          </cell>
          <cell r="I551" t="str">
            <v>s__Lactobacillus_coleohominis</v>
          </cell>
        </row>
        <row r="552">
          <cell r="G552" t="str">
            <v>ASV3800</v>
          </cell>
          <cell r="H552" t="str">
            <v>g__Bifidobacterium</v>
          </cell>
          <cell r="I552" t="str">
            <v>s__unclassified_g__Bifidobacterium</v>
          </cell>
        </row>
        <row r="553">
          <cell r="G553" t="str">
            <v>ASV2618</v>
          </cell>
          <cell r="H553" t="str">
            <v>g__Tonsilliphilus</v>
          </cell>
          <cell r="I553" t="str">
            <v>s__Tonsilliphilus_suis</v>
          </cell>
        </row>
        <row r="554">
          <cell r="G554" t="str">
            <v>ASV1528</v>
          </cell>
          <cell r="H554" t="str">
            <v>g__Sharpea</v>
          </cell>
          <cell r="I554" t="str">
            <v>s__uncultured_bacterium_g__Sharpea</v>
          </cell>
        </row>
        <row r="555">
          <cell r="G555" t="str">
            <v>ASV3867</v>
          </cell>
          <cell r="H555" t="str">
            <v>g__Barnesiella</v>
          </cell>
          <cell r="I555" t="str">
            <v>s__unclassified_g__Barnesiella</v>
          </cell>
        </row>
        <row r="556">
          <cell r="G556" t="str">
            <v>ASV4412</v>
          </cell>
          <cell r="H556" t="str">
            <v>g__Treponema</v>
          </cell>
          <cell r="I556" t="str">
            <v>s__Treponema_porcinum</v>
          </cell>
        </row>
        <row r="557">
          <cell r="G557" t="str">
            <v>ASV1605</v>
          </cell>
          <cell r="H557" t="str">
            <v>g__Prevotellaceae_NK3B31_group</v>
          </cell>
          <cell r="I557" t="str">
            <v>s__uncultured_Prevotella_sp._g__Prevotellaceae_NK3B31_group</v>
          </cell>
        </row>
        <row r="558">
          <cell r="G558" t="str">
            <v>ASV4385</v>
          </cell>
          <cell r="H558" t="str">
            <v>g__Bacteroides</v>
          </cell>
          <cell r="I558" t="str">
            <v>s__unclassified_g__Bacteroides</v>
          </cell>
        </row>
        <row r="559">
          <cell r="G559" t="str">
            <v>ASV243</v>
          </cell>
          <cell r="H559" t="str">
            <v>g__Family_XIII_AD3011_group</v>
          </cell>
          <cell r="I559" t="str">
            <v>s__uncultured_organism_g__Family_XIII_AD3011_group</v>
          </cell>
        </row>
        <row r="560">
          <cell r="G560" t="str">
            <v>ASV109</v>
          </cell>
          <cell r="H560" t="str">
            <v>g__norank_f__Muribaculaceae</v>
          </cell>
          <cell r="I560" t="str">
            <v>s__uncultured_bacterium_g__norank_f__Muribaculaceae</v>
          </cell>
        </row>
        <row r="561">
          <cell r="G561" t="str">
            <v>ASV179</v>
          </cell>
          <cell r="H561" t="str">
            <v>g__Prevotellaceae_NK3B31_group</v>
          </cell>
          <cell r="I561" t="str">
            <v>s__metagenome_g__Prevotellaceae_NK3B31_group</v>
          </cell>
        </row>
        <row r="562">
          <cell r="G562" t="str">
            <v>ASV2626</v>
          </cell>
          <cell r="H562" t="str">
            <v>g__Streptococcus</v>
          </cell>
          <cell r="I562" t="str">
            <v>s__unclassified_g__Streptococcus</v>
          </cell>
        </row>
        <row r="563">
          <cell r="G563" t="str">
            <v>ASV5480</v>
          </cell>
          <cell r="H563" t="str">
            <v>g__Prevotellaceae_UCG-001</v>
          </cell>
          <cell r="I563" t="str">
            <v>s__uncultured_bacterium_g__Prevotellaceae_UCG-001</v>
          </cell>
        </row>
        <row r="564">
          <cell r="G564" t="str">
            <v>ASV9848</v>
          </cell>
          <cell r="H564" t="str">
            <v>g__Lactobacillus</v>
          </cell>
          <cell r="I564" t="str">
            <v>s__Lactobacillus_coleohominis</v>
          </cell>
        </row>
        <row r="565">
          <cell r="G565" t="str">
            <v>ASV3066</v>
          </cell>
          <cell r="H565" t="str">
            <v>g__Faecalibacterium</v>
          </cell>
          <cell r="I565" t="str">
            <v>s__unclassified_g__Faecalibacterium</v>
          </cell>
        </row>
        <row r="566">
          <cell r="G566" t="str">
            <v>ASV1541</v>
          </cell>
          <cell r="H566" t="str">
            <v>g__Actinobacillus</v>
          </cell>
          <cell r="I566" t="str">
            <v>s__unclassified_g__Actinobacillus</v>
          </cell>
        </row>
        <row r="567">
          <cell r="G567" t="str">
            <v>ASV2036</v>
          </cell>
          <cell r="H567" t="str">
            <v>g__Parabacteroides</v>
          </cell>
          <cell r="I567" t="str">
            <v>s__uncultured_bacterium_g__Parabacteroides</v>
          </cell>
        </row>
        <row r="568">
          <cell r="G568" t="str">
            <v>ASV5489</v>
          </cell>
          <cell r="H568" t="str">
            <v>g__Bacteroides</v>
          </cell>
          <cell r="I568" t="str">
            <v>s__uncultured_bacterium_g__Bacteroides</v>
          </cell>
        </row>
        <row r="569">
          <cell r="G569" t="str">
            <v>ASV9937</v>
          </cell>
          <cell r="H569" t="str">
            <v>g__Christensenellaceae_R-7_group</v>
          </cell>
          <cell r="I569" t="str">
            <v>s__unclassified_g__Christensenellaceae_R-7_group</v>
          </cell>
        </row>
        <row r="570">
          <cell r="G570" t="str">
            <v>ASV7002</v>
          </cell>
          <cell r="H570" t="str">
            <v>g__Sutterella</v>
          </cell>
          <cell r="I570" t="str">
            <v>s__uncultured_bacterium_g__Sutterella</v>
          </cell>
        </row>
        <row r="571">
          <cell r="G571" t="str">
            <v>ASV2794</v>
          </cell>
          <cell r="H571" t="str">
            <v>g__Enterococcus</v>
          </cell>
          <cell r="I571" t="str">
            <v>s__unclassified_g__Enterococcus</v>
          </cell>
        </row>
        <row r="572">
          <cell r="G572" t="str">
            <v>ASV1596</v>
          </cell>
          <cell r="H572" t="str">
            <v>g__Streptococcus</v>
          </cell>
          <cell r="I572" t="str">
            <v>s__unclassified_g__Streptococcus</v>
          </cell>
        </row>
        <row r="573">
          <cell r="G573" t="str">
            <v>ASV5468</v>
          </cell>
          <cell r="H573" t="str">
            <v>g__Rikenellaceae_RC9_gut_group</v>
          </cell>
          <cell r="I573" t="str">
            <v>s__uncultured_bacterium_g__Rikenellaceae_RC9_gut_group</v>
          </cell>
        </row>
        <row r="574">
          <cell r="G574" t="str">
            <v>ASV160</v>
          </cell>
          <cell r="H574" t="str">
            <v>g__Turicibacter</v>
          </cell>
          <cell r="I574" t="str">
            <v>s__unclassified_g__Turicibacter</v>
          </cell>
        </row>
        <row r="575">
          <cell r="G575" t="str">
            <v>ASV2644</v>
          </cell>
          <cell r="H575" t="str">
            <v>g__Corynebacterium</v>
          </cell>
          <cell r="I575" t="str">
            <v>s__unclassified_g__Corynebacterium</v>
          </cell>
        </row>
        <row r="576">
          <cell r="G576" t="str">
            <v>ASV1920</v>
          </cell>
          <cell r="H576" t="str">
            <v>g__norank_f__norank_o__Clostridia_UCG-014</v>
          </cell>
          <cell r="I576" t="str">
            <v>s__unclassified_g__norank_f__norank_o__Clostridia_UCG-014</v>
          </cell>
        </row>
        <row r="577">
          <cell r="G577" t="str">
            <v>ASV2689</v>
          </cell>
          <cell r="H577" t="str">
            <v>g__DNF00809</v>
          </cell>
          <cell r="I577" t="str">
            <v>s__Coriobacteriaceae_bacterium_68-1-3</v>
          </cell>
        </row>
        <row r="578">
          <cell r="G578" t="str">
            <v>ASV1090</v>
          </cell>
          <cell r="H578" t="str">
            <v>g__Alistipes</v>
          </cell>
          <cell r="I578" t="str">
            <v>s__Alistipes_shahii</v>
          </cell>
        </row>
        <row r="579">
          <cell r="G579" t="str">
            <v>ASV16169</v>
          </cell>
          <cell r="H579" t="str">
            <v>g__Bacillus</v>
          </cell>
          <cell r="I579" t="str">
            <v>s__Lactobacillus_vaginalis_g__Bacillus</v>
          </cell>
        </row>
        <row r="580">
          <cell r="G580" t="str">
            <v>ASV1880</v>
          </cell>
          <cell r="H580" t="str">
            <v>g__Eubacterium_hallii_group</v>
          </cell>
          <cell r="I580" t="str">
            <v>s__uncultured_bacterium_g__Eubacterium_hallii_group</v>
          </cell>
        </row>
        <row r="581">
          <cell r="G581" t="str">
            <v>ASV3594</v>
          </cell>
          <cell r="H581" t="str">
            <v>g__Porphyromonas</v>
          </cell>
          <cell r="I581" t="str">
            <v>s__unclassified_g__Porphyromonas</v>
          </cell>
        </row>
        <row r="582">
          <cell r="G582" t="str">
            <v>ASV113</v>
          </cell>
          <cell r="H582" t="str">
            <v>g__Colidextribacter</v>
          </cell>
          <cell r="I582" t="str">
            <v>s__unclassified_g__Colidextribacter</v>
          </cell>
        </row>
        <row r="583">
          <cell r="G583" t="str">
            <v>ASV3089</v>
          </cell>
          <cell r="H583" t="str">
            <v>g__Butyricicoccus</v>
          </cell>
          <cell r="I583" t="str">
            <v>s__unclassified_g__Butyricicoccus</v>
          </cell>
        </row>
        <row r="584">
          <cell r="G584" t="str">
            <v>ASV7229</v>
          </cell>
          <cell r="H584" t="str">
            <v>g__unclassified_f__Prevotellaceae</v>
          </cell>
          <cell r="I584" t="str">
            <v>s__unclassified_f__Prevotellaceae</v>
          </cell>
        </row>
        <row r="585">
          <cell r="G585" t="str">
            <v>ASV218</v>
          </cell>
          <cell r="H585" t="str">
            <v>g__Eubacterium_siraeum_group</v>
          </cell>
          <cell r="I585" t="str">
            <v>s__unclassified_g__Eubacterium_siraeum_group</v>
          </cell>
        </row>
        <row r="586">
          <cell r="G586" t="str">
            <v>ASV19028</v>
          </cell>
          <cell r="H586" t="str">
            <v>g__Denitrobacterium</v>
          </cell>
          <cell r="I586" t="str">
            <v>s__Eggerthellaceae_bacterium_AT8</v>
          </cell>
        </row>
        <row r="587">
          <cell r="G587" t="str">
            <v>ASV3612</v>
          </cell>
          <cell r="H587" t="str">
            <v>g__Brevundimonas</v>
          </cell>
          <cell r="I587" t="str">
            <v>s__unclassified_g__Brevundimonas</v>
          </cell>
        </row>
        <row r="588">
          <cell r="G588" t="str">
            <v>ASV191</v>
          </cell>
          <cell r="H588" t="str">
            <v>g__Christensenellaceae_R-7_group</v>
          </cell>
          <cell r="I588" t="str">
            <v>s__unclassified_g__Christensenellaceae_R-7_group</v>
          </cell>
        </row>
        <row r="589">
          <cell r="G589" t="str">
            <v>ASV3739</v>
          </cell>
          <cell r="H589" t="str">
            <v>g__Akkermansia</v>
          </cell>
          <cell r="I589" t="str">
            <v>s__unclassified_g__Akkermansia</v>
          </cell>
        </row>
        <row r="590">
          <cell r="G590" t="str">
            <v>ASV3408</v>
          </cell>
          <cell r="H590" t="str">
            <v>g__Veillonella</v>
          </cell>
          <cell r="I590" t="str">
            <v>s__unclassified_g__Veillonella</v>
          </cell>
        </row>
        <row r="591">
          <cell r="G591" t="str">
            <v>ASV7004</v>
          </cell>
          <cell r="H591" t="str">
            <v>g__Olsenella</v>
          </cell>
          <cell r="I591" t="str">
            <v>s__Olsenella_sp._GAM18</v>
          </cell>
        </row>
        <row r="592">
          <cell r="G592" t="str">
            <v>ASV7434</v>
          </cell>
          <cell r="H592" t="str">
            <v>g__Megasphaera</v>
          </cell>
          <cell r="I592" t="str">
            <v>s__unclassified_g__Megasphaera</v>
          </cell>
        </row>
        <row r="593">
          <cell r="G593" t="str">
            <v>ASV8593</v>
          </cell>
          <cell r="H593" t="str">
            <v>g__Clostridium_sensu_stricto_1</v>
          </cell>
          <cell r="I593" t="str">
            <v>s__Clostridium_sp._ND2</v>
          </cell>
        </row>
        <row r="594">
          <cell r="G594" t="str">
            <v>ASV3409</v>
          </cell>
          <cell r="H594" t="str">
            <v>g__Pasteurella</v>
          </cell>
          <cell r="I594" t="str">
            <v>s__Pasteurella_aerogenes</v>
          </cell>
        </row>
        <row r="595">
          <cell r="G595" t="str">
            <v>ASV3080</v>
          </cell>
          <cell r="H595" t="str">
            <v>g__Lachnospiraceae_UCG-004</v>
          </cell>
          <cell r="I595" t="str">
            <v>s__unclassified_g__Lachnospiraceae_UCG-004</v>
          </cell>
        </row>
        <row r="596">
          <cell r="G596" t="str">
            <v>ASV498</v>
          </cell>
          <cell r="H596" t="str">
            <v>g__norank_f__Eubacterium_coprostanoligenes_group</v>
          </cell>
          <cell r="I596" t="str">
            <v>s__uncultured_Clostridium_sp._g__norank_f__Eubacterium_coprostanoligenes_group</v>
          </cell>
        </row>
        <row r="597">
          <cell r="G597" t="str">
            <v>ASV1857</v>
          </cell>
          <cell r="H597" t="str">
            <v>g__Christensenellaceae_R-7_group</v>
          </cell>
          <cell r="I597" t="str">
            <v>s__unclassified_g__Christensenellaceae_R-7_group</v>
          </cell>
        </row>
        <row r="598">
          <cell r="G598" t="str">
            <v>ASV1874</v>
          </cell>
          <cell r="H598" t="str">
            <v>g__Ruminococcus</v>
          </cell>
          <cell r="I598" t="str">
            <v>s__unclassified_g__Ruminococcus</v>
          </cell>
        </row>
        <row r="599">
          <cell r="G599" t="str">
            <v>ASV5319</v>
          </cell>
          <cell r="H599" t="str">
            <v>g__Christensenellaceae_R-7_group</v>
          </cell>
          <cell r="I599" t="str">
            <v>s__unclassified_g__Christensenellaceae_R-7_group</v>
          </cell>
        </row>
        <row r="600">
          <cell r="G600" t="str">
            <v>ASV8385</v>
          </cell>
          <cell r="H600" t="str">
            <v>g__Prevotella</v>
          </cell>
          <cell r="I600" t="str">
            <v>s__unclassified_g__Prevotella</v>
          </cell>
        </row>
        <row r="601">
          <cell r="G601" t="str">
            <v>ASV7437</v>
          </cell>
          <cell r="H601" t="str">
            <v>g__Megasphaera</v>
          </cell>
          <cell r="I601" t="str">
            <v>s__unclassified_g__Megasphaera</v>
          </cell>
        </row>
        <row r="602">
          <cell r="G602" t="str">
            <v>ASV4384</v>
          </cell>
          <cell r="H602" t="str">
            <v>g__Sphaerochaeta</v>
          </cell>
          <cell r="I602" t="str">
            <v>s__uncultured_bacterium_g__Sphaerochaeta</v>
          </cell>
        </row>
        <row r="603">
          <cell r="G603" t="str">
            <v>ASV246</v>
          </cell>
          <cell r="H603" t="str">
            <v>g__norank_f__UCG-010</v>
          </cell>
          <cell r="I603" t="str">
            <v>s__metagenome_g__norank_f__UCG-010</v>
          </cell>
        </row>
        <row r="604">
          <cell r="G604" t="str">
            <v>ASV3374</v>
          </cell>
          <cell r="H604" t="str">
            <v>g__norank_f__norank_o__Clostridia_UCG-014</v>
          </cell>
          <cell r="I604" t="str">
            <v>s__unclassified_g__norank_f__norank_o__Clostridia_UCG-014</v>
          </cell>
        </row>
        <row r="605">
          <cell r="G605" t="str">
            <v>ASV3068</v>
          </cell>
          <cell r="H605" t="str">
            <v>g__norank_f__norank_o__Clostridia_UCG-014</v>
          </cell>
          <cell r="I605" t="str">
            <v>s__unclassified_g__norank_f__norank_o__Clostridia_UCG-014</v>
          </cell>
        </row>
        <row r="606">
          <cell r="G606" t="str">
            <v>ASV100</v>
          </cell>
          <cell r="H606" t="str">
            <v>g__Mitsuokella</v>
          </cell>
          <cell r="I606" t="str">
            <v>s__unclassified_g__Mitsuokella</v>
          </cell>
        </row>
        <row r="607">
          <cell r="G607" t="str">
            <v>ASV16193</v>
          </cell>
          <cell r="H607" t="str">
            <v>g__Bacteroides</v>
          </cell>
          <cell r="I607" t="str">
            <v>s__uncultured_bacterium_g__Bacteroides</v>
          </cell>
        </row>
        <row r="608">
          <cell r="G608" t="str">
            <v>ASV3404</v>
          </cell>
          <cell r="H608" t="str">
            <v>g__Clostridium_sensu_stricto_1</v>
          </cell>
          <cell r="I608" t="str">
            <v>s__unclassified_g__Clostridium_sensu_stricto_1</v>
          </cell>
        </row>
        <row r="609">
          <cell r="G609" t="str">
            <v>ASV7237</v>
          </cell>
          <cell r="H609" t="str">
            <v>g__Parabacteroides</v>
          </cell>
          <cell r="I609" t="str">
            <v>s__unclassified_g__Parabacteroides</v>
          </cell>
        </row>
        <row r="610">
          <cell r="G610" t="str">
            <v>ASV5482</v>
          </cell>
          <cell r="H610" t="str">
            <v>g__Desulfovibrio</v>
          </cell>
          <cell r="I610" t="str">
            <v>s__unclassified_g__Desulfovibrio</v>
          </cell>
        </row>
        <row r="611">
          <cell r="G611" t="str">
            <v>ASV2852</v>
          </cell>
          <cell r="H611" t="str">
            <v>g__Porphyromonas</v>
          </cell>
          <cell r="I611" t="str">
            <v>s__uncultured_bacterium_g__Porphyromonas</v>
          </cell>
        </row>
        <row r="612">
          <cell r="G612" t="str">
            <v>ASV11128</v>
          </cell>
          <cell r="H612" t="str">
            <v>g__Prevotellaceae_UCG-001</v>
          </cell>
          <cell r="I612" t="str">
            <v>s__uncultured_rumen_bacterium_g__Prevotellaceae_UCG-001</v>
          </cell>
        </row>
        <row r="613">
          <cell r="G613" t="str">
            <v>ASV140</v>
          </cell>
          <cell r="H613" t="str">
            <v>g__Lactobacillus</v>
          </cell>
          <cell r="I613" t="str">
            <v>s__Lactobacillus_coleohominis</v>
          </cell>
        </row>
        <row r="614">
          <cell r="G614" t="str">
            <v>ASV10045</v>
          </cell>
          <cell r="H614" t="str">
            <v>g__norank_f__Eubacterium_coprostanoligenes_group</v>
          </cell>
          <cell r="I614" t="str">
            <v>s__uncultured_bacterium_g__norank_f__Eubacterium_coprostanoligenes_group</v>
          </cell>
        </row>
        <row r="615">
          <cell r="G615" t="str">
            <v>ASV152</v>
          </cell>
          <cell r="H615" t="str">
            <v>g__NK4A214_group</v>
          </cell>
          <cell r="I615" t="str">
            <v>s__Lachnospiraceae_bacterium_19gly4</v>
          </cell>
        </row>
        <row r="616">
          <cell r="G616" t="str">
            <v>ASV1539</v>
          </cell>
          <cell r="H616" t="str">
            <v>g__norank_f__Ruminococcaceae</v>
          </cell>
          <cell r="I616" t="str">
            <v>s__gut_metagenome_g__norank_f__Ruminococcaceae</v>
          </cell>
        </row>
        <row r="617">
          <cell r="G617" t="str">
            <v>ASV3069</v>
          </cell>
          <cell r="H617" t="str">
            <v>g__Oribacterium</v>
          </cell>
          <cell r="I617" t="str">
            <v>s__uncultured_bacterium_g__Oribacterium</v>
          </cell>
        </row>
        <row r="618">
          <cell r="G618" t="str">
            <v>ASV3747</v>
          </cell>
          <cell r="H618" t="str">
            <v>g__Alloprevotella</v>
          </cell>
          <cell r="I618" t="str">
            <v>s__uncultured_bacterium_g__Alloprevotella</v>
          </cell>
        </row>
        <row r="619">
          <cell r="G619" t="str">
            <v>ASV6499</v>
          </cell>
          <cell r="H619" t="str">
            <v>g__Enhydrobacter</v>
          </cell>
          <cell r="I619" t="str">
            <v>s__unclassified_g__Enhydrobacter</v>
          </cell>
        </row>
        <row r="620">
          <cell r="G620" t="str">
            <v>ASV1860</v>
          </cell>
          <cell r="H620" t="str">
            <v>g__norank_f__norank_o__RF39</v>
          </cell>
          <cell r="I620" t="str">
            <v>s__uncultured_bacterium_g__norank_f__norank_o__RF39</v>
          </cell>
        </row>
        <row r="621">
          <cell r="G621" t="str">
            <v>ASV1575</v>
          </cell>
          <cell r="H621" t="str">
            <v>g__Family_XIII_AD3011_group</v>
          </cell>
          <cell r="I621" t="str">
            <v>s__uncultured_bacterium_g__Family_XIII_AD3011_group</v>
          </cell>
        </row>
        <row r="622">
          <cell r="G622" t="str">
            <v>ASV99</v>
          </cell>
          <cell r="H622" t="str">
            <v>g__norank_f__Muribaculaceae</v>
          </cell>
          <cell r="I622" t="str">
            <v>s__uncultured_bacterium_g__norank_f__Muribaculaceae</v>
          </cell>
        </row>
        <row r="623">
          <cell r="G623" t="str">
            <v>ASV4391</v>
          </cell>
          <cell r="H623" t="str">
            <v>g__UCG-002</v>
          </cell>
          <cell r="I623" t="str">
            <v>s__uncultured_bacterium_g__UCG-002</v>
          </cell>
        </row>
        <row r="624">
          <cell r="G624" t="str">
            <v>ASV13228</v>
          </cell>
          <cell r="H624" t="str">
            <v>g__Christensenellaceae_R-7_group</v>
          </cell>
          <cell r="I624" t="str">
            <v>s__uncultured_prokaryote_g__Christensenellaceae_R-7_group</v>
          </cell>
        </row>
        <row r="625">
          <cell r="G625" t="str">
            <v>ASV8387</v>
          </cell>
          <cell r="H625" t="str">
            <v>g__Prevotella</v>
          </cell>
          <cell r="I625" t="str">
            <v>s__unclassified_g__Prevotella</v>
          </cell>
        </row>
        <row r="626">
          <cell r="G626" t="str">
            <v>ASV1633</v>
          </cell>
          <cell r="H626" t="str">
            <v>g__Dorea</v>
          </cell>
          <cell r="I626" t="str">
            <v>s__unclassified_g__Dorea</v>
          </cell>
        </row>
        <row r="627">
          <cell r="G627" t="str">
            <v>ASV5467</v>
          </cell>
          <cell r="H627" t="str">
            <v>g__Rikenellaceae_RC9_gut_group</v>
          </cell>
          <cell r="I627" t="str">
            <v>s__uncultured_bacterium_g__Rikenellaceae_RC9_gut_group</v>
          </cell>
        </row>
        <row r="628">
          <cell r="G628" t="str">
            <v>ASV2625</v>
          </cell>
          <cell r="H628" t="str">
            <v>g__unclassified_f__Saccharimonadaceae</v>
          </cell>
          <cell r="I628" t="str">
            <v>s__unclassified_f__Saccharimonadaceae</v>
          </cell>
        </row>
        <row r="629">
          <cell r="G629" t="str">
            <v>ASV8386</v>
          </cell>
          <cell r="H629" t="str">
            <v>g__Prevotella</v>
          </cell>
          <cell r="I629" t="str">
            <v>s__Prevotella_sp._DJF_CP65</v>
          </cell>
        </row>
        <row r="630">
          <cell r="G630" t="str">
            <v>ASV2627</v>
          </cell>
          <cell r="H630" t="str">
            <v>g__Actinomyces</v>
          </cell>
          <cell r="I630" t="str">
            <v>s__Actinomyces_howellii</v>
          </cell>
        </row>
        <row r="631">
          <cell r="G631" t="str">
            <v>ASV1988</v>
          </cell>
          <cell r="H631" t="str">
            <v>g__unclassified_f__Lachnospiraceae</v>
          </cell>
          <cell r="I631" t="str">
            <v>s__unclassified_f__Lachnospiraceae</v>
          </cell>
        </row>
        <row r="632">
          <cell r="G632" t="str">
            <v>ASV3574</v>
          </cell>
          <cell r="H632" t="str">
            <v>g__Prevotella</v>
          </cell>
          <cell r="I632" t="str">
            <v>s__unclassified_g__Prevotella</v>
          </cell>
        </row>
        <row r="633">
          <cell r="G633" t="str">
            <v>ASV3399</v>
          </cell>
          <cell r="H633" t="str">
            <v>g__UCG-005</v>
          </cell>
          <cell r="I633" t="str">
            <v>s__unclassified_g__UCG-005</v>
          </cell>
        </row>
        <row r="634">
          <cell r="G634" t="str">
            <v>ASV11086</v>
          </cell>
          <cell r="H634" t="str">
            <v>g__NK4A214_group</v>
          </cell>
          <cell r="I634" t="str">
            <v>s__unclassified_g__NK4A214_group</v>
          </cell>
        </row>
        <row r="635">
          <cell r="G635" t="str">
            <v>ASV154</v>
          </cell>
          <cell r="H635" t="str">
            <v>g__Moryella</v>
          </cell>
          <cell r="I635" t="str">
            <v>s__human_gut_metagenome_g__Moryella</v>
          </cell>
        </row>
        <row r="636">
          <cell r="G636" t="str">
            <v>ASV3420</v>
          </cell>
          <cell r="H636" t="str">
            <v>g__Acidaminococcus</v>
          </cell>
          <cell r="I636" t="str">
            <v>s__unclassified_g__Acidaminococcus</v>
          </cell>
        </row>
        <row r="637">
          <cell r="G637" t="str">
            <v>ASV2986</v>
          </cell>
          <cell r="H637" t="str">
            <v>g__Solobacterium</v>
          </cell>
          <cell r="I637" t="str">
            <v>s__unclassified_g__Solobacterium</v>
          </cell>
        </row>
        <row r="638">
          <cell r="G638" t="str">
            <v>ASV2650</v>
          </cell>
          <cell r="H638" t="str">
            <v>g__Streptococcus</v>
          </cell>
          <cell r="I638" t="str">
            <v>s__unclassified_g__Streptococcus</v>
          </cell>
        </row>
        <row r="639">
          <cell r="G639" t="str">
            <v>ASV15107</v>
          </cell>
          <cell r="H639" t="str">
            <v>g__unclassified_f__Rikenellaceae</v>
          </cell>
          <cell r="I639" t="str">
            <v>s__unclassified_f__Rikenellaceae</v>
          </cell>
        </row>
        <row r="640">
          <cell r="G640" t="str">
            <v>ASV84</v>
          </cell>
          <cell r="H640" t="str">
            <v>g__Rikenellaceae_RC9_gut_group</v>
          </cell>
          <cell r="I640" t="str">
            <v>s__uncultured_bacterium_g__Rikenellaceae_RC9_gut_group</v>
          </cell>
        </row>
        <row r="641">
          <cell r="G641" t="str">
            <v>ASV1658</v>
          </cell>
          <cell r="H641" t="str">
            <v>g__Ruminococcus</v>
          </cell>
          <cell r="I641" t="str">
            <v>s__unclassified_g__Ruminococcus</v>
          </cell>
        </row>
        <row r="642">
          <cell r="G642" t="str">
            <v>ASV1587</v>
          </cell>
          <cell r="H642" t="str">
            <v>g__Fournierella</v>
          </cell>
          <cell r="I642" t="str">
            <v>s__uncultured_organism_g__Fournierella</v>
          </cell>
        </row>
        <row r="643">
          <cell r="G643" t="str">
            <v>ASV9846</v>
          </cell>
          <cell r="H643" t="str">
            <v>g__Lactobacillus</v>
          </cell>
          <cell r="I643" t="str">
            <v>s__unclassified_g__Lactobacillus</v>
          </cell>
        </row>
        <row r="644">
          <cell r="G644" t="str">
            <v>ASV3783</v>
          </cell>
          <cell r="H644" t="str">
            <v>g__Bacteroides</v>
          </cell>
          <cell r="I644" t="str">
            <v>s__unclassified_g__Bacteroides</v>
          </cell>
        </row>
        <row r="645">
          <cell r="G645" t="str">
            <v>ASV1800</v>
          </cell>
          <cell r="H645" t="str">
            <v>g__unclassified_f__Lachnospiraceae</v>
          </cell>
          <cell r="I645" t="str">
            <v>s__unclassified_f__Lachnospiraceae</v>
          </cell>
        </row>
        <row r="646">
          <cell r="G646" t="str">
            <v>ASV149</v>
          </cell>
          <cell r="H646" t="str">
            <v>g__Lachnospiraceae_AC2044_group</v>
          </cell>
          <cell r="I646" t="str">
            <v>s__unclassified_g__Lachnospiraceae_AC2044_group</v>
          </cell>
        </row>
        <row r="647">
          <cell r="G647" t="str">
            <v>ASV2863</v>
          </cell>
          <cell r="H647" t="str">
            <v>g__Eubacterium_brachy_group</v>
          </cell>
          <cell r="I647" t="str">
            <v>s__uncultured_bacterium_g__Eubacterium_brachy_group</v>
          </cell>
        </row>
        <row r="648">
          <cell r="G648" t="str">
            <v>ASV82</v>
          </cell>
          <cell r="H648" t="str">
            <v>g__Oscillibacter</v>
          </cell>
          <cell r="I648" t="str">
            <v>s__unclassified_g__Oscillibacter</v>
          </cell>
        </row>
        <row r="649">
          <cell r="G649" t="str">
            <v>ASV198</v>
          </cell>
          <cell r="H649" t="str">
            <v>g__Christensenellaceae_R-7_group</v>
          </cell>
          <cell r="I649" t="str">
            <v>s__unclassified_g__Christensenellaceae_R-7_group</v>
          </cell>
        </row>
        <row r="650">
          <cell r="G650" t="str">
            <v>ASV10369</v>
          </cell>
          <cell r="H650" t="str">
            <v>g__Parabacteroides</v>
          </cell>
          <cell r="I650" t="str">
            <v>s__Porphyromonadaceae_bacterium_DJF_B175</v>
          </cell>
        </row>
        <row r="651">
          <cell r="G651" t="str">
            <v>ASV5461</v>
          </cell>
          <cell r="H651" t="str">
            <v>g__Pseudoflavonifractor</v>
          </cell>
          <cell r="I651" t="str">
            <v>s__uncultured_bacterium_g__Pseudoflavonifractor</v>
          </cell>
        </row>
        <row r="652">
          <cell r="G652" t="str">
            <v>ASV88</v>
          </cell>
          <cell r="H652" t="str">
            <v>g__norank_f__norank_o__norank_c__norank_p__WPS-2</v>
          </cell>
          <cell r="I652" t="str">
            <v>s__uncultured_rumen_bacterium_g__norank_f__norank_o__norank_c__norank</v>
          </cell>
        </row>
        <row r="653">
          <cell r="G653" t="str">
            <v>ASV2819</v>
          </cell>
          <cell r="H653" t="str">
            <v>g__Porphyromonas</v>
          </cell>
          <cell r="I653" t="str">
            <v>s__unclassified_g__Porphyromonas</v>
          </cell>
        </row>
        <row r="654">
          <cell r="G654" t="str">
            <v>ASV16797</v>
          </cell>
          <cell r="H654" t="str">
            <v>g__Subdoligranulum</v>
          </cell>
          <cell r="I654" t="str">
            <v>s__unclassified_g__Subdoligranulum</v>
          </cell>
        </row>
        <row r="655">
          <cell r="G655" t="str">
            <v>ASV3613</v>
          </cell>
          <cell r="H655" t="str">
            <v>g__unclassified_f__Lachnospiraceae</v>
          </cell>
          <cell r="I655" t="str">
            <v>s__unclassified_f__Lachnospiraceae</v>
          </cell>
        </row>
        <row r="656">
          <cell r="G656" t="str">
            <v>ASV8749</v>
          </cell>
          <cell r="H656" t="str">
            <v>g__Alloprevotella</v>
          </cell>
          <cell r="I656" t="str">
            <v>s__uncultured_Bacteroidales_bacterium_g__Alloprevotella</v>
          </cell>
        </row>
        <row r="657">
          <cell r="G657" t="str">
            <v>ASV2934</v>
          </cell>
          <cell r="H657" t="str">
            <v>g__Bacteroides</v>
          </cell>
          <cell r="I657" t="str">
            <v>s__unclassified_g__Bacteroides</v>
          </cell>
        </row>
        <row r="658">
          <cell r="G658" t="str">
            <v>ASV2655</v>
          </cell>
          <cell r="H658" t="str">
            <v>g__Globicatella</v>
          </cell>
          <cell r="I658" t="str">
            <v>s__Globicatella_sp._canine_oral_taxon_218</v>
          </cell>
        </row>
        <row r="659">
          <cell r="G659" t="str">
            <v>ASV8342</v>
          </cell>
          <cell r="H659" t="str">
            <v>g__Bacillus</v>
          </cell>
          <cell r="I659" t="str">
            <v>s__Lactobacillus_vaginalis_g__Bacillus</v>
          </cell>
        </row>
        <row r="660">
          <cell r="G660" t="str">
            <v>ASV7435</v>
          </cell>
          <cell r="H660" t="str">
            <v>g__norank_f__Eubacterium_coprostanoligenes_group</v>
          </cell>
          <cell r="I660" t="str">
            <v>s__uncultured_bacterium_g__norank_f__Eubacterium_coprostanoligenes_group</v>
          </cell>
        </row>
        <row r="661">
          <cell r="G661" t="str">
            <v>ASV6527</v>
          </cell>
          <cell r="H661" t="str">
            <v>g__Actinobacillus</v>
          </cell>
          <cell r="I661" t="str">
            <v>s__Actinobacillus_porcinus</v>
          </cell>
        </row>
        <row r="662">
          <cell r="G662" t="str">
            <v>ASV1576</v>
          </cell>
          <cell r="H662" t="str">
            <v>g__Christensenellaceae_R-7_group</v>
          </cell>
          <cell r="I662" t="str">
            <v>s__unclassified_g__Christensenellaceae_R-7_group</v>
          </cell>
        </row>
        <row r="663">
          <cell r="G663" t="str">
            <v>ASV3752</v>
          </cell>
          <cell r="H663" t="str">
            <v>g__Christensenellaceae_R-7_group</v>
          </cell>
          <cell r="I663" t="str">
            <v>s__unclassified_g__Christensenellaceae_R-7_group</v>
          </cell>
        </row>
        <row r="664">
          <cell r="G664" t="str">
            <v>ASV16774</v>
          </cell>
          <cell r="H664" t="str">
            <v>g__Eubacterium_nodatum_group</v>
          </cell>
          <cell r="I664" t="str">
            <v>s__uncultured_bacterium_g__Eubacterium_nodatum_group</v>
          </cell>
        </row>
        <row r="665">
          <cell r="G665" t="str">
            <v>ASV5628</v>
          </cell>
          <cell r="H665" t="str">
            <v>g__Lachnoclostridium</v>
          </cell>
          <cell r="I665" t="str">
            <v>s__unclassified_g__Lachnoclostridium</v>
          </cell>
        </row>
        <row r="666">
          <cell r="G666" t="str">
            <v>ASV7312</v>
          </cell>
          <cell r="H666" t="str">
            <v>g__Slackia</v>
          </cell>
          <cell r="I666" t="str">
            <v>s__Slackia_isoflavoniconvertens</v>
          </cell>
        </row>
        <row r="667">
          <cell r="G667" t="str">
            <v>ASV171</v>
          </cell>
          <cell r="H667" t="str">
            <v>g__norank_f__UCG-010</v>
          </cell>
          <cell r="I667" t="str">
            <v>s__uncultured_bacterium_g__norank_f__UCG-010</v>
          </cell>
        </row>
        <row r="668">
          <cell r="G668" t="str">
            <v>ASV8406</v>
          </cell>
          <cell r="H668" t="str">
            <v>g__Ruminococcus_gauvreauii_group</v>
          </cell>
          <cell r="I668" t="str">
            <v>s__uncultured_rumen_bacterium_g__Ruminococcus_gauvreauii_group</v>
          </cell>
        </row>
        <row r="669">
          <cell r="G669" t="str">
            <v>ASV1726</v>
          </cell>
          <cell r="H669" t="str">
            <v>g__Actinomyces</v>
          </cell>
          <cell r="I669" t="str">
            <v>s__unclassified_g__Actinomyces</v>
          </cell>
        </row>
        <row r="670">
          <cell r="G670" t="str">
            <v>ASV10367</v>
          </cell>
          <cell r="H670" t="str">
            <v>g__Christensenellaceae_R-7_group</v>
          </cell>
          <cell r="I670" t="str">
            <v>s__unclassified_g__Christensenellaceae_R-7_group</v>
          </cell>
        </row>
        <row r="671">
          <cell r="G671" t="str">
            <v>ASV11162</v>
          </cell>
          <cell r="H671" t="str">
            <v>g__norank_f__Ruminococcaceae</v>
          </cell>
          <cell r="I671" t="str">
            <v>s__unclassified_g__norank_f__Ruminococcaceae</v>
          </cell>
        </row>
        <row r="672">
          <cell r="G672" t="str">
            <v>ASV5460</v>
          </cell>
          <cell r="H672" t="str">
            <v>g__Family_XIII_AD3011_group</v>
          </cell>
          <cell r="I672" t="str">
            <v>s__uncultured_Eubacterium_sp._g__Family_XIII_AD3011_group</v>
          </cell>
        </row>
        <row r="673">
          <cell r="G673" t="str">
            <v>ASV10365</v>
          </cell>
          <cell r="H673" t="str">
            <v>g__UCG-005</v>
          </cell>
          <cell r="I673" t="str">
            <v>s__unclassified_g__UCG-005</v>
          </cell>
        </row>
        <row r="674">
          <cell r="G674" t="str">
            <v>ASV8398</v>
          </cell>
          <cell r="H674" t="str">
            <v>g__Dialister</v>
          </cell>
          <cell r="I674" t="str">
            <v>s__unclassified_g__Dialister</v>
          </cell>
        </row>
        <row r="675">
          <cell r="G675" t="str">
            <v>ASV6844</v>
          </cell>
          <cell r="H675" t="str">
            <v>g__Prevotellaceae_NK3B31_group</v>
          </cell>
          <cell r="I675" t="str">
            <v>s__metagenome_g__Prevotellaceae_NK3B31_group</v>
          </cell>
        </row>
        <row r="676">
          <cell r="G676" t="str">
            <v>ASV2884</v>
          </cell>
          <cell r="H676" t="str">
            <v>g__Porphyromonas</v>
          </cell>
          <cell r="I676" t="str">
            <v>s__unclassified_g__Porphyromonas</v>
          </cell>
        </row>
        <row r="677">
          <cell r="G677" t="str">
            <v>ASV4583</v>
          </cell>
          <cell r="H677" t="str">
            <v>g__Christensenellaceae_R-7_group</v>
          </cell>
          <cell r="I677" t="str">
            <v>s__unclassified_g__Christensenellaceae_R-7_group</v>
          </cell>
        </row>
        <row r="678">
          <cell r="G678" t="str">
            <v>ASV90</v>
          </cell>
          <cell r="H678" t="str">
            <v>g__norank_f__Paludibacteraceae</v>
          </cell>
          <cell r="I678" t="str">
            <v>s__uncultured_bacterium_g__norank_f__Paludibacteraceae</v>
          </cell>
        </row>
        <row r="679">
          <cell r="G679" t="str">
            <v>ASV1550</v>
          </cell>
          <cell r="H679" t="str">
            <v>g__Christensenellaceae_R-7_group</v>
          </cell>
          <cell r="I679" t="str">
            <v>s__uncultured_prokaryote_g__Christensenellaceae_R-7_group</v>
          </cell>
        </row>
        <row r="680">
          <cell r="G680" t="str">
            <v>ASV4396</v>
          </cell>
          <cell r="H680" t="str">
            <v>g__Parabacteroides</v>
          </cell>
          <cell r="I680" t="str">
            <v>s__Porphyromonadaceae_bacterium_DJF_B175</v>
          </cell>
        </row>
        <row r="681">
          <cell r="G681" t="str">
            <v>ASV89</v>
          </cell>
          <cell r="H681" t="str">
            <v>g__Parabacteroides</v>
          </cell>
          <cell r="I681" t="str">
            <v>s__Porphyromonadaceae_bacterium_DJF_B175</v>
          </cell>
        </row>
        <row r="682">
          <cell r="G682" t="str">
            <v>ASV9849</v>
          </cell>
          <cell r="H682" t="str">
            <v>g__Lactobacillus</v>
          </cell>
          <cell r="I682" t="str">
            <v>s__unclassified_g__Lactobacillus</v>
          </cell>
        </row>
        <row r="683">
          <cell r="G683" t="str">
            <v>ASV352</v>
          </cell>
          <cell r="H683" t="str">
            <v>g__unclassified_c__Clostridia</v>
          </cell>
          <cell r="I683" t="str">
            <v>s__unclassified_c__Clostridia</v>
          </cell>
        </row>
        <row r="684">
          <cell r="G684" t="str">
            <v>ASV4473</v>
          </cell>
          <cell r="H684" t="str">
            <v>g__Christensenellaceae_R-7_group</v>
          </cell>
          <cell r="I684" t="str">
            <v>s__unclassified_g__Christensenellaceae_R-7_group</v>
          </cell>
        </row>
        <row r="685">
          <cell r="G685" t="str">
            <v>ASV2822</v>
          </cell>
          <cell r="H685" t="str">
            <v>g__Bacteroides</v>
          </cell>
          <cell r="I685" t="str">
            <v>s__unclassified_g__Bacteroides</v>
          </cell>
        </row>
        <row r="686">
          <cell r="G686" t="str">
            <v>ASV112</v>
          </cell>
          <cell r="H686" t="str">
            <v>g__unclassified_c__Clostridia</v>
          </cell>
          <cell r="I686" t="str">
            <v>s__unclassified_c__Clostridia</v>
          </cell>
        </row>
        <row r="687">
          <cell r="G687" t="str">
            <v>ASV10368</v>
          </cell>
          <cell r="H687" t="str">
            <v>g__UCG-005</v>
          </cell>
          <cell r="I687" t="str">
            <v>s__unclassified_g__UCG-005</v>
          </cell>
        </row>
        <row r="688">
          <cell r="G688" t="str">
            <v>ASV3572</v>
          </cell>
          <cell r="H688" t="str">
            <v>g__Actinobacillus</v>
          </cell>
          <cell r="I688" t="str">
            <v>s__unclassified_g__Actinobacillus</v>
          </cell>
        </row>
        <row r="689">
          <cell r="G689" t="str">
            <v>ASV486</v>
          </cell>
          <cell r="H689" t="str">
            <v>g__Corynebacterium</v>
          </cell>
          <cell r="I689" t="str">
            <v>s__unclassified_g__Corynebacterium</v>
          </cell>
        </row>
        <row r="690">
          <cell r="G690" t="str">
            <v>ASV332</v>
          </cell>
          <cell r="H690" t="str">
            <v>g__Blautia</v>
          </cell>
          <cell r="I690" t="str">
            <v>s__unclassified_g__Blautia</v>
          </cell>
        </row>
        <row r="691">
          <cell r="G691" t="str">
            <v>ASV3770</v>
          </cell>
          <cell r="H691" t="str">
            <v>g__Intestinimonas</v>
          </cell>
          <cell r="I691" t="str">
            <v>s__uncultured_bacterium_g__Intestinimonas</v>
          </cell>
        </row>
        <row r="692">
          <cell r="G692" t="str">
            <v>ASV2727</v>
          </cell>
          <cell r="H692" t="str">
            <v>g__unclassified_f__Lachnospiraceae</v>
          </cell>
          <cell r="I692" t="str">
            <v>s__unclassified_f__Lachnospiraceae</v>
          </cell>
        </row>
        <row r="693">
          <cell r="G693" t="str">
            <v>ASV3795</v>
          </cell>
          <cell r="H693" t="str">
            <v>g__Oscillibacter</v>
          </cell>
          <cell r="I693" t="str">
            <v>s__uncultured_bacterium_g__Oscillibacter</v>
          </cell>
        </row>
        <row r="694">
          <cell r="G694" t="str">
            <v>ASV15108</v>
          </cell>
          <cell r="H694" t="str">
            <v>g__Christensenellaceae_R-7_group</v>
          </cell>
          <cell r="I694" t="str">
            <v>s__human_gut_metagenome_g__Christensenellaceae_R-7_group</v>
          </cell>
        </row>
        <row r="695">
          <cell r="G695" t="str">
            <v>ASV188</v>
          </cell>
          <cell r="H695" t="str">
            <v>g__UCG-002</v>
          </cell>
          <cell r="I695" t="str">
            <v>s__unclassified_g__UCG-002</v>
          </cell>
        </row>
        <row r="696">
          <cell r="G696" t="str">
            <v>ASV7228</v>
          </cell>
          <cell r="H696" t="str">
            <v>g__Prevotella</v>
          </cell>
          <cell r="I696" t="str">
            <v>s__unclassified_g__Prevotella</v>
          </cell>
        </row>
        <row r="697">
          <cell r="G697" t="str">
            <v>ASV182</v>
          </cell>
          <cell r="H697" t="str">
            <v>g__UCG-008</v>
          </cell>
          <cell r="I697" t="str">
            <v>s__uncultured_bacterium_g__UCG-008</v>
          </cell>
        </row>
        <row r="698">
          <cell r="G698" t="str">
            <v>ASV11091</v>
          </cell>
          <cell r="H698" t="str">
            <v>g__norank_f__norank_o__Bacteroidales</v>
          </cell>
          <cell r="I698" t="str">
            <v>s__uncultured_bacterium_g__norank_f__norank_o__Bacteroidales</v>
          </cell>
        </row>
        <row r="699">
          <cell r="G699" t="str">
            <v>ASV1881</v>
          </cell>
          <cell r="H699" t="str">
            <v>g__unclassified_f__Lachnospiraceae</v>
          </cell>
          <cell r="I699" t="str">
            <v>s__unclassified_f__Lachnospiraceae</v>
          </cell>
        </row>
        <row r="700">
          <cell r="G700" t="str">
            <v>ASV3036</v>
          </cell>
          <cell r="H700" t="str">
            <v>g__Helcococcus</v>
          </cell>
          <cell r="I700" t="str">
            <v>s__uncultured_bacterium_g__Helcococcus</v>
          </cell>
        </row>
        <row r="701">
          <cell r="G701" t="str">
            <v>ASV3576</v>
          </cell>
          <cell r="H701" t="str">
            <v>g__Alloprevotella</v>
          </cell>
          <cell r="I701" t="str">
            <v>s__Prevotella_sp._canine_oral_taxon_282</v>
          </cell>
        </row>
        <row r="702">
          <cell r="G702" t="str">
            <v>ASV9952</v>
          </cell>
          <cell r="H702" t="str">
            <v>g__Rikenellaceae_RC9_gut_group</v>
          </cell>
          <cell r="I702" t="str">
            <v>s__uncultured_bacterium_g__Rikenellaceae_RC9_gut_group</v>
          </cell>
        </row>
        <row r="703">
          <cell r="G703" t="str">
            <v>ASV10372</v>
          </cell>
          <cell r="H703" t="str">
            <v>g__Christensenellaceae_R-7_group</v>
          </cell>
          <cell r="I703" t="str">
            <v>s__bacterium_YE57</v>
          </cell>
        </row>
        <row r="704">
          <cell r="G704" t="str">
            <v>ASV15127</v>
          </cell>
          <cell r="H704" t="str">
            <v>g__Cloacibacillus</v>
          </cell>
          <cell r="I704" t="str">
            <v>s__Cloacibacillus_porcorum</v>
          </cell>
        </row>
        <row r="705">
          <cell r="G705" t="str">
            <v>ASV2683</v>
          </cell>
          <cell r="H705" t="str">
            <v>g__Arcanobacterium</v>
          </cell>
          <cell r="I705" t="str">
            <v>s__unclassified_g__Arcanobacterium</v>
          </cell>
        </row>
        <row r="706">
          <cell r="G706" t="str">
            <v>ASV3779</v>
          </cell>
          <cell r="H706" t="str">
            <v>g__NK4A214_group</v>
          </cell>
          <cell r="I706" t="str">
            <v>s__unclassified_g__NK4A214_group</v>
          </cell>
        </row>
        <row r="707">
          <cell r="G707" t="str">
            <v>ASV3078</v>
          </cell>
          <cell r="H707" t="str">
            <v>g__Phascolarctobacterium</v>
          </cell>
          <cell r="I707" t="str">
            <v>s__unclassified_g__Phascolarctobacterium</v>
          </cell>
        </row>
        <row r="708">
          <cell r="G708" t="str">
            <v>ASV15111</v>
          </cell>
          <cell r="H708" t="str">
            <v>g__UCG-002</v>
          </cell>
          <cell r="I708" t="str">
            <v>s__uncultured_bacterium_g__UCG-002</v>
          </cell>
        </row>
        <row r="709">
          <cell r="G709" t="str">
            <v>ASV1841</v>
          </cell>
          <cell r="H709" t="str">
            <v>g__Lachnoclostridium</v>
          </cell>
          <cell r="I709" t="str">
            <v>s__unclassified_g__Lachnoclostridium</v>
          </cell>
        </row>
        <row r="710">
          <cell r="G710" t="str">
            <v>ASV3103</v>
          </cell>
          <cell r="H710" t="str">
            <v>g__Campylobacter</v>
          </cell>
          <cell r="I710" t="str">
            <v>s__unclassified_g__Campylobacter</v>
          </cell>
        </row>
        <row r="711">
          <cell r="G711" t="str">
            <v>ASV1092</v>
          </cell>
          <cell r="H711" t="str">
            <v>g__Helicobacter</v>
          </cell>
          <cell r="I711" t="str">
            <v>s__Helicobacter_rappini</v>
          </cell>
        </row>
        <row r="712">
          <cell r="G712" t="str">
            <v>ASV2674</v>
          </cell>
          <cell r="H712" t="str">
            <v>g__unclassified_k__norank_d__Bacteria</v>
          </cell>
          <cell r="I712" t="str">
            <v>s__unclassified_k__norank_d__Bacteria</v>
          </cell>
        </row>
        <row r="713">
          <cell r="G713" t="str">
            <v>ASV2724</v>
          </cell>
          <cell r="H713" t="str">
            <v>g__Aerococcus</v>
          </cell>
          <cell r="I713" t="str">
            <v>s__unclassified_g__Aerococcus</v>
          </cell>
        </row>
        <row r="714">
          <cell r="G714" t="str">
            <v>ASV5484</v>
          </cell>
          <cell r="H714" t="str">
            <v>g__Alistipes</v>
          </cell>
          <cell r="I714" t="str">
            <v>s__Bacteroides_sp._DSM_12148</v>
          </cell>
        </row>
        <row r="715">
          <cell r="G715" t="str">
            <v>ASV209</v>
          </cell>
          <cell r="H715" t="str">
            <v>g__norank_f__Erysipelotrichaceae</v>
          </cell>
          <cell r="I715" t="str">
            <v>s__uncultured_Solobacterium_sp.</v>
          </cell>
        </row>
        <row r="716">
          <cell r="G716" t="str">
            <v>ASV3008</v>
          </cell>
          <cell r="H716" t="str">
            <v>g__Family_XIII_AD3011_group</v>
          </cell>
          <cell r="I716" t="str">
            <v>s__unclassified_g__Family_XIII_AD3011_group</v>
          </cell>
        </row>
        <row r="717">
          <cell r="G717" t="str">
            <v>ASV78</v>
          </cell>
          <cell r="H717" t="str">
            <v>g__norank_f__Muribaculaceae</v>
          </cell>
          <cell r="I717" t="str">
            <v>s__uncultured_Porphyromonadaceae_bacterium_g__norank_f__Muribaculaceae</v>
          </cell>
        </row>
        <row r="718">
          <cell r="G718" t="str">
            <v>ASV6594</v>
          </cell>
          <cell r="H718" t="str">
            <v>g__Actinobacillus</v>
          </cell>
          <cell r="I718" t="str">
            <v>s__unclassified_g__Actinobacillus</v>
          </cell>
        </row>
        <row r="719">
          <cell r="G719" t="str">
            <v>ASV17162</v>
          </cell>
          <cell r="H719" t="str">
            <v>g__Romboutsia</v>
          </cell>
          <cell r="I719" t="str">
            <v>s__unclassified_g__Romboutsia</v>
          </cell>
        </row>
        <row r="720">
          <cell r="G720" t="str">
            <v>ASV15112</v>
          </cell>
          <cell r="H720" t="str">
            <v>g__unclassified_f__Lachnospiraceae</v>
          </cell>
          <cell r="I720" t="str">
            <v>s__unclassified_f__Lachnospiraceae</v>
          </cell>
        </row>
        <row r="721">
          <cell r="G721" t="str">
            <v>ASV3784</v>
          </cell>
          <cell r="H721" t="str">
            <v>g__Negativibacillus</v>
          </cell>
          <cell r="I721" t="str">
            <v>s__uncultured_bacterium_g__Negativibacillus</v>
          </cell>
        </row>
        <row r="722">
          <cell r="G722" t="str">
            <v>ASV3077</v>
          </cell>
          <cell r="H722" t="str">
            <v>g__Ruminococcus_torques_group</v>
          </cell>
          <cell r="I722" t="str">
            <v>s__unclassified_g__Ruminococcus_torques_group</v>
          </cell>
        </row>
        <row r="723">
          <cell r="G723" t="str">
            <v>ASV2649</v>
          </cell>
          <cell r="H723" t="str">
            <v>g__Candidatus_Saccharimonas</v>
          </cell>
          <cell r="I723" t="str">
            <v>s__unclassified_g__Candidatus_Saccharimonas</v>
          </cell>
        </row>
        <row r="724">
          <cell r="G724" t="str">
            <v>ASV11164</v>
          </cell>
          <cell r="H724" t="str">
            <v>g__Coprococcus</v>
          </cell>
          <cell r="I724" t="str">
            <v>s__uncultured_prokaryote_g__Coprococcus</v>
          </cell>
        </row>
        <row r="725">
          <cell r="G725" t="str">
            <v>ASV2665</v>
          </cell>
          <cell r="H725" t="str">
            <v>g__Rothia</v>
          </cell>
          <cell r="I725" t="str">
            <v>s__unclassified_g__Rothia</v>
          </cell>
        </row>
        <row r="726">
          <cell r="G726" t="str">
            <v>ASV1839</v>
          </cell>
          <cell r="H726" t="str">
            <v>g__Lachnoclostridium</v>
          </cell>
          <cell r="I726" t="str">
            <v>s__unclassified_g__Lachnoclostridium</v>
          </cell>
        </row>
        <row r="727">
          <cell r="G727" t="str">
            <v>ASV1930</v>
          </cell>
          <cell r="H727" t="str">
            <v>g__Rikenellaceae_RC9_gut_group</v>
          </cell>
          <cell r="I727" t="str">
            <v>s__uncultured_bacterium_g__Rikenellaceae_RC9_gut_group</v>
          </cell>
        </row>
        <row r="728">
          <cell r="G728" t="str">
            <v>ASV7224</v>
          </cell>
          <cell r="H728" t="str">
            <v>g__unclassified_p__Proteobacteria</v>
          </cell>
          <cell r="I728" t="str">
            <v>s__unclassified_p__Proteobacteria</v>
          </cell>
        </row>
        <row r="729">
          <cell r="G729" t="str">
            <v>ASV5464</v>
          </cell>
          <cell r="H729" t="str">
            <v>g__Blautia</v>
          </cell>
          <cell r="I729" t="str">
            <v>s__unclassified_g__Blautia</v>
          </cell>
        </row>
        <row r="730">
          <cell r="G730" t="str">
            <v>ASV3580</v>
          </cell>
          <cell r="H730" t="str">
            <v>g__Prevotella</v>
          </cell>
          <cell r="I730" t="str">
            <v>s__Prevotella_sp._DJF_CP65</v>
          </cell>
        </row>
        <row r="731">
          <cell r="G731" t="str">
            <v>ASV6486</v>
          </cell>
          <cell r="H731" t="str">
            <v>g__Acinetobacter</v>
          </cell>
          <cell r="I731" t="str">
            <v>s__unclassified_g__Acinetobacter</v>
          </cell>
        </row>
        <row r="732">
          <cell r="G732" t="str">
            <v>ASV1883</v>
          </cell>
          <cell r="H732" t="str">
            <v>g__Family_XIII_AD3011_group</v>
          </cell>
          <cell r="I732" t="str">
            <v>s__uncultured_bacterium_g__Family_XIII_AD3011_group</v>
          </cell>
        </row>
        <row r="733">
          <cell r="G733" t="str">
            <v>ASV1566</v>
          </cell>
          <cell r="H733" t="str">
            <v>g__Streptococcus</v>
          </cell>
          <cell r="I733" t="str">
            <v>s__unclassified_g__Streptococcus</v>
          </cell>
        </row>
        <row r="734">
          <cell r="G734" t="str">
            <v>ASV125</v>
          </cell>
          <cell r="H734" t="str">
            <v>g__NK4A214_group</v>
          </cell>
          <cell r="I734" t="str">
            <v>s__unclassified_g__NK4A214_group</v>
          </cell>
        </row>
        <row r="735">
          <cell r="G735" t="str">
            <v>ASV184</v>
          </cell>
          <cell r="H735" t="str">
            <v>g__Prevotellaceae_UCG-003</v>
          </cell>
          <cell r="I735" t="str">
            <v>s__uncultured_bacterium_g__Prevotellaceae_UCG-003</v>
          </cell>
        </row>
        <row r="736">
          <cell r="G736" t="str">
            <v>ASV2631</v>
          </cell>
          <cell r="H736" t="str">
            <v>g__Streptococcus</v>
          </cell>
          <cell r="I736" t="str">
            <v>s__unclassified_g__Streptococcus</v>
          </cell>
        </row>
        <row r="737">
          <cell r="G737" t="str">
            <v>ASV350</v>
          </cell>
          <cell r="H737" t="str">
            <v>g__Desulfovibrio</v>
          </cell>
          <cell r="I737" t="str">
            <v>s__bacterium_g__Desulfovibrio</v>
          </cell>
        </row>
        <row r="738">
          <cell r="G738" t="str">
            <v>ASV2598</v>
          </cell>
          <cell r="H738" t="str">
            <v>g__Atopobium</v>
          </cell>
          <cell r="I738" t="str">
            <v>s__Atopobium_minutum</v>
          </cell>
        </row>
        <row r="739">
          <cell r="G739" t="str">
            <v>ASV7241</v>
          </cell>
          <cell r="H739" t="str">
            <v>g__norank_f__Muribaculaceae</v>
          </cell>
          <cell r="I739" t="str">
            <v>s__uncultured_bacterium_g__norank_f__Muribaculaceae</v>
          </cell>
        </row>
        <row r="740">
          <cell r="G740" t="str">
            <v>ASV3388</v>
          </cell>
          <cell r="H740" t="str">
            <v>g__norank_f__norank_o__RF39</v>
          </cell>
          <cell r="I740" t="str">
            <v>s__uncultured_bacterium_g__norank_f__norank_o__RF39</v>
          </cell>
        </row>
        <row r="741">
          <cell r="G741" t="str">
            <v>ASV5485</v>
          </cell>
          <cell r="H741" t="str">
            <v>g__norank_f__Muribaculaceae</v>
          </cell>
          <cell r="I741" t="str">
            <v>s__uncultured_bacterium_g__norank_f__Muribaculaceae</v>
          </cell>
        </row>
        <row r="742">
          <cell r="G742" t="str">
            <v>ASV276</v>
          </cell>
          <cell r="H742" t="str">
            <v>g__unclassified_o__Oscillospirales</v>
          </cell>
          <cell r="I742" t="str">
            <v>s__unclassified_o__Oscillospirales</v>
          </cell>
        </row>
        <row r="743">
          <cell r="G743" t="str">
            <v>ASV5504</v>
          </cell>
          <cell r="H743" t="str">
            <v>g__Bacteroides</v>
          </cell>
          <cell r="I743" t="str">
            <v>s__unclassified_g__Bacteroides</v>
          </cell>
        </row>
        <row r="744">
          <cell r="G744" t="str">
            <v>ASV8358</v>
          </cell>
          <cell r="H744" t="str">
            <v>g__Bacteroides</v>
          </cell>
          <cell r="I744" t="str">
            <v>s__unclassified_g__Bacteroides</v>
          </cell>
        </row>
        <row r="745">
          <cell r="G745" t="str">
            <v>ASV3686</v>
          </cell>
          <cell r="H745" t="str">
            <v>g__Sarcina</v>
          </cell>
          <cell r="I745" t="str">
            <v>s__unclassified_g__Sarcina</v>
          </cell>
        </row>
        <row r="746">
          <cell r="G746" t="str">
            <v>ASV135</v>
          </cell>
          <cell r="H746" t="str">
            <v>g__unclassified_f__Lachnospiraceae</v>
          </cell>
          <cell r="I746" t="str">
            <v>s__unclassified_f__Lachnospiraceae</v>
          </cell>
        </row>
        <row r="747">
          <cell r="G747" t="str">
            <v>ASV7316</v>
          </cell>
          <cell r="H747" t="str">
            <v>g__Faecalibacterium</v>
          </cell>
          <cell r="I747" t="str">
            <v>s__unclassified_g__Faecalibacterium</v>
          </cell>
        </row>
        <row r="748">
          <cell r="G748" t="str">
            <v>ASV14958</v>
          </cell>
          <cell r="H748" t="str">
            <v>g__Bacteroides</v>
          </cell>
          <cell r="I748" t="str">
            <v>s__uncultured_bacterium_g__Bacteroides</v>
          </cell>
        </row>
        <row r="749">
          <cell r="G749" t="str">
            <v>ASV3406</v>
          </cell>
          <cell r="H749" t="str">
            <v>g__Actinobacillus</v>
          </cell>
          <cell r="I749" t="str">
            <v>s__Actinobacillus_porcinus</v>
          </cell>
        </row>
        <row r="750">
          <cell r="G750" t="str">
            <v>ASV5476</v>
          </cell>
          <cell r="H750" t="str">
            <v>g__Rikenellaceae_RC9_gut_group</v>
          </cell>
          <cell r="I750" t="str">
            <v>s__uncultured_bacterium_g__Rikenellaceae_RC9_gut_group</v>
          </cell>
        </row>
        <row r="751">
          <cell r="G751" t="str">
            <v>ASV13761</v>
          </cell>
          <cell r="H751" t="str">
            <v>g__Fusobacterium</v>
          </cell>
          <cell r="I751" t="str">
            <v>s__unclassified_g__Fusobacterium</v>
          </cell>
        </row>
        <row r="752">
          <cell r="G752" t="str">
            <v>ASV137</v>
          </cell>
          <cell r="H752" t="str">
            <v>g__Blautia</v>
          </cell>
          <cell r="I752" t="str">
            <v>s__unclassified_g__Blautia</v>
          </cell>
        </row>
        <row r="753">
          <cell r="G753" t="str">
            <v>ASV3009</v>
          </cell>
          <cell r="H753" t="str">
            <v>g__Devosia</v>
          </cell>
          <cell r="I753" t="str">
            <v>s__unclassified_g__Devosia</v>
          </cell>
        </row>
        <row r="754">
          <cell r="G754" t="str">
            <v>ASV8600</v>
          </cell>
          <cell r="H754" t="str">
            <v>g__Actinobacillus</v>
          </cell>
          <cell r="I754" t="str">
            <v>s__unclassified_g__Actinobacillus</v>
          </cell>
        </row>
        <row r="755">
          <cell r="G755" t="str">
            <v>ASV1863</v>
          </cell>
          <cell r="H755" t="str">
            <v>g__unclassified_f__Lachnospiraceae</v>
          </cell>
          <cell r="I755" t="str">
            <v>s__unclassified_f__Lachnospiraceae</v>
          </cell>
        </row>
        <row r="756">
          <cell r="G756" t="str">
            <v>ASV7209</v>
          </cell>
          <cell r="H756" t="str">
            <v>g__Porphyromonas</v>
          </cell>
          <cell r="I756" t="str">
            <v>s__uncultured_bacterium_g__Porphyromonas</v>
          </cell>
        </row>
        <row r="757">
          <cell r="G757" t="str">
            <v>ASV2590</v>
          </cell>
          <cell r="H757" t="str">
            <v>g__Romboutsia</v>
          </cell>
          <cell r="I757" t="str">
            <v>s__unclassified_g__Romboutsia</v>
          </cell>
        </row>
        <row r="758">
          <cell r="G758" t="str">
            <v>ASV8261</v>
          </cell>
          <cell r="H758" t="str">
            <v>g__Olsenella</v>
          </cell>
          <cell r="I758" t="str">
            <v>s__uncultured_bacterium_g__Olsenella</v>
          </cell>
        </row>
        <row r="759">
          <cell r="G759" t="str">
            <v>ASV1623</v>
          </cell>
          <cell r="H759" t="str">
            <v>g__Sphaerochaeta</v>
          </cell>
          <cell r="I759" t="str">
            <v>s__uncultured_bacterium_g__Sphaerochaeta</v>
          </cell>
        </row>
        <row r="760">
          <cell r="G760" t="str">
            <v>ASV3086</v>
          </cell>
          <cell r="H760" t="str">
            <v>g__Phascolarctobacterium</v>
          </cell>
          <cell r="I760" t="str">
            <v>s__unclassified_g__Phascolarctobacterium</v>
          </cell>
        </row>
        <row r="761">
          <cell r="G761" t="str">
            <v>ASV2838</v>
          </cell>
          <cell r="H761" t="str">
            <v>g__Moraxella</v>
          </cell>
          <cell r="I761" t="str">
            <v>s__unclassified_g__Moraxella</v>
          </cell>
        </row>
        <row r="762">
          <cell r="G762" t="str">
            <v>ASV7438</v>
          </cell>
          <cell r="H762" t="str">
            <v>g__Ruminococcus</v>
          </cell>
          <cell r="I762" t="str">
            <v>s__unclassified_g__Ruminococcus</v>
          </cell>
        </row>
        <row r="763">
          <cell r="G763" t="str">
            <v>ASV9930</v>
          </cell>
          <cell r="H763" t="str">
            <v>g__Prevotella</v>
          </cell>
          <cell r="I763" t="str">
            <v>s__unclassified_g__Prevotella</v>
          </cell>
        </row>
        <row r="764">
          <cell r="G764" t="str">
            <v>ASV144</v>
          </cell>
          <cell r="H764" t="str">
            <v>g__Rikenellaceae_RC9_gut_group</v>
          </cell>
          <cell r="I764" t="str">
            <v>s__uncultured_bacterium_g__Rikenellaceae_RC9_gut_group</v>
          </cell>
        </row>
        <row r="765">
          <cell r="G765" t="str">
            <v>ASV18624</v>
          </cell>
          <cell r="H765" t="str">
            <v>g__norank_f__Muribaculaceae</v>
          </cell>
          <cell r="I765" t="str">
            <v>s__unclassified_g__norank_f__Muribaculaceae</v>
          </cell>
        </row>
        <row r="766">
          <cell r="G766" t="str">
            <v>ASV2666</v>
          </cell>
          <cell r="H766" t="str">
            <v>g__Staphylococcus</v>
          </cell>
          <cell r="I766" t="str">
            <v>s__unclassified_g__Staphylococcus</v>
          </cell>
        </row>
        <row r="767">
          <cell r="G767" t="str">
            <v>ASV114</v>
          </cell>
          <cell r="H767" t="str">
            <v>g__Rikenellaceae_RC9_gut_group</v>
          </cell>
          <cell r="I767" t="str">
            <v>s__uncultured_bacterium_g__Rikenellaceae_RC9_gut_group</v>
          </cell>
        </row>
        <row r="768">
          <cell r="G768" t="str">
            <v>ASV92</v>
          </cell>
          <cell r="H768" t="str">
            <v>g__Rikenellaceae_RC9_gut_group</v>
          </cell>
          <cell r="I768" t="str">
            <v>s__uncultured_bacterium_g__Rikenellaceae_RC9_gut_group</v>
          </cell>
        </row>
        <row r="769">
          <cell r="G769" t="str">
            <v>ASV2606</v>
          </cell>
          <cell r="H769" t="str">
            <v>g__Microbacterium</v>
          </cell>
          <cell r="I769" t="str">
            <v>s__unclassified_g__Microbacterium</v>
          </cell>
        </row>
        <row r="770">
          <cell r="G770" t="str">
            <v>ASV2821</v>
          </cell>
          <cell r="H770" t="str">
            <v>g__Staphylococcus</v>
          </cell>
          <cell r="I770" t="str">
            <v>s__unclassified_g__Staphylococcus</v>
          </cell>
        </row>
        <row r="771">
          <cell r="G771" t="str">
            <v>ASV7147</v>
          </cell>
          <cell r="H771" t="str">
            <v>g__Proteocatella</v>
          </cell>
          <cell r="I771" t="str">
            <v>s__Frigovirgula_sp._canine_oral_taxon_058</v>
          </cell>
        </row>
        <row r="772">
          <cell r="G772" t="str">
            <v>ASV11220</v>
          </cell>
          <cell r="H772" t="str">
            <v>g__norank_f__UCG-010</v>
          </cell>
          <cell r="I772" t="str">
            <v>s__metagenome_g__norank_f__UCG-010</v>
          </cell>
        </row>
        <row r="773">
          <cell r="G773" t="str">
            <v>ASV5473</v>
          </cell>
          <cell r="H773" t="str">
            <v>g__Family_XIII_AD3011_group</v>
          </cell>
          <cell r="I773" t="str">
            <v>s__uncultured_bacterium_g__Family_XIII_AD3011_group</v>
          </cell>
        </row>
        <row r="774">
          <cell r="G774" t="str">
            <v>ASV72</v>
          </cell>
          <cell r="H774" t="str">
            <v>g__Eubacterium_hallii_group</v>
          </cell>
          <cell r="I774" t="str">
            <v>s__unclassified_g__Eubacterium_hallii_group</v>
          </cell>
        </row>
        <row r="775">
          <cell r="G775" t="str">
            <v>ASV11030</v>
          </cell>
          <cell r="H775" t="str">
            <v>g__Clostridium_sensu_stricto_1</v>
          </cell>
          <cell r="I775" t="str">
            <v>s__unclassified_g__Clostridium_sensu_stricto_1</v>
          </cell>
        </row>
        <row r="776">
          <cell r="G776" t="str">
            <v>ASV421</v>
          </cell>
          <cell r="H776" t="str">
            <v>g__norank_f__UCG-010</v>
          </cell>
          <cell r="I776" t="str">
            <v>s__unclassified_g__norank_f__UCG-010</v>
          </cell>
        </row>
        <row r="777">
          <cell r="G777" t="str">
            <v>ASV11092</v>
          </cell>
          <cell r="H777" t="str">
            <v>g__Prevotellaceae_NK3B31_group</v>
          </cell>
          <cell r="I777" t="str">
            <v>s__uncultured_Prevotella_sp._g__Prevotellaceae_NK3B31_group</v>
          </cell>
        </row>
        <row r="778">
          <cell r="G778" t="str">
            <v>ASV8899</v>
          </cell>
          <cell r="H778" t="str">
            <v>g__Acinetobacter</v>
          </cell>
          <cell r="I778" t="str">
            <v>s__unclassified_g__Acinetobacter</v>
          </cell>
        </row>
        <row r="779">
          <cell r="G779" t="str">
            <v>ASV15114</v>
          </cell>
          <cell r="H779" t="str">
            <v>g__norank_f__norank_o__WCHB1-41</v>
          </cell>
          <cell r="I779" t="str">
            <v>s__unclassified_g__norank_f__norank_o__WCHB1-41</v>
          </cell>
        </row>
        <row r="780">
          <cell r="G780" t="str">
            <v>ASV7132</v>
          </cell>
          <cell r="H780" t="str">
            <v>g__norank_f__norank_o__Absconditabacteriales_SR1</v>
          </cell>
          <cell r="I780" t="str">
            <v>s__SR1_bacterium_canine_oral_taxon_369</v>
          </cell>
        </row>
        <row r="781">
          <cell r="G781" t="str">
            <v>ASV7452</v>
          </cell>
          <cell r="H781" t="str">
            <v>g__Marvinbryantia</v>
          </cell>
          <cell r="I781" t="str">
            <v>s__unclassified_g__Marvinbryantia</v>
          </cell>
        </row>
        <row r="782">
          <cell r="G782" t="str">
            <v>ASV3106</v>
          </cell>
          <cell r="H782" t="str">
            <v>g__UCG-003</v>
          </cell>
          <cell r="I782" t="str">
            <v>s__unclassified_g__UCG-003</v>
          </cell>
        </row>
        <row r="783">
          <cell r="G783" t="str">
            <v>ASV2826</v>
          </cell>
          <cell r="H783" t="str">
            <v>g__Acinetobacter</v>
          </cell>
          <cell r="I783" t="str">
            <v>s__unclassified_g__Acinetobacter</v>
          </cell>
        </row>
        <row r="784">
          <cell r="G784" t="str">
            <v>ASV7007</v>
          </cell>
          <cell r="H784" t="str">
            <v>g__Veillonella</v>
          </cell>
          <cell r="I784" t="str">
            <v>s__unclassified_g__Veillonella</v>
          </cell>
        </row>
        <row r="785">
          <cell r="G785" t="str">
            <v>ASV7329</v>
          </cell>
          <cell r="H785" t="str">
            <v>g__Dorea</v>
          </cell>
          <cell r="I785" t="str">
            <v>s__unclassified_g__Dorea</v>
          </cell>
        </row>
        <row r="786">
          <cell r="G786" t="str">
            <v>ASV13279</v>
          </cell>
          <cell r="H786" t="str">
            <v>g__Succinivibrio</v>
          </cell>
          <cell r="I786" t="str">
            <v>s__unclassified_g__Succinivibrio</v>
          </cell>
        </row>
        <row r="787">
          <cell r="G787" t="str">
            <v>ASV3123</v>
          </cell>
          <cell r="H787" t="str">
            <v>g__Sutterella</v>
          </cell>
          <cell r="I787" t="str">
            <v>s__uncultured_bacterium_g__Sutterella</v>
          </cell>
        </row>
        <row r="788">
          <cell r="G788" t="str">
            <v>ASV17443</v>
          </cell>
          <cell r="H788" t="str">
            <v>g__Eggerthella</v>
          </cell>
          <cell r="I788" t="str">
            <v>s__unclassified_g__Eggerthella</v>
          </cell>
        </row>
        <row r="789">
          <cell r="G789" t="str">
            <v>ASV2933</v>
          </cell>
          <cell r="H789" t="str">
            <v>g__unclassified_f__Prevotellaceae</v>
          </cell>
          <cell r="I789" t="str">
            <v>s__unclassified_f__Prevotellaceae</v>
          </cell>
        </row>
        <row r="790">
          <cell r="G790" t="str">
            <v>ASV5472</v>
          </cell>
          <cell r="H790" t="str">
            <v>g__Bilophila</v>
          </cell>
          <cell r="I790" t="str">
            <v>s__uncultured_delta_proteobacterium_g__Bilophila</v>
          </cell>
        </row>
        <row r="791">
          <cell r="G791" t="str">
            <v>ASV11087</v>
          </cell>
          <cell r="H791" t="str">
            <v>g__unclassified_f__Ruminococcaceae</v>
          </cell>
          <cell r="I791" t="str">
            <v>s__unclassified_f__Ruminococcaceae</v>
          </cell>
        </row>
        <row r="792">
          <cell r="G792" t="str">
            <v>ASV4386</v>
          </cell>
          <cell r="H792" t="str">
            <v>g__Prevotellaceae_UCG-003</v>
          </cell>
          <cell r="I792" t="str">
            <v>s__uncultured_bacterium_g__Prevotellaceae_UCG-003</v>
          </cell>
        </row>
        <row r="793">
          <cell r="G793" t="str">
            <v>ASV13229</v>
          </cell>
          <cell r="H793" t="str">
            <v>g__Christensenellaceae_R-7_group</v>
          </cell>
          <cell r="I793" t="str">
            <v>s__uncultured_prokaryote_g__Christensenellaceae_R-7_group</v>
          </cell>
        </row>
        <row r="794">
          <cell r="G794" t="str">
            <v>ASV2695</v>
          </cell>
          <cell r="H794" t="str">
            <v>g__Corynebacterium</v>
          </cell>
          <cell r="I794" t="str">
            <v>s__Corynebacterium_testudinoris</v>
          </cell>
        </row>
        <row r="795">
          <cell r="G795" t="str">
            <v>ASV2661</v>
          </cell>
          <cell r="H795" t="str">
            <v>g__Candidatus_Saccharimonas</v>
          </cell>
          <cell r="I795" t="str">
            <v>s__unclassified_g__Candidatus_Saccharimonas</v>
          </cell>
        </row>
        <row r="796">
          <cell r="G796" t="str">
            <v>ASV257</v>
          </cell>
          <cell r="H796" t="str">
            <v>g__Prevotellaceae_UCG-001</v>
          </cell>
          <cell r="I796" t="str">
            <v>s__uncultured_rumen_bacterium_g__Prevotellaceae_UCG-001</v>
          </cell>
        </row>
        <row r="797">
          <cell r="G797" t="str">
            <v>ASV143</v>
          </cell>
          <cell r="H797" t="str">
            <v>g__Family_XIII_UCG-001</v>
          </cell>
          <cell r="I797" t="str">
            <v>s__uncultured_bacterium_g__Family_XIII_UCG-001</v>
          </cell>
        </row>
        <row r="798">
          <cell r="G798" t="str">
            <v>ASV1875</v>
          </cell>
          <cell r="H798" t="str">
            <v>g__norank_f__Muribaculaceae</v>
          </cell>
          <cell r="I798" t="str">
            <v>s__uncultured_bacterium_g__norank_f__Muribaculaceae</v>
          </cell>
        </row>
        <row r="799">
          <cell r="G799" t="str">
            <v>ASV3579</v>
          </cell>
          <cell r="H799" t="str">
            <v>g__Fusobacterium</v>
          </cell>
          <cell r="I799" t="str">
            <v>s__unclassified_g__Fusobacterium</v>
          </cell>
        </row>
        <row r="800">
          <cell r="G800" t="str">
            <v>ASV3390</v>
          </cell>
          <cell r="H800" t="str">
            <v>g__Christensenellaceae_R-7_group</v>
          </cell>
          <cell r="I800" t="str">
            <v>s__unclassified_g__Christensenellaceae_R-7_group</v>
          </cell>
        </row>
        <row r="801">
          <cell r="G801" t="str">
            <v>ASV7188</v>
          </cell>
          <cell r="H801" t="str">
            <v>g__Eubacterium_nodatum_group</v>
          </cell>
          <cell r="I801" t="str">
            <v>s__Eubacterium_pyruvativorans</v>
          </cell>
        </row>
        <row r="802">
          <cell r="G802" t="str">
            <v>ASV6487</v>
          </cell>
          <cell r="H802" t="str">
            <v>g__Acinetobacter</v>
          </cell>
          <cell r="I802" t="str">
            <v>s__unclassified_g__Acinetobacter</v>
          </cell>
        </row>
        <row r="803">
          <cell r="G803" t="str">
            <v>ASV11497</v>
          </cell>
          <cell r="H803" t="str">
            <v>g__Bacteroides</v>
          </cell>
          <cell r="I803" t="str">
            <v>s__uncultured_bacterium_g__Bacteroides</v>
          </cell>
        </row>
        <row r="804">
          <cell r="G804" t="str">
            <v>ASV2652</v>
          </cell>
          <cell r="H804" t="str">
            <v>g__Eubacterium_brachy_group</v>
          </cell>
          <cell r="I804" t="str">
            <v>s__uncultured_bacterium_g__Eubacterium_brachy_group</v>
          </cell>
        </row>
        <row r="805">
          <cell r="G805" t="str">
            <v>ASV4475</v>
          </cell>
          <cell r="H805" t="str">
            <v>g__Sphaerochaeta</v>
          </cell>
          <cell r="I805" t="str">
            <v>s__uncultured_bacterium_g__Sphaerochaeta</v>
          </cell>
        </row>
        <row r="806">
          <cell r="G806" t="str">
            <v>ASV156</v>
          </cell>
          <cell r="H806" t="str">
            <v>g__Prevotellaceae_UCG-003</v>
          </cell>
          <cell r="I806" t="str">
            <v>s__uncultured_bacterium_g__Prevotellaceae_UCG-003</v>
          </cell>
        </row>
        <row r="807">
          <cell r="G807" t="str">
            <v>ASV1621</v>
          </cell>
          <cell r="H807" t="str">
            <v>g__Eubacterium_siraeum_group</v>
          </cell>
          <cell r="I807" t="str">
            <v>s__uncultured_bacterium_g__Eubacterium_siraeum_group</v>
          </cell>
        </row>
        <row r="808">
          <cell r="G808" t="str">
            <v>ASV7239</v>
          </cell>
          <cell r="H808" t="str">
            <v>g__Prevotella</v>
          </cell>
          <cell r="I808" t="str">
            <v>s__Prevotella_sp._DJF_LS16</v>
          </cell>
        </row>
        <row r="809">
          <cell r="G809" t="str">
            <v>ASV14968</v>
          </cell>
          <cell r="H809" t="str">
            <v>g__unclassified_f__Prevotellaceae</v>
          </cell>
          <cell r="I809" t="str">
            <v>s__unclassified_f__Prevotellaceae</v>
          </cell>
        </row>
        <row r="810">
          <cell r="G810" t="str">
            <v>ASV272</v>
          </cell>
          <cell r="H810" t="str">
            <v>g__Eisenbergiella</v>
          </cell>
          <cell r="I810" t="str">
            <v>s__unclassified_g__Eisenbergiella</v>
          </cell>
        </row>
        <row r="811">
          <cell r="G811" t="str">
            <v>ASV20344</v>
          </cell>
          <cell r="H811" t="str">
            <v>g__Luteimonas</v>
          </cell>
          <cell r="I811" t="str">
            <v>s__unclassified_g__Luteimonas</v>
          </cell>
        </row>
        <row r="812">
          <cell r="G812" t="str">
            <v>ASV7532</v>
          </cell>
          <cell r="H812" t="str">
            <v>g__Prevotellaceae_UCG-003</v>
          </cell>
          <cell r="I812" t="str">
            <v>s__uncultured_bacterium_g__Prevotellaceae_UCG-003</v>
          </cell>
        </row>
        <row r="813">
          <cell r="G813" t="str">
            <v>ASV8259</v>
          </cell>
          <cell r="H813" t="str">
            <v>g__unclassified_f__Prevotellaceae</v>
          </cell>
          <cell r="I813" t="str">
            <v>s__unclassified_f__Prevotellaceae</v>
          </cell>
        </row>
        <row r="814">
          <cell r="G814" t="str">
            <v>ASV5478</v>
          </cell>
          <cell r="H814" t="str">
            <v>g__Rikenellaceae_RC9_gut_group</v>
          </cell>
          <cell r="I814" t="str">
            <v>s__uncultured_bacterium_g__Rikenellaceae_RC9_gut_group</v>
          </cell>
        </row>
        <row r="815">
          <cell r="G815" t="str">
            <v>ASV2680</v>
          </cell>
          <cell r="H815" t="str">
            <v>g__Actinomyces</v>
          </cell>
          <cell r="I815" t="str">
            <v>s__unclassified_g__Actinomyces</v>
          </cell>
        </row>
        <row r="816">
          <cell r="G816" t="str">
            <v>ASV4400</v>
          </cell>
          <cell r="H816" t="str">
            <v>g__Prevotella</v>
          </cell>
          <cell r="I816" t="str">
            <v>s__unclassified_g__Prevotella</v>
          </cell>
        </row>
        <row r="817">
          <cell r="G817" t="str">
            <v>ASV1637</v>
          </cell>
          <cell r="H817" t="str">
            <v>g__Actinobacillus</v>
          </cell>
          <cell r="I817" t="str">
            <v>s__Actinobacillus_rossii</v>
          </cell>
        </row>
        <row r="818">
          <cell r="G818" t="str">
            <v>ASV8784</v>
          </cell>
          <cell r="H818" t="str">
            <v>g__unclassified_f__Lachnospiraceae</v>
          </cell>
          <cell r="I818" t="str">
            <v>s__unclassified_f__Lachnospiraceae</v>
          </cell>
        </row>
        <row r="819">
          <cell r="G819" t="str">
            <v>ASV2667</v>
          </cell>
          <cell r="H819" t="str">
            <v>g__Peptococcus</v>
          </cell>
          <cell r="I819" t="str">
            <v>s__Peptococcus_sp._canine_oral_taxon_334</v>
          </cell>
        </row>
        <row r="820">
          <cell r="G820" t="str">
            <v>ASV7606</v>
          </cell>
          <cell r="H820" t="str">
            <v>g__Marvinbryantia</v>
          </cell>
          <cell r="I820" t="str">
            <v>s__unclassified_g__Marvinbryantia</v>
          </cell>
        </row>
        <row r="821">
          <cell r="G821" t="str">
            <v>ASV173</v>
          </cell>
          <cell r="H821" t="str">
            <v>g__norank_f__F082</v>
          </cell>
          <cell r="I821" t="str">
            <v>s__uncultured_bacterium_g__norank_f__F082</v>
          </cell>
        </row>
        <row r="822">
          <cell r="G822" t="str">
            <v>ASV2656</v>
          </cell>
          <cell r="H822" t="str">
            <v>g__Corynebacterium</v>
          </cell>
          <cell r="I822" t="str">
            <v>s__unclassified_g__Corynebacterium</v>
          </cell>
        </row>
        <row r="823">
          <cell r="G823" t="str">
            <v>ASV189</v>
          </cell>
          <cell r="H823" t="str">
            <v>g__norank_f__Eubacterium_coprostanoligenes_group</v>
          </cell>
          <cell r="I823" t="str">
            <v>s__unclassified_g__norank_f__Eubacterium_coprostanoligenes_group</v>
          </cell>
        </row>
        <row r="824">
          <cell r="G824" t="str">
            <v>ASV10044</v>
          </cell>
          <cell r="H824" t="str">
            <v>g__Treponema</v>
          </cell>
          <cell r="I824" t="str">
            <v>s__unclassified_g__Treponema</v>
          </cell>
        </row>
        <row r="825">
          <cell r="G825" t="str">
            <v>ASV2710</v>
          </cell>
          <cell r="H825" t="str">
            <v>g__Pseudopropionibacterium</v>
          </cell>
          <cell r="I825" t="str">
            <v>s__unclassified_g__Pseudopropionibacterium</v>
          </cell>
        </row>
        <row r="826">
          <cell r="G826" t="str">
            <v>ASV277</v>
          </cell>
          <cell r="H826" t="str">
            <v>g__Monoglobus</v>
          </cell>
          <cell r="I826" t="str">
            <v>s__uncultured_rumen_bacterium_g__Monoglobus</v>
          </cell>
        </row>
        <row r="827">
          <cell r="G827" t="str">
            <v>ASV4455</v>
          </cell>
          <cell r="H827" t="str">
            <v>g__norank_f__norank_o__WCHB1-41</v>
          </cell>
          <cell r="I827" t="str">
            <v>s__uncultured_bacterium_g__norank_f__norank_o__WCHB1-41</v>
          </cell>
        </row>
        <row r="828">
          <cell r="G828" t="str">
            <v>ASV499</v>
          </cell>
          <cell r="H828" t="str">
            <v>g__Family_XIII_AD3011_group</v>
          </cell>
          <cell r="I828" t="str">
            <v>s__uncultured_bacterium_g__Family_XIII_AD3011_group</v>
          </cell>
        </row>
        <row r="829">
          <cell r="G829" t="str">
            <v>ASV11093</v>
          </cell>
          <cell r="H829" t="str">
            <v>g__Ruminococcus</v>
          </cell>
          <cell r="I829" t="str">
            <v>s__unclassified_g__Ruminococcus</v>
          </cell>
        </row>
        <row r="830">
          <cell r="G830" t="str">
            <v>ASV2648</v>
          </cell>
          <cell r="H830" t="str">
            <v>g__unclassified_f__Lachnospiraceae</v>
          </cell>
          <cell r="I830" t="str">
            <v>s__unclassified_f__Lachnospiraceae</v>
          </cell>
        </row>
        <row r="831">
          <cell r="G831" t="str">
            <v>ASV3067</v>
          </cell>
          <cell r="H831" t="str">
            <v>g__Roseburia</v>
          </cell>
          <cell r="I831" t="str">
            <v>s__unclassified_g__Roseburia</v>
          </cell>
        </row>
        <row r="832">
          <cell r="G832" t="str">
            <v>ASV8392</v>
          </cell>
          <cell r="H832" t="str">
            <v>g__Acidaminococcus</v>
          </cell>
          <cell r="I832" t="str">
            <v>s__unclassified_g__Acidaminococcus</v>
          </cell>
        </row>
        <row r="833">
          <cell r="G833" t="str">
            <v>ASV16194</v>
          </cell>
          <cell r="H833" t="str">
            <v>g__Sphaerochaeta</v>
          </cell>
          <cell r="I833" t="str">
            <v>s__uncultured_bacterium_g__Sphaerochaeta</v>
          </cell>
        </row>
        <row r="834">
          <cell r="G834" t="str">
            <v>ASV240</v>
          </cell>
          <cell r="H834" t="str">
            <v>g__Negativibacillus</v>
          </cell>
          <cell r="I834" t="str">
            <v>s__uncultured_bacterium_g__Negativibacillus</v>
          </cell>
        </row>
        <row r="835">
          <cell r="G835" t="str">
            <v>ASV2929</v>
          </cell>
          <cell r="H835" t="str">
            <v>g__Lactococcus</v>
          </cell>
          <cell r="I835" t="str">
            <v>s__unclassified_g__Lactococcus</v>
          </cell>
        </row>
        <row r="836">
          <cell r="G836" t="str">
            <v>ASV1865</v>
          </cell>
          <cell r="H836" t="str">
            <v>g__CAG-56</v>
          </cell>
          <cell r="I836" t="str">
            <v>s__uncultured_bacterium_g__CAG-56</v>
          </cell>
        </row>
        <row r="837">
          <cell r="G837" t="str">
            <v>ASV7232</v>
          </cell>
          <cell r="H837" t="str">
            <v>g__Butyricimonas</v>
          </cell>
          <cell r="I837" t="str">
            <v>s__uncultured_bacterium_g__Butyricimonas</v>
          </cell>
        </row>
        <row r="838">
          <cell r="G838" t="str">
            <v>ASV14962</v>
          </cell>
          <cell r="H838" t="str">
            <v>g__Parabacteroides</v>
          </cell>
          <cell r="I838" t="str">
            <v>s__uncultured_bacterium_g__Parabacteroides</v>
          </cell>
        </row>
        <row r="839">
          <cell r="G839" t="str">
            <v>ASV2060</v>
          </cell>
          <cell r="H839" t="str">
            <v>g__norank_f__Muribaculaceae</v>
          </cell>
          <cell r="I839" t="str">
            <v>s__uncultured_bacterium_g__norank_f__Muribaculaceae</v>
          </cell>
        </row>
        <row r="840">
          <cell r="G840" t="str">
            <v>ASV10136</v>
          </cell>
          <cell r="H840" t="str">
            <v>g__unclassified_f__Lachnospiraceae</v>
          </cell>
          <cell r="I840" t="str">
            <v>s__unclassified_f__Lachnospiraceae</v>
          </cell>
        </row>
        <row r="841">
          <cell r="G841" t="str">
            <v>ASV7236</v>
          </cell>
          <cell r="H841" t="str">
            <v>g__Sutterella</v>
          </cell>
          <cell r="I841" t="str">
            <v>s__uncultured_bacterium_g__Sutterella</v>
          </cell>
        </row>
        <row r="842">
          <cell r="G842" t="str">
            <v>ASV139</v>
          </cell>
          <cell r="H842" t="str">
            <v>g__norank_f__norank_o__norank_c__norank_p__WPS-2</v>
          </cell>
          <cell r="I842" t="str">
            <v>s__uncultured_rumen_bacterium_g__norank_f__norank_o__norank_c__norank</v>
          </cell>
        </row>
        <row r="843">
          <cell r="G843" t="str">
            <v>ASV7000</v>
          </cell>
          <cell r="H843" t="str">
            <v>g__Faecalibacterium</v>
          </cell>
          <cell r="I843" t="str">
            <v>s__unclassified_g__Faecalibacterium</v>
          </cell>
        </row>
        <row r="844">
          <cell r="G844" t="str">
            <v>ASV8901</v>
          </cell>
          <cell r="H844" t="str">
            <v>g__Acinetobacter</v>
          </cell>
          <cell r="I844" t="str">
            <v>s__unclassified_g__Acinetobacter</v>
          </cell>
        </row>
        <row r="845">
          <cell r="G845" t="str">
            <v>ASV9920</v>
          </cell>
          <cell r="H845" t="str">
            <v>g__Prevotella</v>
          </cell>
          <cell r="I845" t="str">
            <v>s__unclassified_g__Prevotella</v>
          </cell>
        </row>
        <row r="846">
          <cell r="G846" t="str">
            <v>ASV5560</v>
          </cell>
          <cell r="H846" t="str">
            <v>g__Parabacteroides</v>
          </cell>
          <cell r="I846" t="str">
            <v>s__Porphyromonadaceae_bacterium_DJF_B175</v>
          </cell>
        </row>
        <row r="847">
          <cell r="G847" t="str">
            <v>ASV3071</v>
          </cell>
          <cell r="H847" t="str">
            <v>g__Desulfovibrio</v>
          </cell>
          <cell r="I847" t="str">
            <v>s__bacterium_g__Desulfovibrio</v>
          </cell>
        </row>
        <row r="848">
          <cell r="G848" t="str">
            <v>ASV17161</v>
          </cell>
          <cell r="H848" t="str">
            <v>g__Terrisporobacter</v>
          </cell>
          <cell r="I848" t="str">
            <v>s__uncultured_bacterium_g__Terrisporobacter</v>
          </cell>
        </row>
        <row r="849">
          <cell r="G849" t="str">
            <v>ASV2128</v>
          </cell>
          <cell r="H849" t="str">
            <v>g__Alloprevotella</v>
          </cell>
          <cell r="I849" t="str">
            <v>s__uncultured_bacterium_g__Alloprevotella</v>
          </cell>
        </row>
        <row r="850">
          <cell r="G850" t="str">
            <v>ASV2908</v>
          </cell>
          <cell r="H850" t="str">
            <v>g__Acinetobacter</v>
          </cell>
          <cell r="I850" t="str">
            <v>s__unclassified_g__Acinetobacter</v>
          </cell>
        </row>
        <row r="851">
          <cell r="G851" t="str">
            <v>ASV7225</v>
          </cell>
          <cell r="H851" t="str">
            <v>g__Massilia</v>
          </cell>
          <cell r="I851" t="str">
            <v>s__unclassified_g__Massilia</v>
          </cell>
        </row>
        <row r="852">
          <cell r="G852" t="str">
            <v>ASV2939</v>
          </cell>
          <cell r="H852" t="str">
            <v>g__unclassified_f__Moraxellaceae</v>
          </cell>
          <cell r="I852" t="str">
            <v>s__unclassified_f__Moraxellaceae</v>
          </cell>
        </row>
        <row r="853">
          <cell r="G853" t="str">
            <v>ASV3687</v>
          </cell>
          <cell r="H853" t="str">
            <v>g__norank_f__norank_o__Absconditabacteriales_SR1</v>
          </cell>
          <cell r="I853" t="str">
            <v>s__SR1_bacterium_oral_taxon_875</v>
          </cell>
        </row>
        <row r="854">
          <cell r="G854" t="str">
            <v>ASV3583</v>
          </cell>
          <cell r="H854" t="str">
            <v>g__Porphyromonas</v>
          </cell>
          <cell r="I854" t="str">
            <v>s__unclassified_g__Porphyromonas</v>
          </cell>
        </row>
        <row r="855">
          <cell r="G855" t="str">
            <v>ASV19215</v>
          </cell>
          <cell r="H855" t="str">
            <v>g__unclassified_f__Lachnospiraceae</v>
          </cell>
          <cell r="I855" t="str">
            <v>s__unclassified_f__Lachnospiraceae</v>
          </cell>
        </row>
        <row r="856">
          <cell r="G856" t="str">
            <v>ASV200</v>
          </cell>
          <cell r="H856" t="str">
            <v>g__norank_f__Muribaculaceae</v>
          </cell>
          <cell r="I856" t="str">
            <v>s__uncultured_bacterium_g__norank_f__Muribaculaceae</v>
          </cell>
        </row>
        <row r="857">
          <cell r="G857" t="str">
            <v>ASV11283</v>
          </cell>
          <cell r="H857" t="str">
            <v>g__norank_f__Muribaculaceae</v>
          </cell>
          <cell r="I857" t="str">
            <v>s__uncultured_bacterium_g__norank_f__Muribaculaceae</v>
          </cell>
        </row>
        <row r="858">
          <cell r="G858" t="str">
            <v>ASV8594</v>
          </cell>
          <cell r="H858" t="str">
            <v>g__Conchiformibius</v>
          </cell>
          <cell r="I858" t="str">
            <v>s__Neisseria_canis_g__Conchiformibius</v>
          </cell>
        </row>
        <row r="859">
          <cell r="G859" t="str">
            <v>ASV3084</v>
          </cell>
          <cell r="H859" t="str">
            <v>g__Phascolarctobacterium</v>
          </cell>
          <cell r="I859" t="str">
            <v>s__unclassified_g__Phascolarctobacterium</v>
          </cell>
        </row>
        <row r="860">
          <cell r="G860" t="str">
            <v>ASV1887</v>
          </cell>
          <cell r="H860" t="str">
            <v>g__Treponema</v>
          </cell>
          <cell r="I860" t="str">
            <v>s__Treponema_porcinum</v>
          </cell>
        </row>
        <row r="861">
          <cell r="G861" t="str">
            <v>ASV1889</v>
          </cell>
          <cell r="H861" t="str">
            <v>g__unclassified_f__Lachnospiraceae</v>
          </cell>
          <cell r="I861" t="str">
            <v>s__unclassified_f__Lachnospiraceae</v>
          </cell>
        </row>
        <row r="862">
          <cell r="G862" t="str">
            <v>ASV6522</v>
          </cell>
          <cell r="H862" t="str">
            <v>g__Streptococcus</v>
          </cell>
          <cell r="I862" t="str">
            <v>s__unclassified_g__Streptococcus</v>
          </cell>
        </row>
        <row r="863">
          <cell r="G863" t="str">
            <v>ASV14961</v>
          </cell>
          <cell r="H863" t="str">
            <v>g__Parabacteroides</v>
          </cell>
          <cell r="I863" t="str">
            <v>s__uncultured_bacterium_g__Parabacteroides</v>
          </cell>
        </row>
        <row r="864">
          <cell r="G864" t="str">
            <v>ASV2816</v>
          </cell>
          <cell r="H864" t="str">
            <v>g__Weissella</v>
          </cell>
          <cell r="I864" t="str">
            <v>s__unclassified_g__Weissella</v>
          </cell>
        </row>
        <row r="865">
          <cell r="G865" t="str">
            <v>ASV1870</v>
          </cell>
          <cell r="H865" t="str">
            <v>g__Rikenellaceae_RC9_gut_group</v>
          </cell>
          <cell r="I865" t="str">
            <v>s__uncultured_bacterium_g__Rikenellaceae_RC9_gut_group</v>
          </cell>
        </row>
        <row r="866">
          <cell r="G866" t="str">
            <v>ASV659</v>
          </cell>
          <cell r="H866" t="str">
            <v>g__unclassified_c__Bacilli</v>
          </cell>
          <cell r="I866" t="str">
            <v>s__unclassified_c__Bacilli</v>
          </cell>
        </row>
        <row r="867">
          <cell r="G867" t="str">
            <v>ASV8599</v>
          </cell>
          <cell r="H867" t="str">
            <v>g__Neisseria</v>
          </cell>
          <cell r="I867" t="str">
            <v>s__unclassified_g__Neisseria</v>
          </cell>
        </row>
        <row r="868">
          <cell r="G868" t="str">
            <v>ASV228</v>
          </cell>
          <cell r="H868" t="str">
            <v>g__Alloprevotella</v>
          </cell>
          <cell r="I868" t="str">
            <v>s__uncultured_bacterium_g__Alloprevotella</v>
          </cell>
        </row>
        <row r="869">
          <cell r="G869" t="str">
            <v>ASV10266</v>
          </cell>
          <cell r="H869" t="str">
            <v>g__Faecalibacterium</v>
          </cell>
          <cell r="I869" t="str">
            <v>s__unclassified_g__Faecalibacterium</v>
          </cell>
        </row>
        <row r="870">
          <cell r="G870" t="str">
            <v>ASV10072</v>
          </cell>
          <cell r="H870" t="str">
            <v>g__unclassified_f__Lachnospiraceae</v>
          </cell>
          <cell r="I870" t="str">
            <v>s__unclassified_f__Lachnospiraceae</v>
          </cell>
        </row>
        <row r="871">
          <cell r="G871" t="str">
            <v>ASV4221</v>
          </cell>
          <cell r="H871" t="str">
            <v>g__Parvimonas</v>
          </cell>
          <cell r="I871" t="str">
            <v>s__unclassified_g__Parvimonas</v>
          </cell>
        </row>
        <row r="872">
          <cell r="G872" t="str">
            <v>ASV19216</v>
          </cell>
          <cell r="H872" t="str">
            <v>g__unclassified_f__Lachnospiraceae</v>
          </cell>
          <cell r="I872" t="str">
            <v>s__unclassified_f__Lachnospiraceae</v>
          </cell>
        </row>
        <row r="873">
          <cell r="G873" t="str">
            <v>ASV10379</v>
          </cell>
          <cell r="H873" t="str">
            <v>g__Christensenellaceae_R-7_group</v>
          </cell>
          <cell r="I873" t="str">
            <v>s__unclassified_g__Christensenellaceae_R-7_group</v>
          </cell>
        </row>
        <row r="874">
          <cell r="G874" t="str">
            <v>ASV2999</v>
          </cell>
          <cell r="H874" t="str">
            <v>g__Aquabacterium</v>
          </cell>
          <cell r="I874" t="str">
            <v>s__unclassified_g__Aquabacterium</v>
          </cell>
        </row>
        <row r="875">
          <cell r="G875" t="str">
            <v>ASV2739</v>
          </cell>
          <cell r="H875" t="str">
            <v>g__Rhodococcus</v>
          </cell>
          <cell r="I875" t="str">
            <v>s__unclassified_g__Rhodococcus</v>
          </cell>
        </row>
        <row r="876">
          <cell r="G876" t="str">
            <v>ASV2269</v>
          </cell>
          <cell r="H876" t="str">
            <v>g__Treponema</v>
          </cell>
          <cell r="I876" t="str">
            <v>s__unclassified_g__Treponema</v>
          </cell>
        </row>
        <row r="877">
          <cell r="G877" t="str">
            <v>ASV8270</v>
          </cell>
          <cell r="H877" t="str">
            <v>g__norank_f__Selenomonadaceae</v>
          </cell>
          <cell r="I877" t="str">
            <v>s__Veillonellaceae_bacterium_DJF_CR19</v>
          </cell>
        </row>
        <row r="878">
          <cell r="G878" t="str">
            <v>ASV10135</v>
          </cell>
          <cell r="H878" t="str">
            <v>g__unclassified_f__Lachnospiraceae</v>
          </cell>
          <cell r="I878" t="str">
            <v>s__unclassified_f__Lachnospiraceae</v>
          </cell>
        </row>
        <row r="879">
          <cell r="G879" t="str">
            <v>ASV3754</v>
          </cell>
          <cell r="H879" t="str">
            <v>g__Bilophila</v>
          </cell>
          <cell r="I879" t="str">
            <v>s__uncultured_delta_proteobacterium_g__Bilophila</v>
          </cell>
        </row>
        <row r="880">
          <cell r="G880" t="str">
            <v>ASV7412</v>
          </cell>
          <cell r="H880" t="str">
            <v>g__Lactobacillus</v>
          </cell>
          <cell r="I880" t="str">
            <v>s__unclassified_g__Lactobacillus</v>
          </cell>
        </row>
        <row r="881">
          <cell r="G881" t="str">
            <v>ASV15113</v>
          </cell>
          <cell r="H881" t="str">
            <v>g__Christensenellaceae_R-7_group</v>
          </cell>
          <cell r="I881" t="str">
            <v>s__uncultured_prokaryote_g__Christensenellaceae_R-7_group</v>
          </cell>
        </row>
        <row r="882">
          <cell r="G882" t="str">
            <v>ASV20345</v>
          </cell>
          <cell r="H882" t="str">
            <v>g__Rhizobacter</v>
          </cell>
          <cell r="I882" t="str">
            <v>s__unclassified_g__Rhizobacter</v>
          </cell>
        </row>
        <row r="883">
          <cell r="G883" t="str">
            <v>ASV1858</v>
          </cell>
          <cell r="H883" t="str">
            <v>g__UCG-005</v>
          </cell>
          <cell r="I883" t="str">
            <v>s__uncultured_bacterium_g__UCG-005</v>
          </cell>
        </row>
        <row r="884">
          <cell r="G884" t="str">
            <v>ASV2663</v>
          </cell>
          <cell r="H884" t="str">
            <v>g__Staphylococcus</v>
          </cell>
          <cell r="I884" t="str">
            <v>s__unclassified_g__Staphylococcus</v>
          </cell>
        </row>
        <row r="885">
          <cell r="G885" t="str">
            <v>ASV304</v>
          </cell>
          <cell r="H885" t="str">
            <v>g__unclassified_f__Lachnospiraceae</v>
          </cell>
          <cell r="I885" t="str">
            <v>s__unclassified_f__Lachnospiraceae</v>
          </cell>
        </row>
        <row r="886">
          <cell r="G886" t="str">
            <v>ASV2392</v>
          </cell>
          <cell r="H886" t="str">
            <v>g__Prevotella</v>
          </cell>
          <cell r="I886" t="str">
            <v>s__uncultured_bacterium_g__Prevotella</v>
          </cell>
        </row>
        <row r="887">
          <cell r="G887" t="str">
            <v>ASV2957</v>
          </cell>
          <cell r="H887" t="str">
            <v>g__Leptotrichia</v>
          </cell>
          <cell r="I887" t="str">
            <v>s__unclassified_g__Leptotrichia</v>
          </cell>
        </row>
        <row r="888">
          <cell r="G888" t="str">
            <v>ASV2855</v>
          </cell>
          <cell r="H888" t="str">
            <v>g__Staphylococcus</v>
          </cell>
          <cell r="I888" t="str">
            <v>s__unclassified_g__Staphylococcus</v>
          </cell>
        </row>
        <row r="889">
          <cell r="G889" t="str">
            <v>ASV5516</v>
          </cell>
          <cell r="H889" t="str">
            <v>g__unclassified_f__Lachnospiraceae</v>
          </cell>
          <cell r="I889" t="str">
            <v>s__unclassified_f__Lachnospiraceae</v>
          </cell>
        </row>
        <row r="890">
          <cell r="G890" t="str">
            <v>ASV4474</v>
          </cell>
          <cell r="H890" t="str">
            <v>g__Bacteroides</v>
          </cell>
          <cell r="I890" t="str">
            <v>s__unclassified_g__Bacteroides</v>
          </cell>
        </row>
        <row r="891">
          <cell r="G891" t="str">
            <v>ASV2760</v>
          </cell>
          <cell r="H891" t="str">
            <v>g__Peptococcus</v>
          </cell>
          <cell r="I891" t="str">
            <v>s__Peptococcus_sp._canine_oral_taxon_044</v>
          </cell>
        </row>
        <row r="892">
          <cell r="G892" t="str">
            <v>ASV259</v>
          </cell>
          <cell r="H892" t="str">
            <v>g__unclassified_f__Lachnospiraceae</v>
          </cell>
          <cell r="I892" t="str">
            <v>s__unclassified_f__Lachnospiraceae</v>
          </cell>
        </row>
        <row r="893">
          <cell r="G893" t="str">
            <v>ASV8745</v>
          </cell>
          <cell r="H893" t="str">
            <v>g__Prevotellaceae_UCG-003</v>
          </cell>
          <cell r="I893" t="str">
            <v>s__uncultured_bacterium_g__Prevotellaceae_UCG-003</v>
          </cell>
        </row>
        <row r="894">
          <cell r="G894" t="str">
            <v>ASV1908</v>
          </cell>
          <cell r="H894" t="str">
            <v>g__norank_f__norank_o__Saccharimonadales</v>
          </cell>
          <cell r="I894" t="str">
            <v>s__TM7_phylum_sp._oral_clone_FR058</v>
          </cell>
        </row>
        <row r="895">
          <cell r="G895" t="str">
            <v>ASV5491</v>
          </cell>
          <cell r="H895" t="str">
            <v>g__Paraeggerthella</v>
          </cell>
          <cell r="I895" t="str">
            <v>s__unclassified_g__Paraeggerthella</v>
          </cell>
        </row>
        <row r="896">
          <cell r="G896" t="str">
            <v>ASV8257</v>
          </cell>
          <cell r="H896" t="str">
            <v>g__Enterococcus</v>
          </cell>
          <cell r="I896" t="str">
            <v>s__unclassified_g__Enterococcus</v>
          </cell>
        </row>
        <row r="897">
          <cell r="G897" t="str">
            <v>ASV22994</v>
          </cell>
          <cell r="H897" t="str">
            <v>g__unclassified_f__Rikenellaceae</v>
          </cell>
          <cell r="I897" t="str">
            <v>s__unclassified_f__Rikenellaceae</v>
          </cell>
        </row>
        <row r="898">
          <cell r="G898" t="str">
            <v>ASV2869</v>
          </cell>
          <cell r="H898" t="str">
            <v>g__Actinobacillus</v>
          </cell>
          <cell r="I898" t="str">
            <v>s__unclassified_g__Actinobacillus</v>
          </cell>
        </row>
        <row r="899">
          <cell r="G899" t="str">
            <v>ASV7810</v>
          </cell>
          <cell r="H899" t="str">
            <v>g__norank_f__Muribaculaceae</v>
          </cell>
          <cell r="I899" t="str">
            <v>s__uncultured_bacterium_g__norank_f__Muribaculaceae</v>
          </cell>
        </row>
        <row r="900">
          <cell r="G900" t="str">
            <v>ASV2634</v>
          </cell>
          <cell r="H900" t="str">
            <v>g__Streptococcus</v>
          </cell>
          <cell r="I900" t="str">
            <v>s__Streptococcus_porci</v>
          </cell>
        </row>
        <row r="901">
          <cell r="G901" t="str">
            <v>ASV1547</v>
          </cell>
          <cell r="H901" t="str">
            <v>g__Subdoligranulum</v>
          </cell>
          <cell r="I901" t="str">
            <v>s__uncultured_bacterium_g__Subdoligranulum</v>
          </cell>
        </row>
        <row r="902">
          <cell r="G902" t="str">
            <v>ASV2643</v>
          </cell>
          <cell r="H902" t="str">
            <v>g__Corynebacterium</v>
          </cell>
          <cell r="I902" t="str">
            <v>s__unclassified_g__Corynebacterium</v>
          </cell>
        </row>
        <row r="903">
          <cell r="G903" t="str">
            <v>ASV1897</v>
          </cell>
          <cell r="H903" t="str">
            <v>g__NK4A214_group</v>
          </cell>
          <cell r="I903" t="str">
            <v>s__unclassified_g__NK4A214_group</v>
          </cell>
        </row>
        <row r="904">
          <cell r="G904" t="str">
            <v>ASV3482</v>
          </cell>
          <cell r="H904" t="str">
            <v>g__Selenomonas</v>
          </cell>
          <cell r="I904" t="str">
            <v>s__unclassified_g__Selenomonas</v>
          </cell>
        </row>
        <row r="905">
          <cell r="G905" t="str">
            <v>ASV4448</v>
          </cell>
          <cell r="H905" t="str">
            <v>g__Treponema</v>
          </cell>
          <cell r="I905" t="str">
            <v>s__gut_metagenome_g__Treponema</v>
          </cell>
        </row>
        <row r="906">
          <cell r="G906" t="str">
            <v>ASV19224</v>
          </cell>
          <cell r="H906" t="str">
            <v>g__unclassified_f__Lachnospiraceae</v>
          </cell>
          <cell r="I906" t="str">
            <v>s__unclassified_f__Lachnospiraceae</v>
          </cell>
        </row>
        <row r="907">
          <cell r="G907" t="str">
            <v>ASV2378</v>
          </cell>
          <cell r="H907" t="str">
            <v>g__Christensenellaceae_R-7_group</v>
          </cell>
          <cell r="I907" t="str">
            <v>s__human_gut_metagenome_g__Christensenellaceae_R-7_group</v>
          </cell>
        </row>
        <row r="908">
          <cell r="G908" t="str">
            <v>ASV2815</v>
          </cell>
          <cell r="H908" t="str">
            <v>g__Moraxella</v>
          </cell>
          <cell r="I908" t="str">
            <v>s__Moraxella_porci_DSM_25326</v>
          </cell>
        </row>
        <row r="909">
          <cell r="G909" t="str">
            <v>ASV8902</v>
          </cell>
          <cell r="H909" t="str">
            <v>g__Acinetobacter</v>
          </cell>
          <cell r="I909" t="str">
            <v>s__unclassified_g__Acinetobacter</v>
          </cell>
        </row>
        <row r="910">
          <cell r="G910" t="str">
            <v>ASV3587</v>
          </cell>
          <cell r="H910" t="str">
            <v>g__Alloprevotella</v>
          </cell>
          <cell r="I910" t="str">
            <v>s__unclassified_g__Alloprevotella</v>
          </cell>
        </row>
        <row r="911">
          <cell r="G911" t="str">
            <v>ASV3124</v>
          </cell>
          <cell r="H911" t="str">
            <v>g__Bacteroides</v>
          </cell>
          <cell r="I911" t="str">
            <v>s__Bacteroides_fluxus</v>
          </cell>
        </row>
        <row r="912">
          <cell r="G912" t="str">
            <v>ASV2641</v>
          </cell>
          <cell r="H912" t="str">
            <v>g__Clostridium_sensu_stricto_6</v>
          </cell>
          <cell r="I912" t="str">
            <v>s__Clostridium_bornimense</v>
          </cell>
        </row>
        <row r="913">
          <cell r="G913" t="str">
            <v>ASV150</v>
          </cell>
          <cell r="H913" t="str">
            <v>g__UCG-005</v>
          </cell>
          <cell r="I913" t="str">
            <v>s__unclassified_g__UCG-005</v>
          </cell>
        </row>
        <row r="914">
          <cell r="G914" t="str">
            <v>ASV13230</v>
          </cell>
          <cell r="H914" t="str">
            <v>g__Parabacteroides</v>
          </cell>
          <cell r="I914" t="str">
            <v>s__Porphyromonadaceae_bacterium_DJF_B175</v>
          </cell>
        </row>
        <row r="915">
          <cell r="G915" t="str">
            <v>ASV121</v>
          </cell>
          <cell r="H915" t="str">
            <v>g__norank_f__Eubacterium_coprostanoligenes_group</v>
          </cell>
          <cell r="I915" t="str">
            <v>s__unclassified_g__norank_f__Eubacterium_coprostanoligenes_group</v>
          </cell>
        </row>
        <row r="916">
          <cell r="G916" t="str">
            <v>ASV6532</v>
          </cell>
          <cell r="H916" t="str">
            <v>g__Lactobacillus</v>
          </cell>
          <cell r="I916" t="str">
            <v>s__Lactobacillus_agilis</v>
          </cell>
        </row>
        <row r="917">
          <cell r="G917" t="str">
            <v>ASV9873</v>
          </cell>
          <cell r="H917" t="str">
            <v>g__Clostridium_sensu_stricto_1</v>
          </cell>
          <cell r="I917" t="str">
            <v>s__unclassified_g__Clostridium_sensu_stricto_1</v>
          </cell>
        </row>
        <row r="918">
          <cell r="G918" t="str">
            <v>ASV1960</v>
          </cell>
          <cell r="H918" t="str">
            <v>g__Staphylococcus</v>
          </cell>
          <cell r="I918" t="str">
            <v>s__unclassified_g__Staphylococcus</v>
          </cell>
        </row>
        <row r="919">
          <cell r="G919" t="str">
            <v>ASV3744</v>
          </cell>
          <cell r="H919" t="str">
            <v>g__Bacteroides</v>
          </cell>
          <cell r="I919" t="str">
            <v>s__unclassified_g__Bacteroides</v>
          </cell>
        </row>
        <row r="920">
          <cell r="G920" t="str">
            <v>ASV7315</v>
          </cell>
          <cell r="H920" t="str">
            <v>g__Veillonella</v>
          </cell>
          <cell r="I920" t="str">
            <v>s__unclassified_g__Veillonella</v>
          </cell>
        </row>
        <row r="921">
          <cell r="G921" t="str">
            <v>ASV599</v>
          </cell>
          <cell r="H921" t="str">
            <v>g__norank_f__Muribaculaceae</v>
          </cell>
          <cell r="I921" t="str">
            <v>s__uncultured_bacterium_g__norank_f__Muribaculaceae</v>
          </cell>
        </row>
        <row r="922">
          <cell r="G922" t="str">
            <v>ASV3673</v>
          </cell>
          <cell r="H922" t="str">
            <v>g__Neisseria</v>
          </cell>
          <cell r="I922" t="str">
            <v>s__unclassified_g__Neisseria</v>
          </cell>
        </row>
        <row r="923">
          <cell r="G923" t="str">
            <v>ASV2691</v>
          </cell>
          <cell r="H923" t="str">
            <v>g__Streptococcus</v>
          </cell>
          <cell r="I923" t="str">
            <v>s__unclassified_g__Streptococcus</v>
          </cell>
        </row>
        <row r="924">
          <cell r="G924" t="str">
            <v>ASV183</v>
          </cell>
          <cell r="H924" t="str">
            <v>g__Parabacteroides</v>
          </cell>
          <cell r="I924" t="str">
            <v>s__Porphyromonadaceae_bacterium_DJF_B175</v>
          </cell>
        </row>
        <row r="925">
          <cell r="G925" t="str">
            <v>ASV9916</v>
          </cell>
          <cell r="H925" t="str">
            <v>g__Bacteroides</v>
          </cell>
          <cell r="I925" t="str">
            <v>s__unclassified_g__Bacteroides</v>
          </cell>
        </row>
        <row r="926">
          <cell r="G926" t="str">
            <v>ASV5851</v>
          </cell>
          <cell r="H926" t="str">
            <v>g__Mogibacterium</v>
          </cell>
          <cell r="I926" t="str">
            <v>s__uncultured_bacterium_g__Mogibacterium</v>
          </cell>
        </row>
        <row r="927">
          <cell r="G927" t="str">
            <v>ASV8747</v>
          </cell>
          <cell r="H927" t="str">
            <v>g__UCG-002</v>
          </cell>
          <cell r="I927" t="str">
            <v>s__unclassified_g__UCG-002</v>
          </cell>
        </row>
        <row r="928">
          <cell r="G928" t="str">
            <v>ASV8753</v>
          </cell>
          <cell r="H928" t="str">
            <v>g__Alloprevotella</v>
          </cell>
          <cell r="I928" t="str">
            <v>s__uncultured_bacterium_g__Alloprevotella</v>
          </cell>
        </row>
        <row r="929">
          <cell r="G929" t="str">
            <v>ASV7109</v>
          </cell>
          <cell r="H929" t="str">
            <v>g__Clostridium_sensu_stricto_1</v>
          </cell>
          <cell r="I929" t="str">
            <v>s__unclassified_g__Clostridium_sensu_stricto_1</v>
          </cell>
        </row>
        <row r="930">
          <cell r="G930" t="str">
            <v>ASV5534</v>
          </cell>
          <cell r="H930" t="str">
            <v>g__Faecalibacterium</v>
          </cell>
          <cell r="I930" t="str">
            <v>s__uncultured_bacterium_g__Faecalibacterium</v>
          </cell>
        </row>
        <row r="931">
          <cell r="G931" t="str">
            <v>ASV1712</v>
          </cell>
          <cell r="H931" t="str">
            <v>g__UCG-005</v>
          </cell>
          <cell r="I931" t="str">
            <v>s__unclassified_g__UCG-005</v>
          </cell>
        </row>
        <row r="932">
          <cell r="G932" t="str">
            <v>ASV10268</v>
          </cell>
          <cell r="H932" t="str">
            <v>g__Finegoldia</v>
          </cell>
          <cell r="I932" t="str">
            <v>s__unclassified_g__Finegoldia</v>
          </cell>
        </row>
        <row r="933">
          <cell r="G933" t="str">
            <v>ASV11088</v>
          </cell>
          <cell r="H933" t="str">
            <v>g__unclassified_f__Lachnospiraceae</v>
          </cell>
          <cell r="I933" t="str">
            <v>s__unclassified_f__Lachnospiraceae</v>
          </cell>
        </row>
        <row r="934">
          <cell r="G934" t="str">
            <v>ASV2694</v>
          </cell>
          <cell r="H934" t="str">
            <v>g__Streptococcus</v>
          </cell>
          <cell r="I934" t="str">
            <v>s__unclassified_g__Streptococcus</v>
          </cell>
        </row>
        <row r="935">
          <cell r="G935" t="str">
            <v>ASV7198</v>
          </cell>
          <cell r="H935" t="str">
            <v>g__Eubacterium_ruminantium_group</v>
          </cell>
          <cell r="I935" t="str">
            <v>s__uncultured_bacterium_g__Eubacterium_ruminantium_group</v>
          </cell>
        </row>
        <row r="936">
          <cell r="G936" t="str">
            <v>ASV5494</v>
          </cell>
          <cell r="H936" t="str">
            <v>g__Christensenellaceae_R-7_group</v>
          </cell>
          <cell r="I936" t="str">
            <v>s__unclassified_g__Christensenellaceae_R-7_group</v>
          </cell>
        </row>
        <row r="937">
          <cell r="G937" t="str">
            <v>ASV7226</v>
          </cell>
          <cell r="H937" t="str">
            <v>g__Chryseobacterium</v>
          </cell>
          <cell r="I937" t="str">
            <v>s__unclassified_g__Chryseobacterium</v>
          </cell>
        </row>
        <row r="938">
          <cell r="G938" t="str">
            <v>ASV9974</v>
          </cell>
          <cell r="H938" t="str">
            <v>g__norank_f__norank_o__Clostridia_vadinBB60_group</v>
          </cell>
          <cell r="I938" t="str">
            <v>s__uncultured_bacterium_g__norank_f__norank_o__Clostridia_vadinBB60_group</v>
          </cell>
        </row>
        <row r="939">
          <cell r="G939" t="str">
            <v>ASV178</v>
          </cell>
          <cell r="H939" t="str">
            <v>g__norank_f__UCG-010</v>
          </cell>
          <cell r="I939" t="str">
            <v>s__unclassified_g__norank_f__UCG-010</v>
          </cell>
        </row>
        <row r="940">
          <cell r="G940" t="str">
            <v>ASV594</v>
          </cell>
          <cell r="H940" t="str">
            <v>g__Treponema</v>
          </cell>
          <cell r="I940" t="str">
            <v>s__unclassified_g__Treponema</v>
          </cell>
        </row>
        <row r="941">
          <cell r="G941" t="str">
            <v>ASV3360</v>
          </cell>
          <cell r="H941" t="str">
            <v>g__Clostridium_sensu_stricto_1</v>
          </cell>
          <cell r="I941" t="str">
            <v>s__unclassified_g__Clostridium_sensu_stricto_1</v>
          </cell>
        </row>
        <row r="942">
          <cell r="G942" t="str">
            <v>ASV19147</v>
          </cell>
          <cell r="H942" t="str">
            <v>g__Fusobacterium</v>
          </cell>
          <cell r="I942" t="str">
            <v>s__unclassified_g__Fusobacterium</v>
          </cell>
        </row>
        <row r="943">
          <cell r="G943" t="str">
            <v>ASV7440</v>
          </cell>
          <cell r="H943" t="str">
            <v>g__Christensenellaceae_R-7_group</v>
          </cell>
          <cell r="I943" t="str">
            <v>s__unclassified_g__Christensenellaceae_R-7_group</v>
          </cell>
        </row>
        <row r="944">
          <cell r="G944" t="str">
            <v>ASV2700</v>
          </cell>
          <cell r="H944" t="str">
            <v>g__norank_f__Ruminococcaceae</v>
          </cell>
          <cell r="I944" t="str">
            <v>s__unclassified_g__norank_f__Ruminococcaceae</v>
          </cell>
        </row>
        <row r="945">
          <cell r="G945" t="str">
            <v>ASV6998</v>
          </cell>
          <cell r="H945" t="str">
            <v>g__Sutterella</v>
          </cell>
          <cell r="I945" t="str">
            <v>s__uncultured_bacterium_g__Sutterella</v>
          </cell>
        </row>
        <row r="946">
          <cell r="G946" t="str">
            <v>ASV86</v>
          </cell>
          <cell r="H946" t="str">
            <v>g__Christensenellaceae_R-7_group</v>
          </cell>
          <cell r="I946" t="str">
            <v>s__bacterium_YE57</v>
          </cell>
        </row>
        <row r="947">
          <cell r="G947" t="str">
            <v>ASV9867</v>
          </cell>
          <cell r="H947" t="str">
            <v>g__Alloprevotella</v>
          </cell>
          <cell r="I947" t="str">
            <v>s__Prevotella_sp._canine_oral_taxon_282</v>
          </cell>
        </row>
        <row r="948">
          <cell r="G948" t="str">
            <v>ASV10141</v>
          </cell>
          <cell r="H948" t="str">
            <v>g__Phascolarctobacterium</v>
          </cell>
          <cell r="I948" t="str">
            <v>s__unclassified_g__Phascolarctobacterium</v>
          </cell>
        </row>
        <row r="949">
          <cell r="G949" t="str">
            <v>ASV3585</v>
          </cell>
          <cell r="H949" t="str">
            <v>g__unclassified_f__Lachnospiraceae</v>
          </cell>
          <cell r="I949" t="str">
            <v>s__unclassified_f__Lachnospiraceae</v>
          </cell>
        </row>
        <row r="950">
          <cell r="G950" t="str">
            <v>ASV2696</v>
          </cell>
          <cell r="H950" t="str">
            <v>g__unclassified_f__Peptostreptococcaceae</v>
          </cell>
          <cell r="I950" t="str">
            <v>s__unclassified_f__Peptostreptococcaceae</v>
          </cell>
        </row>
        <row r="951">
          <cell r="G951" t="str">
            <v>ASV2845</v>
          </cell>
          <cell r="H951" t="str">
            <v>g__Actinobacillus</v>
          </cell>
          <cell r="I951" t="str">
            <v>s__Actinobacillus_rossii</v>
          </cell>
        </row>
        <row r="952">
          <cell r="G952" t="str">
            <v>ASV8900</v>
          </cell>
          <cell r="H952" t="str">
            <v>g__Streptobacillus</v>
          </cell>
          <cell r="I952" t="str">
            <v>s__unclassified_g__Streptobacillus</v>
          </cell>
        </row>
        <row r="953">
          <cell r="G953" t="str">
            <v>ASV103</v>
          </cell>
          <cell r="H953" t="str">
            <v>g__norank_f__Muribaculaceae</v>
          </cell>
          <cell r="I953" t="str">
            <v>s__uncultured_bacterium_g__norank_f__Muribaculaceae</v>
          </cell>
        </row>
        <row r="954">
          <cell r="G954" t="str">
            <v>ASV3582</v>
          </cell>
          <cell r="H954" t="str">
            <v>g__Porphyromonas</v>
          </cell>
          <cell r="I954" t="str">
            <v>s__uncultured_bacterium_g__Porphyromonas</v>
          </cell>
        </row>
        <row r="955">
          <cell r="G955" t="str">
            <v>ASV10046</v>
          </cell>
          <cell r="H955" t="str">
            <v>g__Christensenellaceae_R-7_group</v>
          </cell>
          <cell r="I955" t="str">
            <v>s__unclassified_g__Christensenellaceae_R-7_group</v>
          </cell>
        </row>
        <row r="956">
          <cell r="G956" t="str">
            <v>ASV15110</v>
          </cell>
          <cell r="H956" t="str">
            <v>g__norank_f__Eubacterium_coprostanoligenes_group</v>
          </cell>
          <cell r="I956" t="str">
            <v>s__uncultured_bacterium_g__norank_f__Eubacterium_coprostanoligenes_group</v>
          </cell>
        </row>
        <row r="957">
          <cell r="G957" t="str">
            <v>ASV8312</v>
          </cell>
          <cell r="H957" t="str">
            <v>g__Sarcina</v>
          </cell>
          <cell r="I957" t="str">
            <v>s__uncultured_bacterium_g__Sarcina</v>
          </cell>
        </row>
        <row r="958">
          <cell r="G958" t="str">
            <v>ASV10373</v>
          </cell>
          <cell r="H958" t="str">
            <v>g__unclassified_f__Lachnospiraceae</v>
          </cell>
          <cell r="I958" t="str">
            <v>s__unclassified_f__Lachnospiraceae</v>
          </cell>
        </row>
        <row r="959">
          <cell r="G959" t="str">
            <v>ASV132</v>
          </cell>
          <cell r="H959" t="str">
            <v>g__norank_f__norank_o__RF39</v>
          </cell>
          <cell r="I959" t="str">
            <v>s__unclassified_g__norank_f__norank_o__RF39</v>
          </cell>
        </row>
        <row r="960">
          <cell r="G960" t="str">
            <v>ASV23744</v>
          </cell>
          <cell r="H960" t="str">
            <v>g__unclassified_f__Lachnospiraceae</v>
          </cell>
          <cell r="I960" t="str">
            <v>s__unclassified_f__Lachnospiraceae</v>
          </cell>
        </row>
        <row r="961">
          <cell r="G961" t="str">
            <v>ASV1529</v>
          </cell>
          <cell r="H961" t="str">
            <v>g__Clostridium_sensu_stricto_1</v>
          </cell>
          <cell r="I961" t="str">
            <v>s__unclassified_g__Clostridium_sensu_stricto_1</v>
          </cell>
        </row>
        <row r="962">
          <cell r="G962" t="str">
            <v>ASV8652</v>
          </cell>
          <cell r="H962" t="str">
            <v>g__unclassified_f__Lachnospiraceae</v>
          </cell>
          <cell r="I962" t="str">
            <v>s__unclassified_f__Lachnospiraceae</v>
          </cell>
        </row>
        <row r="963">
          <cell r="G963" t="str">
            <v>ASV8597</v>
          </cell>
          <cell r="H963" t="str">
            <v>g__Actinobacillus</v>
          </cell>
          <cell r="I963" t="str">
            <v>s__unclassified_g__Actinobacillus</v>
          </cell>
        </row>
        <row r="964">
          <cell r="G964" t="str">
            <v>ASV16196</v>
          </cell>
          <cell r="H964" t="str">
            <v>g__Bacteroides</v>
          </cell>
          <cell r="I964" t="str">
            <v>s__unclassified_g__Bacteroides</v>
          </cell>
        </row>
        <row r="965">
          <cell r="G965" t="str">
            <v>ASV3586</v>
          </cell>
          <cell r="H965" t="str">
            <v>g__Prevotella</v>
          </cell>
          <cell r="I965" t="str">
            <v>s__uncultured_Prevotellaceae_bacterium_g__Prevotella</v>
          </cell>
        </row>
        <row r="966">
          <cell r="G966" t="str">
            <v>ASV242</v>
          </cell>
          <cell r="H966" t="str">
            <v>g__Alloprevotella</v>
          </cell>
          <cell r="I966" t="str">
            <v>s__uncultured_bacterium_g__Alloprevotella</v>
          </cell>
        </row>
        <row r="967">
          <cell r="G967" t="str">
            <v>ASV16195</v>
          </cell>
          <cell r="H967" t="str">
            <v>g__Bacteroides</v>
          </cell>
          <cell r="I967" t="str">
            <v>s__unclassified_g__Bacteroides</v>
          </cell>
        </row>
        <row r="968">
          <cell r="G968" t="str">
            <v>ASV366</v>
          </cell>
          <cell r="H968" t="str">
            <v>g__unclassified_f__Pasteurellaceae</v>
          </cell>
          <cell r="I968" t="str">
            <v>s__unclassified_f__Pasteurellaceae</v>
          </cell>
        </row>
        <row r="969">
          <cell r="G969" t="str">
            <v>ASV5488</v>
          </cell>
          <cell r="H969" t="str">
            <v>g__norank_f__UCG-010</v>
          </cell>
          <cell r="I969" t="str">
            <v>s__uncultured_rumen_bacterium_g__norank_f__UCG-010</v>
          </cell>
        </row>
        <row r="970">
          <cell r="G970" t="str">
            <v>ASV2928</v>
          </cell>
          <cell r="H970" t="str">
            <v>g__Aquabacterium</v>
          </cell>
          <cell r="I970" t="str">
            <v>s__unclassified_g__Aquabacterium</v>
          </cell>
        </row>
        <row r="971">
          <cell r="G971" t="str">
            <v>ASV216</v>
          </cell>
          <cell r="H971" t="str">
            <v>g__Fournierella</v>
          </cell>
          <cell r="I971" t="str">
            <v>s__uncultured_bacterium_g__Fournierella</v>
          </cell>
        </row>
        <row r="972">
          <cell r="G972" t="str">
            <v>ASV118</v>
          </cell>
          <cell r="H972" t="str">
            <v>g__Rikenellaceae_RC9_gut_group</v>
          </cell>
          <cell r="I972" t="str">
            <v>s__uncultured_bacterium_g__Rikenellaceae_RC9_gut_group</v>
          </cell>
        </row>
        <row r="973">
          <cell r="G973" t="str">
            <v>ASV3028</v>
          </cell>
          <cell r="H973" t="str">
            <v>g__Corynebacterium</v>
          </cell>
          <cell r="I973" t="str">
            <v>s__unclassified_g__Corynebacterium</v>
          </cell>
        </row>
        <row r="974">
          <cell r="G974" t="str">
            <v>ASV21557</v>
          </cell>
          <cell r="H974" t="str">
            <v>g__Phascolarctobacterium</v>
          </cell>
          <cell r="I974" t="str">
            <v>s__unclassified_g__Phascolarctobacterium</v>
          </cell>
        </row>
        <row r="975">
          <cell r="G975" t="str">
            <v>ASV19213</v>
          </cell>
          <cell r="H975" t="str">
            <v>g__Monoglobus</v>
          </cell>
          <cell r="I975" t="str">
            <v>s__uncultured_bacterium_g__Monoglobus</v>
          </cell>
        </row>
        <row r="976">
          <cell r="G976" t="str">
            <v>ASV3017</v>
          </cell>
          <cell r="H976" t="str">
            <v>g__Atopobium</v>
          </cell>
          <cell r="I976" t="str">
            <v>s__Atopobium_minutum</v>
          </cell>
        </row>
        <row r="977">
          <cell r="G977" t="str">
            <v>ASV3101</v>
          </cell>
          <cell r="H977" t="str">
            <v>g__Erysipelatoclostridium</v>
          </cell>
          <cell r="I977" t="str">
            <v>s__unclassified_g__Erysipelatoclostridium</v>
          </cell>
        </row>
        <row r="978">
          <cell r="G978" t="str">
            <v>ASV3412</v>
          </cell>
          <cell r="H978" t="str">
            <v>g__Veillonella</v>
          </cell>
          <cell r="I978" t="str">
            <v>s__Veillonella_sp._R-32</v>
          </cell>
        </row>
        <row r="979">
          <cell r="G979" t="str">
            <v>ASV12547</v>
          </cell>
          <cell r="H979" t="str">
            <v>g__Prevotella</v>
          </cell>
          <cell r="I979" t="str">
            <v>s__Prevotella_sp._DJF_LS16</v>
          </cell>
        </row>
        <row r="980">
          <cell r="G980" t="str">
            <v>ASV1668</v>
          </cell>
          <cell r="H980" t="str">
            <v>g__Corynebacterium</v>
          </cell>
          <cell r="I980" t="str">
            <v>s__unclassified_g__Corynebacterium</v>
          </cell>
        </row>
        <row r="981">
          <cell r="G981" t="str">
            <v>ASV4442</v>
          </cell>
          <cell r="H981" t="str">
            <v>g__norank_f__norank_o__Clostridia_UCG-014</v>
          </cell>
          <cell r="I981" t="str">
            <v>s__unclassified_g__norank_f__norank_o__Clostridia_UCG-014</v>
          </cell>
        </row>
        <row r="982">
          <cell r="G982" t="str">
            <v>ASV1404</v>
          </cell>
          <cell r="H982" t="str">
            <v>g__norank_f__Christensenellaceae</v>
          </cell>
          <cell r="I982" t="str">
            <v>s__uncultured_bacterium_g__norank_f__Christensenellaceae</v>
          </cell>
        </row>
        <row r="983">
          <cell r="G983" t="str">
            <v>ASV105</v>
          </cell>
          <cell r="H983" t="str">
            <v>g__Prevotella</v>
          </cell>
          <cell r="I983" t="str">
            <v>s__unclassified_g__Prevotella</v>
          </cell>
        </row>
        <row r="984">
          <cell r="G984" t="str">
            <v>ASV11109</v>
          </cell>
          <cell r="H984" t="str">
            <v>g__Bacteroides</v>
          </cell>
          <cell r="I984" t="str">
            <v>s__unclassified_g__Bacteroides</v>
          </cell>
        </row>
        <row r="985">
          <cell r="G985" t="str">
            <v>ASV9900</v>
          </cell>
          <cell r="H985" t="str">
            <v>g__Alloprevotella</v>
          </cell>
          <cell r="I985" t="str">
            <v>s__uncultured_bacterium_g__Alloprevotella</v>
          </cell>
        </row>
        <row r="986">
          <cell r="G986" t="str">
            <v>ASV155</v>
          </cell>
          <cell r="H986" t="str">
            <v>g__norank_f__UCG-010</v>
          </cell>
          <cell r="I986" t="str">
            <v>s__unclassified_g__norank_f__UCG-010</v>
          </cell>
        </row>
        <row r="987">
          <cell r="G987" t="str">
            <v>ASV19148</v>
          </cell>
          <cell r="H987" t="str">
            <v>g__Parabacteroides</v>
          </cell>
          <cell r="I987" t="str">
            <v>s__unclassified_g__Parabacteroides</v>
          </cell>
        </row>
        <row r="988">
          <cell r="G988" t="str">
            <v>ASV1934</v>
          </cell>
          <cell r="H988" t="str">
            <v>g__Rikenellaceae_RC9_gut_group</v>
          </cell>
          <cell r="I988" t="str">
            <v>s__uncultured_bacterium_g__Rikenellaceae_RC9_gut_group</v>
          </cell>
        </row>
        <row r="989">
          <cell r="G989" t="str">
            <v>ASV5005</v>
          </cell>
          <cell r="H989" t="str">
            <v>g__unclassified_f__Lachnospiraceae</v>
          </cell>
          <cell r="I989" t="str">
            <v>s__unclassified_f__Lachnospiraceae</v>
          </cell>
        </row>
        <row r="990">
          <cell r="G990" t="str">
            <v>ASV262</v>
          </cell>
          <cell r="H990" t="str">
            <v>g__unclassified_o__Oscillospirales</v>
          </cell>
          <cell r="I990" t="str">
            <v>s__unclassified_o__Oscillospirales</v>
          </cell>
        </row>
        <row r="991">
          <cell r="G991" t="str">
            <v>ASV2675</v>
          </cell>
          <cell r="H991" t="str">
            <v>g__Acetitomaculum</v>
          </cell>
          <cell r="I991" t="str">
            <v>s__Lachnospiraceae_bacterium_canine_oral_taxon_099</v>
          </cell>
        </row>
        <row r="992">
          <cell r="G992" t="str">
            <v>ASV248</v>
          </cell>
          <cell r="H992" t="str">
            <v>g__Sphaerochaeta</v>
          </cell>
          <cell r="I992" t="str">
            <v>s__uncultured_bacterium_g__Sphaerochaeta</v>
          </cell>
        </row>
        <row r="993">
          <cell r="G993" t="str">
            <v>ASV7238</v>
          </cell>
          <cell r="H993" t="str">
            <v>g__Acinetobacter</v>
          </cell>
          <cell r="I993" t="str">
            <v>s__unclassified_g__Acinetobacter</v>
          </cell>
        </row>
        <row r="994">
          <cell r="G994" t="str">
            <v>ASV15115</v>
          </cell>
          <cell r="H994" t="str">
            <v>g__Alloprevotella</v>
          </cell>
          <cell r="I994" t="str">
            <v>s__uncultured_bacterium_g__Alloprevotella</v>
          </cell>
        </row>
        <row r="995">
          <cell r="G995" t="str">
            <v>ASV5515</v>
          </cell>
          <cell r="H995" t="str">
            <v>g__Parabacteroides</v>
          </cell>
          <cell r="I995" t="str">
            <v>s__uncultured_bacterium_g__Parabacteroides</v>
          </cell>
        </row>
        <row r="996">
          <cell r="G996" t="str">
            <v>ASV4401</v>
          </cell>
          <cell r="H996" t="str">
            <v>g__Treponema</v>
          </cell>
          <cell r="I996" t="str">
            <v>s__unclassified_g__Treponema</v>
          </cell>
        </row>
        <row r="997">
          <cell r="G997" t="str">
            <v>ASV3601</v>
          </cell>
          <cell r="H997" t="str">
            <v>g__Neisseria</v>
          </cell>
          <cell r="I997" t="str">
            <v>s__unclassified_g__Neisseria</v>
          </cell>
        </row>
        <row r="998">
          <cell r="G998" t="str">
            <v>ASV4447</v>
          </cell>
          <cell r="H998" t="str">
            <v>g__norank_f__Paludibacteraceae</v>
          </cell>
          <cell r="I998" t="str">
            <v>s__uncultured_bacterium_g__norank_f__Paludibacteraceae</v>
          </cell>
        </row>
        <row r="999">
          <cell r="G999" t="str">
            <v>ASV3436</v>
          </cell>
          <cell r="H999" t="str">
            <v>g__unclassified_f__Prevotellaceae</v>
          </cell>
          <cell r="I999" t="str">
            <v>s__unclassified_f__Prevotellaceae</v>
          </cell>
        </row>
        <row r="1000">
          <cell r="G1000" t="str">
            <v>ASV3655</v>
          </cell>
          <cell r="H1000" t="str">
            <v>g__unclassified_f__Lachnospiraceae</v>
          </cell>
          <cell r="I1000" t="str">
            <v>s__unclassified_f__Lachnospiraceae</v>
          </cell>
        </row>
        <row r="1001">
          <cell r="G1001" t="str">
            <v>ASV9129</v>
          </cell>
          <cell r="H1001" t="str">
            <v>g__Alloprevotella</v>
          </cell>
          <cell r="I1001" t="str">
            <v>s__uncultured_bacterium_g__Alloprevotella</v>
          </cell>
        </row>
        <row r="1002">
          <cell r="G1002" t="str">
            <v>ASV2110</v>
          </cell>
          <cell r="H1002" t="str">
            <v>g__Enterorhabdus</v>
          </cell>
          <cell r="I1002" t="str">
            <v>s__uncultured_bacterium_g__Enterorhabdus</v>
          </cell>
        </row>
        <row r="1003">
          <cell r="G1003" t="str">
            <v>ASV14979</v>
          </cell>
          <cell r="H1003" t="str">
            <v>g__Fusobacterium</v>
          </cell>
          <cell r="I1003" t="str">
            <v>s__unclassified_g__Fusobacterium</v>
          </cell>
        </row>
        <row r="1004">
          <cell r="G1004" t="str">
            <v>ASV19192</v>
          </cell>
          <cell r="H1004" t="str">
            <v>g__Ruminococcus_gauvreauii_group</v>
          </cell>
          <cell r="I1004" t="str">
            <v>s__uncultured_rumen_bacterium_g__Ruminococcus_gauvreauii_group</v>
          </cell>
        </row>
        <row r="1005">
          <cell r="G1005" t="str">
            <v>ASV3095</v>
          </cell>
          <cell r="H1005" t="str">
            <v>g__Parabacteroides</v>
          </cell>
          <cell r="I1005" t="str">
            <v>s__unclassified_g__Parabacteroides</v>
          </cell>
        </row>
        <row r="1006">
          <cell r="G1006" t="str">
            <v>ASV3818</v>
          </cell>
          <cell r="H1006" t="str">
            <v>g__Bacteroides</v>
          </cell>
          <cell r="I1006" t="str">
            <v>s__unclassified_g__Bacteroides</v>
          </cell>
        </row>
        <row r="1007">
          <cell r="G1007" t="str">
            <v>ASV7309</v>
          </cell>
          <cell r="H1007" t="str">
            <v>g__Lachnospiraceae_UCG-010</v>
          </cell>
          <cell r="I1007" t="str">
            <v>s__uncultured_bacterium_g__Lachnospiraceae_UCG-010</v>
          </cell>
        </row>
        <row r="1008">
          <cell r="G1008" t="str">
            <v>ASV170</v>
          </cell>
          <cell r="H1008" t="str">
            <v>g__Christensenellaceae_R-7_group</v>
          </cell>
          <cell r="I1008" t="str">
            <v>s__unclassified_g__Christensenellaceae_R-7_group</v>
          </cell>
        </row>
        <row r="1009">
          <cell r="G1009" t="str">
            <v>ASV9989</v>
          </cell>
          <cell r="H1009" t="str">
            <v>g__Quinella</v>
          </cell>
          <cell r="I1009" t="str">
            <v>s__uncultured_bacterium_g__Quinella</v>
          </cell>
        </row>
        <row r="1010">
          <cell r="G1010" t="str">
            <v>ASV5570</v>
          </cell>
          <cell r="H1010" t="str">
            <v>g__Bacteroides</v>
          </cell>
          <cell r="I1010" t="str">
            <v>s__unclassified_g__Bacteroides</v>
          </cell>
        </row>
        <row r="1011">
          <cell r="G1011" t="str">
            <v>ASV3788</v>
          </cell>
          <cell r="H1011" t="str">
            <v>g__Prevotellaceae_UCG-003</v>
          </cell>
          <cell r="I1011" t="str">
            <v>s__uncultured_bacterium_g__Prevotellaceae_UCG-003</v>
          </cell>
        </row>
        <row r="1012">
          <cell r="G1012" t="str">
            <v>ASV1302</v>
          </cell>
          <cell r="H1012" t="str">
            <v>g__Monoglobus</v>
          </cell>
          <cell r="I1012" t="str">
            <v>s__uncultured_Clostridiales_bacterium_g__Monoglobus</v>
          </cell>
        </row>
        <row r="1013">
          <cell r="G1013" t="str">
            <v>ASV3618</v>
          </cell>
          <cell r="H1013" t="str">
            <v>g__Actinobacillus</v>
          </cell>
          <cell r="I1013" t="str">
            <v>s__Actinobacillus_minor</v>
          </cell>
        </row>
        <row r="1014">
          <cell r="G1014" t="str">
            <v>ASV14989</v>
          </cell>
          <cell r="H1014" t="str">
            <v>g__Bacteroides</v>
          </cell>
          <cell r="I1014" t="str">
            <v>s__uncultured_bacterium_g__Bacteroides</v>
          </cell>
        </row>
        <row r="1015">
          <cell r="G1015" t="str">
            <v>ASV8948</v>
          </cell>
          <cell r="H1015" t="str">
            <v>g__UCG-005</v>
          </cell>
          <cell r="I1015" t="str">
            <v>s__uncultured_bacterium_g__UCG-005</v>
          </cell>
        </row>
        <row r="1016">
          <cell r="G1016" t="str">
            <v>ASV4389</v>
          </cell>
          <cell r="H1016" t="str">
            <v>g__Bacteroides</v>
          </cell>
          <cell r="I1016" t="str">
            <v>s__unclassified_g__Bacteroides</v>
          </cell>
        </row>
        <row r="1017">
          <cell r="G1017" t="str">
            <v>ASV7243</v>
          </cell>
          <cell r="H1017" t="str">
            <v>g__Butyricimonas</v>
          </cell>
          <cell r="I1017" t="str">
            <v>s__uncultured_bacterium_g__Butyricimonas</v>
          </cell>
        </row>
        <row r="1018">
          <cell r="G1018" t="str">
            <v>ASV1862</v>
          </cell>
          <cell r="H1018" t="str">
            <v>g__Parabacteroides</v>
          </cell>
          <cell r="I1018" t="str">
            <v>s__Porphyromonadaceae_bacterium_DJF_B175</v>
          </cell>
        </row>
        <row r="1019">
          <cell r="G1019" t="str">
            <v>ASV7255</v>
          </cell>
          <cell r="H1019" t="str">
            <v>g__Hydrogenoanaerobacterium</v>
          </cell>
          <cell r="I1019" t="str">
            <v>s__Selenomonadales_bacterium_Marseille-P2399</v>
          </cell>
        </row>
        <row r="1020">
          <cell r="G1020" t="str">
            <v>ASV18739</v>
          </cell>
          <cell r="H1020" t="str">
            <v>g__Lactobacillus</v>
          </cell>
          <cell r="I1020" t="str">
            <v>s__unclassified_g__Lactobacillus</v>
          </cell>
        </row>
        <row r="1021">
          <cell r="G1021" t="str">
            <v>ASV275</v>
          </cell>
          <cell r="H1021" t="str">
            <v>g__Rikenellaceae_RC9_gut_group</v>
          </cell>
          <cell r="I1021" t="str">
            <v>s__uncultured_bacterium_g__Rikenellaceae_RC9_gut_group</v>
          </cell>
        </row>
        <row r="1022">
          <cell r="G1022" t="str">
            <v>ASV11031</v>
          </cell>
          <cell r="H1022" t="str">
            <v>g__Clostridium_sensu_stricto_1</v>
          </cell>
          <cell r="I1022" t="str">
            <v>s__unclassified_g__Clostridium_sensu_stricto_1</v>
          </cell>
        </row>
        <row r="1023">
          <cell r="G1023" t="str">
            <v>ASV16197</v>
          </cell>
          <cell r="H1023" t="str">
            <v>g__Bacteroides</v>
          </cell>
          <cell r="I1023" t="str">
            <v>s__unclassified_g__Bacteroides</v>
          </cell>
        </row>
        <row r="1024">
          <cell r="G1024" t="str">
            <v>ASV2943</v>
          </cell>
          <cell r="H1024" t="str">
            <v>g__Acinetobacter</v>
          </cell>
          <cell r="I1024" t="str">
            <v>s__unclassified_g__Acinetobacter</v>
          </cell>
        </row>
        <row r="1025">
          <cell r="G1025" t="str">
            <v>ASV2979</v>
          </cell>
          <cell r="H1025" t="str">
            <v>g__Campylobacter</v>
          </cell>
          <cell r="I1025" t="str">
            <v>s__Campylobacter_mucosalis</v>
          </cell>
        </row>
        <row r="1026">
          <cell r="G1026" t="str">
            <v>ASV16198</v>
          </cell>
          <cell r="H1026" t="str">
            <v>g__Sphaerochaeta</v>
          </cell>
          <cell r="I1026" t="str">
            <v>s__uncultured_prokaryote_g__Sphaerochaeta</v>
          </cell>
        </row>
        <row r="1027">
          <cell r="G1027" t="str">
            <v>ASV1855</v>
          </cell>
          <cell r="H1027" t="str">
            <v>g__norank_f__norank_o__Clostridia_UCG-014</v>
          </cell>
          <cell r="I1027" t="str">
            <v>s__unclassified_g__norank_f__norank_o__Clostridia_UCG-014</v>
          </cell>
        </row>
        <row r="1028">
          <cell r="G1028" t="str">
            <v>ASV671</v>
          </cell>
          <cell r="H1028" t="str">
            <v>g__Cellulosilyticum</v>
          </cell>
          <cell r="I1028" t="str">
            <v>s__unclassified_g__Cellulosilyticum</v>
          </cell>
        </row>
        <row r="1029">
          <cell r="G1029" t="str">
            <v>ASV7321</v>
          </cell>
          <cell r="H1029" t="str">
            <v>g__Catenisphaera</v>
          </cell>
          <cell r="I1029" t="str">
            <v>s__uncultured_rumen_bacterium_g__Catenisphaera</v>
          </cell>
        </row>
        <row r="1030">
          <cell r="G1030" t="str">
            <v>ASV12548</v>
          </cell>
          <cell r="H1030" t="str">
            <v>g__Bacteroides</v>
          </cell>
          <cell r="I1030" t="str">
            <v>s__unclassified_g__Bacteroides</v>
          </cell>
        </row>
        <row r="1031">
          <cell r="G1031" t="str">
            <v>ASV293</v>
          </cell>
          <cell r="H1031" t="str">
            <v>g__Rikenellaceae_RC9_gut_group</v>
          </cell>
          <cell r="I1031" t="str">
            <v>s__wallaby_gut_metagenome_g__Rikenellaceae_RC9_gut_group</v>
          </cell>
        </row>
        <row r="1032">
          <cell r="G1032" t="str">
            <v>ASV2589</v>
          </cell>
          <cell r="H1032" t="str">
            <v>g__Clostridium_sensu_stricto_1</v>
          </cell>
          <cell r="I1032" t="str">
            <v>s__unclassified_g__Clostridium_sensu_stricto_1</v>
          </cell>
        </row>
        <row r="1033">
          <cell r="G1033" t="str">
            <v>ASV8835</v>
          </cell>
          <cell r="H1033" t="str">
            <v>g__Prevotella</v>
          </cell>
          <cell r="I1033" t="str">
            <v>s__unclassified_g__Prevotella</v>
          </cell>
        </row>
        <row r="1034">
          <cell r="G1034" t="str">
            <v>ASV2039</v>
          </cell>
          <cell r="H1034" t="str">
            <v>g__Clostridium_sensu_stricto_1</v>
          </cell>
          <cell r="I1034" t="str">
            <v>s__unclassified_g__Clostridium_sensu_stricto_1</v>
          </cell>
        </row>
        <row r="1035">
          <cell r="G1035" t="str">
            <v>ASV2837</v>
          </cell>
          <cell r="H1035" t="str">
            <v>g__Campylobacter</v>
          </cell>
          <cell r="I1035" t="str">
            <v>s__unclassified_g__Campylobacter</v>
          </cell>
        </row>
        <row r="1036">
          <cell r="G1036" t="str">
            <v>ASV20346</v>
          </cell>
          <cell r="H1036" t="str">
            <v>g__Sediminibacterium</v>
          </cell>
          <cell r="I1036" t="str">
            <v>s__unclassified_g__Sediminibacterium</v>
          </cell>
        </row>
        <row r="1037">
          <cell r="G1037" t="str">
            <v>ASV13365</v>
          </cell>
          <cell r="H1037" t="str">
            <v>g__Prevotellaceae_UCG-001</v>
          </cell>
          <cell r="I1037" t="str">
            <v>s__uncultured_bacterium_g__Prevotellaceae_UCG-001</v>
          </cell>
        </row>
        <row r="1038">
          <cell r="G1038" t="str">
            <v>ASV14963</v>
          </cell>
          <cell r="H1038" t="str">
            <v>g__Parabacteroides</v>
          </cell>
          <cell r="I1038" t="str">
            <v>s__uncultured_bacterium_g__Parabacteroides</v>
          </cell>
        </row>
        <row r="1039">
          <cell r="G1039" t="str">
            <v>ASV2642</v>
          </cell>
          <cell r="H1039" t="str">
            <v>g__unclassified_o__Saccharimonadales</v>
          </cell>
          <cell r="I1039" t="str">
            <v>s__unclassified_o__Saccharimonadales</v>
          </cell>
        </row>
        <row r="1040">
          <cell r="G1040" t="str">
            <v>ASV208</v>
          </cell>
          <cell r="H1040" t="str">
            <v>g__Rikenellaceae_RC9_gut_group</v>
          </cell>
          <cell r="I1040" t="str">
            <v>s__uncultured_bacterium_g__Rikenellaceae_RC9_gut_group</v>
          </cell>
        </row>
        <row r="1041">
          <cell r="G1041" t="str">
            <v>ASV5466</v>
          </cell>
          <cell r="H1041" t="str">
            <v>g__Bacteroides</v>
          </cell>
          <cell r="I1041" t="str">
            <v>s__Bacteroides_caecigallinarum</v>
          </cell>
        </row>
        <row r="1042">
          <cell r="G1042" t="str">
            <v>ASV8748</v>
          </cell>
          <cell r="H1042" t="str">
            <v>g__Prevotellaceae_UCG-003</v>
          </cell>
          <cell r="I1042" t="str">
            <v>s__uncultured_bacterium_g__Prevotellaceae_UCG-003</v>
          </cell>
        </row>
        <row r="1043">
          <cell r="G1043" t="str">
            <v>ASV1869</v>
          </cell>
          <cell r="H1043" t="str">
            <v>g__Lachnospira</v>
          </cell>
          <cell r="I1043" t="str">
            <v>s__uncultured_bacterium_g__Lachnospira</v>
          </cell>
        </row>
        <row r="1044">
          <cell r="G1044" t="str">
            <v>ASV11120</v>
          </cell>
          <cell r="H1044" t="str">
            <v>g__Selenomonas</v>
          </cell>
          <cell r="I1044" t="str">
            <v>s__unclassified_g__Selenomonas</v>
          </cell>
        </row>
        <row r="1045">
          <cell r="G1045" t="str">
            <v>ASV285</v>
          </cell>
          <cell r="H1045" t="str">
            <v>g__Rikenellaceae_RC9_gut_group</v>
          </cell>
          <cell r="I1045" t="str">
            <v>s__uncultured_bacterium_g__Rikenellaceae_RC9_gut_group</v>
          </cell>
        </row>
        <row r="1046">
          <cell r="G1046" t="str">
            <v>ASV3749</v>
          </cell>
          <cell r="H1046" t="str">
            <v>g__Cloacibacillus</v>
          </cell>
          <cell r="I1046" t="str">
            <v>s__unclassified_g__Cloacibacillus</v>
          </cell>
        </row>
        <row r="1047">
          <cell r="G1047" t="str">
            <v>ASV7235</v>
          </cell>
          <cell r="H1047" t="str">
            <v>g__Alloprevotella</v>
          </cell>
          <cell r="I1047" t="str">
            <v>s__uncultured_bacterium_g__Alloprevotella</v>
          </cell>
        </row>
        <row r="1048">
          <cell r="G1048" t="str">
            <v>ASV7439</v>
          </cell>
          <cell r="H1048" t="str">
            <v>g__Subdoligranulum</v>
          </cell>
          <cell r="I1048" t="str">
            <v>s__uncultured_bacterium_g__Subdoligranulum</v>
          </cell>
        </row>
        <row r="1049">
          <cell r="G1049" t="str">
            <v>ASV5601</v>
          </cell>
          <cell r="H1049" t="str">
            <v>g__Rikenellaceae_RC9_gut_group</v>
          </cell>
          <cell r="I1049" t="str">
            <v>s__uncultured_bacterium_g__Rikenellaceae_RC9_gut_group</v>
          </cell>
        </row>
        <row r="1050">
          <cell r="G1050" t="str">
            <v>ASV10370</v>
          </cell>
          <cell r="H1050" t="str">
            <v>g__Coprococcus</v>
          </cell>
          <cell r="I1050" t="str">
            <v>s__unclassified_g__Coprococcus</v>
          </cell>
        </row>
        <row r="1051">
          <cell r="G1051" t="str">
            <v>ASV17128</v>
          </cell>
          <cell r="H1051" t="str">
            <v>g__Alloprevotella</v>
          </cell>
          <cell r="I1051" t="str">
            <v>s__Prevotella_sp._canine_oral_taxon_282</v>
          </cell>
        </row>
        <row r="1052">
          <cell r="G1052" t="str">
            <v>ASV8974</v>
          </cell>
          <cell r="H1052" t="str">
            <v>g__norank_f__Muribaculaceae</v>
          </cell>
          <cell r="I1052" t="str">
            <v>s__uncultured_bacterium_g__norank_f__Muribaculaceae</v>
          </cell>
        </row>
        <row r="1053">
          <cell r="G1053" t="str">
            <v>ASV2682</v>
          </cell>
          <cell r="H1053" t="str">
            <v>g__unclassified_o__Micrococcales</v>
          </cell>
          <cell r="I1053" t="str">
            <v>s__unclassified_o__Micrococcales</v>
          </cell>
        </row>
        <row r="1054">
          <cell r="G1054" t="str">
            <v>ASV3578</v>
          </cell>
          <cell r="H1054" t="str">
            <v>g__Veillonella</v>
          </cell>
          <cell r="I1054" t="str">
            <v>s__Veillonella_sp._R-32</v>
          </cell>
        </row>
        <row r="1055">
          <cell r="G1055" t="str">
            <v>ASV14969</v>
          </cell>
          <cell r="H1055" t="str">
            <v>g__Bacteroides</v>
          </cell>
          <cell r="I1055" t="str">
            <v>s__uncultured_bacterium_g__Bacteroides</v>
          </cell>
        </row>
        <row r="1056">
          <cell r="G1056" t="str">
            <v>ASV2613</v>
          </cell>
          <cell r="H1056" t="str">
            <v>g__Blautia</v>
          </cell>
          <cell r="I1056" t="str">
            <v>s__unclassified_g__Blautia</v>
          </cell>
        </row>
        <row r="1057">
          <cell r="G1057" t="str">
            <v>ASV7247</v>
          </cell>
          <cell r="H1057" t="str">
            <v>g__Prevotella</v>
          </cell>
          <cell r="I1057" t="str">
            <v>s__unclassified_g__Prevotella</v>
          </cell>
        </row>
        <row r="1058">
          <cell r="G1058" t="str">
            <v>ASV23745</v>
          </cell>
          <cell r="H1058" t="str">
            <v>g__unclassified_f__Oscillospiraceae</v>
          </cell>
          <cell r="I1058" t="str">
            <v>s__unclassified_f__Oscillospiraceae</v>
          </cell>
        </row>
        <row r="1059">
          <cell r="G1059" t="str">
            <v>ASV17160</v>
          </cell>
          <cell r="H1059" t="str">
            <v>g__Mannheimia</v>
          </cell>
          <cell r="I1059" t="str">
            <v>s__unclassified_g__Mannheimia</v>
          </cell>
        </row>
        <row r="1060">
          <cell r="G1060" t="str">
            <v>ASV22953</v>
          </cell>
          <cell r="H1060" t="str">
            <v>g__Acidaminococcus</v>
          </cell>
          <cell r="I1060" t="str">
            <v>s__unclassified_g__Acidaminococcus</v>
          </cell>
        </row>
        <row r="1061">
          <cell r="G1061" t="str">
            <v>ASV2688</v>
          </cell>
          <cell r="H1061" t="str">
            <v>g__norank_f__norank_o__RF39</v>
          </cell>
          <cell r="I1061" t="str">
            <v>s__uncultured_bacterium_g__norank_f__norank_o__RF39</v>
          </cell>
        </row>
        <row r="1062">
          <cell r="G1062" t="str">
            <v>ASV5459</v>
          </cell>
          <cell r="H1062" t="str">
            <v>g__Eubacterium_fissicatena_group</v>
          </cell>
          <cell r="I1062" t="str">
            <v>s__unclassified_g__Eubacterium_fissicatena_group</v>
          </cell>
        </row>
        <row r="1063">
          <cell r="G1063" t="str">
            <v>ASV1955</v>
          </cell>
          <cell r="H1063" t="str">
            <v>g__Corynebacterium</v>
          </cell>
          <cell r="I1063" t="str">
            <v>s__unclassified_g__Corynebacterium</v>
          </cell>
        </row>
        <row r="1064">
          <cell r="G1064" t="str">
            <v>ASV1178</v>
          </cell>
          <cell r="H1064" t="str">
            <v>g__norank_f__norank_o__Oscillospirales</v>
          </cell>
          <cell r="I1064" t="str">
            <v>s__unclassified_g__norank_f__norank_o__Oscillospirales</v>
          </cell>
        </row>
        <row r="1065">
          <cell r="G1065" t="str">
            <v>ASV13232</v>
          </cell>
          <cell r="H1065" t="str">
            <v>g__Christensenellaceae_R-7_group</v>
          </cell>
          <cell r="I1065" t="str">
            <v>s__unclassified_g__Christensenellaceae_R-7_group</v>
          </cell>
        </row>
        <row r="1066">
          <cell r="G1066" t="str">
            <v>ASV7005</v>
          </cell>
          <cell r="H1066" t="str">
            <v>g__Butyricicoccus</v>
          </cell>
          <cell r="I1066" t="str">
            <v>s__unclassified_g__Butyricicoccus</v>
          </cell>
        </row>
        <row r="1067">
          <cell r="G1067" t="str">
            <v>ASV19225</v>
          </cell>
          <cell r="H1067" t="str">
            <v>g__Mogibacterium</v>
          </cell>
          <cell r="I1067" t="str">
            <v>s__Mobilibacterium_timonense</v>
          </cell>
        </row>
        <row r="1068">
          <cell r="G1068" t="str">
            <v>ASV116</v>
          </cell>
          <cell r="H1068" t="str">
            <v>g__unclassified_f__Butyricicoccaceae</v>
          </cell>
          <cell r="I1068" t="str">
            <v>s__unclassified_f__Butyricicoccaceae</v>
          </cell>
        </row>
        <row r="1069">
          <cell r="G1069" t="str">
            <v>ASV1685</v>
          </cell>
          <cell r="H1069" t="str">
            <v>g__Acetitomaculum</v>
          </cell>
          <cell r="I1069" t="str">
            <v>s__unclassified_g__Acetitomaculum</v>
          </cell>
        </row>
        <row r="1070">
          <cell r="G1070" t="str">
            <v>ASV14967</v>
          </cell>
          <cell r="H1070" t="str">
            <v>g__Bacteroides</v>
          </cell>
          <cell r="I1070" t="str">
            <v>s__uncultured_bacterium_g__Bacteroides</v>
          </cell>
        </row>
        <row r="1071">
          <cell r="G1071" t="str">
            <v>ASV2712</v>
          </cell>
          <cell r="H1071" t="str">
            <v>g__norank_f__Oscillospiraceae</v>
          </cell>
          <cell r="I1071" t="str">
            <v>s__unclassified_g__norank_f__Oscillospiraceae</v>
          </cell>
        </row>
        <row r="1072">
          <cell r="G1072" t="str">
            <v>ASV4441</v>
          </cell>
          <cell r="H1072" t="str">
            <v>g__Prevotellaceae_NK3B31_group</v>
          </cell>
          <cell r="I1072" t="str">
            <v>s__uncultured_bacterium_g__Prevotellaceae_NK3B31_group</v>
          </cell>
        </row>
        <row r="1073">
          <cell r="G1073" t="str">
            <v>ASV3359</v>
          </cell>
          <cell r="H1073" t="str">
            <v>g__Clostridium_sensu_stricto_1</v>
          </cell>
          <cell r="I1073" t="str">
            <v>s__Clostridium_butyricum</v>
          </cell>
        </row>
        <row r="1074">
          <cell r="G1074" t="str">
            <v>ASV2857</v>
          </cell>
          <cell r="H1074" t="str">
            <v>g__Deinococcus</v>
          </cell>
          <cell r="I1074" t="str">
            <v>s__unclassified_g__Deinococcus</v>
          </cell>
        </row>
        <row r="1075">
          <cell r="G1075" t="str">
            <v>ASV3593</v>
          </cell>
          <cell r="H1075" t="str">
            <v>g__Bacteroides</v>
          </cell>
          <cell r="I1075" t="str">
            <v>s__unclassified_g__Bacteroides</v>
          </cell>
        </row>
        <row r="1076">
          <cell r="G1076" t="str">
            <v>ASV9847</v>
          </cell>
          <cell r="H1076" t="str">
            <v>g__Lactobacillus</v>
          </cell>
          <cell r="I1076" t="str">
            <v>s__unclassified_g__Lactobacillus</v>
          </cell>
        </row>
        <row r="1077">
          <cell r="G1077" t="str">
            <v>ASV15124</v>
          </cell>
          <cell r="H1077" t="str">
            <v>g__Bacteroides</v>
          </cell>
          <cell r="I1077" t="str">
            <v>s__uncultured_bacterium_g__Bacteroides</v>
          </cell>
        </row>
        <row r="1078">
          <cell r="G1078" t="str">
            <v>ASV9902</v>
          </cell>
          <cell r="H1078" t="str">
            <v>g__norank_f__Muribaculaceae</v>
          </cell>
          <cell r="I1078" t="str">
            <v>s__uncultured_bacterium_g__norank_f__Muribaculaceae</v>
          </cell>
        </row>
        <row r="1079">
          <cell r="G1079" t="str">
            <v>ASV14964</v>
          </cell>
          <cell r="H1079" t="str">
            <v>g__Parabacteroides</v>
          </cell>
          <cell r="I1079" t="str">
            <v>s__uncultured_bacterium_g__Parabacteroides</v>
          </cell>
        </row>
        <row r="1080">
          <cell r="G1080" t="str">
            <v>ASV17685</v>
          </cell>
          <cell r="H1080" t="str">
            <v>g__Cloacibacillus</v>
          </cell>
          <cell r="I1080" t="str">
            <v>s__unclassified_g__Cloacibacillus</v>
          </cell>
        </row>
        <row r="1081">
          <cell r="G1081" t="str">
            <v>ASV2653</v>
          </cell>
          <cell r="H1081" t="str">
            <v>g__Streptococcus</v>
          </cell>
          <cell r="I1081" t="str">
            <v>s__Streptococcus_pluranimalium</v>
          </cell>
        </row>
        <row r="1082">
          <cell r="G1082" t="str">
            <v>ASV2064</v>
          </cell>
          <cell r="H1082" t="str">
            <v>g__Enterorhabdus</v>
          </cell>
          <cell r="I1082" t="str">
            <v>s__uncultured_bacterium_g__Enterorhabdus</v>
          </cell>
        </row>
        <row r="1083">
          <cell r="G1083" t="str">
            <v>ASV1569</v>
          </cell>
          <cell r="H1083" t="str">
            <v>g__norank_f__Selenomonadaceae</v>
          </cell>
          <cell r="I1083" t="str">
            <v>s__Veillonellaceae_bacterium_DJF_CR19</v>
          </cell>
        </row>
        <row r="1084">
          <cell r="G1084" t="str">
            <v>ASV9907</v>
          </cell>
          <cell r="H1084" t="str">
            <v>g__Prevotellaceae_NK3B31_group</v>
          </cell>
          <cell r="I1084" t="str">
            <v>s__uncultured_bacterium_g__Prevotellaceae_NK3B31_group</v>
          </cell>
        </row>
        <row r="1085">
          <cell r="G1085" t="str">
            <v>ASV3098</v>
          </cell>
          <cell r="H1085" t="str">
            <v>g__unclassified_f__Lachnospiraceae</v>
          </cell>
          <cell r="I1085" t="str">
            <v>s__unclassified_f__Lachnospiraceae</v>
          </cell>
        </row>
        <row r="1086">
          <cell r="G1086" t="str">
            <v>ASV8904</v>
          </cell>
          <cell r="H1086" t="str">
            <v>g__unclassified_f__Lachnospiraceae</v>
          </cell>
          <cell r="I1086" t="str">
            <v>s__unclassified_f__Lachnospiraceae</v>
          </cell>
        </row>
        <row r="1087">
          <cell r="G1087" t="str">
            <v>ASV3627</v>
          </cell>
          <cell r="H1087" t="str">
            <v>g__unclassified_f__Intrasporangiaceae</v>
          </cell>
          <cell r="I1087" t="str">
            <v>s__unclassified_f__Intrasporangiaceae</v>
          </cell>
        </row>
        <row r="1088">
          <cell r="G1088" t="str">
            <v>ASV2879</v>
          </cell>
          <cell r="H1088" t="str">
            <v>g__Deinococcus</v>
          </cell>
          <cell r="I1088" t="str">
            <v>s__unclassified_g__Deinococcus</v>
          </cell>
        </row>
        <row r="1089">
          <cell r="G1089" t="str">
            <v>ASV3044</v>
          </cell>
          <cell r="H1089" t="str">
            <v>g__Proteocatella</v>
          </cell>
          <cell r="I1089" t="str">
            <v>s__Frigovirgula_sp._canine_oral_taxon_032</v>
          </cell>
        </row>
        <row r="1090">
          <cell r="G1090" t="str">
            <v>ASV7136</v>
          </cell>
          <cell r="H1090" t="str">
            <v>g__Dielma</v>
          </cell>
          <cell r="I1090" t="str">
            <v>s__uncultured_bacterium_g__Dielma</v>
          </cell>
        </row>
        <row r="1091">
          <cell r="G1091" t="str">
            <v>ASV2977</v>
          </cell>
          <cell r="H1091" t="str">
            <v>g__Pedobacter</v>
          </cell>
          <cell r="I1091" t="str">
            <v>s__unclassified_g__Pedobacter</v>
          </cell>
        </row>
        <row r="1092">
          <cell r="G1092" t="str">
            <v>ASV355</v>
          </cell>
          <cell r="H1092" t="str">
            <v>g__Rikenellaceae_RC9_gut_group</v>
          </cell>
          <cell r="I1092" t="str">
            <v>s__uncultured_beta_proteobacterium_g__Rikenellaceae_RC9_gut_group</v>
          </cell>
        </row>
        <row r="1093">
          <cell r="G1093" t="str">
            <v>ASV1945</v>
          </cell>
          <cell r="H1093" t="str">
            <v>g__unclassified_o__Oscillospirales</v>
          </cell>
          <cell r="I1093" t="str">
            <v>s__unclassified_o__Oscillospirales</v>
          </cell>
        </row>
        <row r="1094">
          <cell r="G1094" t="str">
            <v>ASV1524</v>
          </cell>
          <cell r="H1094" t="str">
            <v>g__Prevotellaceae_NK3B31_group</v>
          </cell>
          <cell r="I1094" t="str">
            <v>s__unclassified_g__Prevotellaceae_NK3B31_group</v>
          </cell>
        </row>
        <row r="1095">
          <cell r="G1095" t="str">
            <v>ASV13235</v>
          </cell>
          <cell r="H1095" t="str">
            <v>g__Christensenellaceae_R-7_group</v>
          </cell>
          <cell r="I1095" t="str">
            <v>s__unclassified_g__Christensenellaceae_R-7_group</v>
          </cell>
        </row>
        <row r="1096">
          <cell r="G1096" t="str">
            <v>ASV2744</v>
          </cell>
          <cell r="H1096" t="str">
            <v>g__Helcococcus</v>
          </cell>
          <cell r="I1096" t="str">
            <v>s__uncultured_bacterium_g__Helcococcus</v>
          </cell>
        </row>
        <row r="1097">
          <cell r="G1097" t="str">
            <v>ASV1574</v>
          </cell>
          <cell r="H1097" t="str">
            <v>g__Bifidobacterium</v>
          </cell>
          <cell r="I1097" t="str">
            <v>s__unclassified_g__Bifidobacterium</v>
          </cell>
        </row>
        <row r="1098">
          <cell r="G1098" t="str">
            <v>ASV7234</v>
          </cell>
          <cell r="H1098" t="str">
            <v>g__norank_f__Desulfovibrionaceae</v>
          </cell>
          <cell r="I1098" t="str">
            <v>s__uncultured_bacterium_g__norank_f__Desulfovibrionaceae</v>
          </cell>
        </row>
        <row r="1099">
          <cell r="G1099" t="str">
            <v>ASV8752</v>
          </cell>
          <cell r="H1099" t="str">
            <v>g__Colidextribacter</v>
          </cell>
          <cell r="I1099" t="str">
            <v>s__unclassified_g__Colidextribacter</v>
          </cell>
        </row>
        <row r="1100">
          <cell r="G1100" t="str">
            <v>ASV2658</v>
          </cell>
          <cell r="H1100" t="str">
            <v>g__Clostridium_sensu_stricto_6</v>
          </cell>
          <cell r="I1100" t="str">
            <v>s__Clostridium_bornimense</v>
          </cell>
        </row>
        <row r="1101">
          <cell r="G1101" t="str">
            <v>ASV3577</v>
          </cell>
          <cell r="H1101" t="str">
            <v>g__Veillonella</v>
          </cell>
          <cell r="I1101" t="str">
            <v>s__unclassified_g__Veillonella</v>
          </cell>
        </row>
        <row r="1102">
          <cell r="G1102" t="str">
            <v>ASV10384</v>
          </cell>
          <cell r="H1102" t="str">
            <v>g__unclassified_f__Lachnospiraceae</v>
          </cell>
          <cell r="I1102" t="str">
            <v>s__unclassified_f__Lachnospiraceae</v>
          </cell>
        </row>
        <row r="1103">
          <cell r="G1103" t="str">
            <v>ASV3750</v>
          </cell>
          <cell r="H1103" t="str">
            <v>g__Parabacteroides</v>
          </cell>
          <cell r="I1103" t="str">
            <v>s__Parabacteroides_goldsteinii</v>
          </cell>
        </row>
        <row r="1104">
          <cell r="G1104" t="str">
            <v>ASV4427</v>
          </cell>
          <cell r="H1104" t="str">
            <v>g__unclassified_f__Prevotellaceae</v>
          </cell>
          <cell r="I1104" t="str">
            <v>s__unclassified_f__Prevotellaceae</v>
          </cell>
        </row>
        <row r="1105">
          <cell r="G1105" t="str">
            <v>ASV3853</v>
          </cell>
          <cell r="H1105" t="str">
            <v>g__Butyricimonas</v>
          </cell>
          <cell r="I1105" t="str">
            <v>s__unclassified_g__Butyricimonas</v>
          </cell>
        </row>
        <row r="1106">
          <cell r="G1106" t="str">
            <v>ASV2912</v>
          </cell>
          <cell r="H1106" t="str">
            <v>g__Vagococcus</v>
          </cell>
          <cell r="I1106" t="str">
            <v>s__unclassified_g__Vagococcus</v>
          </cell>
        </row>
        <row r="1107">
          <cell r="G1107" t="str">
            <v>ASV5544</v>
          </cell>
          <cell r="H1107" t="str">
            <v>g__norank_f__norank_o__Bradymonadales</v>
          </cell>
          <cell r="I1107" t="str">
            <v>s__uncultured_rumen_bacterium_g__norank_f__norank_o__Bradymonadales</v>
          </cell>
        </row>
        <row r="1108">
          <cell r="G1108" t="str">
            <v>ASV7778</v>
          </cell>
          <cell r="H1108" t="str">
            <v>g__norank_f__Muribaculaceae</v>
          </cell>
          <cell r="I1108" t="str">
            <v>s__uncultured_bacterium_g__norank_f__Muribaculaceae</v>
          </cell>
        </row>
        <row r="1109">
          <cell r="G1109" t="str">
            <v>ASV1535</v>
          </cell>
          <cell r="H1109" t="str">
            <v>g__Clostridium_sensu_stricto_1</v>
          </cell>
          <cell r="I1109" t="str">
            <v>s__unclassified_g__Clostridium_sensu_stricto_1</v>
          </cell>
        </row>
        <row r="1110">
          <cell r="G1110" t="str">
            <v>ASV14965</v>
          </cell>
          <cell r="H1110" t="str">
            <v>g__Helicobacter</v>
          </cell>
          <cell r="I1110" t="str">
            <v>s__Helicobacter_rodentium</v>
          </cell>
        </row>
        <row r="1111">
          <cell r="G1111" t="str">
            <v>ASV2662</v>
          </cell>
          <cell r="H1111" t="str">
            <v>g__unclassified_f__Lachnospiraceae</v>
          </cell>
          <cell r="I1111" t="str">
            <v>s__unclassified_f__Lachnospiraceae</v>
          </cell>
        </row>
        <row r="1112">
          <cell r="G1112" t="str">
            <v>ASV2892</v>
          </cell>
          <cell r="H1112" t="str">
            <v>g__Proteocatella</v>
          </cell>
          <cell r="I1112" t="str">
            <v>s__Frigovirgula_sp._canine_oral_taxon_058</v>
          </cell>
        </row>
        <row r="1113">
          <cell r="G1113" t="str">
            <v>ASV8595</v>
          </cell>
          <cell r="H1113" t="str">
            <v>g__Actinobacillus</v>
          </cell>
          <cell r="I1113" t="str">
            <v>s__unclassified_g__Actinobacillus</v>
          </cell>
        </row>
        <row r="1114">
          <cell r="G1114" t="str">
            <v>ASV8759</v>
          </cell>
          <cell r="H1114" t="str">
            <v>g__NK4A214_group</v>
          </cell>
          <cell r="I1114" t="str">
            <v>s__unclassified_g__NK4A214_group</v>
          </cell>
        </row>
        <row r="1115">
          <cell r="G1115" t="str">
            <v>ASV10408</v>
          </cell>
          <cell r="H1115" t="str">
            <v>g__Rikenellaceae_RC9_gut_group</v>
          </cell>
          <cell r="I1115" t="str">
            <v>s__uncultured_bacterium_g__Rikenellaceae_RC9_gut_group</v>
          </cell>
        </row>
        <row r="1116">
          <cell r="G1116" t="str">
            <v>ASV2407</v>
          </cell>
          <cell r="H1116" t="str">
            <v>g__unclassified_o__Coriobacteriales</v>
          </cell>
          <cell r="I1116" t="str">
            <v>s__unclassified_o__Coriobacteriales</v>
          </cell>
        </row>
        <row r="1117">
          <cell r="G1117" t="str">
            <v>ASV8750</v>
          </cell>
          <cell r="H1117" t="str">
            <v>g__Oscillibacter</v>
          </cell>
          <cell r="I1117" t="str">
            <v>s__unclassified_g__Oscillibacter</v>
          </cell>
        </row>
        <row r="1118">
          <cell r="G1118" t="str">
            <v>ASV7318</v>
          </cell>
          <cell r="H1118" t="str">
            <v>g__Veillonella</v>
          </cell>
          <cell r="I1118" t="str">
            <v>s__unclassified_g__Veillonella</v>
          </cell>
        </row>
        <row r="1119">
          <cell r="G1119" t="str">
            <v>ASV3743</v>
          </cell>
          <cell r="H1119" t="str">
            <v>g__Bacteroides</v>
          </cell>
          <cell r="I1119" t="str">
            <v>s__unclassified_g__Bacteroides</v>
          </cell>
        </row>
        <row r="1120">
          <cell r="G1120" t="str">
            <v>ASV10374</v>
          </cell>
          <cell r="H1120" t="str">
            <v>g__Clostridium_sensu_stricto_1</v>
          </cell>
          <cell r="I1120" t="str">
            <v>s__unclassified_g__Clostridium_sensu_stricto_1</v>
          </cell>
        </row>
        <row r="1121">
          <cell r="G1121" t="str">
            <v>ASV3767</v>
          </cell>
          <cell r="H1121" t="str">
            <v>g__Butyricimonas</v>
          </cell>
          <cell r="I1121" t="str">
            <v>s__unclassified_g__Butyricimonas</v>
          </cell>
        </row>
        <row r="1122">
          <cell r="G1122" t="str">
            <v>ASV7447</v>
          </cell>
          <cell r="H1122" t="str">
            <v>g__Dorea</v>
          </cell>
          <cell r="I1122" t="str">
            <v>s__uncultured_bacterium_g__Dorea</v>
          </cell>
        </row>
        <row r="1123">
          <cell r="G1123" t="str">
            <v>ASV3520</v>
          </cell>
          <cell r="H1123" t="str">
            <v>g__Sutterella</v>
          </cell>
          <cell r="I1123" t="str">
            <v>s__Sutterella_parvirubra</v>
          </cell>
        </row>
        <row r="1124">
          <cell r="G1124" t="str">
            <v>ASV2891</v>
          </cell>
          <cell r="H1124" t="str">
            <v>g__norank_f__norank_o__norank_c__Gracilibacteria</v>
          </cell>
          <cell r="I1124" t="str">
            <v>s__Gracilibacteria_bacterium_oral_taxon_873</v>
          </cell>
        </row>
        <row r="1125">
          <cell r="G1125" t="str">
            <v>ASV419</v>
          </cell>
          <cell r="H1125" t="str">
            <v>g__Rikenellaceae_RC9_gut_group</v>
          </cell>
          <cell r="I1125" t="str">
            <v>s__uncultured_bacterium_g__Rikenellaceae_RC9_gut_group</v>
          </cell>
        </row>
        <row r="1126">
          <cell r="G1126" t="str">
            <v>ASV10376</v>
          </cell>
          <cell r="H1126" t="str">
            <v>g__Negativibacillus</v>
          </cell>
          <cell r="I1126" t="str">
            <v>s__uncultured_bacterium_g__Negativibacillus</v>
          </cell>
        </row>
        <row r="1127">
          <cell r="G1127" t="str">
            <v>ASV1538</v>
          </cell>
          <cell r="H1127" t="str">
            <v>g__Eubacterium</v>
          </cell>
          <cell r="I1127" t="str">
            <v>s__unclassified_g__Eubacterium</v>
          </cell>
        </row>
        <row r="1128">
          <cell r="G1128" t="str">
            <v>ASV4463</v>
          </cell>
          <cell r="H1128" t="str">
            <v>g__Rikenellaceae_RC9_gut_group</v>
          </cell>
          <cell r="I1128" t="str">
            <v>s__uncultured_bacterium_g__Rikenellaceae_RC9_gut_group</v>
          </cell>
        </row>
        <row r="1129">
          <cell r="G1129" t="str">
            <v>ASV3774</v>
          </cell>
          <cell r="H1129" t="str">
            <v>g__Christensenella</v>
          </cell>
          <cell r="I1129" t="str">
            <v>s__Christensenella_minuta</v>
          </cell>
        </row>
        <row r="1130">
          <cell r="G1130" t="str">
            <v>ASV8616</v>
          </cell>
          <cell r="H1130" t="str">
            <v>g__Nocardioides</v>
          </cell>
          <cell r="I1130" t="str">
            <v>s__Nocardioides_gilvus</v>
          </cell>
        </row>
        <row r="1131">
          <cell r="G1131" t="str">
            <v>ASV8767</v>
          </cell>
          <cell r="H1131" t="str">
            <v>g__Clostridium_sensu_stricto_1</v>
          </cell>
          <cell r="I1131" t="str">
            <v>s__unclassified_g__Clostridium_sensu_stricto_1</v>
          </cell>
        </row>
        <row r="1132">
          <cell r="G1132" t="str">
            <v>ASV5657</v>
          </cell>
          <cell r="H1132" t="str">
            <v>g__norank_f__norank_o__Clostridia_vadinBB60_group</v>
          </cell>
          <cell r="I1132" t="str">
            <v>s__uncultured_bacterium_g__norank_f__norank_o__Clostridia_vadinBB60_group</v>
          </cell>
        </row>
        <row r="1133">
          <cell r="G1133" t="str">
            <v>ASV7253</v>
          </cell>
          <cell r="H1133" t="str">
            <v>g__Parabacteroides</v>
          </cell>
          <cell r="I1133" t="str">
            <v>s__unclassified_g__Parabacteroides</v>
          </cell>
        </row>
        <row r="1134">
          <cell r="G1134" t="str">
            <v>ASV11089</v>
          </cell>
          <cell r="H1134" t="str">
            <v>g__norank_f__norank_o__Clostridia_UCG-014</v>
          </cell>
          <cell r="I1134" t="str">
            <v>s__unclassified_g__norank_f__norank_o__Clostridia_UCG-014</v>
          </cell>
        </row>
        <row r="1135">
          <cell r="G1135" t="str">
            <v>ASV786</v>
          </cell>
          <cell r="H1135" t="str">
            <v>g__Rikenellaceae_RC9_gut_group</v>
          </cell>
          <cell r="I1135" t="str">
            <v>s__metagenome_g__Rikenellaceae_RC9_gut_group</v>
          </cell>
        </row>
        <row r="1136">
          <cell r="G1136" t="str">
            <v>ASV4405</v>
          </cell>
          <cell r="H1136" t="str">
            <v>g__Alloprevotella</v>
          </cell>
          <cell r="I1136" t="str">
            <v>s__uncultured_bacterium_g__Alloprevotella</v>
          </cell>
        </row>
        <row r="1137">
          <cell r="G1137" t="str">
            <v>ASV15126</v>
          </cell>
          <cell r="H1137" t="str">
            <v>g__norank_f__norank_o__WCHB1-41</v>
          </cell>
          <cell r="I1137" t="str">
            <v>s__unclassified_g__norank_f__norank_o__WCHB1-41</v>
          </cell>
        </row>
        <row r="1138">
          <cell r="G1138" t="str">
            <v>ASV10050</v>
          </cell>
          <cell r="H1138" t="str">
            <v>g__Enterorhabdus</v>
          </cell>
          <cell r="I1138" t="str">
            <v>s__uncultured_bacterium_g__Enterorhabdus</v>
          </cell>
        </row>
        <row r="1139">
          <cell r="G1139" t="str">
            <v>ASV4248</v>
          </cell>
          <cell r="H1139" t="str">
            <v>g__norank_f__Peptococcaceae</v>
          </cell>
          <cell r="I1139" t="str">
            <v>s__unclassified_g__norank_f__Peptococcaceae</v>
          </cell>
        </row>
        <row r="1140">
          <cell r="G1140" t="str">
            <v>ASV8598</v>
          </cell>
          <cell r="H1140" t="str">
            <v>g__Actinobacillus</v>
          </cell>
          <cell r="I1140" t="str">
            <v>s__Actinobacillus_porcinus</v>
          </cell>
        </row>
        <row r="1141">
          <cell r="G1141" t="str">
            <v>ASV11090</v>
          </cell>
          <cell r="H1141" t="str">
            <v>g__norank_f__norank_o__Clostridia_UCG-014</v>
          </cell>
          <cell r="I1141" t="str">
            <v>s__unclassified_g__norank_f__norank_o__Clostridia_UCG-014</v>
          </cell>
        </row>
        <row r="1142">
          <cell r="G1142" t="str">
            <v>ASV17584</v>
          </cell>
          <cell r="H1142" t="str">
            <v>g__Prevotella</v>
          </cell>
          <cell r="I1142" t="str">
            <v>s__human_gut_metagenome_g__Prevotella</v>
          </cell>
        </row>
        <row r="1143">
          <cell r="G1143" t="str">
            <v>ASV4462</v>
          </cell>
          <cell r="H1143" t="str">
            <v>g__Prevotellaceae_UCG-001</v>
          </cell>
          <cell r="I1143" t="str">
            <v>s__uncultured_bacterium_g__Prevotellaceae_UCG-001</v>
          </cell>
        </row>
        <row r="1144">
          <cell r="G1144" t="str">
            <v>ASV10391</v>
          </cell>
          <cell r="H1144" t="str">
            <v>g__norank_f__F082</v>
          </cell>
          <cell r="I1144" t="str">
            <v>s__uncultured_bacterium_g__norank_f__F082</v>
          </cell>
        </row>
        <row r="1145">
          <cell r="G1145" t="str">
            <v>ASV2149</v>
          </cell>
          <cell r="H1145" t="str">
            <v>g__Rikenellaceae_RC9_gut_group</v>
          </cell>
          <cell r="I1145" t="str">
            <v>s__uncultured_bacterium_g__Rikenellaceae_RC9_gut_group</v>
          </cell>
        </row>
        <row r="1146">
          <cell r="G1146" t="str">
            <v>ASV10380</v>
          </cell>
          <cell r="H1146" t="str">
            <v>g__unclassified_f__Lachnospiraceae</v>
          </cell>
          <cell r="I1146" t="str">
            <v>s__unclassified_f__Lachnospiraceae</v>
          </cell>
        </row>
        <row r="1147">
          <cell r="G1147" t="str">
            <v>ASV1975</v>
          </cell>
          <cell r="H1147" t="str">
            <v>g__norank_f__norank_o__Gastranaerophilales</v>
          </cell>
          <cell r="I1147" t="str">
            <v>s__unclassified_g__norank_f__norank_o__Gastranaerophilales</v>
          </cell>
        </row>
        <row r="1148">
          <cell r="G1148" t="str">
            <v>ASV8391</v>
          </cell>
          <cell r="H1148" t="str">
            <v>g__Escherichia-Shigella</v>
          </cell>
          <cell r="I1148" t="str">
            <v>s__unclassified_g__Escherichia-Shigella</v>
          </cell>
        </row>
        <row r="1149">
          <cell r="G1149" t="str">
            <v>ASV2703</v>
          </cell>
          <cell r="H1149" t="str">
            <v>g__Anaerococcus</v>
          </cell>
          <cell r="I1149" t="str">
            <v>s__unclassified_g__Anaerococcus</v>
          </cell>
        </row>
        <row r="1150">
          <cell r="G1150" t="str">
            <v>ASV1657</v>
          </cell>
          <cell r="H1150" t="str">
            <v>g__Veillonella</v>
          </cell>
          <cell r="I1150" t="str">
            <v>s__Veillonella_sp._R-32</v>
          </cell>
        </row>
        <row r="1151">
          <cell r="G1151" t="str">
            <v>ASV297</v>
          </cell>
          <cell r="H1151" t="str">
            <v>g__Alloprevotella</v>
          </cell>
          <cell r="I1151" t="str">
            <v>s__uncultured_bacterium_g__Alloprevotella</v>
          </cell>
        </row>
        <row r="1152">
          <cell r="G1152" t="str">
            <v>ASV4471</v>
          </cell>
          <cell r="H1152" t="str">
            <v>g__Prevotellaceae_UCG-003</v>
          </cell>
          <cell r="I1152" t="str">
            <v>s__uncultured_bacterium_g__Prevotellaceae_UCG-003</v>
          </cell>
        </row>
        <row r="1153">
          <cell r="G1153" t="str">
            <v>ASV5511</v>
          </cell>
          <cell r="H1153" t="str">
            <v>g__UCG-004</v>
          </cell>
          <cell r="I1153" t="str">
            <v>s__uncultured_bacterium_g__UCG-004</v>
          </cell>
        </row>
        <row r="1154">
          <cell r="G1154" t="str">
            <v>ASV2846</v>
          </cell>
          <cell r="H1154" t="str">
            <v>g__Lactococcus</v>
          </cell>
          <cell r="I1154" t="str">
            <v>s__unclassified_g__Lactococcus</v>
          </cell>
        </row>
        <row r="1155">
          <cell r="G1155" t="str">
            <v>ASV2847</v>
          </cell>
          <cell r="H1155" t="str">
            <v>g__Aeromicrobium</v>
          </cell>
          <cell r="I1155" t="str">
            <v>s__unclassified_g__Aeromicrobium</v>
          </cell>
        </row>
        <row r="1156">
          <cell r="G1156" t="str">
            <v>ASV19217</v>
          </cell>
          <cell r="H1156" t="str">
            <v>g__Bacteroides</v>
          </cell>
          <cell r="I1156" t="str">
            <v>s__unclassified_g__Bacteroides</v>
          </cell>
        </row>
        <row r="1157">
          <cell r="G1157" t="str">
            <v>ASV20347</v>
          </cell>
          <cell r="H1157" t="str">
            <v>g__Stenotrophomonas</v>
          </cell>
          <cell r="I1157" t="str">
            <v>s__unclassified_g__Stenotrophomonas</v>
          </cell>
        </row>
        <row r="1158">
          <cell r="G1158" t="str">
            <v>ASV270</v>
          </cell>
          <cell r="H1158" t="str">
            <v>g__Parabacteroides</v>
          </cell>
          <cell r="I1158" t="str">
            <v>s__Porphyromonadaceae_bacterium_DJF_B175</v>
          </cell>
        </row>
        <row r="1159">
          <cell r="G1159" t="str">
            <v>ASV7159</v>
          </cell>
          <cell r="H1159" t="str">
            <v>g__Leptotrichia</v>
          </cell>
          <cell r="I1159" t="str">
            <v>s__uncultured_bacterium_g__Leptotrichia</v>
          </cell>
        </row>
        <row r="1160">
          <cell r="G1160" t="str">
            <v>ASV9905</v>
          </cell>
          <cell r="H1160" t="str">
            <v>g__Rikenellaceae_RC9_gut_group</v>
          </cell>
          <cell r="I1160" t="str">
            <v>s__uncultured_bacterium_g__Rikenellaceae_RC9_gut_group</v>
          </cell>
        </row>
        <row r="1161">
          <cell r="G1161" t="str">
            <v>ASV7254</v>
          </cell>
          <cell r="H1161" t="str">
            <v>g__norank_f__Muribaculaceae</v>
          </cell>
          <cell r="I1161" t="str">
            <v>s__uncultured_bacterium_g__norank_f__Muribaculaceae</v>
          </cell>
        </row>
        <row r="1162">
          <cell r="G1162" t="str">
            <v>ASV18476</v>
          </cell>
          <cell r="H1162" t="str">
            <v>g__unclassified_f__Lachnospiraceae</v>
          </cell>
          <cell r="I1162" t="str">
            <v>s__unclassified_f__Lachnospiraceae</v>
          </cell>
        </row>
        <row r="1163">
          <cell r="G1163" t="str">
            <v>ASV6281</v>
          </cell>
          <cell r="H1163" t="str">
            <v>g__Family_XIII_UCG-001</v>
          </cell>
          <cell r="I1163" t="str">
            <v>s__uncultured_bacterium_g__Family_XIII_UCG-001</v>
          </cell>
        </row>
        <row r="1164">
          <cell r="G1164" t="str">
            <v>ASV4924</v>
          </cell>
          <cell r="H1164" t="str">
            <v>g__unclassified_o__Bacteroidales</v>
          </cell>
          <cell r="I1164" t="str">
            <v>s__unclassified_o__Bacteroidales</v>
          </cell>
        </row>
        <row r="1165">
          <cell r="G1165" t="str">
            <v>ASV9964</v>
          </cell>
          <cell r="H1165" t="str">
            <v>g__Treponema</v>
          </cell>
          <cell r="I1165" t="str">
            <v>s__unclassified_g__Treponema</v>
          </cell>
        </row>
        <row r="1166">
          <cell r="G1166" t="str">
            <v>ASV2672</v>
          </cell>
          <cell r="H1166" t="str">
            <v>g__Clostridium_sensu_stricto_1</v>
          </cell>
          <cell r="I1166" t="str">
            <v>s__unclassified_g__Clostridium_sensu_stricto_1</v>
          </cell>
        </row>
        <row r="1167">
          <cell r="G1167" t="str">
            <v>ASV21385</v>
          </cell>
          <cell r="H1167" t="str">
            <v>g__Lachnospiraceae_UCG-010</v>
          </cell>
          <cell r="I1167" t="str">
            <v>s__uncultured_bacterium_g__Lachnospiraceae_UCG-010</v>
          </cell>
        </row>
        <row r="1168">
          <cell r="G1168" t="str">
            <v>ASV2948</v>
          </cell>
          <cell r="H1168" t="str">
            <v>g__unclassified_o__Bacteroidales</v>
          </cell>
          <cell r="I1168" t="str">
            <v>s__unclassified_o__Bacteroidales</v>
          </cell>
        </row>
        <row r="1169">
          <cell r="G1169" t="str">
            <v>ASV19219</v>
          </cell>
          <cell r="H1169" t="str">
            <v>g__Rikenellaceae_RC9_gut_group</v>
          </cell>
          <cell r="I1169" t="str">
            <v>s__gut_metagenome_g__Rikenellaceae_RC9_gut_group</v>
          </cell>
        </row>
        <row r="1170">
          <cell r="G1170" t="str">
            <v>ASV14998</v>
          </cell>
          <cell r="H1170" t="str">
            <v>g__unclassified_f__Lachnospiraceae</v>
          </cell>
          <cell r="I1170" t="str">
            <v>s__unclassified_f__Lachnospiraceae</v>
          </cell>
        </row>
        <row r="1171">
          <cell r="G1171" t="str">
            <v>ASV8272</v>
          </cell>
          <cell r="H1171" t="str">
            <v>g__Syntrophococcus</v>
          </cell>
          <cell r="I1171" t="str">
            <v>s__uncultured_bacterium_g__Syntrophococcus</v>
          </cell>
        </row>
        <row r="1172">
          <cell r="G1172" t="str">
            <v>ASV13671</v>
          </cell>
          <cell r="H1172" t="str">
            <v>g__Selenomonas</v>
          </cell>
          <cell r="I1172" t="str">
            <v>s__unclassified_g__Selenomonas</v>
          </cell>
        </row>
        <row r="1173">
          <cell r="G1173" t="str">
            <v>ASV14954</v>
          </cell>
          <cell r="H1173" t="str">
            <v>g__norank_f__Selenomonadaceae</v>
          </cell>
          <cell r="I1173" t="str">
            <v>s__swine_fecal_bacterium_SD-Cel5</v>
          </cell>
        </row>
        <row r="1174">
          <cell r="G1174" t="str">
            <v>ASV142</v>
          </cell>
          <cell r="H1174" t="str">
            <v>g__Solobacterium</v>
          </cell>
          <cell r="I1174" t="str">
            <v>s__uncultured_bacterium_g__Solobacterium</v>
          </cell>
        </row>
        <row r="1175">
          <cell r="G1175" t="str">
            <v>ASV1951</v>
          </cell>
          <cell r="H1175" t="str">
            <v>g__Christensenellaceae_R-7_group</v>
          </cell>
          <cell r="I1175" t="str">
            <v>s__unclassified_g__Christensenellaceae_R-7_group</v>
          </cell>
        </row>
        <row r="1176">
          <cell r="G1176" t="str">
            <v>ASV9903</v>
          </cell>
          <cell r="H1176" t="str">
            <v>g__Alloprevotella</v>
          </cell>
          <cell r="I1176" t="str">
            <v>s__uncultured_bacterium_g__Alloprevotella</v>
          </cell>
        </row>
        <row r="1177">
          <cell r="G1177" t="str">
            <v>ASV19223</v>
          </cell>
          <cell r="H1177" t="str">
            <v>g__Prevotellaceae_UCG-003</v>
          </cell>
          <cell r="I1177" t="str">
            <v>s__uncultured_bacterium_g__Prevotellaceae_UCG-003</v>
          </cell>
        </row>
        <row r="1178">
          <cell r="G1178" t="str">
            <v>ASV2004</v>
          </cell>
          <cell r="H1178" t="str">
            <v>g__unclassified_f__Oscillospiraceae</v>
          </cell>
          <cell r="I1178" t="str">
            <v>s__unclassified_f__Oscillospiraceae</v>
          </cell>
        </row>
        <row r="1179">
          <cell r="G1179" t="str">
            <v>ASV10375</v>
          </cell>
          <cell r="H1179" t="str">
            <v>g__Clostridium_sensu_stricto_1</v>
          </cell>
          <cell r="I1179" t="str">
            <v>s__unclassified_g__Clostridium_sensu_stricto_1</v>
          </cell>
        </row>
        <row r="1180">
          <cell r="G1180" t="str">
            <v>ASV13259</v>
          </cell>
          <cell r="H1180" t="str">
            <v>g__Parabacteroides</v>
          </cell>
          <cell r="I1180" t="str">
            <v>s__unclassified_g__Parabacteroides</v>
          </cell>
        </row>
        <row r="1181">
          <cell r="G1181" t="str">
            <v>ASV3102</v>
          </cell>
          <cell r="H1181" t="str">
            <v>g__norank_f__Oscillospiraceae</v>
          </cell>
          <cell r="I1181" t="str">
            <v>s__unclassified_g__norank_f__Oscillospiraceae</v>
          </cell>
        </row>
        <row r="1182">
          <cell r="G1182" t="str">
            <v>ASV5531</v>
          </cell>
          <cell r="H1182" t="str">
            <v>g__Blautia</v>
          </cell>
          <cell r="I1182" t="str">
            <v>s__unclassified_g__Blautia</v>
          </cell>
        </row>
        <row r="1183">
          <cell r="G1183" t="str">
            <v>ASV9868</v>
          </cell>
          <cell r="H1183" t="str">
            <v>g__Lactobacillus</v>
          </cell>
          <cell r="I1183" t="str">
            <v>s__unclassified_g__Lactobacillus</v>
          </cell>
        </row>
        <row r="1184">
          <cell r="G1184" t="str">
            <v>ASV17163</v>
          </cell>
          <cell r="H1184" t="str">
            <v>g__Romboutsia</v>
          </cell>
          <cell r="I1184" t="str">
            <v>s__unclassified_g__Romboutsia</v>
          </cell>
        </row>
        <row r="1185">
          <cell r="G1185" t="str">
            <v>ASV3287</v>
          </cell>
          <cell r="H1185" t="str">
            <v>g__Acidaminococcus</v>
          </cell>
          <cell r="I1185" t="str">
            <v>s__unclassified_g__Acidaminococcus</v>
          </cell>
        </row>
        <row r="1186">
          <cell r="G1186" t="str">
            <v>ASV10063</v>
          </cell>
          <cell r="H1186" t="str">
            <v>g__Allisonella</v>
          </cell>
          <cell r="I1186" t="str">
            <v>s__uncultured_bacterium_g__Allisonella</v>
          </cell>
        </row>
        <row r="1187">
          <cell r="G1187" t="str">
            <v>ASV10144</v>
          </cell>
          <cell r="H1187" t="str">
            <v>g__unclassified_f__Lachnospiraceae</v>
          </cell>
          <cell r="I1187" t="str">
            <v>s__unclassified_f__Lachnospiraceae</v>
          </cell>
        </row>
        <row r="1188">
          <cell r="G1188" t="str">
            <v>ASV7287</v>
          </cell>
          <cell r="H1188" t="str">
            <v>g__Family_XIII_UCG-001</v>
          </cell>
          <cell r="I1188" t="str">
            <v>s__uncultured_bacterium_g__Family_XIII_UCG-001</v>
          </cell>
        </row>
        <row r="1189">
          <cell r="G1189" t="str">
            <v>ASV9940</v>
          </cell>
          <cell r="H1189" t="str">
            <v>g__Parabacteroides</v>
          </cell>
          <cell r="I1189" t="str">
            <v>s__Porphyromonadaceae_bacterium_DJF_B175</v>
          </cell>
        </row>
        <row r="1190">
          <cell r="G1190" t="str">
            <v>ASV17129</v>
          </cell>
          <cell r="H1190" t="str">
            <v>g__Moraxella</v>
          </cell>
          <cell r="I1190" t="str">
            <v>s__unclassified_g__Moraxella</v>
          </cell>
        </row>
        <row r="1191">
          <cell r="G1191" t="str">
            <v>ASV5535</v>
          </cell>
          <cell r="H1191" t="str">
            <v>g__Blautia</v>
          </cell>
          <cell r="I1191" t="str">
            <v>s__unclassified_g__Blautia</v>
          </cell>
        </row>
        <row r="1192">
          <cell r="G1192" t="str">
            <v>ASV187</v>
          </cell>
          <cell r="H1192" t="str">
            <v>g__Marvinbryantia</v>
          </cell>
          <cell r="I1192" t="str">
            <v>s__unclassified_g__Marvinbryantia</v>
          </cell>
        </row>
        <row r="1193">
          <cell r="G1193" t="str">
            <v>ASV2722</v>
          </cell>
          <cell r="H1193" t="str">
            <v>g__Pygmaiobacter</v>
          </cell>
          <cell r="I1193" t="str">
            <v>s__Pygmaiobacter_massiliensis</v>
          </cell>
        </row>
        <row r="1194">
          <cell r="G1194" t="str">
            <v>ASV7320</v>
          </cell>
          <cell r="H1194" t="str">
            <v>g__Subdoligranulum</v>
          </cell>
          <cell r="I1194" t="str">
            <v>s__uncultured_Faecalibacterium_sp._g__Subdoligranulum</v>
          </cell>
        </row>
        <row r="1195">
          <cell r="G1195" t="str">
            <v>ASV20348</v>
          </cell>
          <cell r="H1195" t="str">
            <v>g__Actinobacillus</v>
          </cell>
          <cell r="I1195" t="str">
            <v>s__Actinobacillus_minor</v>
          </cell>
        </row>
        <row r="1196">
          <cell r="G1196" t="str">
            <v>ASV19214</v>
          </cell>
          <cell r="H1196" t="str">
            <v>g__Eubacterium_ruminantium_group</v>
          </cell>
          <cell r="I1196" t="str">
            <v>s__uncultured_bacterium_g__Eubacterium_ruminantium_group</v>
          </cell>
        </row>
        <row r="1197">
          <cell r="G1197" t="str">
            <v>ASV3410</v>
          </cell>
          <cell r="H1197" t="str">
            <v>g__Clostridium_sensu_stricto_1</v>
          </cell>
          <cell r="I1197" t="str">
            <v>s__unclassified_g__Clostridium_sensu_stricto_1</v>
          </cell>
        </row>
        <row r="1198">
          <cell r="G1198" t="str">
            <v>ASV7230</v>
          </cell>
          <cell r="H1198" t="str">
            <v>g__unclassified_f__Moraxellaceae</v>
          </cell>
          <cell r="I1198" t="str">
            <v>s__unclassified_f__Moraxellaceae</v>
          </cell>
        </row>
        <row r="1199">
          <cell r="G1199" t="str">
            <v>ASV3079</v>
          </cell>
          <cell r="H1199" t="str">
            <v>g__Oribacterium</v>
          </cell>
          <cell r="I1199" t="str">
            <v>s__uncultured_bacterium_g__Oribacterium</v>
          </cell>
        </row>
        <row r="1200">
          <cell r="G1200" t="str">
            <v>ASV5661</v>
          </cell>
          <cell r="H1200" t="str">
            <v>g__Bifidobacterium</v>
          </cell>
          <cell r="I1200" t="str">
            <v>s__unclassified_g__Bifidobacterium</v>
          </cell>
        </row>
        <row r="1201">
          <cell r="G1201" t="str">
            <v>ASV4397</v>
          </cell>
          <cell r="H1201" t="str">
            <v>g__unclassified_f__Lachnospiraceae</v>
          </cell>
          <cell r="I1201" t="str">
            <v>s__unclassified_f__Lachnospiraceae</v>
          </cell>
        </row>
        <row r="1202">
          <cell r="G1202" t="str">
            <v>ASV7263</v>
          </cell>
          <cell r="H1202" t="str">
            <v>g__Kocuria</v>
          </cell>
          <cell r="I1202" t="str">
            <v>s__unclassified_g__Kocuria</v>
          </cell>
        </row>
        <row r="1203">
          <cell r="G1203" t="str">
            <v>ASV4529</v>
          </cell>
          <cell r="H1203" t="str">
            <v>g__norank_f__UCG-010</v>
          </cell>
          <cell r="I1203" t="str">
            <v>s__unclassified_g__norank_f__UCG-010</v>
          </cell>
        </row>
        <row r="1204">
          <cell r="G1204" t="str">
            <v>ASV2898</v>
          </cell>
          <cell r="H1204" t="str">
            <v>g__unclassified_f__Microbacteriaceae</v>
          </cell>
          <cell r="I1204" t="str">
            <v>s__unclassified_f__Microbacteriaceae</v>
          </cell>
        </row>
        <row r="1205">
          <cell r="G1205" t="str">
            <v>ASV14970</v>
          </cell>
          <cell r="H1205" t="str">
            <v>g__Bacteroides</v>
          </cell>
          <cell r="I1205" t="str">
            <v>s__uncultured_bacterium_g__Bacteroides</v>
          </cell>
        </row>
        <row r="1206">
          <cell r="G1206" t="str">
            <v>ASV15125</v>
          </cell>
          <cell r="H1206" t="str">
            <v>g__Bacteroides</v>
          </cell>
          <cell r="I1206" t="str">
            <v>s__uncultured_bacterium_g__Bacteroides</v>
          </cell>
        </row>
        <row r="1207">
          <cell r="G1207" t="str">
            <v>ASV8686</v>
          </cell>
          <cell r="H1207" t="str">
            <v>g__Gemella</v>
          </cell>
          <cell r="I1207" t="str">
            <v>s__unclassified_g__Gemella</v>
          </cell>
        </row>
        <row r="1208">
          <cell r="G1208" t="str">
            <v>ASV4598</v>
          </cell>
          <cell r="H1208" t="str">
            <v>g__unclassified_f__Lachnospiraceae</v>
          </cell>
          <cell r="I1208" t="str">
            <v>s__unclassified_f__Lachnospiraceae</v>
          </cell>
        </row>
        <row r="1209">
          <cell r="G1209" t="str">
            <v>ASV2902</v>
          </cell>
          <cell r="H1209" t="str">
            <v>g__Brevundimonas</v>
          </cell>
          <cell r="I1209" t="str">
            <v>s__unclassified_g__Brevundimonas</v>
          </cell>
        </row>
        <row r="1210">
          <cell r="G1210" t="str">
            <v>ASV7685</v>
          </cell>
          <cell r="H1210" t="str">
            <v>g__unclassified_f__Rikenellaceae</v>
          </cell>
          <cell r="I1210" t="str">
            <v>s__unclassified_f__Rikenellaceae</v>
          </cell>
        </row>
        <row r="1211">
          <cell r="G1211" t="str">
            <v>ASV8764</v>
          </cell>
          <cell r="H1211" t="str">
            <v>g__Alloprevotella</v>
          </cell>
          <cell r="I1211" t="str">
            <v>s__uncultured_bacterium_g__Alloprevotella</v>
          </cell>
        </row>
        <row r="1212">
          <cell r="G1212" t="str">
            <v>ASV5483</v>
          </cell>
          <cell r="H1212" t="str">
            <v>g__norank_f__Muribaculaceae</v>
          </cell>
          <cell r="I1212" t="str">
            <v>s__uncultured_bacterium_g__norank_f__Muribaculaceae</v>
          </cell>
        </row>
        <row r="1213">
          <cell r="G1213" t="str">
            <v>ASV4388</v>
          </cell>
          <cell r="H1213" t="str">
            <v>g__Sphaerochaeta</v>
          </cell>
          <cell r="I1213" t="str">
            <v>s__uncultured_bacterium_g__Sphaerochaeta</v>
          </cell>
        </row>
        <row r="1214">
          <cell r="G1214" t="str">
            <v>ASV8903</v>
          </cell>
          <cell r="H1214" t="str">
            <v>g__Acinetobacter</v>
          </cell>
          <cell r="I1214" t="str">
            <v>s__unclassified_g__Acinetobacter</v>
          </cell>
        </row>
        <row r="1215">
          <cell r="G1215" t="str">
            <v>ASV1710</v>
          </cell>
          <cell r="H1215" t="str">
            <v>g__Eubacterium_eligens_group</v>
          </cell>
          <cell r="I1215" t="str">
            <v>s__unclassified_g__Eubacterium_eligens_group</v>
          </cell>
        </row>
        <row r="1216">
          <cell r="G1216" t="str">
            <v>ASV3644</v>
          </cell>
          <cell r="H1216" t="str">
            <v>g__Veillonella</v>
          </cell>
          <cell r="I1216" t="str">
            <v>s__unclassified_g__Veillonella</v>
          </cell>
        </row>
        <row r="1217">
          <cell r="G1217" t="str">
            <v>ASV19193</v>
          </cell>
          <cell r="H1217" t="str">
            <v>g__Megasphaera</v>
          </cell>
          <cell r="I1217" t="str">
            <v>s__Megasphaera_hexanoica</v>
          </cell>
        </row>
        <row r="1218">
          <cell r="G1218" t="str">
            <v>ASV10378</v>
          </cell>
          <cell r="H1218" t="str">
            <v>g__Coprococcus</v>
          </cell>
          <cell r="I1218" t="str">
            <v>s__unclassified_g__Coprococcus</v>
          </cell>
        </row>
        <row r="1219">
          <cell r="G1219" t="str">
            <v>ASV3746</v>
          </cell>
          <cell r="H1219" t="str">
            <v>g__Cerasicoccus</v>
          </cell>
          <cell r="I1219" t="str">
            <v>s__uncultured_bacterium_g__Cerasicoccus</v>
          </cell>
        </row>
        <row r="1220">
          <cell r="G1220" t="str">
            <v>ASV5655</v>
          </cell>
          <cell r="H1220" t="str">
            <v>g__unclassified_f__Ruminococcaceae</v>
          </cell>
          <cell r="I1220" t="str">
            <v>s__unclassified_f__Ruminococcaceae</v>
          </cell>
        </row>
        <row r="1221">
          <cell r="G1221" t="str">
            <v>ASV5512</v>
          </cell>
          <cell r="H1221" t="str">
            <v>g__Rikenellaceae_RC9_gut_group</v>
          </cell>
          <cell r="I1221" t="str">
            <v>s__gut_metagenome_g__Rikenellaceae_RC9_gut_group</v>
          </cell>
        </row>
        <row r="1222">
          <cell r="G1222" t="str">
            <v>ASV2003</v>
          </cell>
          <cell r="H1222" t="str">
            <v>g__norank_f__Eggerthellaceae</v>
          </cell>
          <cell r="I1222" t="str">
            <v>s__uncultured_bacterium_g__norank_f__Eggerthellaceae</v>
          </cell>
        </row>
        <row r="1223">
          <cell r="G1223" t="str">
            <v>ASV8393</v>
          </cell>
          <cell r="H1223" t="str">
            <v>g__Prevotella</v>
          </cell>
          <cell r="I1223" t="str">
            <v>s__unclassified_g__Prevotella</v>
          </cell>
        </row>
        <row r="1224">
          <cell r="G1224" t="str">
            <v>ASV2830</v>
          </cell>
          <cell r="H1224" t="str">
            <v>g__Moraxella</v>
          </cell>
          <cell r="I1224" t="str">
            <v>s__unclassified_g__Moraxella</v>
          </cell>
        </row>
        <row r="1225">
          <cell r="G1225" t="str">
            <v>ASV2671</v>
          </cell>
          <cell r="H1225" t="str">
            <v>g__Fastidiosipila</v>
          </cell>
          <cell r="I1225" t="str">
            <v>s__Clostridiales_bacterium_feline_oral_taxon_339</v>
          </cell>
        </row>
        <row r="1226">
          <cell r="G1226" t="str">
            <v>ASV2887</v>
          </cell>
          <cell r="H1226" t="str">
            <v>g__Neisseria</v>
          </cell>
          <cell r="I1226" t="str">
            <v>s__unclassified_g__Neisseria</v>
          </cell>
        </row>
        <row r="1227">
          <cell r="G1227" t="str">
            <v>ASV5603</v>
          </cell>
          <cell r="H1227" t="str">
            <v>g__Anaerotruncus</v>
          </cell>
          <cell r="I1227" t="str">
            <v>s__unclassified_g__Anaerotruncus</v>
          </cell>
        </row>
        <row r="1228">
          <cell r="G1228" t="str">
            <v>ASV290</v>
          </cell>
          <cell r="H1228" t="str">
            <v>g__Christensenellaceae_R-7_group</v>
          </cell>
          <cell r="I1228" t="str">
            <v>s__unclassified_g__Christensenellaceae_R-7_group</v>
          </cell>
        </row>
        <row r="1229">
          <cell r="G1229" t="str">
            <v>ASV18477</v>
          </cell>
          <cell r="H1229" t="str">
            <v>g__unclassified_f__Lachnospiraceae</v>
          </cell>
          <cell r="I1229" t="str">
            <v>s__unclassified_f__Lachnospiraceae</v>
          </cell>
        </row>
        <row r="1230">
          <cell r="G1230" t="str">
            <v>ASV19194</v>
          </cell>
          <cell r="H1230" t="str">
            <v>g__Ruminococcus_gauvreauii_group</v>
          </cell>
          <cell r="I1230" t="str">
            <v>s__uncultured_rumen_bacterium_g__Ruminococcus_gauvreauii_group</v>
          </cell>
        </row>
        <row r="1231">
          <cell r="G1231" t="str">
            <v>ASV9918</v>
          </cell>
          <cell r="H1231" t="str">
            <v>g__norank_f__Muribaculaceae</v>
          </cell>
          <cell r="I1231" t="str">
            <v>s__uncultured_bacterium_g__norank_f__Muribaculaceae</v>
          </cell>
        </row>
        <row r="1232">
          <cell r="G1232" t="str">
            <v>ASV1010</v>
          </cell>
          <cell r="H1232" t="str">
            <v>g__Lachnospiraceae_FCS020_group</v>
          </cell>
          <cell r="I1232" t="str">
            <v>s__uncultured_prokaryote_g__Lachnospiraceae_FCS020_group</v>
          </cell>
        </row>
        <row r="1233">
          <cell r="G1233" t="str">
            <v>ASV9852</v>
          </cell>
          <cell r="H1233" t="str">
            <v>g__Eubacterium_nodatum_group</v>
          </cell>
          <cell r="I1233" t="str">
            <v>s__Eubacterium_nodatum</v>
          </cell>
        </row>
        <row r="1234">
          <cell r="G1234" t="str">
            <v>ASV5495</v>
          </cell>
          <cell r="H1234" t="str">
            <v>g__Lachnospiraceae_FCS020_group</v>
          </cell>
          <cell r="I1234" t="str">
            <v>s__unclassified_g__Lachnospiraceae_FCS020_group</v>
          </cell>
        </row>
        <row r="1235">
          <cell r="G1235" t="str">
            <v>ASV15881</v>
          </cell>
          <cell r="H1235" t="str">
            <v>g__Alloprevotella</v>
          </cell>
          <cell r="I1235" t="str">
            <v>s__uncultured_bacterium_g__Alloprevotella</v>
          </cell>
        </row>
        <row r="1236">
          <cell r="G1236" t="str">
            <v>ASV3522</v>
          </cell>
          <cell r="H1236" t="str">
            <v>g__Variovorax</v>
          </cell>
          <cell r="I1236" t="str">
            <v>s__unclassified_g__Variovorax</v>
          </cell>
        </row>
        <row r="1237">
          <cell r="G1237" t="str">
            <v>ASV5486</v>
          </cell>
          <cell r="H1237" t="str">
            <v>g__Family_XIII_AD3011_group</v>
          </cell>
          <cell r="I1237" t="str">
            <v>s__uncultured_Eubacterium_sp._g__Family_XIII_AD3011_group</v>
          </cell>
        </row>
        <row r="1238">
          <cell r="G1238" t="str">
            <v>ASV3596</v>
          </cell>
          <cell r="H1238" t="str">
            <v>g__Actinobacillus</v>
          </cell>
          <cell r="I1238" t="str">
            <v>s__Actinobacillus_rossii</v>
          </cell>
        </row>
        <row r="1239">
          <cell r="G1239" t="str">
            <v>ASV13233</v>
          </cell>
          <cell r="H1239" t="str">
            <v>g__Christensenellaceae_R-7_group</v>
          </cell>
          <cell r="I1239" t="str">
            <v>s__unclassified_g__Christensenellaceae_R-7_group</v>
          </cell>
        </row>
        <row r="1240">
          <cell r="G1240" t="str">
            <v>ASV3411</v>
          </cell>
          <cell r="H1240" t="str">
            <v>g__Clostridium_sensu_stricto_1</v>
          </cell>
          <cell r="I1240" t="str">
            <v>s__unclassified_g__Clostridium_sensu_stricto_1</v>
          </cell>
        </row>
        <row r="1241">
          <cell r="G1241" t="str">
            <v>ASV17645</v>
          </cell>
          <cell r="H1241" t="str">
            <v>g__Lactobacillus</v>
          </cell>
          <cell r="I1241" t="str">
            <v>s__unclassified_g__Lactobacillus</v>
          </cell>
        </row>
        <row r="1242">
          <cell r="G1242" t="str">
            <v>ASV2728</v>
          </cell>
          <cell r="H1242" t="str">
            <v>g__Trueperella</v>
          </cell>
          <cell r="I1242" t="str">
            <v>s__Trueperella_pyogenes</v>
          </cell>
        </row>
        <row r="1243">
          <cell r="G1243" t="str">
            <v>ASV2906</v>
          </cell>
          <cell r="H1243" t="str">
            <v>g__Alloprevotella</v>
          </cell>
          <cell r="I1243" t="str">
            <v>s__unclassified_g__Alloprevotella</v>
          </cell>
        </row>
        <row r="1244">
          <cell r="G1244" t="str">
            <v>ASV3760</v>
          </cell>
          <cell r="H1244" t="str">
            <v>g__Escherichia-Shigella</v>
          </cell>
          <cell r="I1244" t="str">
            <v>s__unclassified_g__Escherichia-Shigella</v>
          </cell>
        </row>
        <row r="1245">
          <cell r="G1245" t="str">
            <v>ASV3052</v>
          </cell>
          <cell r="H1245" t="str">
            <v>g__Eubacterium_saphenum_group</v>
          </cell>
          <cell r="I1245" t="str">
            <v>s__uncultured_bacterium_g__Eubacterium_saphenum_group</v>
          </cell>
        </row>
        <row r="1246">
          <cell r="G1246" t="str">
            <v>ASV9901</v>
          </cell>
          <cell r="H1246" t="str">
            <v>g__unclassified_f__Lachnospiraceae</v>
          </cell>
          <cell r="I1246" t="str">
            <v>s__unclassified_f__Lachnospiraceae</v>
          </cell>
        </row>
        <row r="1247">
          <cell r="G1247" t="str">
            <v>ASV3380</v>
          </cell>
          <cell r="H1247" t="str">
            <v>g__Christensenellaceae_R-7_group</v>
          </cell>
          <cell r="I1247" t="str">
            <v>s__human_gut_metagenome_g__Christensenellaceae_R-7_group</v>
          </cell>
        </row>
        <row r="1248">
          <cell r="G1248" t="str">
            <v>ASV7416</v>
          </cell>
          <cell r="H1248" t="str">
            <v>g__Fusobacterium</v>
          </cell>
          <cell r="I1248" t="str">
            <v>s__gut_metagenome_g__Fusobacterium</v>
          </cell>
        </row>
        <row r="1249">
          <cell r="G1249" t="str">
            <v>ASV2629</v>
          </cell>
          <cell r="H1249" t="str">
            <v>g__Lactobacillus</v>
          </cell>
          <cell r="I1249" t="str">
            <v>s__unclassified_g__Lactobacillus</v>
          </cell>
        </row>
        <row r="1250">
          <cell r="G1250" t="str">
            <v>ASV405</v>
          </cell>
          <cell r="H1250" t="str">
            <v>g__norank_f__Ruminococcaceae</v>
          </cell>
          <cell r="I1250" t="str">
            <v>s__unclassified_g__norank_f__Ruminococcaceae</v>
          </cell>
        </row>
        <row r="1251">
          <cell r="G1251" t="str">
            <v>ASV8638</v>
          </cell>
          <cell r="H1251" t="str">
            <v>g__Pasteurella</v>
          </cell>
          <cell r="I1251" t="str">
            <v>s__unclassified_g__Pasteurella</v>
          </cell>
        </row>
        <row r="1252">
          <cell r="G1252" t="str">
            <v>ASV17445</v>
          </cell>
          <cell r="H1252" t="str">
            <v>g__Blautia</v>
          </cell>
          <cell r="I1252" t="str">
            <v>s__unclassified_g__Blautia</v>
          </cell>
        </row>
        <row r="1253">
          <cell r="G1253" t="str">
            <v>ASV3621</v>
          </cell>
          <cell r="H1253" t="str">
            <v>g__Massilia</v>
          </cell>
          <cell r="I1253" t="str">
            <v>s__unclassified_g__Massilia</v>
          </cell>
        </row>
        <row r="1254">
          <cell r="G1254" t="str">
            <v>ASV18486</v>
          </cell>
          <cell r="H1254" t="str">
            <v>g__Sharpea</v>
          </cell>
          <cell r="I1254" t="str">
            <v>s__uncultured_bacterium_g__Sharpea</v>
          </cell>
        </row>
        <row r="1255">
          <cell r="G1255" t="str">
            <v>ASV237</v>
          </cell>
          <cell r="H1255" t="str">
            <v>g__UCG-009</v>
          </cell>
          <cell r="I1255" t="str">
            <v>s__uncultured_bacterium_g__UCG-009</v>
          </cell>
        </row>
        <row r="1256">
          <cell r="G1256" t="str">
            <v>ASV7466</v>
          </cell>
          <cell r="H1256" t="str">
            <v>g__NK4A214_group</v>
          </cell>
          <cell r="I1256" t="str">
            <v>s__uncultured_organism_g__NK4A214_group</v>
          </cell>
        </row>
        <row r="1257">
          <cell r="G1257" t="str">
            <v>ASV15119</v>
          </cell>
          <cell r="H1257" t="str">
            <v>g__norank_f__Muribaculaceae</v>
          </cell>
          <cell r="I1257" t="str">
            <v>s__uncultured_bacterium_g__norank_f__Muribaculaceae</v>
          </cell>
        </row>
        <row r="1258">
          <cell r="G1258" t="str">
            <v>ASV13253</v>
          </cell>
          <cell r="H1258" t="str">
            <v>g__Flavonifractor</v>
          </cell>
          <cell r="I1258" t="str">
            <v>s__unclassified_g__Flavonifractor</v>
          </cell>
        </row>
        <row r="1259">
          <cell r="G1259" t="str">
            <v>ASV3355</v>
          </cell>
          <cell r="H1259" t="str">
            <v>g__Clostridium_sensu_stricto_1</v>
          </cell>
          <cell r="I1259" t="str">
            <v>s__unclassified_g__Clostridium_sensu_stricto_1</v>
          </cell>
        </row>
        <row r="1260">
          <cell r="G1260" t="str">
            <v>ASV3664</v>
          </cell>
          <cell r="H1260" t="str">
            <v>g__Porphyromonas</v>
          </cell>
          <cell r="I1260" t="str">
            <v>s__unclassified_g__Porphyromonas</v>
          </cell>
        </row>
        <row r="1261">
          <cell r="G1261" t="str">
            <v>ASV2600</v>
          </cell>
          <cell r="H1261" t="str">
            <v>g__Cellulosilyticum</v>
          </cell>
          <cell r="I1261" t="str">
            <v>s__unclassified_g__Cellulosilyticum</v>
          </cell>
        </row>
        <row r="1262">
          <cell r="G1262" t="str">
            <v>ASV533</v>
          </cell>
          <cell r="H1262" t="str">
            <v>g__Rikenellaceae_RC9_gut_group</v>
          </cell>
          <cell r="I1262" t="str">
            <v>s__uncultured_bacterium_g__Rikenellaceae_RC9_gut_group</v>
          </cell>
        </row>
        <row r="1263">
          <cell r="G1263" t="str">
            <v>ASV12546</v>
          </cell>
          <cell r="H1263" t="str">
            <v>g__Blautia</v>
          </cell>
          <cell r="I1263" t="str">
            <v>s__unclassified_g__Blautia</v>
          </cell>
        </row>
        <row r="1264">
          <cell r="G1264" t="str">
            <v>ASV9870</v>
          </cell>
          <cell r="H1264" t="str">
            <v>g__Bacteroides</v>
          </cell>
          <cell r="I1264" t="str">
            <v>s__Prevotella_heparinolytica</v>
          </cell>
        </row>
        <row r="1265">
          <cell r="G1265" t="str">
            <v>ASV2910</v>
          </cell>
          <cell r="H1265" t="str">
            <v>g__Lachnoanaerobaculum</v>
          </cell>
          <cell r="I1265" t="str">
            <v>s__unclassified_g__Lachnoanaerobaculum</v>
          </cell>
        </row>
        <row r="1266">
          <cell r="G1266" t="str">
            <v>ASV22995</v>
          </cell>
          <cell r="H1266" t="str">
            <v>g__unclassified_f__Rikenellaceae</v>
          </cell>
          <cell r="I1266" t="str">
            <v>s__unclassified_f__Rikenellaceae</v>
          </cell>
        </row>
        <row r="1267">
          <cell r="G1267" t="str">
            <v>ASV5506</v>
          </cell>
          <cell r="H1267" t="str">
            <v>g__Rikenellaceae_RC9_gut_group</v>
          </cell>
          <cell r="I1267" t="str">
            <v>s__uncultured_bacterium_g__Rikenellaceae_RC9_gut_group</v>
          </cell>
        </row>
        <row r="1268">
          <cell r="G1268" t="str">
            <v>ASV6485</v>
          </cell>
          <cell r="H1268" t="str">
            <v>g__Acinetobacter</v>
          </cell>
          <cell r="I1268" t="str">
            <v>s__unclassified_g__Acinetobacter</v>
          </cell>
        </row>
        <row r="1269">
          <cell r="G1269" t="str">
            <v>ASV24062</v>
          </cell>
          <cell r="H1269" t="str">
            <v>g__unclassified_f__Lachnospiraceae</v>
          </cell>
          <cell r="I1269" t="str">
            <v>s__unclassified_f__Lachnospiraceae</v>
          </cell>
        </row>
        <row r="1270">
          <cell r="G1270" t="str">
            <v>ASV15116</v>
          </cell>
          <cell r="H1270" t="str">
            <v>g__norank_f__Muribaculaceae</v>
          </cell>
          <cell r="I1270" t="str">
            <v>s__uncultured_bacterium_g__norank_f__Muribaculaceae</v>
          </cell>
        </row>
        <row r="1271">
          <cell r="G1271" t="str">
            <v>ASV3599</v>
          </cell>
          <cell r="H1271" t="str">
            <v>g__norank_f__Selenomonadaceae</v>
          </cell>
          <cell r="I1271" t="str">
            <v>s__Selenomonas_sp._oral_clone_JI021</v>
          </cell>
        </row>
        <row r="1272">
          <cell r="G1272" t="str">
            <v>ASV8788</v>
          </cell>
          <cell r="H1272" t="str">
            <v>g__Butyricicoccus</v>
          </cell>
          <cell r="I1272" t="str">
            <v>s__uncultured_organism_g__Butyricicoccus</v>
          </cell>
        </row>
        <row r="1273">
          <cell r="G1273" t="str">
            <v>ASV1980</v>
          </cell>
          <cell r="H1273" t="str">
            <v>g__Butyricicoccus</v>
          </cell>
          <cell r="I1273" t="str">
            <v>s__unclassified_g__Butyricicoccus</v>
          </cell>
        </row>
        <row r="1274">
          <cell r="G1274" t="str">
            <v>ASV19221</v>
          </cell>
          <cell r="H1274" t="str">
            <v>g__Roseburia</v>
          </cell>
          <cell r="I1274" t="str">
            <v>s__unclassified_g__Roseburia</v>
          </cell>
        </row>
        <row r="1275">
          <cell r="G1275" t="str">
            <v>ASV15117</v>
          </cell>
          <cell r="H1275" t="str">
            <v>g__Christensenellaceae_R-7_group</v>
          </cell>
          <cell r="I1275" t="str">
            <v>s__uncultured_spirochete_g__Christensenellaceae_R-7_group</v>
          </cell>
        </row>
        <row r="1276">
          <cell r="G1276" t="str">
            <v>ASV632</v>
          </cell>
          <cell r="H1276" t="str">
            <v>g__Christensenellaceae_R-7_group</v>
          </cell>
          <cell r="I1276" t="str">
            <v>s__unclassified_g__Christensenellaceae_R-7_group</v>
          </cell>
        </row>
        <row r="1277">
          <cell r="G1277" t="str">
            <v>ASV2995</v>
          </cell>
          <cell r="H1277" t="str">
            <v>g__Clostridium_sensu_stricto_1</v>
          </cell>
          <cell r="I1277" t="str">
            <v>s__unclassified_g__Clostridium_sensu_stricto_1</v>
          </cell>
        </row>
        <row r="1278">
          <cell r="G1278" t="str">
            <v>ASV15118</v>
          </cell>
          <cell r="H1278" t="str">
            <v>g__unclassified_f__Rikenellaceae</v>
          </cell>
          <cell r="I1278" t="str">
            <v>s__unclassified_f__Rikenellaceae</v>
          </cell>
        </row>
        <row r="1279">
          <cell r="G1279" t="str">
            <v>ASV20349</v>
          </cell>
          <cell r="H1279" t="str">
            <v>g__Aquabacterium</v>
          </cell>
          <cell r="I1279" t="str">
            <v>s__Aquabacterium_citratiphilum</v>
          </cell>
        </row>
        <row r="1280">
          <cell r="G1280" t="str">
            <v>ASV2755</v>
          </cell>
          <cell r="H1280" t="str">
            <v>g__norank_f__Selenomonadaceae</v>
          </cell>
          <cell r="I1280" t="str">
            <v>s__unclassified_g__norank_f__Selenomonadaceae</v>
          </cell>
        </row>
        <row r="1281">
          <cell r="G1281" t="str">
            <v>ASV10030</v>
          </cell>
          <cell r="H1281" t="str">
            <v>g__Prevotella</v>
          </cell>
          <cell r="I1281" t="str">
            <v>s__unclassified_g__Prevotella</v>
          </cell>
        </row>
        <row r="1282">
          <cell r="G1282" t="str">
            <v>ASV11032</v>
          </cell>
          <cell r="H1282" t="str">
            <v>g__Clostridium_sensu_stricto_1</v>
          </cell>
          <cell r="I1282" t="str">
            <v>s__unclassified_g__Clostridium_sensu_stricto_1</v>
          </cell>
        </row>
        <row r="1283">
          <cell r="G1283" t="str">
            <v>ASV9342</v>
          </cell>
          <cell r="H1283" t="str">
            <v>g__Hydrogenoanaerobacterium</v>
          </cell>
          <cell r="I1283" t="str">
            <v>s__Selenomonadales_bacterium_Marseille-P2399</v>
          </cell>
        </row>
        <row r="1284">
          <cell r="G1284" t="str">
            <v>ASV3007</v>
          </cell>
          <cell r="H1284" t="str">
            <v>g__Tessaracoccus</v>
          </cell>
          <cell r="I1284" t="str">
            <v>s__unclassified_g__Tessaracoccus</v>
          </cell>
        </row>
        <row r="1285">
          <cell r="G1285" t="str">
            <v>ASV5514</v>
          </cell>
          <cell r="H1285" t="str">
            <v>g__unclassified_f__Lachnospiraceae</v>
          </cell>
          <cell r="I1285" t="str">
            <v>s__unclassified_f__Lachnospiraceae</v>
          </cell>
        </row>
        <row r="1286">
          <cell r="G1286" t="str">
            <v>ASV2862</v>
          </cell>
          <cell r="H1286" t="str">
            <v>g__Actinobacillus</v>
          </cell>
          <cell r="I1286" t="str">
            <v>s__Actinobacillus_rossii</v>
          </cell>
        </row>
        <row r="1287">
          <cell r="G1287" t="str">
            <v>ASV8321</v>
          </cell>
          <cell r="H1287" t="str">
            <v>g__Lactobacillus</v>
          </cell>
          <cell r="I1287" t="str">
            <v>s__Lactobacillus_agilis</v>
          </cell>
        </row>
        <row r="1288">
          <cell r="G1288" t="str">
            <v>ASV11095</v>
          </cell>
          <cell r="H1288" t="str">
            <v>g__norank_f__Muribaculaceae</v>
          </cell>
          <cell r="I1288" t="str">
            <v>s__uncultured_bacterium_g__norank_f__Muribaculaceae</v>
          </cell>
        </row>
        <row r="1289">
          <cell r="G1289" t="str">
            <v>ASV15874</v>
          </cell>
          <cell r="H1289" t="str">
            <v>g__Phascolarctobacterium</v>
          </cell>
          <cell r="I1289" t="str">
            <v>s__unclassified_g__Phascolarctobacterium</v>
          </cell>
        </row>
        <row r="1290">
          <cell r="G1290" t="str">
            <v>ASV11275</v>
          </cell>
          <cell r="H1290" t="str">
            <v>g__norank_f__Ruminococcaceae</v>
          </cell>
          <cell r="I1290" t="str">
            <v>s__unclassified_g__norank_f__Ruminococcaceae</v>
          </cell>
        </row>
        <row r="1291">
          <cell r="G1291" t="str">
            <v>ASV13785</v>
          </cell>
          <cell r="H1291" t="str">
            <v>g__S5-A14a</v>
          </cell>
          <cell r="I1291" t="str">
            <v>s__Peptostreptococcaceae_bacterium_canine_oral_taxon_333</v>
          </cell>
        </row>
        <row r="1292">
          <cell r="G1292" t="str">
            <v>ASV10137</v>
          </cell>
          <cell r="H1292" t="str">
            <v>g__Lactobacillus</v>
          </cell>
          <cell r="I1292" t="str">
            <v>s__unclassified_g__Lactobacillus</v>
          </cell>
        </row>
        <row r="1293">
          <cell r="G1293" t="str">
            <v>ASV7172</v>
          </cell>
          <cell r="H1293" t="str">
            <v>g__unclassified_f__Micrococcaceae</v>
          </cell>
          <cell r="I1293" t="str">
            <v>s__unclassified_f__Micrococcaceae</v>
          </cell>
        </row>
        <row r="1294">
          <cell r="G1294" t="str">
            <v>ASV4052</v>
          </cell>
          <cell r="H1294" t="str">
            <v>g__Actinomyces</v>
          </cell>
          <cell r="I1294" t="str">
            <v>s__unclassified_g__Actinomyces</v>
          </cell>
        </row>
        <row r="1295">
          <cell r="G1295" t="str">
            <v>ASV21387</v>
          </cell>
          <cell r="H1295" t="str">
            <v>g__Phascolarctobacterium</v>
          </cell>
          <cell r="I1295" t="str">
            <v>s__unclassified_g__Phascolarctobacterium</v>
          </cell>
        </row>
        <row r="1296">
          <cell r="G1296" t="str">
            <v>ASV5477</v>
          </cell>
          <cell r="H1296" t="str">
            <v>g__Eubacterium_fissicatena_group</v>
          </cell>
          <cell r="I1296" t="str">
            <v>s__unclassified_g__Eubacterium_fissicatena_group</v>
          </cell>
        </row>
        <row r="1297">
          <cell r="G1297" t="str">
            <v>ASV18478</v>
          </cell>
          <cell r="H1297" t="str">
            <v>g__unclassified_f__Lachnospiraceae</v>
          </cell>
          <cell r="I1297" t="str">
            <v>s__unclassified_f__Lachnospiraceae</v>
          </cell>
        </row>
        <row r="1298">
          <cell r="G1298" t="str">
            <v>ASV9127</v>
          </cell>
          <cell r="H1298" t="str">
            <v>g__unclassified_f__Lachnospiraceae</v>
          </cell>
          <cell r="I1298" t="str">
            <v>s__unclassified_f__Lachnospiraceae</v>
          </cell>
        </row>
        <row r="1299">
          <cell r="G1299" t="str">
            <v>ASV18480</v>
          </cell>
          <cell r="H1299" t="str">
            <v>g__Lachnospiraceae_UCG-010</v>
          </cell>
          <cell r="I1299" t="str">
            <v>s__unclassified_g__Lachnospiraceae_UCG-010</v>
          </cell>
        </row>
        <row r="1300">
          <cell r="G1300" t="str">
            <v>ASV4402</v>
          </cell>
          <cell r="H1300" t="str">
            <v>g__norank_f__norank_o__Bradymonadales</v>
          </cell>
          <cell r="I1300" t="str">
            <v>s__uncultured_rumen_bacterium_g__norank_f__norank_o__Bradymonadales</v>
          </cell>
        </row>
        <row r="1301">
          <cell r="G1301" t="str">
            <v>ASV4055</v>
          </cell>
          <cell r="H1301" t="str">
            <v>g__unclassified_f__Prevotellaceae</v>
          </cell>
          <cell r="I1301" t="str">
            <v>s__unclassified_f__Prevotellaceae</v>
          </cell>
        </row>
        <row r="1302">
          <cell r="G1302" t="str">
            <v>ASV7137</v>
          </cell>
          <cell r="H1302" t="str">
            <v>g__Streptococcus</v>
          </cell>
          <cell r="I1302" t="str">
            <v>s__unclassified_g__Streptococcus</v>
          </cell>
        </row>
        <row r="1303">
          <cell r="G1303" t="str">
            <v>ASV21139</v>
          </cell>
          <cell r="H1303" t="str">
            <v>g__Finegoldia</v>
          </cell>
          <cell r="I1303" t="str">
            <v>s__uncultured_bacterium_g__Finegoldia</v>
          </cell>
        </row>
        <row r="1304">
          <cell r="G1304" t="str">
            <v>ASV5307</v>
          </cell>
          <cell r="H1304" t="str">
            <v>g__norank_f__UCG-010</v>
          </cell>
          <cell r="I1304" t="str">
            <v>s__uncultured_bacterium_g__norank_f__UCG-010</v>
          </cell>
        </row>
        <row r="1305">
          <cell r="G1305" t="str">
            <v>ASV9948</v>
          </cell>
          <cell r="H1305" t="str">
            <v>g__Candidatus_Saccharimonas</v>
          </cell>
          <cell r="I1305" t="str">
            <v>s__unclassified_g__Candidatus_Saccharimonas</v>
          </cell>
        </row>
        <row r="1306">
          <cell r="G1306" t="str">
            <v>ASV2877</v>
          </cell>
          <cell r="H1306" t="str">
            <v>g__Paracoccus</v>
          </cell>
          <cell r="I1306" t="str">
            <v>s__unclassified_g__Paracoccus</v>
          </cell>
        </row>
        <row r="1307">
          <cell r="G1307" t="str">
            <v>ASV1102</v>
          </cell>
          <cell r="H1307" t="str">
            <v>g__Anaerofustis</v>
          </cell>
          <cell r="I1307" t="str">
            <v>s__Anaerofustis_sp._Marseille-P2832</v>
          </cell>
        </row>
        <row r="1308">
          <cell r="G1308" t="str">
            <v>ASV11094</v>
          </cell>
          <cell r="H1308" t="str">
            <v>g__unclassified_f__Prevotellaceae</v>
          </cell>
          <cell r="I1308" t="str">
            <v>s__unclassified_f__Prevotellaceae</v>
          </cell>
        </row>
        <row r="1309">
          <cell r="G1309" t="str">
            <v>ASV2873</v>
          </cell>
          <cell r="H1309" t="str">
            <v>g__Alloprevotella</v>
          </cell>
          <cell r="I1309" t="str">
            <v>s__unclassified_g__Alloprevotella</v>
          </cell>
        </row>
        <row r="1310">
          <cell r="G1310" t="str">
            <v>ASV7231</v>
          </cell>
          <cell r="H1310" t="str">
            <v>g__Massilia</v>
          </cell>
          <cell r="I1310" t="str">
            <v>s__unclassified_g__Massilia</v>
          </cell>
        </row>
        <row r="1311">
          <cell r="G1311" t="str">
            <v>ASV5497</v>
          </cell>
          <cell r="H1311" t="str">
            <v>g__NK4A214_group</v>
          </cell>
          <cell r="I1311" t="str">
            <v>s__uncultured_bacterium_g__NK4A214_group</v>
          </cell>
        </row>
        <row r="1312">
          <cell r="G1312" t="str">
            <v>ASV15129</v>
          </cell>
          <cell r="H1312" t="str">
            <v>g__Rikenellaceae_RC9_gut_group</v>
          </cell>
          <cell r="I1312" t="str">
            <v>s__uncultured_bacterium_g__Rikenellaceae_RC9_gut_group</v>
          </cell>
        </row>
        <row r="1313">
          <cell r="G1313" t="str">
            <v>ASV8677</v>
          </cell>
          <cell r="H1313" t="str">
            <v>g__Leptotrichia</v>
          </cell>
          <cell r="I1313" t="str">
            <v>s__unclassified_g__Leptotrichia</v>
          </cell>
        </row>
        <row r="1314">
          <cell r="G1314" t="str">
            <v>ASV20503</v>
          </cell>
          <cell r="H1314" t="str">
            <v>g__Christensenellaceae_R-7_group</v>
          </cell>
          <cell r="I1314" t="str">
            <v>s__uncultured_prokaryote_g__Christensenellaceae_R-7_group</v>
          </cell>
        </row>
        <row r="1315">
          <cell r="G1315" t="str">
            <v>ASV3756</v>
          </cell>
          <cell r="H1315" t="str">
            <v>g__Parasutterella</v>
          </cell>
          <cell r="I1315" t="str">
            <v>s__unclassified_g__Parasutterella</v>
          </cell>
        </row>
        <row r="1316">
          <cell r="G1316" t="str">
            <v>ASV3047</v>
          </cell>
          <cell r="H1316" t="str">
            <v>g__Phascolarctobacterium</v>
          </cell>
          <cell r="I1316" t="str">
            <v>s__uncultured_bacterium_g__Phascolarctobacterium</v>
          </cell>
        </row>
        <row r="1317">
          <cell r="G1317" t="str">
            <v>ASV10138</v>
          </cell>
          <cell r="H1317" t="str">
            <v>g__unclassified_f__Lachnospiraceae</v>
          </cell>
          <cell r="I1317" t="str">
            <v>s__unclassified_f__Lachnospiraceae</v>
          </cell>
        </row>
        <row r="1318">
          <cell r="G1318" t="str">
            <v>ASV8905</v>
          </cell>
          <cell r="H1318" t="str">
            <v>g__Fusobacterium</v>
          </cell>
          <cell r="I1318" t="str">
            <v>s__unclassified_g__Fusobacterium</v>
          </cell>
        </row>
        <row r="1319">
          <cell r="G1319" t="str">
            <v>ASV15121</v>
          </cell>
          <cell r="H1319" t="str">
            <v>g__Sphaerochaeta</v>
          </cell>
          <cell r="I1319" t="str">
            <v>s__uncultured_prokaryote_g__Sphaerochaeta</v>
          </cell>
        </row>
        <row r="1320">
          <cell r="G1320" t="str">
            <v>ASV3755</v>
          </cell>
          <cell r="H1320" t="str">
            <v>g__Bacteroides</v>
          </cell>
          <cell r="I1320" t="str">
            <v>s__unclassified_g__Bacteroides</v>
          </cell>
        </row>
        <row r="1321">
          <cell r="G1321" t="str">
            <v>ASV10527</v>
          </cell>
          <cell r="H1321" t="str">
            <v>g__norank_f__Ruminococcaceae</v>
          </cell>
          <cell r="I1321" t="str">
            <v>s__unclassified_g__norank_f__Ruminococcaceae</v>
          </cell>
        </row>
        <row r="1322">
          <cell r="G1322" t="str">
            <v>ASV20350</v>
          </cell>
          <cell r="H1322" t="str">
            <v>g__Bergeyella</v>
          </cell>
          <cell r="I1322" t="str">
            <v>s__Bergeyella_porcorum</v>
          </cell>
        </row>
        <row r="1323">
          <cell r="G1323" t="str">
            <v>ASV7155</v>
          </cell>
          <cell r="H1323" t="str">
            <v>g__norank_f__norank_o__Absconditabacteriales_SR1</v>
          </cell>
          <cell r="I1323" t="str">
            <v>s__SR1_bacterium_oral_taxon_875</v>
          </cell>
        </row>
        <row r="1324">
          <cell r="G1324" t="str">
            <v>ASV2669</v>
          </cell>
          <cell r="H1324" t="str">
            <v>g__Clostridium_sensu_stricto_1</v>
          </cell>
          <cell r="I1324" t="str">
            <v>s__unclassified_g__Clostridium_sensu_stricto_1</v>
          </cell>
        </row>
        <row r="1325">
          <cell r="G1325" t="str">
            <v>ASV18745</v>
          </cell>
          <cell r="H1325" t="str">
            <v>g__Eubacterium_nodatum_group</v>
          </cell>
          <cell r="I1325" t="str">
            <v>s__Eubacterium_nodatum</v>
          </cell>
        </row>
        <row r="1326">
          <cell r="G1326" t="str">
            <v>ASV1878</v>
          </cell>
          <cell r="H1326" t="str">
            <v>g__Blautia</v>
          </cell>
          <cell r="I1326" t="str">
            <v>s__unclassified_g__Blautia</v>
          </cell>
        </row>
        <row r="1327">
          <cell r="G1327" t="str">
            <v>ASV1548</v>
          </cell>
          <cell r="H1327" t="str">
            <v>g__Family_XIII_AD3011_group</v>
          </cell>
          <cell r="I1327" t="str">
            <v>s__unclassified_g__Family_XIII_AD3011_group</v>
          </cell>
        </row>
        <row r="1328">
          <cell r="G1328" t="str">
            <v>ASV9931</v>
          </cell>
          <cell r="H1328" t="str">
            <v>g__Treponema</v>
          </cell>
          <cell r="I1328" t="str">
            <v>s__unclassified_g__Treponema</v>
          </cell>
        </row>
        <row r="1329">
          <cell r="G1329" t="str">
            <v>ASV2866</v>
          </cell>
          <cell r="H1329" t="str">
            <v>g__unclassified_f__Rhizobiaceae</v>
          </cell>
          <cell r="I1329" t="str">
            <v>s__unclassified_f__Rhizobiaceae</v>
          </cell>
        </row>
        <row r="1330">
          <cell r="G1330" t="str">
            <v>ASV8774</v>
          </cell>
          <cell r="H1330" t="str">
            <v>g__Monoglobus</v>
          </cell>
          <cell r="I1330" t="str">
            <v>s__uncultured_bacterium_g__Monoglobus</v>
          </cell>
        </row>
        <row r="1331">
          <cell r="G1331" t="str">
            <v>ASV1778</v>
          </cell>
          <cell r="H1331" t="str">
            <v>g__Candidatus_Saccharimonas</v>
          </cell>
          <cell r="I1331" t="str">
            <v>s__TM7_phylum_sp._canine_oral_taxon_251</v>
          </cell>
        </row>
        <row r="1332">
          <cell r="G1332" t="str">
            <v>ASV3090</v>
          </cell>
          <cell r="H1332" t="str">
            <v>g__Bacteroides</v>
          </cell>
          <cell r="I1332" t="str">
            <v>s__unclassified_g__Bacteroides</v>
          </cell>
        </row>
        <row r="1333">
          <cell r="G1333" t="str">
            <v>ASV8396</v>
          </cell>
          <cell r="H1333" t="str">
            <v>g__norank_f__Prevotellaceae</v>
          </cell>
          <cell r="I1333" t="str">
            <v>s__metagenome_g__norank_f__Prevotellaceae</v>
          </cell>
        </row>
        <row r="1334">
          <cell r="G1334" t="str">
            <v>ASV15257</v>
          </cell>
          <cell r="H1334" t="str">
            <v>g__unclassified_f__Prevotellaceae</v>
          </cell>
          <cell r="I1334" t="str">
            <v>s__unclassified_f__Prevotellaceae</v>
          </cell>
        </row>
        <row r="1335">
          <cell r="G1335" t="str">
            <v>ASV7006</v>
          </cell>
          <cell r="H1335" t="str">
            <v>g__Sutterella</v>
          </cell>
          <cell r="I1335" t="str">
            <v>s__Sutterella_parvirubra</v>
          </cell>
        </row>
        <row r="1336">
          <cell r="G1336" t="str">
            <v>ASV7244</v>
          </cell>
          <cell r="H1336" t="str">
            <v>g__unclassified_f__Lachnospiraceae</v>
          </cell>
          <cell r="I1336" t="str">
            <v>s__unclassified_f__Lachnospiraceae</v>
          </cell>
        </row>
        <row r="1337">
          <cell r="G1337" t="str">
            <v>ASV4390</v>
          </cell>
          <cell r="H1337" t="str">
            <v>g__Bacteroides</v>
          </cell>
          <cell r="I1337" t="str">
            <v>s__uncultured_bacterium_g__Bacteroides</v>
          </cell>
        </row>
        <row r="1338">
          <cell r="G1338" t="str">
            <v>ASV17444</v>
          </cell>
          <cell r="H1338" t="str">
            <v>g__Blautia</v>
          </cell>
          <cell r="I1338" t="str">
            <v>s__unclassified_g__Blautia</v>
          </cell>
        </row>
        <row r="1339">
          <cell r="G1339" t="str">
            <v>ASV9912</v>
          </cell>
          <cell r="H1339" t="str">
            <v>g__norank_f__Muribaculaceae</v>
          </cell>
          <cell r="I1339" t="str">
            <v>s__uncultured_bacterium_g__norank_f__Muribaculaceae</v>
          </cell>
        </row>
        <row r="1340">
          <cell r="G1340" t="str">
            <v>ASV7148</v>
          </cell>
          <cell r="H1340" t="str">
            <v>g__norank_f__Anaerovoracaceae</v>
          </cell>
          <cell r="I1340" t="str">
            <v>s__Peptostreptococcaceae_bacterium_feline_oral_taxon_137</v>
          </cell>
        </row>
        <row r="1341">
          <cell r="G1341" t="str">
            <v>ASV334</v>
          </cell>
          <cell r="H1341" t="str">
            <v>g__norank_f__UCG-010</v>
          </cell>
          <cell r="I1341" t="str">
            <v>s__unclassified_g__norank_f__UCG-010</v>
          </cell>
        </row>
        <row r="1342">
          <cell r="G1342" t="str">
            <v>ASV675</v>
          </cell>
          <cell r="H1342" t="str">
            <v>g__unclassified_f__Ruminococcaceae</v>
          </cell>
          <cell r="I1342" t="str">
            <v>s__unclassified_f__Ruminococcaceae</v>
          </cell>
        </row>
        <row r="1343">
          <cell r="G1343" t="str">
            <v>ASV2702</v>
          </cell>
          <cell r="H1343" t="str">
            <v>g__unclassified_f__Microbacteriaceae</v>
          </cell>
          <cell r="I1343" t="str">
            <v>s__unclassified_f__Microbacteriaceae</v>
          </cell>
        </row>
        <row r="1344">
          <cell r="G1344" t="str">
            <v>ASV9132</v>
          </cell>
          <cell r="H1344" t="str">
            <v>g__Rikenellaceae_RC9_gut_group</v>
          </cell>
          <cell r="I1344" t="str">
            <v>s__uncultured_bacterium_g__Rikenellaceae_RC9_gut_group</v>
          </cell>
        </row>
        <row r="1345">
          <cell r="G1345" t="str">
            <v>ASV17686</v>
          </cell>
          <cell r="H1345" t="str">
            <v>g__Christensenellaceae_R-7_group</v>
          </cell>
          <cell r="I1345" t="str">
            <v>s__unclassified_g__Christensenellaceae_R-7_group</v>
          </cell>
        </row>
        <row r="1346">
          <cell r="G1346" t="str">
            <v>ASV5523</v>
          </cell>
          <cell r="H1346" t="str">
            <v>g__Rikenellaceae_RC9_gut_group</v>
          </cell>
          <cell r="I1346" t="str">
            <v>s__uncultured_bacterium_g__Rikenellaceae_RC9_gut_group</v>
          </cell>
        </row>
        <row r="1347">
          <cell r="G1347" t="str">
            <v>ASV14985</v>
          </cell>
          <cell r="H1347" t="str">
            <v>g__Chryseobacterium</v>
          </cell>
          <cell r="I1347" t="str">
            <v>s__unclassified_g__Chryseobacterium</v>
          </cell>
        </row>
        <row r="1348">
          <cell r="G1348" t="str">
            <v>ASV4411</v>
          </cell>
          <cell r="H1348" t="str">
            <v>g__Rikenellaceae_RC9_gut_group</v>
          </cell>
          <cell r="I1348" t="str">
            <v>s__uncultured_bacterium_g__Rikenellaceae_RC9_gut_group</v>
          </cell>
        </row>
        <row r="1349">
          <cell r="G1349" t="str">
            <v>ASV11101</v>
          </cell>
          <cell r="H1349" t="str">
            <v>g__norank_f__Muribaculaceae</v>
          </cell>
          <cell r="I1349" t="str">
            <v>s__uncultured_bacterium_g__norank_f__Muribaculaceae</v>
          </cell>
        </row>
        <row r="1350">
          <cell r="G1350" t="str">
            <v>ASV3619</v>
          </cell>
          <cell r="H1350" t="str">
            <v>g__Filobacterium</v>
          </cell>
          <cell r="I1350" t="str">
            <v>s__cilia-associated_respiratory_bacterium_95-15405</v>
          </cell>
        </row>
        <row r="1351">
          <cell r="G1351" t="str">
            <v>ASV10386</v>
          </cell>
          <cell r="H1351" t="str">
            <v>g__UCG-005</v>
          </cell>
          <cell r="I1351" t="str">
            <v>s__unclassified_g__UCG-005</v>
          </cell>
        </row>
        <row r="1352">
          <cell r="G1352" t="str">
            <v>ASV4531</v>
          </cell>
          <cell r="H1352" t="str">
            <v>g__Sphaerochaeta</v>
          </cell>
          <cell r="I1352" t="str">
            <v>s__uncultured_bacterium_g__Sphaerochaeta</v>
          </cell>
        </row>
        <row r="1353">
          <cell r="G1353" t="str">
            <v>ASV3590</v>
          </cell>
          <cell r="H1353" t="str">
            <v>g__unclassified_f__Neisseriaceae</v>
          </cell>
          <cell r="I1353" t="str">
            <v>s__unclassified_f__Neisseriaceae</v>
          </cell>
        </row>
        <row r="1354">
          <cell r="G1354" t="str">
            <v>ASV20351</v>
          </cell>
          <cell r="H1354" t="str">
            <v>g__Pedobacter</v>
          </cell>
          <cell r="I1354" t="str">
            <v>s__unclassified_g__Pedobacter</v>
          </cell>
        </row>
        <row r="1355">
          <cell r="G1355" t="str">
            <v>ASV7299</v>
          </cell>
          <cell r="H1355" t="str">
            <v>g__Bacteroides</v>
          </cell>
          <cell r="I1355" t="str">
            <v>s__Prevotella_heparinolytica</v>
          </cell>
        </row>
        <row r="1356">
          <cell r="G1356" t="str">
            <v>ASV9904</v>
          </cell>
          <cell r="H1356" t="str">
            <v>g__Phascolarctobacterium</v>
          </cell>
          <cell r="I1356" t="str">
            <v>s__unclassified_g__Phascolarctobacterium</v>
          </cell>
        </row>
        <row r="1357">
          <cell r="G1357" t="str">
            <v>ASV3777</v>
          </cell>
          <cell r="H1357" t="str">
            <v>g__norank_f__Desulfovibrionaceae</v>
          </cell>
          <cell r="I1357" t="str">
            <v>s__uncultured_delta_proteobacterium_g__norank_f__Desulfovibrionaceae</v>
          </cell>
        </row>
        <row r="1358">
          <cell r="G1358" t="str">
            <v>ASV6518</v>
          </cell>
          <cell r="H1358" t="str">
            <v>g__Enterococcus</v>
          </cell>
          <cell r="I1358" t="str">
            <v>s__unclassified_g__Enterococcus</v>
          </cell>
        </row>
        <row r="1359">
          <cell r="G1359" t="str">
            <v>ASV650</v>
          </cell>
          <cell r="H1359" t="str">
            <v>g__norank_f__Eggerthellaceae</v>
          </cell>
          <cell r="I1359" t="str">
            <v>s__uncultured_bacterium_g__norank_f__Eggerthellaceae</v>
          </cell>
        </row>
        <row r="1360">
          <cell r="G1360" t="str">
            <v>ASV480</v>
          </cell>
          <cell r="H1360" t="str">
            <v>g__unclassified_o__Bacteroidales</v>
          </cell>
          <cell r="I1360" t="str">
            <v>s__unclassified_o__Bacteroidales</v>
          </cell>
        </row>
        <row r="1361">
          <cell r="G1361" t="str">
            <v>ASV7459</v>
          </cell>
          <cell r="H1361" t="str">
            <v>g__Sphaerochaeta</v>
          </cell>
          <cell r="I1361" t="str">
            <v>s__uncultured_bacterium_g__Sphaerochaeta</v>
          </cell>
        </row>
        <row r="1362">
          <cell r="G1362" t="str">
            <v>ASV17687</v>
          </cell>
          <cell r="H1362" t="str">
            <v>g__unclassified_c__Clostridia</v>
          </cell>
          <cell r="I1362" t="str">
            <v>s__unclassified_c__Clostridia</v>
          </cell>
        </row>
        <row r="1363">
          <cell r="G1363" t="str">
            <v>ASV3581</v>
          </cell>
          <cell r="H1363" t="str">
            <v>g__Porphyromonas</v>
          </cell>
          <cell r="I1363" t="str">
            <v>s__unclassified_g__Porphyromonas</v>
          </cell>
        </row>
        <row r="1364">
          <cell r="G1364" t="str">
            <v>ASV15132</v>
          </cell>
          <cell r="H1364" t="str">
            <v>g__Parabacteroides</v>
          </cell>
          <cell r="I1364" t="str">
            <v>s__Porphyromonadaceae_bacterium_DJF_B175</v>
          </cell>
        </row>
        <row r="1365">
          <cell r="G1365" t="str">
            <v>ASV799</v>
          </cell>
          <cell r="H1365" t="str">
            <v>g__Trueperella</v>
          </cell>
          <cell r="I1365" t="str">
            <v>s__unclassified_g__Trueperella</v>
          </cell>
        </row>
        <row r="1366">
          <cell r="G1366" t="str">
            <v>ASV4162</v>
          </cell>
          <cell r="H1366" t="str">
            <v>g__Sutterella</v>
          </cell>
          <cell r="I1366" t="str">
            <v>s__unclassified_g__Sutterella</v>
          </cell>
        </row>
        <row r="1367">
          <cell r="G1367" t="str">
            <v>ASV10371</v>
          </cell>
          <cell r="H1367" t="str">
            <v>g__Clostridium_sensu_stricto_1</v>
          </cell>
          <cell r="I1367" t="str">
            <v>s__unclassified_g__Clostridium_sensu_stricto_1</v>
          </cell>
        </row>
        <row r="1368">
          <cell r="G1368" t="str">
            <v>ASV14966</v>
          </cell>
          <cell r="H1368" t="str">
            <v>g__Prevotella</v>
          </cell>
          <cell r="I1368" t="str">
            <v>s__unclassified_g__Prevotella</v>
          </cell>
        </row>
        <row r="1369">
          <cell r="G1369" t="str">
            <v>ASV4454</v>
          </cell>
          <cell r="H1369" t="str">
            <v>g__norank_f__Peptococcaceae</v>
          </cell>
          <cell r="I1369" t="str">
            <v>s__uncultured_bacterium_g__norank_f__Peptococcaceae</v>
          </cell>
        </row>
        <row r="1370">
          <cell r="G1370" t="str">
            <v>ASV5684</v>
          </cell>
          <cell r="H1370" t="str">
            <v>g__norank_f__Muribaculaceae</v>
          </cell>
          <cell r="I1370" t="str">
            <v>s__unclassified_g__norank_f__Muribaculaceae</v>
          </cell>
        </row>
        <row r="1371">
          <cell r="G1371" t="str">
            <v>ASV2635</v>
          </cell>
          <cell r="H1371" t="str">
            <v>g__Lactobacillus</v>
          </cell>
          <cell r="I1371" t="str">
            <v>s__unclassified_g__Lactobacillus</v>
          </cell>
        </row>
        <row r="1372">
          <cell r="G1372" t="str">
            <v>ASV8258</v>
          </cell>
          <cell r="H1372" t="str">
            <v>g__Kocuria</v>
          </cell>
          <cell r="I1372" t="str">
            <v>s__unclassified_g__Kocuria</v>
          </cell>
        </row>
        <row r="1373">
          <cell r="G1373" t="str">
            <v>ASV9906</v>
          </cell>
          <cell r="H1373" t="str">
            <v>g__Alloprevotella</v>
          </cell>
          <cell r="I1373" t="str">
            <v>s__uncultured_bacterium_g__Alloprevotella</v>
          </cell>
        </row>
        <row r="1374">
          <cell r="G1374" t="str">
            <v>ASV5502</v>
          </cell>
          <cell r="H1374" t="str">
            <v>g__Candidatus_Soleaferrea</v>
          </cell>
          <cell r="I1374" t="str">
            <v>s__uncultured_bacterium_g__Candidatus_Soleaferrea</v>
          </cell>
        </row>
        <row r="1375">
          <cell r="G1375" t="str">
            <v>ASV9909</v>
          </cell>
          <cell r="H1375" t="str">
            <v>g__Prevotellaceae_UCG-003</v>
          </cell>
          <cell r="I1375" t="str">
            <v>s__uncultured_bacterium_g__Prevotellaceae_UCG-003</v>
          </cell>
        </row>
        <row r="1376">
          <cell r="G1376" t="str">
            <v>ASV7314</v>
          </cell>
          <cell r="H1376" t="str">
            <v>g__Allisonella</v>
          </cell>
          <cell r="I1376" t="str">
            <v>s__uncultured_bacterium_g__Allisonella</v>
          </cell>
        </row>
        <row r="1377">
          <cell r="G1377" t="str">
            <v>ASV22996</v>
          </cell>
          <cell r="H1377" t="str">
            <v>g__Treponema</v>
          </cell>
          <cell r="I1377" t="str">
            <v>s__gut_metagenome_g__Treponema</v>
          </cell>
        </row>
        <row r="1378">
          <cell r="G1378" t="str">
            <v>ASV7571</v>
          </cell>
          <cell r="H1378" t="str">
            <v>g__norank_f__Lachnospiraceae</v>
          </cell>
          <cell r="I1378" t="str">
            <v>s__butyrate-producing_bacterium_L2-10</v>
          </cell>
        </row>
        <row r="1379">
          <cell r="G1379" t="str">
            <v>ASV5475</v>
          </cell>
          <cell r="H1379" t="str">
            <v>g__Cloacibacillus</v>
          </cell>
          <cell r="I1379" t="str">
            <v>s__unclassified_g__Cloacibacillus</v>
          </cell>
        </row>
        <row r="1380">
          <cell r="G1380" t="str">
            <v>ASV10383</v>
          </cell>
          <cell r="H1380" t="str">
            <v>g__Rikenellaceae_RC9_gut_group</v>
          </cell>
          <cell r="I1380" t="str">
            <v>s__uncultured_bacterium_g__Rikenellaceae_RC9_gut_group</v>
          </cell>
        </row>
        <row r="1381">
          <cell r="G1381" t="str">
            <v>ASV16186</v>
          </cell>
          <cell r="H1381" t="str">
            <v>g__Ruminococcus_gauvreauii_group</v>
          </cell>
          <cell r="I1381" t="str">
            <v>s__uncultured_rumen_bacterium_g__Ruminococcus_gauvreauii_group</v>
          </cell>
        </row>
        <row r="1382">
          <cell r="G1382" t="str">
            <v>ASV1526</v>
          </cell>
          <cell r="H1382" t="str">
            <v>g__Terrisporobacter</v>
          </cell>
          <cell r="I1382" t="str">
            <v>s__unclassified_g__Terrisporobacter</v>
          </cell>
        </row>
        <row r="1383">
          <cell r="G1383" t="str">
            <v>ASV6508</v>
          </cell>
          <cell r="H1383" t="str">
            <v>g__Chryseobacterium</v>
          </cell>
          <cell r="I1383" t="str">
            <v>s__unclassified_g__Chryseobacterium</v>
          </cell>
        </row>
        <row r="1384">
          <cell r="G1384" t="str">
            <v>ASV4489</v>
          </cell>
          <cell r="H1384" t="str">
            <v>g__norank_f__Peptococcaceae</v>
          </cell>
          <cell r="I1384" t="str">
            <v>s__uncultured_bacterium_g__norank_f__Peptococcaceae</v>
          </cell>
        </row>
        <row r="1385">
          <cell r="G1385" t="str">
            <v>ASV3413</v>
          </cell>
          <cell r="H1385" t="str">
            <v>g__Veillonella</v>
          </cell>
          <cell r="I1385" t="str">
            <v>s__Veillonella_sp._R-32</v>
          </cell>
        </row>
        <row r="1386">
          <cell r="G1386" t="str">
            <v>ASV1748</v>
          </cell>
          <cell r="H1386" t="str">
            <v>g__Alloprevotella</v>
          </cell>
          <cell r="I1386" t="str">
            <v>s__uncultured_bacterium_g__Alloprevotella</v>
          </cell>
        </row>
        <row r="1387">
          <cell r="G1387" t="str">
            <v>ASV16773</v>
          </cell>
          <cell r="H1387" t="str">
            <v>g__Selenomonas</v>
          </cell>
          <cell r="I1387" t="str">
            <v>s__unclassified_g__Selenomonas</v>
          </cell>
        </row>
        <row r="1388">
          <cell r="G1388" t="str">
            <v>ASV7289</v>
          </cell>
          <cell r="H1388" t="str">
            <v>g__Chryseobacterium</v>
          </cell>
          <cell r="I1388" t="str">
            <v>s__Flavobacterium_sp._C5</v>
          </cell>
        </row>
        <row r="1389">
          <cell r="G1389" t="str">
            <v>ASV15122</v>
          </cell>
          <cell r="H1389" t="str">
            <v>g__unclassified_f__Lachnospiraceae</v>
          </cell>
          <cell r="I1389" t="str">
            <v>s__unclassified_f__Lachnospiraceae</v>
          </cell>
        </row>
        <row r="1390">
          <cell r="G1390" t="str">
            <v>ASV17583</v>
          </cell>
          <cell r="H1390" t="str">
            <v>g__Sutterella</v>
          </cell>
          <cell r="I1390" t="str">
            <v>s__unclassified_g__Sutterella</v>
          </cell>
        </row>
        <row r="1391">
          <cell r="G1391" t="str">
            <v>ASV7251</v>
          </cell>
          <cell r="H1391" t="str">
            <v>g__Prevotella</v>
          </cell>
          <cell r="I1391" t="str">
            <v>s__unclassified_g__Prevotella</v>
          </cell>
        </row>
        <row r="1392">
          <cell r="G1392" t="str">
            <v>ASV413</v>
          </cell>
          <cell r="H1392" t="str">
            <v>g__unclassified_c__Clostridia</v>
          </cell>
          <cell r="I1392" t="str">
            <v>s__unclassified_c__Clostridia</v>
          </cell>
        </row>
        <row r="1393">
          <cell r="G1393" t="str">
            <v>ASV7471</v>
          </cell>
          <cell r="H1393" t="str">
            <v>g__Staphylococcus</v>
          </cell>
          <cell r="I1393" t="str">
            <v>s__unclassified_g__Staphylococcus</v>
          </cell>
        </row>
        <row r="1394">
          <cell r="G1394" t="str">
            <v>ASV9872</v>
          </cell>
          <cell r="H1394" t="str">
            <v>g__Selenomonas</v>
          </cell>
          <cell r="I1394" t="str">
            <v>s__bacterium_mpn-isolate_group_9</v>
          </cell>
        </row>
        <row r="1395">
          <cell r="G1395" t="str">
            <v>ASV5479</v>
          </cell>
          <cell r="H1395" t="str">
            <v>g__Cloacibacillus</v>
          </cell>
          <cell r="I1395" t="str">
            <v>s__unclassified_g__Cloacibacillus</v>
          </cell>
        </row>
        <row r="1396">
          <cell r="G1396" t="str">
            <v>ASV17564</v>
          </cell>
          <cell r="H1396" t="str">
            <v>g__Bacillus</v>
          </cell>
          <cell r="I1396" t="str">
            <v>s__Lactobacillus_vaginalis_g__Bacillus</v>
          </cell>
        </row>
        <row r="1397">
          <cell r="G1397" t="str">
            <v>ASV11096</v>
          </cell>
          <cell r="H1397" t="str">
            <v>g__unclassified_f__Prevotellaceae</v>
          </cell>
          <cell r="I1397" t="str">
            <v>s__unclassified_f__Prevotellaceae</v>
          </cell>
        </row>
        <row r="1398">
          <cell r="G1398" t="str">
            <v>ASV11140</v>
          </cell>
          <cell r="H1398" t="str">
            <v>g__Prevotella</v>
          </cell>
          <cell r="I1398" t="str">
            <v>s__unclassified_g__Prevotella</v>
          </cell>
        </row>
        <row r="1399">
          <cell r="G1399" t="str">
            <v>ASV317</v>
          </cell>
          <cell r="H1399" t="str">
            <v>g__norank_f__UCG-010</v>
          </cell>
          <cell r="I1399" t="str">
            <v>s__unclassified_g__norank_f__UCG-010</v>
          </cell>
        </row>
        <row r="1400">
          <cell r="G1400" t="str">
            <v>ASV7245</v>
          </cell>
          <cell r="H1400" t="str">
            <v>g__norank_f__Muribaculaceae</v>
          </cell>
          <cell r="I1400" t="str">
            <v>s__uncultured_bacterium_g__norank_f__Muribaculaceae</v>
          </cell>
        </row>
        <row r="1401">
          <cell r="G1401" t="str">
            <v>ASV15879</v>
          </cell>
          <cell r="H1401" t="str">
            <v>g__Bacteroides</v>
          </cell>
          <cell r="I1401" t="str">
            <v>s__unclassified_g__Bacteroides</v>
          </cell>
        </row>
        <row r="1402">
          <cell r="G1402" t="str">
            <v>ASV2101</v>
          </cell>
          <cell r="H1402" t="str">
            <v>g__Family_XIII_UCG-001</v>
          </cell>
          <cell r="I1402" t="str">
            <v>s__uncultured_Anaerovorax_sp._g__Family_XIII_UCG-001</v>
          </cell>
        </row>
        <row r="1403">
          <cell r="G1403" t="str">
            <v>ASV2899</v>
          </cell>
          <cell r="H1403" t="str">
            <v>g__Johnsonella</v>
          </cell>
          <cell r="I1403" t="str">
            <v>s__unclassified_g__Johnsonella</v>
          </cell>
        </row>
        <row r="1404">
          <cell r="G1404" t="str">
            <v>ASV4394</v>
          </cell>
          <cell r="H1404" t="str">
            <v>g__Cloacibacillus</v>
          </cell>
          <cell r="I1404" t="str">
            <v>s__Cloacibacillus_porcorum</v>
          </cell>
        </row>
        <row r="1405">
          <cell r="G1405" t="str">
            <v>ASV17446</v>
          </cell>
          <cell r="H1405" t="str">
            <v>g__Paraeggerthella</v>
          </cell>
          <cell r="I1405" t="str">
            <v>s__unclassified_g__Paraeggerthella</v>
          </cell>
        </row>
        <row r="1406">
          <cell r="G1406" t="str">
            <v>ASV9241</v>
          </cell>
          <cell r="H1406" t="str">
            <v>g__Alloprevotella</v>
          </cell>
          <cell r="I1406" t="str">
            <v>s__uncultured_bacterium_g__Alloprevotella</v>
          </cell>
        </row>
        <row r="1407">
          <cell r="G1407" t="str">
            <v>ASV10425</v>
          </cell>
          <cell r="H1407" t="str">
            <v>g__UCG-005</v>
          </cell>
          <cell r="I1407" t="str">
            <v>s__uncultured_rumen_bacterium_g__UCG-005</v>
          </cell>
        </row>
        <row r="1408">
          <cell r="G1408" t="str">
            <v>ASV11138</v>
          </cell>
          <cell r="H1408" t="str">
            <v>g__Megasphaera</v>
          </cell>
          <cell r="I1408" t="str">
            <v>s__unclassified_g__Megasphaera</v>
          </cell>
        </row>
        <row r="1409">
          <cell r="G1409" t="str">
            <v>ASV3778</v>
          </cell>
          <cell r="H1409" t="str">
            <v>g__Desulfovibrio</v>
          </cell>
          <cell r="I1409" t="str">
            <v>s__unclassified_g__Desulfovibrio</v>
          </cell>
        </row>
        <row r="1410">
          <cell r="G1410" t="str">
            <v>ASV15166</v>
          </cell>
          <cell r="H1410" t="str">
            <v>g__Sharpea</v>
          </cell>
          <cell r="I1410" t="str">
            <v>s__unclassified_g__Sharpea</v>
          </cell>
        </row>
        <row r="1411">
          <cell r="G1411" t="str">
            <v>ASV8829</v>
          </cell>
          <cell r="H1411" t="str">
            <v>g__unclassified_f__Lachnospiraceae</v>
          </cell>
          <cell r="I1411" t="str">
            <v>s__unclassified_f__Lachnospiraceae</v>
          </cell>
        </row>
        <row r="1412">
          <cell r="G1412" t="str">
            <v>ASV4154</v>
          </cell>
          <cell r="H1412" t="str">
            <v>g__norank_f__Christensenellaceae</v>
          </cell>
          <cell r="I1412" t="str">
            <v>s__Christensenella_sp._Marseille-P2437</v>
          </cell>
        </row>
        <row r="1413">
          <cell r="G1413" t="str">
            <v>ASV676</v>
          </cell>
          <cell r="H1413" t="str">
            <v>g__unclassified_f__Oscillospiraceae</v>
          </cell>
          <cell r="I1413" t="str">
            <v>s__unclassified_f__Oscillospiraceae</v>
          </cell>
        </row>
        <row r="1414">
          <cell r="G1414" t="str">
            <v>ASV3049</v>
          </cell>
          <cell r="H1414" t="str">
            <v>g__Rhodococcus</v>
          </cell>
          <cell r="I1414" t="str">
            <v>s__unclassified_g__Rhodococcus</v>
          </cell>
        </row>
        <row r="1415">
          <cell r="G1415" t="str">
            <v>ASV10139</v>
          </cell>
          <cell r="H1415" t="str">
            <v>g__Bacteroides</v>
          </cell>
          <cell r="I1415" t="str">
            <v>s__unclassified_g__Bacteroides</v>
          </cell>
        </row>
        <row r="1416">
          <cell r="G1416" t="str">
            <v>ASV8655</v>
          </cell>
          <cell r="H1416" t="str">
            <v>g__Brevundimonas</v>
          </cell>
          <cell r="I1416" t="str">
            <v>s__unclassified_g__Brevundimonas</v>
          </cell>
        </row>
        <row r="1417">
          <cell r="G1417" t="str">
            <v>ASV17587</v>
          </cell>
          <cell r="H1417" t="str">
            <v>g__Actinobacillus</v>
          </cell>
          <cell r="I1417" t="str">
            <v>s__Actinobacillus_rossii</v>
          </cell>
        </row>
        <row r="1418">
          <cell r="G1418" t="str">
            <v>ASV5590</v>
          </cell>
          <cell r="H1418" t="str">
            <v>g__norank_f__norank_o__Clostridia_vadinBB60_group</v>
          </cell>
          <cell r="I1418" t="str">
            <v>s__uncultured_organism_g__norank_f__norank_o__Clostridia_vadinBB60_group</v>
          </cell>
        </row>
        <row r="1419">
          <cell r="G1419" t="str">
            <v>ASV3010</v>
          </cell>
          <cell r="H1419" t="str">
            <v>g__Staphylococcus</v>
          </cell>
          <cell r="I1419" t="str">
            <v>s__unclassified_g__Staphylococcus</v>
          </cell>
        </row>
        <row r="1420">
          <cell r="G1420" t="str">
            <v>ASV16202</v>
          </cell>
          <cell r="H1420" t="str">
            <v>g__Clostridium_sensu_stricto_1</v>
          </cell>
          <cell r="I1420" t="str">
            <v>s__unclassified_g__Clostridium_sensu_stricto_1</v>
          </cell>
        </row>
        <row r="1421">
          <cell r="G1421" t="str">
            <v>ASV4395</v>
          </cell>
          <cell r="H1421" t="str">
            <v>g__Alloprevotella</v>
          </cell>
          <cell r="I1421" t="str">
            <v>s__unclassified_g__Alloprevotella</v>
          </cell>
        </row>
        <row r="1422">
          <cell r="G1422" t="str">
            <v>ASV3637</v>
          </cell>
          <cell r="H1422" t="str">
            <v>g__Actinomyces</v>
          </cell>
          <cell r="I1422" t="str">
            <v>s__unclassified_g__Actinomyces</v>
          </cell>
        </row>
        <row r="1423">
          <cell r="G1423" t="str">
            <v>ASV4393</v>
          </cell>
          <cell r="H1423" t="str">
            <v>g__Ruminococcus</v>
          </cell>
          <cell r="I1423" t="str">
            <v>s__unclassified_g__Ruminococcus</v>
          </cell>
        </row>
        <row r="1424">
          <cell r="G1424" t="str">
            <v>ASV8596</v>
          </cell>
          <cell r="H1424" t="str">
            <v>g__Actinobacillus</v>
          </cell>
          <cell r="I1424" t="str">
            <v>s__unclassified_g__Actinobacillus</v>
          </cell>
        </row>
        <row r="1425">
          <cell r="G1425" t="str">
            <v>ASV1948</v>
          </cell>
          <cell r="H1425" t="str">
            <v>g__unclassified_f__Lachnospiraceae</v>
          </cell>
          <cell r="I1425" t="str">
            <v>s__unclassified_f__Lachnospiraceae</v>
          </cell>
        </row>
        <row r="1426">
          <cell r="G1426" t="str">
            <v>ASV356</v>
          </cell>
          <cell r="H1426" t="str">
            <v>g__norank_f__Erysipelotrichaceae</v>
          </cell>
          <cell r="I1426" t="str">
            <v>s__uncultured_bacterium_g__norank_f__Erysipelotrichaceae</v>
          </cell>
        </row>
        <row r="1427">
          <cell r="G1427" t="str">
            <v>ASV16199</v>
          </cell>
          <cell r="H1427" t="str">
            <v>g__Bacteroides</v>
          </cell>
          <cell r="I1427" t="str">
            <v>s__Bacteroides_caecigallinarum</v>
          </cell>
        </row>
        <row r="1428">
          <cell r="G1428" t="str">
            <v>ASV16908</v>
          </cell>
          <cell r="H1428" t="str">
            <v>g__UCG-005</v>
          </cell>
          <cell r="I1428" t="str">
            <v>s__uncultured_rumen_bacterium_g__UCG-005</v>
          </cell>
        </row>
        <row r="1429">
          <cell r="G1429" t="str">
            <v>ASV9919</v>
          </cell>
          <cell r="H1429" t="str">
            <v>g__Alloprevotella</v>
          </cell>
          <cell r="I1429" t="str">
            <v>s__uncultured_bacterium_g__Alloprevotella</v>
          </cell>
        </row>
        <row r="1430">
          <cell r="G1430" t="str">
            <v>ASV19218</v>
          </cell>
          <cell r="H1430" t="str">
            <v>g__unclassified_f__Lachnospiraceae</v>
          </cell>
          <cell r="I1430" t="str">
            <v>s__unclassified_f__Lachnospiraceae</v>
          </cell>
        </row>
        <row r="1431">
          <cell r="G1431" t="str">
            <v>ASV2937</v>
          </cell>
          <cell r="H1431" t="str">
            <v>g__norank_f__norank_o__norank_c__Gracilibacteria</v>
          </cell>
          <cell r="I1431" t="str">
            <v>s__unclassified_g__norank_f__norank_o__norank_c__Gracilibacteria</v>
          </cell>
        </row>
        <row r="1432">
          <cell r="G1432" t="str">
            <v>ASV20352</v>
          </cell>
          <cell r="H1432" t="str">
            <v>g__Stenotrophomonas</v>
          </cell>
          <cell r="I1432" t="str">
            <v>s__Stenotrophomonas_chelatiphaga</v>
          </cell>
        </row>
        <row r="1433">
          <cell r="G1433" t="str">
            <v>ASV174</v>
          </cell>
          <cell r="H1433" t="str">
            <v>g__Parabacteroides</v>
          </cell>
          <cell r="I1433" t="str">
            <v>s__Porphyromonadaceae_bacterium_DJF_B175</v>
          </cell>
        </row>
        <row r="1434">
          <cell r="G1434" t="str">
            <v>ASV8907</v>
          </cell>
          <cell r="H1434" t="str">
            <v>g__unclassified_f__Neisseriaceae</v>
          </cell>
          <cell r="I1434" t="str">
            <v>s__unclassified_f__Neisseriaceae</v>
          </cell>
        </row>
        <row r="1435">
          <cell r="G1435" t="str">
            <v>ASV17624</v>
          </cell>
          <cell r="H1435" t="str">
            <v>g__Ruminococcus</v>
          </cell>
          <cell r="I1435" t="str">
            <v>s__gut_metagenome_g__Ruminococcus</v>
          </cell>
        </row>
        <row r="1436">
          <cell r="G1436" t="str">
            <v>ASV20504</v>
          </cell>
          <cell r="H1436" t="str">
            <v>g__Christensenellaceae_R-7_group</v>
          </cell>
          <cell r="I1436" t="str">
            <v>s__unclassified_g__Christensenellaceae_R-7_group</v>
          </cell>
        </row>
        <row r="1437">
          <cell r="G1437" t="str">
            <v>ASV2911</v>
          </cell>
          <cell r="H1437" t="str">
            <v>g__Bacteroides</v>
          </cell>
          <cell r="I1437" t="str">
            <v>s__unclassified_g__Bacteroides</v>
          </cell>
        </row>
        <row r="1438">
          <cell r="G1438" t="str">
            <v>ASV8605</v>
          </cell>
          <cell r="H1438" t="str">
            <v>g__unclassified_f__Neisseriaceae</v>
          </cell>
          <cell r="I1438" t="str">
            <v>s__unclassified_f__Neisseriaceae</v>
          </cell>
        </row>
        <row r="1439">
          <cell r="G1439" t="str">
            <v>ASV15131</v>
          </cell>
          <cell r="H1439" t="str">
            <v>g__Alloprevotella</v>
          </cell>
          <cell r="I1439" t="str">
            <v>s__uncultured_bacterium_g__Alloprevotella</v>
          </cell>
        </row>
        <row r="1440">
          <cell r="G1440" t="str">
            <v>ASV17259</v>
          </cell>
          <cell r="H1440" t="str">
            <v>g__Lactobacillus</v>
          </cell>
          <cell r="I1440" t="str">
            <v>s__Lactobacillus_agilis</v>
          </cell>
        </row>
        <row r="1441">
          <cell r="G1441" t="str">
            <v>ASV8758</v>
          </cell>
          <cell r="H1441" t="str">
            <v>g__norank_f__Muribaculaceae</v>
          </cell>
          <cell r="I1441" t="str">
            <v>s__uncultured_bacterium_g__norank_f__Muribaculaceae</v>
          </cell>
        </row>
        <row r="1442">
          <cell r="G1442" t="str">
            <v>ASV8908</v>
          </cell>
          <cell r="H1442" t="str">
            <v>g__Streptococcus</v>
          </cell>
          <cell r="I1442" t="str">
            <v>s__unclassified_g__Streptococcus</v>
          </cell>
        </row>
        <row r="1443">
          <cell r="G1443" t="str">
            <v>ASV4217</v>
          </cell>
          <cell r="H1443" t="str">
            <v>g__norank_f__Muribaculaceae</v>
          </cell>
          <cell r="I1443" t="str">
            <v>s__uncultured_bacterium_g__norank_f__Muribaculaceae</v>
          </cell>
        </row>
        <row r="1444">
          <cell r="G1444" t="str">
            <v>ASV8751</v>
          </cell>
          <cell r="H1444" t="str">
            <v>g__Oscillibacter</v>
          </cell>
          <cell r="I1444" t="str">
            <v>s__uncultured_bacterium_g__Oscillibacter</v>
          </cell>
        </row>
        <row r="1445">
          <cell r="G1445" t="str">
            <v>ASV23746</v>
          </cell>
          <cell r="H1445" t="str">
            <v>g__Prevotellaceae_UCG-003</v>
          </cell>
          <cell r="I1445" t="str">
            <v>s__unclassified_g__Prevotellaceae_UCG-003</v>
          </cell>
        </row>
        <row r="1446">
          <cell r="G1446" t="str">
            <v>ASV2871</v>
          </cell>
          <cell r="H1446" t="str">
            <v>g__Patulibacter</v>
          </cell>
          <cell r="I1446" t="str">
            <v>s__Patulibacter_americanus</v>
          </cell>
        </row>
        <row r="1447">
          <cell r="G1447" t="str">
            <v>ASV4414</v>
          </cell>
          <cell r="H1447" t="str">
            <v>g__Bacteroides</v>
          </cell>
          <cell r="I1447" t="str">
            <v>s__uncultured_bacterium_g__Bacteroides</v>
          </cell>
        </row>
        <row r="1448">
          <cell r="G1448" t="str">
            <v>ASV260</v>
          </cell>
          <cell r="H1448" t="str">
            <v>g__Alloprevotella</v>
          </cell>
          <cell r="I1448" t="str">
            <v>s__uncultured_bacterium_g__Alloprevotella</v>
          </cell>
        </row>
        <row r="1449">
          <cell r="G1449" t="str">
            <v>ASV11097</v>
          </cell>
          <cell r="H1449" t="str">
            <v>g__Parabacteroides</v>
          </cell>
          <cell r="I1449" t="str">
            <v>s__Porphyromonadaceae_bacterium_DJF_B175</v>
          </cell>
        </row>
        <row r="1450">
          <cell r="G1450" t="str">
            <v>ASV17398</v>
          </cell>
          <cell r="H1450" t="str">
            <v>g__Fusobacterium</v>
          </cell>
          <cell r="I1450" t="str">
            <v>s__unclassified_g__Fusobacterium</v>
          </cell>
        </row>
        <row r="1451">
          <cell r="G1451" t="str">
            <v>ASV5505</v>
          </cell>
          <cell r="H1451" t="str">
            <v>g__norank_f__Muribaculaceae</v>
          </cell>
          <cell r="I1451" t="str">
            <v>s__uncultured_Porphyromonadaceae_bacterium_g__norank_f__Muribaculaceae</v>
          </cell>
        </row>
        <row r="1452">
          <cell r="G1452" t="str">
            <v>ASV19150</v>
          </cell>
          <cell r="H1452" t="str">
            <v>g__Deinococcus</v>
          </cell>
          <cell r="I1452" t="str">
            <v>s__Deinococcus_aerolatus</v>
          </cell>
        </row>
        <row r="1453">
          <cell r="G1453" t="str">
            <v>ASV8397</v>
          </cell>
          <cell r="H1453" t="str">
            <v>g__Prevotella</v>
          </cell>
          <cell r="I1453" t="str">
            <v>s__unclassified_g__Prevotella</v>
          </cell>
        </row>
        <row r="1454">
          <cell r="G1454" t="str">
            <v>ASV8694</v>
          </cell>
          <cell r="H1454" t="str">
            <v>g__Johnsonella</v>
          </cell>
          <cell r="I1454" t="str">
            <v>s__unclassified_g__Johnsonella</v>
          </cell>
        </row>
        <row r="1455">
          <cell r="G1455" t="str">
            <v>ASV4949</v>
          </cell>
          <cell r="H1455" t="str">
            <v>g__UCG-009</v>
          </cell>
          <cell r="I1455" t="str">
            <v>s__uncultured_bacterium_g__UCG-009</v>
          </cell>
        </row>
        <row r="1456">
          <cell r="G1456" t="str">
            <v>ASV2978</v>
          </cell>
          <cell r="H1456" t="str">
            <v>g__unclassified_f__Intrasporangiaceae</v>
          </cell>
          <cell r="I1456" t="str">
            <v>s__unclassified_f__Intrasporangiaceae</v>
          </cell>
        </row>
        <row r="1457">
          <cell r="G1457" t="str">
            <v>ASV8763</v>
          </cell>
          <cell r="H1457" t="str">
            <v>g__norank_f__Ruminococcaceae</v>
          </cell>
          <cell r="I1457" t="str">
            <v>s__unclassified_g__norank_f__Ruminococcaceae</v>
          </cell>
        </row>
        <row r="1458">
          <cell r="G1458" t="str">
            <v>ASV4527</v>
          </cell>
          <cell r="H1458" t="str">
            <v>g__unclassified_f__Lachnospiraceae</v>
          </cell>
          <cell r="I1458" t="str">
            <v>s__unclassified_f__Lachnospiraceae</v>
          </cell>
        </row>
        <row r="1459">
          <cell r="G1459" t="str">
            <v>ASV8780</v>
          </cell>
          <cell r="H1459" t="str">
            <v>g__norank_f__Muribaculaceae</v>
          </cell>
          <cell r="I1459" t="str">
            <v>s__uncultured_bacterium_g__norank_f__Muribaculaceae</v>
          </cell>
        </row>
        <row r="1460">
          <cell r="G1460" t="str">
            <v>ASV16200</v>
          </cell>
          <cell r="H1460" t="str">
            <v>g__Bacteroides</v>
          </cell>
          <cell r="I1460" t="str">
            <v>s__Bacteroides_caecigallinarum</v>
          </cell>
        </row>
        <row r="1461">
          <cell r="G1461" t="str">
            <v>ASV2721</v>
          </cell>
          <cell r="H1461" t="str">
            <v>g__norank_f__Peptococcaceae</v>
          </cell>
          <cell r="I1461" t="str">
            <v>s__uncultured_bacterium_g__norank_f__Peptococcaceae</v>
          </cell>
        </row>
        <row r="1462">
          <cell r="G1462" t="str">
            <v>ASV2848</v>
          </cell>
          <cell r="H1462" t="str">
            <v>g__Staphylococcus</v>
          </cell>
          <cell r="I1462" t="str">
            <v>s__unclassified_g__Staphylococcus</v>
          </cell>
        </row>
        <row r="1463">
          <cell r="G1463" t="str">
            <v>ASV10403</v>
          </cell>
          <cell r="H1463" t="str">
            <v>g__Rikenellaceae_RC9_gut_group</v>
          </cell>
          <cell r="I1463" t="str">
            <v>s__uncultured_bacterium_g__Rikenellaceae_RC9_gut_group</v>
          </cell>
        </row>
        <row r="1464">
          <cell r="G1464" t="str">
            <v>ASV15873</v>
          </cell>
          <cell r="H1464" t="str">
            <v>g__Prevotella</v>
          </cell>
          <cell r="I1464" t="str">
            <v>s__unclassified_g__Prevotella</v>
          </cell>
        </row>
        <row r="1465">
          <cell r="G1465" t="str">
            <v>ASV12492</v>
          </cell>
          <cell r="H1465" t="str">
            <v>g__Akkermansia</v>
          </cell>
          <cell r="I1465" t="str">
            <v>s__uncultured_bacterium_g__Akkermansia</v>
          </cell>
        </row>
        <row r="1466">
          <cell r="G1466" t="str">
            <v>ASV5503</v>
          </cell>
          <cell r="H1466" t="str">
            <v>g__NK4A214_group</v>
          </cell>
          <cell r="I1466" t="str">
            <v>s__gut_metagenome_g__NK4A214_group</v>
          </cell>
        </row>
        <row r="1467">
          <cell r="G1467" t="str">
            <v>ASV11098</v>
          </cell>
          <cell r="H1467" t="str">
            <v>g__Eubacterium_eligens_group</v>
          </cell>
          <cell r="I1467" t="str">
            <v>s__unclassified_g__Eubacterium_eligens_group</v>
          </cell>
        </row>
        <row r="1468">
          <cell r="G1468" t="str">
            <v>ASV3375</v>
          </cell>
          <cell r="H1468" t="str">
            <v>g__Aquabacterium</v>
          </cell>
          <cell r="I1468" t="str">
            <v>s__unclassified_g__Aquabacterium</v>
          </cell>
        </row>
        <row r="1469">
          <cell r="G1469" t="str">
            <v>ASV15557</v>
          </cell>
          <cell r="H1469" t="str">
            <v>g__UCG-004</v>
          </cell>
          <cell r="I1469" t="str">
            <v>s__uncultured_bacterium_g__UCG-004</v>
          </cell>
        </row>
        <row r="1470">
          <cell r="G1470" t="str">
            <v>ASV5192</v>
          </cell>
          <cell r="H1470" t="str">
            <v>g__norank_f__norank_o__WCHB1-41</v>
          </cell>
          <cell r="I1470" t="str">
            <v>s__unclassified_g__norank_f__norank_o__WCHB1-41</v>
          </cell>
        </row>
        <row r="1471">
          <cell r="G1471" t="str">
            <v>ASV1877</v>
          </cell>
          <cell r="H1471" t="str">
            <v>g__Cloacibacillus</v>
          </cell>
          <cell r="I1471" t="str">
            <v>s__Cloacibacillus_porcorum</v>
          </cell>
        </row>
        <row r="1472">
          <cell r="G1472" t="str">
            <v>ASV5206</v>
          </cell>
          <cell r="H1472" t="str">
            <v>g__Rikenellaceae_RC9_gut_group</v>
          </cell>
          <cell r="I1472" t="str">
            <v>s__unclassified_g__Rikenellaceae_RC9_gut_group</v>
          </cell>
        </row>
        <row r="1473">
          <cell r="G1473" t="str">
            <v>ASV2854</v>
          </cell>
          <cell r="H1473" t="str">
            <v>g__Staphylococcus</v>
          </cell>
          <cell r="I1473" t="str">
            <v>s__unclassified_g__Staphylococcus</v>
          </cell>
        </row>
        <row r="1474">
          <cell r="G1474" t="str">
            <v>ASV11099</v>
          </cell>
          <cell r="H1474" t="str">
            <v>g__Prevotella</v>
          </cell>
          <cell r="I1474" t="str">
            <v>s__Prevotellaceae_bacterium</v>
          </cell>
        </row>
        <row r="1475">
          <cell r="G1475" t="str">
            <v>ASV15123</v>
          </cell>
          <cell r="H1475" t="str">
            <v>g__Parabacteroides</v>
          </cell>
          <cell r="I1475" t="str">
            <v>s__Porphyromonadaceae_bacterium_DJF_B175</v>
          </cell>
        </row>
        <row r="1476">
          <cell r="G1476" t="str">
            <v>ASV9085</v>
          </cell>
          <cell r="H1476" t="str">
            <v>g__Treponema</v>
          </cell>
          <cell r="I1476" t="str">
            <v>s__unclassified_g__Treponema</v>
          </cell>
        </row>
        <row r="1477">
          <cell r="G1477" t="str">
            <v>ASV8607</v>
          </cell>
          <cell r="H1477" t="str">
            <v>g__Deinococcus</v>
          </cell>
          <cell r="I1477" t="str">
            <v>s__Deinococcus_swuensis</v>
          </cell>
        </row>
        <row r="1478">
          <cell r="G1478" t="str">
            <v>ASV2747</v>
          </cell>
          <cell r="H1478" t="str">
            <v>g__Streptococcus</v>
          </cell>
          <cell r="I1478" t="str">
            <v>s__Streptococcus_sp._Str-122</v>
          </cell>
        </row>
        <row r="1479">
          <cell r="G1479" t="str">
            <v>ASV21558</v>
          </cell>
          <cell r="H1479" t="str">
            <v>g__Prevotella</v>
          </cell>
          <cell r="I1479" t="str">
            <v>s__unclassified_g__Prevotella</v>
          </cell>
        </row>
        <row r="1480">
          <cell r="G1480" t="str">
            <v>ASV9908</v>
          </cell>
          <cell r="H1480" t="str">
            <v>g__Rikenellaceae_RC9_gut_group</v>
          </cell>
          <cell r="I1480" t="str">
            <v>s__uncultured_bacterium_g__Rikenellaceae_RC9_gut_group</v>
          </cell>
        </row>
        <row r="1481">
          <cell r="G1481" t="str">
            <v>ASV9913</v>
          </cell>
          <cell r="H1481" t="str">
            <v>g__Rikenellaceae_RC9_gut_group</v>
          </cell>
          <cell r="I1481" t="str">
            <v>s__uncultured_bacterium_g__Rikenellaceae_RC9_gut_group</v>
          </cell>
        </row>
        <row r="1482">
          <cell r="G1482" t="str">
            <v>ASV10274</v>
          </cell>
          <cell r="H1482" t="str">
            <v>g__Erysipelotrichaceae_UCG-009</v>
          </cell>
          <cell r="I1482" t="str">
            <v>s__uncultured_rumen_bacterium_g__Erysipelotrichaceae_UCG-009</v>
          </cell>
        </row>
        <row r="1483">
          <cell r="G1483" t="str">
            <v>ASV2946</v>
          </cell>
          <cell r="H1483" t="str">
            <v>g__Filobacterium</v>
          </cell>
          <cell r="I1483" t="str">
            <v>s__cilia-associated_respiratory_bacterium_95-15405</v>
          </cell>
        </row>
        <row r="1484">
          <cell r="G1484" t="str">
            <v>ASV3005</v>
          </cell>
          <cell r="H1484" t="str">
            <v>g__norank_f__norank_o__norank_c__Gracilibacteria</v>
          </cell>
          <cell r="I1484" t="str">
            <v>s__Gracilibacteria_bacterium_oral_taxon_873</v>
          </cell>
        </row>
        <row r="1485">
          <cell r="G1485" t="str">
            <v>ASV17688</v>
          </cell>
          <cell r="H1485" t="str">
            <v>g__Cloacibacillus</v>
          </cell>
          <cell r="I1485" t="str">
            <v>s__unclassified_g__Cloacibacillus</v>
          </cell>
        </row>
        <row r="1486">
          <cell r="G1486" t="str">
            <v>ASV8395</v>
          </cell>
          <cell r="H1486" t="str">
            <v>g__Lactobacillus</v>
          </cell>
          <cell r="I1486" t="str">
            <v>s__unclassified_g__Lactobacillus</v>
          </cell>
        </row>
        <row r="1487">
          <cell r="G1487" t="str">
            <v>ASV6514</v>
          </cell>
          <cell r="H1487" t="str">
            <v>g__Helicobacter</v>
          </cell>
          <cell r="I1487" t="str">
            <v>s__unclassified_g__Helicobacter</v>
          </cell>
        </row>
        <row r="1488">
          <cell r="G1488" t="str">
            <v>ASV7149</v>
          </cell>
          <cell r="H1488" t="str">
            <v>g__norank_f__Erysipelotrichaceae</v>
          </cell>
          <cell r="I1488" t="str">
            <v>s__unclassified_g__norank_f__Erysipelotrichaceae</v>
          </cell>
        </row>
        <row r="1489">
          <cell r="G1489" t="str">
            <v>ASV19195</v>
          </cell>
          <cell r="H1489" t="str">
            <v>g__Megasphaera</v>
          </cell>
          <cell r="I1489" t="str">
            <v>s__Megasphaera_hexanoica</v>
          </cell>
        </row>
        <row r="1490">
          <cell r="G1490" t="str">
            <v>ASV4514</v>
          </cell>
          <cell r="H1490" t="str">
            <v>g__UCG-005</v>
          </cell>
          <cell r="I1490" t="str">
            <v>s__unclassified_g__UCG-005</v>
          </cell>
        </row>
        <row r="1491">
          <cell r="G1491" t="str">
            <v>ASV18479</v>
          </cell>
          <cell r="H1491" t="str">
            <v>g__unclassified_f__Lachnospiraceae</v>
          </cell>
          <cell r="I1491" t="str">
            <v>s__unclassified_f__Lachnospiraceae</v>
          </cell>
        </row>
        <row r="1492">
          <cell r="G1492" t="str">
            <v>ASV360</v>
          </cell>
          <cell r="H1492" t="str">
            <v>g__Eubacterium_siraeum_group</v>
          </cell>
          <cell r="I1492" t="str">
            <v>s__uncultured_bacterium_g__Eubacterium_siraeum_group</v>
          </cell>
        </row>
        <row r="1493">
          <cell r="G1493" t="str">
            <v>ASV11100</v>
          </cell>
          <cell r="H1493" t="str">
            <v>g__Prevotella</v>
          </cell>
          <cell r="I1493" t="str">
            <v>s__unclassified_g__Prevotella</v>
          </cell>
        </row>
        <row r="1494">
          <cell r="G1494" t="str">
            <v>ASV24063</v>
          </cell>
          <cell r="H1494" t="str">
            <v>g__Cloacibacillus</v>
          </cell>
          <cell r="I1494" t="str">
            <v>s__unclassified_g__Cloacibacillus</v>
          </cell>
        </row>
        <row r="1495">
          <cell r="G1495" t="str">
            <v>ASV15164</v>
          </cell>
          <cell r="H1495" t="str">
            <v>g__Blautia</v>
          </cell>
          <cell r="I1495" t="str">
            <v>s__unclassified_g__Blautia</v>
          </cell>
        </row>
        <row r="1496">
          <cell r="G1496" t="str">
            <v>ASV10430</v>
          </cell>
          <cell r="H1496" t="str">
            <v>g__norank_f__UCG-010</v>
          </cell>
          <cell r="I1496" t="str">
            <v>s__unclassified_g__norank_f__UCG-010</v>
          </cell>
        </row>
        <row r="1497">
          <cell r="G1497" t="str">
            <v>ASV16798</v>
          </cell>
          <cell r="H1497" t="str">
            <v>g__Prevotella</v>
          </cell>
          <cell r="I1497" t="str">
            <v>s__unclassified_g__Prevotella</v>
          </cell>
        </row>
        <row r="1498">
          <cell r="G1498" t="str">
            <v>ASV5609</v>
          </cell>
          <cell r="H1498" t="str">
            <v>g__UCG-005</v>
          </cell>
          <cell r="I1498" t="str">
            <v>s__unclassified_g__UCG-005</v>
          </cell>
        </row>
        <row r="1499">
          <cell r="G1499" t="str">
            <v>ASV13759</v>
          </cell>
          <cell r="H1499" t="str">
            <v>g__unclassified_c__Bacilli</v>
          </cell>
          <cell r="I1499" t="str">
            <v>s__unclassified_c__Bacilli</v>
          </cell>
        </row>
        <row r="1500">
          <cell r="G1500" t="str">
            <v>ASV1564</v>
          </cell>
          <cell r="H1500" t="str">
            <v>g__Prevotella</v>
          </cell>
          <cell r="I1500" t="str">
            <v>s__uncultured_bacterium_g__Prevotella</v>
          </cell>
        </row>
        <row r="1501">
          <cell r="G1501" t="str">
            <v>ASV11103</v>
          </cell>
          <cell r="H1501" t="str">
            <v>g__Oribacterium</v>
          </cell>
          <cell r="I1501" t="str">
            <v>s__uncultured_bacterium_g__Oribacterium</v>
          </cell>
        </row>
        <row r="1502">
          <cell r="G1502" t="str">
            <v>ASV20505</v>
          </cell>
          <cell r="H1502" t="str">
            <v>g__Christensenellaceae_R-7_group</v>
          </cell>
          <cell r="I1502" t="str">
            <v>s__unclassified_g__Christensenellaceae_R-7_group</v>
          </cell>
        </row>
        <row r="1503">
          <cell r="G1503" t="str">
            <v>ASV3589</v>
          </cell>
          <cell r="H1503" t="str">
            <v>g__Actinobacillus</v>
          </cell>
          <cell r="I1503" t="str">
            <v>s__unclassified_g__Actinobacillus</v>
          </cell>
        </row>
        <row r="1504">
          <cell r="G1504" t="str">
            <v>ASV4398</v>
          </cell>
          <cell r="H1504" t="str">
            <v>g__unclassified_o__Bacteroidales</v>
          </cell>
          <cell r="I1504" t="str">
            <v>s__unclassified_o__Bacteroidales</v>
          </cell>
        </row>
        <row r="1505">
          <cell r="G1505" t="str">
            <v>ASV1546</v>
          </cell>
          <cell r="H1505" t="str">
            <v>g__Terrisporobacter</v>
          </cell>
          <cell r="I1505" t="str">
            <v>s__unclassified_g__Terrisporobacter</v>
          </cell>
        </row>
        <row r="1506">
          <cell r="G1506" t="str">
            <v>ASV9976</v>
          </cell>
          <cell r="H1506" t="str">
            <v>g__NK4A214_group</v>
          </cell>
          <cell r="I1506" t="str">
            <v>s__unclassified_g__NK4A214_group</v>
          </cell>
        </row>
        <row r="1507">
          <cell r="G1507" t="str">
            <v>ASV13234</v>
          </cell>
          <cell r="H1507" t="str">
            <v>g__UCG-005</v>
          </cell>
          <cell r="I1507" t="str">
            <v>s__unclassified_g__UCG-005</v>
          </cell>
        </row>
        <row r="1508">
          <cell r="G1508" t="str">
            <v>ASV8400</v>
          </cell>
          <cell r="H1508" t="str">
            <v>g__Selenomonas</v>
          </cell>
          <cell r="I1508" t="str">
            <v>s__unclassified_g__Selenomonas</v>
          </cell>
        </row>
        <row r="1509">
          <cell r="G1509" t="str">
            <v>ASV7242</v>
          </cell>
          <cell r="H1509" t="str">
            <v>g__Chryseobacterium</v>
          </cell>
          <cell r="I1509" t="str">
            <v>s__unclassified_g__Chryseobacterium</v>
          </cell>
        </row>
        <row r="1510">
          <cell r="G1510" t="str">
            <v>ASV8311</v>
          </cell>
          <cell r="H1510" t="str">
            <v>g__Olsenella</v>
          </cell>
          <cell r="I1510" t="str">
            <v>s__uncultured_bacterium_g__Olsenella</v>
          </cell>
        </row>
        <row r="1511">
          <cell r="G1511" t="str">
            <v>ASV1681</v>
          </cell>
          <cell r="H1511" t="str">
            <v>g__Solobacterium</v>
          </cell>
          <cell r="I1511" t="str">
            <v>s__unclassified_g__Solobacterium</v>
          </cell>
        </row>
        <row r="1512">
          <cell r="G1512" t="str">
            <v>ASV8785</v>
          </cell>
          <cell r="H1512" t="str">
            <v>g__unclassified_f__Oscillospiraceae</v>
          </cell>
          <cell r="I1512" t="str">
            <v>s__unclassified_f__Oscillospiraceae</v>
          </cell>
        </row>
        <row r="1513">
          <cell r="G1513" t="str">
            <v>ASV5545</v>
          </cell>
          <cell r="H1513" t="str">
            <v>g__norank_f__norank_o__Coriobacteriales</v>
          </cell>
          <cell r="I1513" t="str">
            <v>s__uncultured_bacterium_g__norank_f__norank_o__Coriobacteriales</v>
          </cell>
        </row>
        <row r="1514">
          <cell r="G1514" t="str">
            <v>ASV8313</v>
          </cell>
          <cell r="H1514" t="str">
            <v>g__Bacillus</v>
          </cell>
          <cell r="I1514" t="str">
            <v>s__Lactobacillus_vaginalis_g__Bacillus</v>
          </cell>
        </row>
        <row r="1515">
          <cell r="G1515" t="str">
            <v>ASV3081</v>
          </cell>
          <cell r="H1515" t="str">
            <v>g__Ruminococcus_torques_group</v>
          </cell>
          <cell r="I1515" t="str">
            <v>s__unclassified_g__Ruminococcus_torques_group</v>
          </cell>
        </row>
        <row r="1516">
          <cell r="G1516" t="str">
            <v>ASV7248</v>
          </cell>
          <cell r="H1516" t="str">
            <v>g__norank_f__Caulobacteraceae</v>
          </cell>
          <cell r="I1516" t="str">
            <v>s__unclassified_g__norank_f__Caulobacteraceae</v>
          </cell>
        </row>
        <row r="1517">
          <cell r="G1517" t="str">
            <v>ASV2994</v>
          </cell>
          <cell r="H1517" t="str">
            <v>g__Streptococcus</v>
          </cell>
          <cell r="I1517" t="str">
            <v>s__unclassified_g__Streptococcus</v>
          </cell>
        </row>
        <row r="1518">
          <cell r="G1518" t="str">
            <v>ASV7444</v>
          </cell>
          <cell r="H1518" t="str">
            <v>g__Dorea</v>
          </cell>
          <cell r="I1518" t="str">
            <v>s__uncultured_bacterium_g__Dorea</v>
          </cell>
        </row>
        <row r="1519">
          <cell r="G1519" t="str">
            <v>ASV2687</v>
          </cell>
          <cell r="H1519" t="str">
            <v>g__Selenomonas</v>
          </cell>
          <cell r="I1519" t="str">
            <v>s__bacterium_mpn-isolate_group_9</v>
          </cell>
        </row>
        <row r="1520">
          <cell r="G1520" t="str">
            <v>ASV2705</v>
          </cell>
          <cell r="H1520" t="str">
            <v>g__unclassified_f__Lachnospiraceae</v>
          </cell>
          <cell r="I1520" t="str">
            <v>s__unclassified_f__Lachnospiraceae</v>
          </cell>
        </row>
        <row r="1521">
          <cell r="G1521" t="str">
            <v>ASV7501</v>
          </cell>
          <cell r="H1521" t="str">
            <v>g__Christensenellaceae_R-7_group</v>
          </cell>
          <cell r="I1521" t="str">
            <v>s__unclassified_g__Christensenellaceae_R-7_group</v>
          </cell>
        </row>
        <row r="1522">
          <cell r="G1522" t="str">
            <v>ASV1627</v>
          </cell>
          <cell r="H1522" t="str">
            <v>g__Roseburia</v>
          </cell>
          <cell r="I1522" t="str">
            <v>s__unclassified_g__Roseburia</v>
          </cell>
        </row>
        <row r="1523">
          <cell r="G1523" t="str">
            <v>ASV11102</v>
          </cell>
          <cell r="H1523" t="str">
            <v>g__norank_f__norank_o__Clostridia_UCG-014</v>
          </cell>
          <cell r="I1523" t="str">
            <v>s__unclassified_g__norank_f__norank_o__Clostridia_UCG-014</v>
          </cell>
        </row>
        <row r="1524">
          <cell r="G1524" t="str">
            <v>ASV2290</v>
          </cell>
          <cell r="H1524" t="str">
            <v>g__Oxalobacter</v>
          </cell>
          <cell r="I1524" t="str">
            <v>s__Oxalobacter_formigenes</v>
          </cell>
        </row>
        <row r="1525">
          <cell r="G1525" t="str">
            <v>ASV7133</v>
          </cell>
          <cell r="H1525" t="str">
            <v>g__Lactobacillus</v>
          </cell>
          <cell r="I1525" t="str">
            <v>s__unclassified_g__Lactobacillus</v>
          </cell>
        </row>
        <row r="1526">
          <cell r="G1526" t="str">
            <v>ASV19196</v>
          </cell>
          <cell r="H1526" t="str">
            <v>g__Selenomonas</v>
          </cell>
          <cell r="I1526" t="str">
            <v>s__unclassified_g__Selenomonas</v>
          </cell>
        </row>
        <row r="1527">
          <cell r="G1527" t="str">
            <v>ASV3356</v>
          </cell>
          <cell r="H1527" t="str">
            <v>g__Clostridium_sensu_stricto_1</v>
          </cell>
          <cell r="I1527" t="str">
            <v>s__unclassified_g__Clostridium_sensu_stricto_1</v>
          </cell>
        </row>
        <row r="1528">
          <cell r="G1528" t="str">
            <v>ASV4503</v>
          </cell>
          <cell r="H1528" t="str">
            <v>g__norank_f__Saccharimonadaceae</v>
          </cell>
          <cell r="I1528" t="str">
            <v>s__uncultured_bacterium_g__norank_f__Saccharimonadaceae</v>
          </cell>
        </row>
        <row r="1529">
          <cell r="G1529" t="str">
            <v>ASV4565</v>
          </cell>
          <cell r="H1529" t="str">
            <v>g__UCG-005</v>
          </cell>
          <cell r="I1529" t="str">
            <v>s__uncultured_Clostridiales_bacterium_g__UCG-005</v>
          </cell>
        </row>
        <row r="1530">
          <cell r="G1530" t="str">
            <v>ASV1291</v>
          </cell>
          <cell r="H1530" t="str">
            <v>g__norank_f__Erysipelotrichaceae</v>
          </cell>
          <cell r="I1530" t="str">
            <v>s__uncultured_bacterium_g__norank_f__Erysipelotrichaceae</v>
          </cell>
        </row>
        <row r="1531">
          <cell r="G1531" t="str">
            <v>ASV8984</v>
          </cell>
          <cell r="H1531" t="str">
            <v>g__unclassified_f__Lachnospiraceae</v>
          </cell>
          <cell r="I1531" t="str">
            <v>s__unclassified_f__Lachnospiraceae</v>
          </cell>
        </row>
        <row r="1532">
          <cell r="G1532" t="str">
            <v>ASV8807</v>
          </cell>
          <cell r="H1532" t="str">
            <v>g__Neisseria</v>
          </cell>
          <cell r="I1532" t="str">
            <v>s__Neisseria_dentiae</v>
          </cell>
        </row>
        <row r="1533">
          <cell r="G1533" t="str">
            <v>ASV5543</v>
          </cell>
          <cell r="H1533" t="str">
            <v>g__norank_f__Muribaculaceae</v>
          </cell>
          <cell r="I1533" t="str">
            <v>s__uncultured_bacterium_g__norank_f__Muribaculaceae</v>
          </cell>
        </row>
        <row r="1534">
          <cell r="G1534" t="str">
            <v>ASV3699</v>
          </cell>
          <cell r="H1534" t="str">
            <v>g__Ruminococcus</v>
          </cell>
          <cell r="I1534" t="str">
            <v>s__Ruminococcus_sp._HUN007</v>
          </cell>
        </row>
        <row r="1535">
          <cell r="G1535" t="str">
            <v>ASV8615</v>
          </cell>
          <cell r="H1535" t="str">
            <v>g__Actinobacillus</v>
          </cell>
          <cell r="I1535" t="str">
            <v>s__Actinobacillus_rossii</v>
          </cell>
        </row>
        <row r="1536">
          <cell r="G1536" t="str">
            <v>ASV2780</v>
          </cell>
          <cell r="H1536" t="str">
            <v>g__Weissella</v>
          </cell>
          <cell r="I1536" t="str">
            <v>s__Weissella_jogaejeotgali</v>
          </cell>
        </row>
        <row r="1537">
          <cell r="G1537" t="str">
            <v>ASV10267</v>
          </cell>
          <cell r="H1537" t="str">
            <v>g__Lactobacillus</v>
          </cell>
          <cell r="I1537" t="str">
            <v>s__Lactobacillus_mucosae</v>
          </cell>
        </row>
        <row r="1538">
          <cell r="G1538" t="str">
            <v>ASV20353</v>
          </cell>
          <cell r="H1538" t="str">
            <v>g__Actinobacillus</v>
          </cell>
          <cell r="I1538" t="str">
            <v>s__unclassified_g__Actinobacillus</v>
          </cell>
        </row>
        <row r="1539">
          <cell r="G1539" t="str">
            <v>ASV7135</v>
          </cell>
          <cell r="H1539" t="str">
            <v>g__Staphylococcus</v>
          </cell>
          <cell r="I1539" t="str">
            <v>s__unclassified_g__Staphylococcus</v>
          </cell>
        </row>
        <row r="1540">
          <cell r="G1540" t="str">
            <v>ASV4415</v>
          </cell>
          <cell r="H1540" t="str">
            <v>g__Rikenellaceae_RC9_gut_group</v>
          </cell>
          <cell r="I1540" t="str">
            <v>s__uncultured_bacterium_g__Rikenellaceae_RC9_gut_group</v>
          </cell>
        </row>
        <row r="1541">
          <cell r="G1541" t="str">
            <v>ASV2647</v>
          </cell>
          <cell r="H1541" t="str">
            <v>g__Staphylococcus</v>
          </cell>
          <cell r="I1541" t="str">
            <v>s__unclassified_g__Staphylococcus</v>
          </cell>
        </row>
        <row r="1542">
          <cell r="G1542" t="str">
            <v>ASV11219</v>
          </cell>
          <cell r="H1542" t="str">
            <v>g__Oscillibacter</v>
          </cell>
          <cell r="I1542" t="str">
            <v>s__unclassified_g__Oscillibacter</v>
          </cell>
        </row>
        <row r="1543">
          <cell r="G1543" t="str">
            <v>ASV14986</v>
          </cell>
          <cell r="H1543" t="str">
            <v>g__Acinetobacter</v>
          </cell>
          <cell r="I1543" t="str">
            <v>s__unclassified_g__Acinetobacter</v>
          </cell>
        </row>
        <row r="1544">
          <cell r="G1544" t="str">
            <v>ASV2192</v>
          </cell>
          <cell r="H1544" t="str">
            <v>g__Streptococcus</v>
          </cell>
          <cell r="I1544" t="str">
            <v>s__unclassified_g__Streptococcus</v>
          </cell>
        </row>
        <row r="1545">
          <cell r="G1545" t="str">
            <v>ASV20506</v>
          </cell>
          <cell r="H1545" t="str">
            <v>g__Christensenellaceae_R-7_group</v>
          </cell>
          <cell r="I1545" t="str">
            <v>s__unclassified_g__Christensenellaceae_R-7_group</v>
          </cell>
        </row>
        <row r="1546">
          <cell r="G1546" t="str">
            <v>ASV11133</v>
          </cell>
          <cell r="H1546" t="str">
            <v>g__Eubacterium_siraeum_group</v>
          </cell>
          <cell r="I1546" t="str">
            <v>s__unclassified_g__Eubacterium_siraeum_group</v>
          </cell>
        </row>
        <row r="1547">
          <cell r="G1547" t="str">
            <v>ASV3109</v>
          </cell>
          <cell r="H1547" t="str">
            <v>g__Prevotella</v>
          </cell>
          <cell r="I1547" t="str">
            <v>s__Prevotella_sp._DJF_LS16</v>
          </cell>
        </row>
        <row r="1548">
          <cell r="G1548" t="str">
            <v>ASV10407</v>
          </cell>
          <cell r="H1548" t="str">
            <v>g__Rikenellaceae_RC9_gut_group</v>
          </cell>
          <cell r="I1548" t="str">
            <v>s__uncultured_bacterium_g__Rikenellaceae_RC9_gut_group</v>
          </cell>
        </row>
        <row r="1549">
          <cell r="G1549" t="str">
            <v>ASV16201</v>
          </cell>
          <cell r="H1549" t="str">
            <v>g__Bacteroides</v>
          </cell>
          <cell r="I1549" t="str">
            <v>s__unclassified_g__Bacteroides</v>
          </cell>
        </row>
        <row r="1550">
          <cell r="G1550" t="str">
            <v>ASV9921</v>
          </cell>
          <cell r="H1550" t="str">
            <v>g__Rikenellaceae_RC9_gut_group</v>
          </cell>
          <cell r="I1550" t="str">
            <v>s__uncultured_bacterium_g__Rikenellaceae_RC9_gut_group</v>
          </cell>
        </row>
        <row r="1551">
          <cell r="G1551" t="str">
            <v>ASV9914</v>
          </cell>
          <cell r="H1551" t="str">
            <v>g__Alloprevotella</v>
          </cell>
          <cell r="I1551" t="str">
            <v>s__unclassified_g__Alloprevotella</v>
          </cell>
        </row>
        <row r="1552">
          <cell r="G1552" t="str">
            <v>ASV2885</v>
          </cell>
          <cell r="H1552" t="str">
            <v>g__unclassified_f__Microbacteriaceae</v>
          </cell>
          <cell r="I1552" t="str">
            <v>s__unclassified_f__Microbacteriaceae</v>
          </cell>
        </row>
        <row r="1553">
          <cell r="G1553" t="str">
            <v>ASV1537</v>
          </cell>
          <cell r="H1553" t="str">
            <v>g__Lactobacillus</v>
          </cell>
          <cell r="I1553" t="str">
            <v>s__unclassified_g__Lactobacillus</v>
          </cell>
        </row>
        <row r="1554">
          <cell r="G1554" t="str">
            <v>ASV19220</v>
          </cell>
          <cell r="H1554" t="str">
            <v>g__norank_f__Muribaculaceae</v>
          </cell>
          <cell r="I1554" t="str">
            <v>s__uncultured_bacterium_g__norank_f__Muribaculaceae</v>
          </cell>
        </row>
        <row r="1555">
          <cell r="G1555" t="str">
            <v>ASV20354</v>
          </cell>
          <cell r="H1555" t="str">
            <v>g__Bergeyella</v>
          </cell>
          <cell r="I1555" t="str">
            <v>s__Bergeyella_porcorum</v>
          </cell>
        </row>
        <row r="1556">
          <cell r="G1556" t="str">
            <v>ASV9928</v>
          </cell>
          <cell r="H1556" t="str">
            <v>g__UCG-005</v>
          </cell>
          <cell r="I1556" t="str">
            <v>s__unclassified_g__UCG-005</v>
          </cell>
        </row>
        <row r="1557">
          <cell r="G1557" t="str">
            <v>ASV19026</v>
          </cell>
          <cell r="H1557" t="str">
            <v>g__unclassified_f__Lachnospiraceae</v>
          </cell>
          <cell r="I1557" t="str">
            <v>s__unclassified_f__Lachnospiraceae</v>
          </cell>
        </row>
        <row r="1558">
          <cell r="G1558" t="str">
            <v>ASV3643</v>
          </cell>
          <cell r="H1558" t="str">
            <v>g__unclassified_f__Pasteurellaceae</v>
          </cell>
          <cell r="I1558" t="str">
            <v>s__unclassified_f__Pasteurellaceae</v>
          </cell>
        </row>
        <row r="1559">
          <cell r="G1559" t="str">
            <v>ASV15130</v>
          </cell>
          <cell r="H1559" t="str">
            <v>g__Alloprevotella</v>
          </cell>
          <cell r="I1559" t="str">
            <v>s__uncultured_bacterium_g__Alloprevotella</v>
          </cell>
        </row>
        <row r="1560">
          <cell r="G1560" t="str">
            <v>ASV9910</v>
          </cell>
          <cell r="H1560" t="str">
            <v>g__Bacteroides</v>
          </cell>
          <cell r="I1560" t="str">
            <v>s__uncultured_bacterium_g__Bacteroides</v>
          </cell>
        </row>
        <row r="1561">
          <cell r="G1561" t="str">
            <v>ASV8263</v>
          </cell>
          <cell r="H1561" t="str">
            <v>g__Carnobacterium</v>
          </cell>
          <cell r="I1561" t="str">
            <v>s__unclassified_g__Carnobacterium</v>
          </cell>
        </row>
        <row r="1562">
          <cell r="G1562" t="str">
            <v>ASV18781</v>
          </cell>
          <cell r="H1562" t="str">
            <v>g__Prevotella</v>
          </cell>
          <cell r="I1562" t="str">
            <v>s__unclassified_g__Prevotella</v>
          </cell>
        </row>
        <row r="1563">
          <cell r="G1563" t="str">
            <v>ASV7003</v>
          </cell>
          <cell r="H1563" t="str">
            <v>g__Mogibacterium</v>
          </cell>
          <cell r="I1563" t="str">
            <v>s__uncultured_bacterium_g__Mogibacterium</v>
          </cell>
        </row>
        <row r="1564">
          <cell r="G1564" t="str">
            <v>ASV10400</v>
          </cell>
          <cell r="H1564" t="str">
            <v>g__norank_f__norank_o__Clostridia_UCG-014</v>
          </cell>
          <cell r="I1564" t="str">
            <v>s__unclassified_g__norank_f__norank_o__Clostridia_UCG-014</v>
          </cell>
        </row>
        <row r="1565">
          <cell r="G1565" t="str">
            <v>ASV3836</v>
          </cell>
          <cell r="H1565" t="str">
            <v>g__Parabacteroides</v>
          </cell>
          <cell r="I1565" t="str">
            <v>s__Monocercomonoides_sp._PA203</v>
          </cell>
        </row>
        <row r="1566">
          <cell r="G1566" t="str">
            <v>ASV10270</v>
          </cell>
          <cell r="H1566" t="str">
            <v>g__unclassified_f__Lachnospiraceae</v>
          </cell>
          <cell r="I1566" t="str">
            <v>s__unclassified_f__Lachnospiraceae</v>
          </cell>
        </row>
        <row r="1567">
          <cell r="G1567" t="str">
            <v>ASV11167</v>
          </cell>
          <cell r="H1567" t="str">
            <v>g__norank_f__Muribaculaceae</v>
          </cell>
          <cell r="I1567" t="str">
            <v>s__unclassified_g__norank_f__Muribaculaceae</v>
          </cell>
        </row>
        <row r="1568">
          <cell r="G1568" t="str">
            <v>ASV8288</v>
          </cell>
          <cell r="H1568" t="str">
            <v>g__Olsenella</v>
          </cell>
          <cell r="I1568" t="str">
            <v>s__unclassified_g__Olsenella</v>
          </cell>
        </row>
        <row r="1569">
          <cell r="G1569" t="str">
            <v>ASV10300</v>
          </cell>
          <cell r="H1569" t="str">
            <v>g__Oribacterium</v>
          </cell>
          <cell r="I1569" t="str">
            <v>s__uncultured_bacterium_g__Oribacterium</v>
          </cell>
        </row>
        <row r="1570">
          <cell r="G1570" t="str">
            <v>ASV8314</v>
          </cell>
          <cell r="H1570" t="str">
            <v>g__Lactobacillus</v>
          </cell>
          <cell r="I1570" t="str">
            <v>s__Lactobacillus_agilis</v>
          </cell>
        </row>
        <row r="1571">
          <cell r="G1571" t="str">
            <v>ASV4658</v>
          </cell>
          <cell r="H1571" t="str">
            <v>g__Anaerofilum</v>
          </cell>
          <cell r="I1571" t="str">
            <v>s__uncultured_bacterium_g__Anaerofilum</v>
          </cell>
        </row>
        <row r="1572">
          <cell r="G1572" t="str">
            <v>ASV11104</v>
          </cell>
          <cell r="H1572" t="str">
            <v>g__Prevotella</v>
          </cell>
          <cell r="I1572" t="str">
            <v>s__unclassified_g__Prevotella</v>
          </cell>
        </row>
        <row r="1573">
          <cell r="G1573" t="str">
            <v>ASV2851</v>
          </cell>
          <cell r="H1573" t="str">
            <v>g__Microbacterium</v>
          </cell>
          <cell r="I1573" t="str">
            <v>s__unclassified_g__Microbacterium</v>
          </cell>
        </row>
        <row r="1574">
          <cell r="G1574" t="str">
            <v>ASV20507</v>
          </cell>
          <cell r="H1574" t="str">
            <v>g__Christensenellaceae_R-7_group</v>
          </cell>
          <cell r="I1574" t="str">
            <v>s__unclassified_g__Christensenellaceae_R-7_group</v>
          </cell>
        </row>
        <row r="1575">
          <cell r="G1575" t="str">
            <v>ASV21559</v>
          </cell>
          <cell r="H1575" t="str">
            <v>g__Prevotella</v>
          </cell>
          <cell r="I1575" t="str">
            <v>s__unclassified_g__Prevotella</v>
          </cell>
        </row>
        <row r="1576">
          <cell r="G1576" t="str">
            <v>ASV11105</v>
          </cell>
          <cell r="H1576" t="str">
            <v>g__Rikenellaceae_RC9_gut_group</v>
          </cell>
          <cell r="I1576" t="str">
            <v>s__uncultured_bacterium_g__Rikenellaceae_RC9_gut_group</v>
          </cell>
        </row>
        <row r="1577">
          <cell r="G1577" t="str">
            <v>ASV2764</v>
          </cell>
          <cell r="H1577" t="str">
            <v>g__Arthrobacter</v>
          </cell>
          <cell r="I1577" t="str">
            <v>s__unclassified_g__Arthrobacter</v>
          </cell>
        </row>
        <row r="1578">
          <cell r="G1578" t="str">
            <v>ASV3358</v>
          </cell>
          <cell r="H1578" t="str">
            <v>g__Bacillus</v>
          </cell>
          <cell r="I1578" t="str">
            <v>s__Lactobacillus_vaginalis_g__Bacillus</v>
          </cell>
        </row>
        <row r="1579">
          <cell r="G1579" t="str">
            <v>ASV3758</v>
          </cell>
          <cell r="H1579" t="str">
            <v>g__Enterococcus</v>
          </cell>
          <cell r="I1579" t="str">
            <v>s__unclassified_g__Enterococcus</v>
          </cell>
        </row>
        <row r="1580">
          <cell r="G1580" t="str">
            <v>ASV5619</v>
          </cell>
          <cell r="H1580" t="str">
            <v>g__norank_f__norank_o__Clostridia_vadinBB60_group</v>
          </cell>
          <cell r="I1580" t="str">
            <v>s__uncultured_bacterium_g__norank_f__norank_o__Clostridia_vadinBB60_group</v>
          </cell>
        </row>
        <row r="1581">
          <cell r="G1581" t="str">
            <v>ASV7240</v>
          </cell>
          <cell r="H1581" t="str">
            <v>g__Massilia</v>
          </cell>
          <cell r="I1581" t="str">
            <v>s__unclassified_g__Massilia</v>
          </cell>
        </row>
        <row r="1582">
          <cell r="G1582" t="str">
            <v>ASV2403</v>
          </cell>
          <cell r="H1582" t="str">
            <v>g__Treponema</v>
          </cell>
          <cell r="I1582" t="str">
            <v>s__unclassified_g__Treponema</v>
          </cell>
        </row>
        <row r="1583">
          <cell r="G1583" t="str">
            <v>ASV8603</v>
          </cell>
          <cell r="H1583" t="str">
            <v>g__Acinetobacter</v>
          </cell>
          <cell r="I1583" t="str">
            <v>s__unclassified_g__Acinetobacter</v>
          </cell>
        </row>
        <row r="1584">
          <cell r="G1584" t="str">
            <v>ASV13258</v>
          </cell>
          <cell r="H1584" t="str">
            <v>g__unclassified_o__Bacteroidales</v>
          </cell>
          <cell r="I1584" t="str">
            <v>s__unclassified_o__Bacteroidales</v>
          </cell>
        </row>
        <row r="1585">
          <cell r="G1585" t="str">
            <v>ASV5670</v>
          </cell>
          <cell r="H1585" t="str">
            <v>g__Streptococcus</v>
          </cell>
          <cell r="I1585" t="str">
            <v>s__unclassified_g__Streptococcus</v>
          </cell>
        </row>
        <row r="1586">
          <cell r="G1586" t="str">
            <v>ASV11106</v>
          </cell>
          <cell r="H1586" t="str">
            <v>g__Christensenellaceae_R-7_group</v>
          </cell>
          <cell r="I1586" t="str">
            <v>s__uncultured_prokaryote_g__Christensenellaceae_R-7_group</v>
          </cell>
        </row>
        <row r="1587">
          <cell r="G1587" t="str">
            <v>ASV1626</v>
          </cell>
          <cell r="H1587" t="str">
            <v>g__Streptococcus</v>
          </cell>
          <cell r="I1587" t="str">
            <v>s__unclassified_g__Streptococcus</v>
          </cell>
        </row>
        <row r="1588">
          <cell r="G1588" t="str">
            <v>ASV1152</v>
          </cell>
          <cell r="H1588" t="str">
            <v>g__norank_f__norank_o__RF39</v>
          </cell>
          <cell r="I1588" t="str">
            <v>s__uncultured_bacterium_g__norank_f__norank_o__RF39</v>
          </cell>
        </row>
        <row r="1589">
          <cell r="G1589" t="str">
            <v>ASV1636</v>
          </cell>
          <cell r="H1589" t="str">
            <v>g__Blautia</v>
          </cell>
          <cell r="I1589" t="str">
            <v>s__unclassified_g__Blautia</v>
          </cell>
        </row>
        <row r="1590">
          <cell r="G1590" t="str">
            <v>ASV17691</v>
          </cell>
          <cell r="H1590" t="str">
            <v>g__unclassified_o__Oscillospirales</v>
          </cell>
          <cell r="I1590" t="str">
            <v>s__unclassified_o__Oscillospirales</v>
          </cell>
        </row>
        <row r="1591">
          <cell r="G1591" t="str">
            <v>ASV7145</v>
          </cell>
          <cell r="H1591" t="str">
            <v>g__unclassified_f__Peptostreptococcaceae</v>
          </cell>
          <cell r="I1591" t="str">
            <v>s__unclassified_f__Peptostreptococcaceae</v>
          </cell>
        </row>
        <row r="1592">
          <cell r="G1592" t="str">
            <v>ASV20355</v>
          </cell>
          <cell r="H1592" t="str">
            <v>g__Bacillus</v>
          </cell>
          <cell r="I1592" t="str">
            <v>s__Lactobacillus_vaginalis_g__Bacillus</v>
          </cell>
        </row>
        <row r="1593">
          <cell r="G1593" t="str">
            <v>ASV8646</v>
          </cell>
          <cell r="H1593" t="str">
            <v>g__Massilia</v>
          </cell>
          <cell r="I1593" t="str">
            <v>s__unclassified_g__Massilia</v>
          </cell>
        </row>
        <row r="1594">
          <cell r="G1594" t="str">
            <v>ASV4407</v>
          </cell>
          <cell r="H1594" t="str">
            <v>g__Bacteroides</v>
          </cell>
          <cell r="I1594" t="str">
            <v>s__unclassified_g__Bacteroides</v>
          </cell>
        </row>
        <row r="1595">
          <cell r="G1595" t="str">
            <v>ASV1643</v>
          </cell>
          <cell r="H1595" t="str">
            <v>g__unclassified_f__Anaerovoracaceae</v>
          </cell>
          <cell r="I1595" t="str">
            <v>s__unclassified_f__Anaerovoracaceae</v>
          </cell>
        </row>
        <row r="1596">
          <cell r="G1596" t="str">
            <v>ASV19222</v>
          </cell>
          <cell r="H1596" t="str">
            <v>g__Prevotella</v>
          </cell>
          <cell r="I1596" t="str">
            <v>s__unclassified_g__Prevotella</v>
          </cell>
        </row>
        <row r="1597">
          <cell r="G1597" t="str">
            <v>ASV2716</v>
          </cell>
          <cell r="H1597" t="str">
            <v>g__Jeotgalicoccus</v>
          </cell>
          <cell r="I1597" t="str">
            <v>s__unclassified_g__Jeotgalicoccus</v>
          </cell>
        </row>
        <row r="1598">
          <cell r="G1598" t="str">
            <v>ASV2693</v>
          </cell>
          <cell r="H1598" t="str">
            <v>g__Clostridium_sensu_stricto_1</v>
          </cell>
          <cell r="I1598" t="str">
            <v>s__unclassified_g__Clostridium_sensu_stricto_1</v>
          </cell>
        </row>
        <row r="1599">
          <cell r="G1599" t="str">
            <v>ASV17130</v>
          </cell>
          <cell r="H1599" t="str">
            <v>g__Prevotella</v>
          </cell>
          <cell r="I1599" t="str">
            <v>s__unclassified_g__Prevotella</v>
          </cell>
        </row>
        <row r="1600">
          <cell r="G1600" t="str">
            <v>ASV23747</v>
          </cell>
          <cell r="H1600" t="str">
            <v>g__Fusobacterium</v>
          </cell>
          <cell r="I1600" t="str">
            <v>s__unclassified_g__Fusobacterium</v>
          </cell>
        </row>
        <row r="1601">
          <cell r="G1601" t="str">
            <v>ASV7181</v>
          </cell>
          <cell r="H1601" t="str">
            <v>g__unclassified_f__Lachnospiraceae</v>
          </cell>
          <cell r="I1601" t="str">
            <v>s__unclassified_f__Lachnospiraceae</v>
          </cell>
        </row>
        <row r="1602">
          <cell r="G1602" t="str">
            <v>ASV9911</v>
          </cell>
          <cell r="H1602" t="str">
            <v>g__norank_f__Muribaculaceae</v>
          </cell>
          <cell r="I1602" t="str">
            <v>s__uncultured_bacterium_g__norank_f__Muribaculaceae</v>
          </cell>
        </row>
        <row r="1603">
          <cell r="G1603" t="str">
            <v>ASV3761</v>
          </cell>
          <cell r="H1603" t="str">
            <v>g__Candidatus_Soleaferrea</v>
          </cell>
          <cell r="I1603" t="str">
            <v>s__uncultured_bacterium_g__Candidatus_Soleaferrea</v>
          </cell>
        </row>
        <row r="1604">
          <cell r="G1604" t="str">
            <v>ASV831</v>
          </cell>
          <cell r="H1604" t="str">
            <v>g__UCG-004</v>
          </cell>
          <cell r="I1604" t="str">
            <v>s__unclassified_g__UCG-004</v>
          </cell>
        </row>
        <row r="1605">
          <cell r="G1605" t="str">
            <v>ASV2833</v>
          </cell>
          <cell r="H1605" t="str">
            <v>g__unclassified_f__Prevotellaceae</v>
          </cell>
          <cell r="I1605" t="str">
            <v>s__unclassified_f__Prevotellaceae</v>
          </cell>
        </row>
        <row r="1606">
          <cell r="G1606" t="str">
            <v>ASV2842</v>
          </cell>
          <cell r="H1606" t="str">
            <v>g__Actinobacillus</v>
          </cell>
          <cell r="I1606" t="str">
            <v>s__Actinobacillus_indolicus</v>
          </cell>
        </row>
        <row r="1607">
          <cell r="G1607" t="str">
            <v>ASV8315</v>
          </cell>
          <cell r="H1607" t="str">
            <v>g__Bacillus</v>
          </cell>
          <cell r="I1607" t="str">
            <v>s__Lactobacillus_vaginalis_g__Bacillus</v>
          </cell>
        </row>
        <row r="1608">
          <cell r="G1608" t="str">
            <v>ASV8658</v>
          </cell>
          <cell r="H1608" t="str">
            <v>g__Brevundimonas</v>
          </cell>
          <cell r="I1608" t="str">
            <v>s__unclassified_g__Brevundimonas</v>
          </cell>
        </row>
        <row r="1609">
          <cell r="G1609" t="str">
            <v>ASV20356</v>
          </cell>
          <cell r="H1609" t="str">
            <v>g__Porphyromonas</v>
          </cell>
          <cell r="I1609" t="str">
            <v>s__uncultured_bacterium_g__Porphyromonas</v>
          </cell>
        </row>
        <row r="1610">
          <cell r="G1610" t="str">
            <v>ASV4499</v>
          </cell>
          <cell r="H1610" t="str">
            <v>g__Bacteroides</v>
          </cell>
          <cell r="I1610" t="str">
            <v>s__unclassified_g__Bacteroides</v>
          </cell>
        </row>
        <row r="1611">
          <cell r="G1611" t="str">
            <v>ASV3907</v>
          </cell>
          <cell r="H1611" t="str">
            <v>g__norank_f__Peptococcaceae</v>
          </cell>
          <cell r="I1611" t="str">
            <v>s__metagenome_g__norank_f__Peptococcaceae</v>
          </cell>
        </row>
        <row r="1612">
          <cell r="G1612" t="str">
            <v>ASV13262</v>
          </cell>
          <cell r="H1612" t="str">
            <v>g__unclassified_f__Lachnospiraceae</v>
          </cell>
          <cell r="I1612" t="str">
            <v>s__unclassified_f__Lachnospiraceae</v>
          </cell>
        </row>
        <row r="1613">
          <cell r="G1613" t="str">
            <v>ASV8761</v>
          </cell>
          <cell r="H1613" t="str">
            <v>g__Parabacteroides</v>
          </cell>
          <cell r="I1613" t="str">
            <v>s__Porphyromonadaceae_bacterium_DJF_B175</v>
          </cell>
        </row>
        <row r="1614">
          <cell r="G1614" t="str">
            <v>ASV17729</v>
          </cell>
          <cell r="H1614" t="str">
            <v>g__norank_f__Eggerthellaceae</v>
          </cell>
          <cell r="I1614" t="str">
            <v>s__uncultured_bacterium_g__norank_f__Eggerthellaceae</v>
          </cell>
        </row>
        <row r="1615">
          <cell r="G1615" t="str">
            <v>ASV8316</v>
          </cell>
          <cell r="H1615" t="str">
            <v>g__Bacillus</v>
          </cell>
          <cell r="I1615" t="str">
            <v>s__Lactobacillus_vaginalis_g__Bacillus</v>
          </cell>
        </row>
        <row r="1616">
          <cell r="G1616" t="str">
            <v>ASV2393</v>
          </cell>
          <cell r="H1616" t="str">
            <v>g__Actinobacillus</v>
          </cell>
          <cell r="I1616" t="str">
            <v>s__unclassified_g__Actinobacillus</v>
          </cell>
        </row>
        <row r="1617">
          <cell r="G1617" t="str">
            <v>ASV8264</v>
          </cell>
          <cell r="H1617" t="str">
            <v>g__Ruminococcus_gauvreauii_group</v>
          </cell>
          <cell r="I1617" t="str">
            <v>s__uncultured_rumen_bacterium_g__Ruminococcus_gauvreauii_group</v>
          </cell>
        </row>
        <row r="1618">
          <cell r="G1618" t="str">
            <v>ASV1905</v>
          </cell>
          <cell r="H1618" t="str">
            <v>g__unclassified_f__Lachnospiraceae</v>
          </cell>
          <cell r="I1618" t="str">
            <v>s__unclassified_f__Lachnospiraceae</v>
          </cell>
        </row>
        <row r="1619">
          <cell r="G1619" t="str">
            <v>ASV7143</v>
          </cell>
          <cell r="H1619" t="str">
            <v>g__norank_f__Euzebyaceae</v>
          </cell>
          <cell r="I1619" t="str">
            <v>s__Actinobacteria_bacterium_canine_oral_taxon_406</v>
          </cell>
        </row>
        <row r="1620">
          <cell r="G1620" t="str">
            <v>ASV3696</v>
          </cell>
          <cell r="H1620" t="str">
            <v>g__Tannerella</v>
          </cell>
          <cell r="I1620" t="str">
            <v>s__Tannerella_forsythia</v>
          </cell>
        </row>
        <row r="1621">
          <cell r="G1621" t="str">
            <v>ASV5487</v>
          </cell>
          <cell r="H1621" t="str">
            <v>g__unclassified_f__Lachnospiraceae</v>
          </cell>
          <cell r="I1621" t="str">
            <v>s__unclassified_f__Lachnospiraceae</v>
          </cell>
        </row>
        <row r="1622">
          <cell r="G1622" t="str">
            <v>ASV10154</v>
          </cell>
          <cell r="H1622" t="str">
            <v>g__norank_f__Atopobiaceae</v>
          </cell>
          <cell r="I1622" t="str">
            <v>s__uncultured_bacterium_g__norank_f__Atopobiaceae</v>
          </cell>
        </row>
        <row r="1623">
          <cell r="G1623" t="str">
            <v>ASV17342</v>
          </cell>
          <cell r="H1623" t="str">
            <v>g__Actinobacillus</v>
          </cell>
          <cell r="I1623" t="str">
            <v>s__unclassified_g__Actinobacillus</v>
          </cell>
        </row>
        <row r="1624">
          <cell r="G1624" t="str">
            <v>ASV14569</v>
          </cell>
          <cell r="H1624" t="str">
            <v>g__unclassified_o__Bacteroidales</v>
          </cell>
          <cell r="I1624" t="str">
            <v>s__unclassified_o__Bacteroidales</v>
          </cell>
        </row>
        <row r="1625">
          <cell r="G1625" t="str">
            <v>ASV3768</v>
          </cell>
          <cell r="H1625" t="str">
            <v>g__Alloprevotella</v>
          </cell>
          <cell r="I1625" t="str">
            <v>s__unclassified_g__Alloprevotella</v>
          </cell>
        </row>
        <row r="1626">
          <cell r="G1626" t="str">
            <v>ASV17400</v>
          </cell>
          <cell r="H1626" t="str">
            <v>g__unclassified_f__Lachnospiraceae</v>
          </cell>
          <cell r="I1626" t="str">
            <v>s__unclassified_f__Lachnospiraceae</v>
          </cell>
        </row>
        <row r="1627">
          <cell r="G1627" t="str">
            <v>ASV383</v>
          </cell>
          <cell r="H1627" t="str">
            <v>g__Oribacterium</v>
          </cell>
          <cell r="I1627" t="str">
            <v>s__uncultured_bacterium_g__Oribacterium</v>
          </cell>
        </row>
        <row r="1628">
          <cell r="G1628" t="str">
            <v>ASV9128</v>
          </cell>
          <cell r="H1628" t="str">
            <v>g__norank_f__Ruminococcaceae</v>
          </cell>
          <cell r="I1628" t="str">
            <v>s__unclassified_g__norank_f__Ruminococcaceae</v>
          </cell>
        </row>
        <row r="1629">
          <cell r="G1629" t="str">
            <v>ASV7319</v>
          </cell>
          <cell r="H1629" t="str">
            <v>g__Collinsella</v>
          </cell>
          <cell r="I1629" t="str">
            <v>s__unclassified_g__Collinsella</v>
          </cell>
        </row>
        <row r="1630">
          <cell r="G1630" t="str">
            <v>ASV10033</v>
          </cell>
          <cell r="H1630" t="str">
            <v>g__unclassified_o__Oscillospirales</v>
          </cell>
          <cell r="I1630" t="str">
            <v>s__unclassified_o__Oscillospirales</v>
          </cell>
        </row>
        <row r="1631">
          <cell r="G1631" t="str">
            <v>ASV3821</v>
          </cell>
          <cell r="H1631" t="str">
            <v>g__norank_f__Muribaculaceae</v>
          </cell>
          <cell r="I1631" t="str">
            <v>s__uncultured_bacterium_g__norank_f__Muribaculaceae</v>
          </cell>
        </row>
        <row r="1632">
          <cell r="G1632" t="str">
            <v>ASV8629</v>
          </cell>
          <cell r="H1632" t="str">
            <v>g__Campylobacter</v>
          </cell>
          <cell r="I1632" t="str">
            <v>s__unclassified_g__Campylobacter</v>
          </cell>
        </row>
        <row r="1633">
          <cell r="G1633" t="str">
            <v>ASV11107</v>
          </cell>
          <cell r="H1633" t="str">
            <v>g__Dorea</v>
          </cell>
          <cell r="I1633" t="str">
            <v>s__uncultured_bacterium_g__Dorea</v>
          </cell>
        </row>
        <row r="1634">
          <cell r="G1634" t="str">
            <v>ASV7297</v>
          </cell>
          <cell r="H1634" t="str">
            <v>g__Methylobacterium-Methylorubrum</v>
          </cell>
          <cell r="I1634" t="str">
            <v>s__unclassified_g__Methylobacterium-Methylorubrum</v>
          </cell>
        </row>
        <row r="1635">
          <cell r="G1635" t="str">
            <v>ASV5542</v>
          </cell>
          <cell r="H1635" t="str">
            <v>g__Christensenellaceae_R-7_group</v>
          </cell>
          <cell r="I1635" t="str">
            <v>s__unclassified_g__Christensenellaceae_R-7_group</v>
          </cell>
        </row>
        <row r="1636">
          <cell r="G1636" t="str">
            <v>ASV8608</v>
          </cell>
          <cell r="H1636" t="str">
            <v>g__Actinobacillus</v>
          </cell>
          <cell r="I1636" t="str">
            <v>s__unclassified_g__Actinobacillus</v>
          </cell>
        </row>
        <row r="1637">
          <cell r="G1637" t="str">
            <v>ASV9892</v>
          </cell>
          <cell r="H1637" t="str">
            <v>g__unclassified_f__Prevotellaceae</v>
          </cell>
          <cell r="I1637" t="str">
            <v>s__unclassified_f__Prevotellaceae</v>
          </cell>
        </row>
        <row r="1638">
          <cell r="G1638" t="str">
            <v>ASV7246</v>
          </cell>
          <cell r="H1638" t="str">
            <v>g__Lachnoclostridium</v>
          </cell>
          <cell r="I1638" t="str">
            <v>s__unclassified_g__Lachnoclostridium</v>
          </cell>
        </row>
        <row r="1639">
          <cell r="G1639" t="str">
            <v>ASV4533</v>
          </cell>
          <cell r="H1639" t="str">
            <v>g__norank_f__UCG-010</v>
          </cell>
          <cell r="I1639" t="str">
            <v>s__unclassified_g__norank_f__UCG-010</v>
          </cell>
        </row>
        <row r="1640">
          <cell r="G1640" t="str">
            <v>ASV13802</v>
          </cell>
          <cell r="H1640" t="str">
            <v>g__Corynebacterium</v>
          </cell>
          <cell r="I1640" t="str">
            <v>s__Corynebacterium_camporealensis</v>
          </cell>
        </row>
        <row r="1641">
          <cell r="G1641" t="str">
            <v>ASV10418</v>
          </cell>
          <cell r="H1641" t="str">
            <v>g__norank_f__norank_o__Clostridia_vadinBB60_group</v>
          </cell>
          <cell r="I1641" t="str">
            <v>s__uncultured_bacterium_g__norank_f__norank_o__Clostridia_vadinBB60_group</v>
          </cell>
        </row>
        <row r="1642">
          <cell r="G1642" t="str">
            <v>ASV17345</v>
          </cell>
          <cell r="H1642" t="str">
            <v>g__norank_f__Selenomonadaceae</v>
          </cell>
          <cell r="I1642" t="str">
            <v>s__unclassified_g__norank_f__Selenomonadaceae</v>
          </cell>
        </row>
        <row r="1643">
          <cell r="G1643" t="str">
            <v>ASV2404</v>
          </cell>
          <cell r="H1643" t="str">
            <v>g__Christensenellaceae_R-7_group</v>
          </cell>
          <cell r="I1643" t="str">
            <v>s__unclassified_g__Christensenellaceae_R-7_group</v>
          </cell>
        </row>
        <row r="1644">
          <cell r="G1644" t="str">
            <v>ASV11246</v>
          </cell>
          <cell r="H1644" t="str">
            <v>g__norank_f__Muribaculaceae</v>
          </cell>
          <cell r="I1644" t="str">
            <v>s__uncultured_bacterium_g__norank_f__Muribaculaceae</v>
          </cell>
        </row>
        <row r="1645">
          <cell r="G1645" t="str">
            <v>ASV19027</v>
          </cell>
          <cell r="H1645" t="str">
            <v>g__Mitsuokella</v>
          </cell>
          <cell r="I1645" t="str">
            <v>s__uncultured_bacterium_g__Mitsuokella</v>
          </cell>
        </row>
        <row r="1646">
          <cell r="G1646" t="str">
            <v>ASV11450</v>
          </cell>
          <cell r="H1646" t="str">
            <v>g__Campylobacter</v>
          </cell>
          <cell r="I1646" t="str">
            <v>s__unclassified_g__Campylobacter</v>
          </cell>
        </row>
        <row r="1647">
          <cell r="G1647" t="str">
            <v>ASV13254</v>
          </cell>
          <cell r="H1647" t="str">
            <v>g__Parabacteroides</v>
          </cell>
          <cell r="I1647" t="str">
            <v>s__Porphyromonadaceae_bacterium_DJF_B175</v>
          </cell>
        </row>
        <row r="1648">
          <cell r="G1648" t="str">
            <v>ASV14971</v>
          </cell>
          <cell r="H1648" t="str">
            <v>g__norank_f__norank_o__Gastranaerophilales</v>
          </cell>
          <cell r="I1648" t="str">
            <v>s__uncultured_bacterium_g__norank_f__norank_o__Gastranaerophilales</v>
          </cell>
        </row>
        <row r="1649">
          <cell r="G1649" t="str">
            <v>ASV15007</v>
          </cell>
          <cell r="H1649" t="str">
            <v>g__Massilia</v>
          </cell>
          <cell r="I1649" t="str">
            <v>s__unclassified_g__Massilia</v>
          </cell>
        </row>
        <row r="1650">
          <cell r="G1650" t="str">
            <v>ASV7436</v>
          </cell>
          <cell r="H1650" t="str">
            <v>g__Coprococcus</v>
          </cell>
          <cell r="I1650" t="str">
            <v>s__unclassified_g__Coprococcus</v>
          </cell>
        </row>
        <row r="1651">
          <cell r="G1651" t="str">
            <v>ASV16800</v>
          </cell>
          <cell r="H1651" t="str">
            <v>g__Alloprevotella</v>
          </cell>
          <cell r="I1651" t="str">
            <v>s__uncultured_bacterium_g__Alloprevotella</v>
          </cell>
        </row>
        <row r="1652">
          <cell r="G1652" t="str">
            <v>ASV19176</v>
          </cell>
          <cell r="H1652" t="str">
            <v>g__Bacillus</v>
          </cell>
          <cell r="I1652" t="str">
            <v>s__Lactobacillus_vaginalis_g__Bacillus</v>
          </cell>
        </row>
        <row r="1653">
          <cell r="G1653" t="str">
            <v>ASV1906</v>
          </cell>
          <cell r="H1653" t="str">
            <v>g__Christensenellaceae_R-7_group</v>
          </cell>
          <cell r="I1653" t="str">
            <v>s__uncultured_prokaryote_g__Christensenellaceae_R-7_group</v>
          </cell>
        </row>
        <row r="1654">
          <cell r="G1654" t="str">
            <v>ASV2945</v>
          </cell>
          <cell r="H1654" t="str">
            <v>g__unclassified_k__norank_d__Bacteria</v>
          </cell>
          <cell r="I1654" t="str">
            <v>s__unclassified_k__norank_d__Bacteria</v>
          </cell>
        </row>
        <row r="1655">
          <cell r="G1655" t="str">
            <v>ASV8766</v>
          </cell>
          <cell r="H1655" t="str">
            <v>g__Chryseobacterium</v>
          </cell>
          <cell r="I1655" t="str">
            <v>s__unclassified_g__Chryseobacterium</v>
          </cell>
        </row>
        <row r="1656">
          <cell r="G1656" t="str">
            <v>ASV1886</v>
          </cell>
          <cell r="H1656" t="str">
            <v>g__Campylobacter</v>
          </cell>
          <cell r="I1656" t="str">
            <v>s__unclassified_g__Campylobacter</v>
          </cell>
        </row>
        <row r="1657">
          <cell r="G1657" t="str">
            <v>ASV8906</v>
          </cell>
          <cell r="H1657" t="str">
            <v>g__Actinobacillus</v>
          </cell>
          <cell r="I1657" t="str">
            <v>s__Actinobacillus_minor</v>
          </cell>
        </row>
        <row r="1658">
          <cell r="G1658" t="str">
            <v>ASV9922</v>
          </cell>
          <cell r="H1658" t="str">
            <v>g__UCG-009</v>
          </cell>
          <cell r="I1658" t="str">
            <v>s__uncultured_bacterium_g__UCG-009</v>
          </cell>
        </row>
        <row r="1659">
          <cell r="G1659" t="str">
            <v>ASV11111</v>
          </cell>
          <cell r="H1659" t="str">
            <v>g__Prevotella</v>
          </cell>
          <cell r="I1659" t="str">
            <v>s__unclassified_g__Prevotella</v>
          </cell>
        </row>
        <row r="1660">
          <cell r="G1660" t="str">
            <v>ASV1931</v>
          </cell>
          <cell r="H1660" t="str">
            <v>g__Treponema</v>
          </cell>
          <cell r="I1660" t="str">
            <v>s__uncultured_bacterium_g__Treponema</v>
          </cell>
        </row>
        <row r="1661">
          <cell r="G1661" t="str">
            <v>ASV11119</v>
          </cell>
          <cell r="H1661" t="str">
            <v>g__unclassified_c__Clostridia</v>
          </cell>
          <cell r="I1661" t="str">
            <v>s__unclassified_c__Clostridia</v>
          </cell>
        </row>
        <row r="1662">
          <cell r="G1662" t="str">
            <v>ASV21774</v>
          </cell>
          <cell r="H1662" t="str">
            <v>g__Prevotellaceae_UCG-003</v>
          </cell>
          <cell r="I1662" t="str">
            <v>s__uncultured_bacterium_g__Prevotellaceae_UCG-003</v>
          </cell>
        </row>
        <row r="1663">
          <cell r="G1663" t="str">
            <v>ASV3695</v>
          </cell>
          <cell r="H1663" t="str">
            <v>g__Succinivibrio</v>
          </cell>
          <cell r="I1663" t="str">
            <v>s__unclassified_g__Succinivibrio</v>
          </cell>
        </row>
        <row r="1664">
          <cell r="G1664" t="str">
            <v>ASV14972</v>
          </cell>
          <cell r="H1664" t="str">
            <v>g__Helicobacter</v>
          </cell>
          <cell r="I1664" t="str">
            <v>s__Helicobacter_rodentium</v>
          </cell>
        </row>
        <row r="1665">
          <cell r="G1665" t="str">
            <v>ASV14973</v>
          </cell>
          <cell r="H1665" t="str">
            <v>g__Prevotella</v>
          </cell>
          <cell r="I1665" t="str">
            <v>s__unclassified_g__Prevotella</v>
          </cell>
        </row>
        <row r="1666">
          <cell r="G1666" t="str">
            <v>ASV17689</v>
          </cell>
          <cell r="H1666" t="str">
            <v>g__Christensenellaceae_R-7_group</v>
          </cell>
          <cell r="I1666" t="str">
            <v>s__unclassified_g__Christensenellaceae_R-7_group</v>
          </cell>
        </row>
        <row r="1667">
          <cell r="G1667" t="str">
            <v>ASV11108</v>
          </cell>
          <cell r="H1667" t="str">
            <v>g__Rikenellaceae_RC9_gut_group</v>
          </cell>
          <cell r="I1667" t="str">
            <v>s__uncultured_bacterium_g__Rikenellaceae_RC9_gut_group</v>
          </cell>
        </row>
        <row r="1668">
          <cell r="G1668" t="str">
            <v>ASV8317</v>
          </cell>
          <cell r="H1668" t="str">
            <v>g__Bacillus</v>
          </cell>
          <cell r="I1668" t="str">
            <v>s__Lactobacillus_vaginalis_g__Bacillus</v>
          </cell>
        </row>
        <row r="1669">
          <cell r="G1669" t="str">
            <v>ASV4703</v>
          </cell>
          <cell r="H1669" t="str">
            <v>g__norank_f__UCG-010</v>
          </cell>
          <cell r="I1669" t="str">
            <v>s__uncultured_rumen_bacterium_g__norank_f__UCG-010</v>
          </cell>
        </row>
        <row r="1670">
          <cell r="G1670" t="str">
            <v>ASV4429</v>
          </cell>
          <cell r="H1670" t="str">
            <v>g__Bacteroides</v>
          </cell>
          <cell r="I1670" t="str">
            <v>s__uncultured_bacterium_g__Bacteroides</v>
          </cell>
        </row>
        <row r="1671">
          <cell r="G1671" t="str">
            <v>ASV4423</v>
          </cell>
          <cell r="H1671" t="str">
            <v>g__norank_f__Prevotellaceae</v>
          </cell>
          <cell r="I1671" t="str">
            <v>s__uncultured_bacterium_g__norank_f__Prevotellaceae</v>
          </cell>
        </row>
        <row r="1672">
          <cell r="G1672" t="str">
            <v>ASV3604</v>
          </cell>
          <cell r="H1672" t="str">
            <v>g__Actinomyces</v>
          </cell>
          <cell r="I1672" t="str">
            <v>s__Schaalia_hyovaginalis</v>
          </cell>
        </row>
        <row r="1673">
          <cell r="G1673" t="str">
            <v>ASV13866</v>
          </cell>
          <cell r="H1673" t="str">
            <v>g__Christensenellaceae_R-7_group</v>
          </cell>
          <cell r="I1673" t="str">
            <v>s__unclassified_g__Christensenellaceae_R-7_group</v>
          </cell>
        </row>
        <row r="1674">
          <cell r="G1674" t="str">
            <v>ASV8762</v>
          </cell>
          <cell r="H1674" t="str">
            <v>g__unclassified_o__Burkholderiales</v>
          </cell>
          <cell r="I1674" t="str">
            <v>s__unclassified_o__Burkholderiales</v>
          </cell>
        </row>
        <row r="1675">
          <cell r="G1675" t="str">
            <v>ASV13287</v>
          </cell>
          <cell r="H1675" t="str">
            <v>g__Eubacterium_fissicatena_group</v>
          </cell>
          <cell r="I1675" t="str">
            <v>s__unclassified_g__Eubacterium_fissicatena_group</v>
          </cell>
        </row>
        <row r="1676">
          <cell r="G1676" t="str">
            <v>ASV19226</v>
          </cell>
          <cell r="H1676" t="str">
            <v>g__Subdoligranulum</v>
          </cell>
          <cell r="I1676" t="str">
            <v>s__uncultured_bacterium_g__Subdoligranulum</v>
          </cell>
        </row>
        <row r="1677">
          <cell r="G1677" t="str">
            <v>ASV5320</v>
          </cell>
          <cell r="H1677" t="str">
            <v>g__unclassified_f__Ruminococcaceae</v>
          </cell>
          <cell r="I1677" t="str">
            <v>s__unclassified_f__Ruminococcaceae</v>
          </cell>
        </row>
        <row r="1678">
          <cell r="G1678" t="str">
            <v>ASV10399</v>
          </cell>
          <cell r="H1678" t="str">
            <v>g__norank_f__Bacteroidales_RF16_group</v>
          </cell>
          <cell r="I1678" t="str">
            <v>s__uncultured_bacterium_g__norank_f__Bacteroidales_RF16_group</v>
          </cell>
        </row>
        <row r="1679">
          <cell r="G1679" t="str">
            <v>ASV8724</v>
          </cell>
          <cell r="H1679" t="str">
            <v>g__Bergeyella</v>
          </cell>
          <cell r="I1679" t="str">
            <v>s__Bergeyella_porcorum</v>
          </cell>
        </row>
        <row r="1680">
          <cell r="G1680" t="str">
            <v>ASV1900</v>
          </cell>
          <cell r="H1680" t="str">
            <v>g__UCG-005</v>
          </cell>
          <cell r="I1680" t="str">
            <v>s__uncultured_organism_g__UCG-005</v>
          </cell>
        </row>
        <row r="1681">
          <cell r="G1681" t="str">
            <v>ASV3762</v>
          </cell>
          <cell r="H1681" t="str">
            <v>g__Cloacibacillus</v>
          </cell>
          <cell r="I1681" t="str">
            <v>s__unclassified_g__Cloacibacillus</v>
          </cell>
        </row>
        <row r="1682">
          <cell r="G1682" t="str">
            <v>ASV14980</v>
          </cell>
          <cell r="H1682" t="str">
            <v>g__Sphingomonas</v>
          </cell>
          <cell r="I1682" t="str">
            <v>s__unclassified_g__Sphingomonas</v>
          </cell>
        </row>
        <row r="1683">
          <cell r="G1683" t="str">
            <v>ASV9926</v>
          </cell>
          <cell r="H1683" t="str">
            <v>g__Bacteroides</v>
          </cell>
          <cell r="I1683" t="str">
            <v>s__unclassified_g__Bacteroides</v>
          </cell>
        </row>
        <row r="1684">
          <cell r="G1684" t="str">
            <v>ASV9915</v>
          </cell>
          <cell r="H1684" t="str">
            <v>g__Phascolarctobacterium</v>
          </cell>
          <cell r="I1684" t="str">
            <v>s__unclassified_g__Phascolarctobacterium</v>
          </cell>
        </row>
        <row r="1685">
          <cell r="G1685" t="str">
            <v>ASV15138</v>
          </cell>
          <cell r="H1685" t="str">
            <v>g__Lachnospiraceae_FCS020_group</v>
          </cell>
          <cell r="I1685" t="str">
            <v>s__uncultured_prokaryote_g__Lachnospiraceae_FCS020_group</v>
          </cell>
        </row>
        <row r="1686">
          <cell r="G1686" t="str">
            <v>ASV16203</v>
          </cell>
          <cell r="H1686" t="str">
            <v>g__Bacteroides</v>
          </cell>
          <cell r="I1686" t="str">
            <v>s__uncultured_bacterium_g__Bacteroides</v>
          </cell>
        </row>
        <row r="1687">
          <cell r="G1687" t="str">
            <v>ASV2888</v>
          </cell>
          <cell r="H1687" t="str">
            <v>g__Sanguibacter</v>
          </cell>
          <cell r="I1687" t="str">
            <v>s__unclassified_g__Sanguibacter</v>
          </cell>
        </row>
        <row r="1688">
          <cell r="G1688" t="str">
            <v>ASV4399</v>
          </cell>
          <cell r="H1688" t="str">
            <v>g__Prevotellaceae_UCG-003</v>
          </cell>
          <cell r="I1688" t="str">
            <v>s__uncultured_bacterium_g__Prevotellaceae_UCG-003</v>
          </cell>
        </row>
        <row r="1689">
          <cell r="G1689" t="str">
            <v>ASV5414</v>
          </cell>
          <cell r="H1689" t="str">
            <v>g__Enterorhabdus</v>
          </cell>
          <cell r="I1689" t="str">
            <v>s__uncultured_bacterium_g__Enterorhabdus</v>
          </cell>
        </row>
        <row r="1690">
          <cell r="G1690" t="str">
            <v>ASV8690</v>
          </cell>
          <cell r="H1690" t="str">
            <v>g__Leptotrichia</v>
          </cell>
          <cell r="I1690" t="str">
            <v>s__unclassified_g__Leptotrichia</v>
          </cell>
        </row>
        <row r="1691">
          <cell r="G1691" t="str">
            <v>ASV17690</v>
          </cell>
          <cell r="H1691" t="str">
            <v>g__Christensenellaceae_R-7_group</v>
          </cell>
          <cell r="I1691" t="str">
            <v>s__bacterium_YE57</v>
          </cell>
        </row>
        <row r="1692">
          <cell r="G1692" t="str">
            <v>ASV15134</v>
          </cell>
          <cell r="H1692" t="str">
            <v>g__norank_f__Ruminococcaceae</v>
          </cell>
          <cell r="I1692" t="str">
            <v>s__unclassified_g__norank_f__Ruminococcaceae</v>
          </cell>
        </row>
        <row r="1693">
          <cell r="G1693" t="str">
            <v>ASV2993</v>
          </cell>
          <cell r="H1693" t="str">
            <v>g__Acidovorax</v>
          </cell>
          <cell r="I1693" t="str">
            <v>s__unclassified_g__Acidovorax</v>
          </cell>
        </row>
        <row r="1694">
          <cell r="G1694" t="str">
            <v>ASV13867</v>
          </cell>
          <cell r="H1694" t="str">
            <v>g__norank_f__Muribaculaceae</v>
          </cell>
          <cell r="I1694" t="str">
            <v>s__uncultured_Porphyromonadaceae_bacterium_g__norank_f__Muribaculaceae</v>
          </cell>
        </row>
        <row r="1695">
          <cell r="G1695" t="str">
            <v>ASV16204</v>
          </cell>
          <cell r="H1695" t="str">
            <v>g__norank_f__Muribaculaceae</v>
          </cell>
          <cell r="I1695" t="str">
            <v>s__uncultured_bacterium_g__norank_f__Muribaculaceae</v>
          </cell>
        </row>
        <row r="1696">
          <cell r="G1696" t="str">
            <v>ASV21140</v>
          </cell>
          <cell r="H1696" t="str">
            <v>g__Holdemanella</v>
          </cell>
          <cell r="I1696" t="str">
            <v>s__unclassified_g__Holdemanella</v>
          </cell>
        </row>
        <row r="1697">
          <cell r="G1697" t="str">
            <v>ASV2678</v>
          </cell>
          <cell r="H1697" t="str">
            <v>g__Candidatus_Saccharimonas</v>
          </cell>
          <cell r="I1697" t="str">
            <v>s__uncultured_bacterium_g__Candidatus_Saccharimonas</v>
          </cell>
        </row>
        <row r="1698">
          <cell r="G1698" t="str">
            <v>ASV19227</v>
          </cell>
          <cell r="H1698" t="str">
            <v>g__Megasphaera</v>
          </cell>
          <cell r="I1698" t="str">
            <v>s__unclassified_g__Megasphaera</v>
          </cell>
        </row>
        <row r="1699">
          <cell r="G1699" t="str">
            <v>ASV3045</v>
          </cell>
          <cell r="H1699" t="str">
            <v>g__norank_f__Cardiobacteriaceae</v>
          </cell>
          <cell r="I1699" t="str">
            <v>s__unclassified_g__norank_f__Cardiobacteriaceae</v>
          </cell>
        </row>
        <row r="1700">
          <cell r="G1700" t="str">
            <v>ASV492</v>
          </cell>
          <cell r="H1700" t="str">
            <v>g__Colidextribacter</v>
          </cell>
          <cell r="I1700" t="str">
            <v>s__uncultured_Clostridia_bacterium_g__Colidextribacter</v>
          </cell>
        </row>
        <row r="1701">
          <cell r="G1701" t="str">
            <v>ASV3930</v>
          </cell>
          <cell r="H1701" t="str">
            <v>g__unclassified_f__Oscillospiraceae</v>
          </cell>
          <cell r="I1701" t="str">
            <v>s__unclassified_f__Oscillospiraceae</v>
          </cell>
        </row>
        <row r="1702">
          <cell r="G1702" t="str">
            <v>ASV3091</v>
          </cell>
          <cell r="H1702" t="str">
            <v>g__Prevotella</v>
          </cell>
          <cell r="I1702" t="str">
            <v>s__unclassified_g__Prevotella</v>
          </cell>
        </row>
        <row r="1703">
          <cell r="G1703" t="str">
            <v>ASV8689</v>
          </cell>
          <cell r="H1703" t="str">
            <v>g__Actinobacillus</v>
          </cell>
          <cell r="I1703" t="str">
            <v>s__Actinobacillus_indolicus</v>
          </cell>
        </row>
        <row r="1704">
          <cell r="G1704" t="str">
            <v>ASV217</v>
          </cell>
          <cell r="H1704" t="str">
            <v>g__Parabacteroides</v>
          </cell>
          <cell r="I1704" t="str">
            <v>s__Porphyromonadaceae_bacterium_DJF_B175</v>
          </cell>
        </row>
        <row r="1705">
          <cell r="G1705" t="str">
            <v>ASV3679</v>
          </cell>
          <cell r="H1705" t="str">
            <v>g__unclassified_f__Microbacteriaceae</v>
          </cell>
          <cell r="I1705" t="str">
            <v>s__unclassified_f__Microbacteriaceae</v>
          </cell>
        </row>
        <row r="1706">
          <cell r="G1706" t="str">
            <v>ASV141</v>
          </cell>
          <cell r="H1706" t="str">
            <v>g__unclassified_f__Oscillospiraceae</v>
          </cell>
          <cell r="I1706" t="str">
            <v>s__unclassified_f__Oscillospiraceae</v>
          </cell>
        </row>
        <row r="1707">
          <cell r="G1707" t="str">
            <v>ASV10444</v>
          </cell>
          <cell r="H1707" t="str">
            <v>g__norank_f__UCG-010</v>
          </cell>
          <cell r="I1707" t="str">
            <v>s__uncultured_bacterium_g__norank_f__UCG-010</v>
          </cell>
        </row>
        <row r="1708">
          <cell r="G1708" t="str">
            <v>ASV10064</v>
          </cell>
          <cell r="H1708" t="str">
            <v>g__Allisonella</v>
          </cell>
          <cell r="I1708" t="str">
            <v>s__uncultured_bacterium_g__Allisonella</v>
          </cell>
        </row>
        <row r="1709">
          <cell r="G1709" t="str">
            <v>ASV3611</v>
          </cell>
          <cell r="H1709" t="str">
            <v>g__Rothia</v>
          </cell>
          <cell r="I1709" t="str">
            <v>s__unclassified_g__Rothia</v>
          </cell>
        </row>
        <row r="1710">
          <cell r="G1710" t="str">
            <v>ASV10001</v>
          </cell>
          <cell r="H1710" t="str">
            <v>g__unclassified_f__Oscillospiraceae</v>
          </cell>
          <cell r="I1710" t="str">
            <v>s__unclassified_f__Oscillospiraceae</v>
          </cell>
        </row>
        <row r="1711">
          <cell r="G1711" t="str">
            <v>ASV11112</v>
          </cell>
          <cell r="H1711" t="str">
            <v>g__unclassified_f__Prevotellaceae</v>
          </cell>
          <cell r="I1711" t="str">
            <v>s__unclassified_f__Prevotellaceae</v>
          </cell>
        </row>
        <row r="1712">
          <cell r="G1712" t="str">
            <v>ASV19033</v>
          </cell>
          <cell r="H1712" t="str">
            <v>g__unclassified_f__Prevotellaceae</v>
          </cell>
          <cell r="I1712" t="str">
            <v>s__unclassified_f__Prevotellaceae</v>
          </cell>
        </row>
        <row r="1713">
          <cell r="G1713" t="str">
            <v>ASV11113</v>
          </cell>
          <cell r="H1713" t="str">
            <v>g__norank_f__Muribaculaceae</v>
          </cell>
          <cell r="I1713" t="str">
            <v>s__uncultured_bacterium_g__norank_f__Muribaculaceae</v>
          </cell>
        </row>
        <row r="1714">
          <cell r="G1714" t="str">
            <v>ASV4449</v>
          </cell>
          <cell r="H1714" t="str">
            <v>g__Alloprevotella</v>
          </cell>
          <cell r="I1714" t="str">
            <v>s__unclassified_g__Alloprevotella</v>
          </cell>
        </row>
        <row r="1715">
          <cell r="G1715" t="str">
            <v>ASV18782</v>
          </cell>
          <cell r="H1715" t="str">
            <v>g__Fusobacterium</v>
          </cell>
          <cell r="I1715" t="str">
            <v>s__unclassified_g__Fusobacterium</v>
          </cell>
        </row>
        <row r="1716">
          <cell r="G1716" t="str">
            <v>ASV9917</v>
          </cell>
          <cell r="H1716" t="str">
            <v>g__Actinobacillus</v>
          </cell>
          <cell r="I1716" t="str">
            <v>s__Actinobacillus_porcinus</v>
          </cell>
        </row>
        <row r="1717">
          <cell r="G1717" t="str">
            <v>ASV20364</v>
          </cell>
          <cell r="H1717" t="str">
            <v>g__Bacteroides</v>
          </cell>
          <cell r="I1717" t="str">
            <v>s__unclassified_g__Bacteroides</v>
          </cell>
        </row>
        <row r="1718">
          <cell r="G1718" t="str">
            <v>ASV11110</v>
          </cell>
          <cell r="H1718" t="str">
            <v>g__Prevotellaceae_UCG-003</v>
          </cell>
          <cell r="I1718" t="str">
            <v>s__uncultured_bacterium_g__Prevotellaceae_UCG-003</v>
          </cell>
        </row>
        <row r="1719">
          <cell r="G1719" t="str">
            <v>ASV18740</v>
          </cell>
          <cell r="H1719" t="str">
            <v>g__Rothia</v>
          </cell>
          <cell r="I1719" t="str">
            <v>s__unclassified_g__Rothia</v>
          </cell>
        </row>
        <row r="1720">
          <cell r="G1720" t="str">
            <v>ASV4410</v>
          </cell>
          <cell r="H1720" t="str">
            <v>g__Lachnospiraceae_NK4A136_group</v>
          </cell>
          <cell r="I1720" t="str">
            <v>s__Lachnospiraceae_bacterium_GAM79</v>
          </cell>
        </row>
        <row r="1721">
          <cell r="G1721" t="str">
            <v>ASV17646</v>
          </cell>
          <cell r="H1721" t="str">
            <v>g__Lactobacillus</v>
          </cell>
          <cell r="I1721" t="str">
            <v>s__unclassified_g__Lactobacillus</v>
          </cell>
        </row>
        <row r="1722">
          <cell r="G1722" t="str">
            <v>ASV13868</v>
          </cell>
          <cell r="H1722" t="str">
            <v>g__NK4A214_group</v>
          </cell>
          <cell r="I1722" t="str">
            <v>s__unclassified_g__NK4A214_group</v>
          </cell>
        </row>
        <row r="1723">
          <cell r="G1723" t="str">
            <v>ASV21775</v>
          </cell>
          <cell r="H1723" t="str">
            <v>g__norank_f__Muribaculaceae</v>
          </cell>
          <cell r="I1723" t="str">
            <v>s__uncultured_bacterium_g__norank_f__Muribaculaceae</v>
          </cell>
        </row>
        <row r="1724">
          <cell r="G1724" t="str">
            <v>ASV3808</v>
          </cell>
          <cell r="H1724" t="str">
            <v>g__unclassified_f__Ruminococcaceae</v>
          </cell>
          <cell r="I1724" t="str">
            <v>s__unclassified_f__Ruminococcaceae</v>
          </cell>
        </row>
        <row r="1725">
          <cell r="G1725" t="str">
            <v>ASV357</v>
          </cell>
          <cell r="H1725" t="str">
            <v>g__Rikenellaceae_RC9_gut_group</v>
          </cell>
          <cell r="I1725" t="str">
            <v>s__uncultured_bacterium_g__Rikenellaceae_RC9_gut_group</v>
          </cell>
        </row>
        <row r="1726">
          <cell r="G1726" t="str">
            <v>ASV4426</v>
          </cell>
          <cell r="H1726" t="str">
            <v>g__norank_f__norank_o__Clostridia_vadinBB60_group</v>
          </cell>
          <cell r="I1726" t="str">
            <v>s__metagenome_g__norank_f__norank_o__Clostridia_vadinBB60_group</v>
          </cell>
        </row>
        <row r="1727">
          <cell r="G1727" t="str">
            <v>ASV21776</v>
          </cell>
          <cell r="H1727" t="str">
            <v>g__NK4A214_group</v>
          </cell>
          <cell r="I1727" t="str">
            <v>s__unclassified_g__NK4A214_group</v>
          </cell>
        </row>
        <row r="1728">
          <cell r="G1728" t="str">
            <v>ASV2690</v>
          </cell>
          <cell r="H1728" t="str">
            <v>g__unclassified_o__Lactobacillales</v>
          </cell>
          <cell r="I1728" t="str">
            <v>s__unclassified_o__Lactobacillales</v>
          </cell>
        </row>
        <row r="1729">
          <cell r="G1729" t="str">
            <v>ASV2781</v>
          </cell>
          <cell r="H1729" t="str">
            <v>g__Christensenellaceae_R-7_group</v>
          </cell>
          <cell r="I1729" t="str">
            <v>s__Clostridiales_bacterium_canine_oral_taxon_142</v>
          </cell>
        </row>
        <row r="1730">
          <cell r="G1730" t="str">
            <v>ASV6745</v>
          </cell>
          <cell r="H1730" t="str">
            <v>g__Peptoniphilus</v>
          </cell>
          <cell r="I1730" t="str">
            <v>s__unclassified_g__Peptoniphilus</v>
          </cell>
        </row>
        <row r="1731">
          <cell r="G1731" t="str">
            <v>ASV13869</v>
          </cell>
          <cell r="H1731" t="str">
            <v>g__Colidextribacter</v>
          </cell>
          <cell r="I1731" t="str">
            <v>s__unclassified_g__Colidextribacter</v>
          </cell>
        </row>
        <row r="1732">
          <cell r="G1732" t="str">
            <v>ASV1872</v>
          </cell>
          <cell r="H1732" t="str">
            <v>g__Christensenellaceae_R-7_group</v>
          </cell>
          <cell r="I1732" t="str">
            <v>s__unclassified_g__Christensenellaceae_R-7_group</v>
          </cell>
        </row>
        <row r="1733">
          <cell r="G1733" t="str">
            <v>ASV4413</v>
          </cell>
          <cell r="H1733" t="str">
            <v>g__norank_f__Ruminococcaceae</v>
          </cell>
          <cell r="I1733" t="str">
            <v>s__unclassified_g__norank_f__Ruminococcaceae</v>
          </cell>
        </row>
        <row r="1734">
          <cell r="G1734" t="str">
            <v>ASV1885</v>
          </cell>
          <cell r="H1734" t="str">
            <v>g__norank_f__norank_o__RF39</v>
          </cell>
          <cell r="I1734" t="str">
            <v>s__uncultured_bacterium_g__norank_f__norank_o__RF39</v>
          </cell>
        </row>
        <row r="1735">
          <cell r="G1735" t="str">
            <v>ASV2612</v>
          </cell>
          <cell r="H1735" t="str">
            <v>g__norank_f__norank_o__Gastranaerophilales</v>
          </cell>
          <cell r="I1735" t="str">
            <v>s__uncultured_bacterium_g__norank_f__norank_o__Gastranaerophilales</v>
          </cell>
        </row>
        <row r="1736">
          <cell r="G1736" t="str">
            <v>ASV23891</v>
          </cell>
          <cell r="H1736" t="str">
            <v>g__Veillonella</v>
          </cell>
          <cell r="I1736" t="str">
            <v>s__unclassified_g__Veillonella</v>
          </cell>
        </row>
        <row r="1737">
          <cell r="G1737" t="str">
            <v>ASV3660</v>
          </cell>
          <cell r="H1737" t="str">
            <v>g__Finegoldia</v>
          </cell>
          <cell r="I1737" t="str">
            <v>s__unclassified_g__Finegoldia</v>
          </cell>
        </row>
        <row r="1738">
          <cell r="G1738" t="str">
            <v>ASV4404</v>
          </cell>
          <cell r="H1738" t="str">
            <v>g__unclassified_c__Clostridia</v>
          </cell>
          <cell r="I1738" t="str">
            <v>s__unclassified_c__Clostridia</v>
          </cell>
        </row>
        <row r="1739">
          <cell r="G1739" t="str">
            <v>ASV1821</v>
          </cell>
          <cell r="H1739" t="str">
            <v>g__Enterococcus</v>
          </cell>
          <cell r="I1739" t="str">
            <v>s__unclassified_g__Enterococcus</v>
          </cell>
        </row>
        <row r="1740">
          <cell r="G1740" t="str">
            <v>ASV1717</v>
          </cell>
          <cell r="H1740" t="str">
            <v>g__unclassified_f__Lachnospiraceae</v>
          </cell>
          <cell r="I1740" t="str">
            <v>s__unclassified_f__Lachnospiraceae</v>
          </cell>
        </row>
        <row r="1741">
          <cell r="G1741" t="str">
            <v>ASV148</v>
          </cell>
          <cell r="H1741" t="str">
            <v>g__norank_f__norank_o__norank_c__norank_p__WPS-2</v>
          </cell>
          <cell r="I1741" t="str">
            <v>s__uncultured_rumen_bacterium_g__norank_f__norank_o__norank_c__norank</v>
          </cell>
        </row>
        <row r="1742">
          <cell r="G1742" t="str">
            <v>ASV17585</v>
          </cell>
          <cell r="H1742" t="str">
            <v>g__unclassified_f__Lachnospiraceae</v>
          </cell>
          <cell r="I1742" t="str">
            <v>s__unclassified_f__Lachnospiraceae</v>
          </cell>
        </row>
        <row r="1743">
          <cell r="G1743" t="str">
            <v>ASV20357</v>
          </cell>
          <cell r="H1743" t="str">
            <v>g__Aquabacterium</v>
          </cell>
          <cell r="I1743" t="str">
            <v>s__unclassified_g__Aquabacterium</v>
          </cell>
        </row>
        <row r="1744">
          <cell r="G1744" t="str">
            <v>ASV5571</v>
          </cell>
          <cell r="H1744" t="str">
            <v>g__norank_f__Muribaculaceae</v>
          </cell>
          <cell r="I1744" t="str">
            <v>s__uncultured_bacterium_g__norank_f__Muribaculaceae</v>
          </cell>
        </row>
        <row r="1745">
          <cell r="G1745" t="str">
            <v>ASV10481</v>
          </cell>
          <cell r="H1745" t="str">
            <v>g__norank_f__norank_o__Clostridia_UCG-014</v>
          </cell>
          <cell r="I1745" t="str">
            <v>s__unclassified_g__norank_f__norank_o__Clostridia_UCG-014</v>
          </cell>
        </row>
        <row r="1746">
          <cell r="G1746" t="str">
            <v>ASV4403</v>
          </cell>
          <cell r="H1746" t="str">
            <v>g__Eubacterium_xylanophilum_group</v>
          </cell>
          <cell r="I1746" t="str">
            <v>s__unclassified_g__Eubacterium_xylanophilum_group</v>
          </cell>
        </row>
        <row r="1747">
          <cell r="G1747" t="str">
            <v>ASV147</v>
          </cell>
          <cell r="H1747" t="str">
            <v>g__unclassified_o__Oscillospirales</v>
          </cell>
          <cell r="I1747" t="str">
            <v>s__unclassified_o__Oscillospirales</v>
          </cell>
        </row>
        <row r="1748">
          <cell r="G1748" t="str">
            <v>ASV5518</v>
          </cell>
          <cell r="H1748" t="str">
            <v>g__Butyricicoccus</v>
          </cell>
          <cell r="I1748" t="str">
            <v>s__unclassified_g__Butyricicoccus</v>
          </cell>
        </row>
        <row r="1749">
          <cell r="G1749" t="str">
            <v>ASV15148</v>
          </cell>
          <cell r="H1749" t="str">
            <v>g__norank_f__norank_o__Gastranaerophilales</v>
          </cell>
          <cell r="I1749" t="str">
            <v>s__Clostridium_sp._CAG306</v>
          </cell>
        </row>
        <row r="1750">
          <cell r="G1750" t="str">
            <v>ASV11115</v>
          </cell>
          <cell r="H1750" t="str">
            <v>g__UCG-005</v>
          </cell>
          <cell r="I1750" t="str">
            <v>s__unclassified_g__UCG-005</v>
          </cell>
        </row>
        <row r="1751">
          <cell r="G1751" t="str">
            <v>ASV11114</v>
          </cell>
          <cell r="H1751" t="str">
            <v>g__Rikenellaceae_RC9_gut_group</v>
          </cell>
          <cell r="I1751" t="str">
            <v>s__uncultured_Bacteroidales_bacterium_g__Rikenellaceae_RC9_gut_group</v>
          </cell>
        </row>
        <row r="1752">
          <cell r="G1752" t="str">
            <v>ASV4547</v>
          </cell>
          <cell r="H1752" t="str">
            <v>g__Marvinbryantia</v>
          </cell>
          <cell r="I1752" t="str">
            <v>s__uncultured_bacterium_g__Marvinbryantia</v>
          </cell>
        </row>
        <row r="1753">
          <cell r="G1753" t="str">
            <v>ASV1913</v>
          </cell>
          <cell r="H1753" t="str">
            <v>g__UCG-005</v>
          </cell>
          <cell r="I1753" t="str">
            <v>s__uncultured_rumen_bacterium_g__UCG-005</v>
          </cell>
        </row>
        <row r="1754">
          <cell r="G1754" t="str">
            <v>ASV4517</v>
          </cell>
          <cell r="H1754" t="str">
            <v>g__Ruminococcus</v>
          </cell>
          <cell r="I1754" t="str">
            <v>s__unclassified_g__Ruminococcus</v>
          </cell>
        </row>
        <row r="1755">
          <cell r="G1755" t="str">
            <v>ASV3376</v>
          </cell>
          <cell r="H1755" t="str">
            <v>g__norank_f__UCG-010</v>
          </cell>
          <cell r="I1755" t="str">
            <v>s__uncultured_bacterium_g__norank_f__UCG-010</v>
          </cell>
        </row>
        <row r="1756">
          <cell r="G1756" t="str">
            <v>ASV2907</v>
          </cell>
          <cell r="H1756" t="str">
            <v>g__unclassified_f__Comamonadaceae</v>
          </cell>
          <cell r="I1756" t="str">
            <v>s__unclassified_f__Comamonadaceae</v>
          </cell>
        </row>
        <row r="1757">
          <cell r="G1757" t="str">
            <v>ASV7134</v>
          </cell>
          <cell r="H1757" t="str">
            <v>g__Staphylococcus</v>
          </cell>
          <cell r="I1757" t="str">
            <v>s__unclassified_g__Staphylococcus</v>
          </cell>
        </row>
        <row r="1758">
          <cell r="G1758" t="str">
            <v>ASV24375</v>
          </cell>
          <cell r="H1758" t="str">
            <v>g__Lactobacillus</v>
          </cell>
          <cell r="I1758" t="str">
            <v>s__unclassified_g__Lactobacillus</v>
          </cell>
        </row>
        <row r="1759">
          <cell r="G1759" t="str">
            <v>ASV3766</v>
          </cell>
          <cell r="H1759" t="str">
            <v>g__Christensenellaceae_R-7_group</v>
          </cell>
          <cell r="I1759" t="str">
            <v>s__unclassified_g__Christensenellaceae_R-7_group</v>
          </cell>
        </row>
        <row r="1760">
          <cell r="G1760" t="str">
            <v>ASV15768</v>
          </cell>
          <cell r="H1760" t="str">
            <v>g__Butyricicoccus</v>
          </cell>
          <cell r="I1760" t="str">
            <v>s__unclassified_g__Butyricicoccus</v>
          </cell>
        </row>
        <row r="1761">
          <cell r="G1761" t="str">
            <v>ASV8912</v>
          </cell>
          <cell r="H1761" t="str">
            <v>g__Porphyromonas</v>
          </cell>
          <cell r="I1761" t="str">
            <v>s__Porphyromonas_loveana</v>
          </cell>
        </row>
        <row r="1762">
          <cell r="G1762" t="str">
            <v>ASV8687</v>
          </cell>
          <cell r="H1762" t="str">
            <v>g__Corynebacterium</v>
          </cell>
          <cell r="I1762" t="str">
            <v>s__unclassified_g__Corynebacterium</v>
          </cell>
        </row>
        <row r="1763">
          <cell r="G1763" t="str">
            <v>ASV14974</v>
          </cell>
          <cell r="H1763" t="str">
            <v>g__Intestinimonas</v>
          </cell>
          <cell r="I1763" t="str">
            <v>s__unclassified_g__Intestinimonas</v>
          </cell>
        </row>
        <row r="1764">
          <cell r="G1764" t="str">
            <v>ASV15128</v>
          </cell>
          <cell r="H1764" t="str">
            <v>g__unclassified_c__Clostridia</v>
          </cell>
          <cell r="I1764" t="str">
            <v>s__unclassified_c__Clostridia</v>
          </cell>
        </row>
        <row r="1765">
          <cell r="G1765" t="str">
            <v>ASV5800</v>
          </cell>
          <cell r="H1765" t="str">
            <v>g__Helicobacter</v>
          </cell>
          <cell r="I1765" t="str">
            <v>s__unclassified_g__Helicobacter</v>
          </cell>
        </row>
        <row r="1766">
          <cell r="G1766" t="str">
            <v>ASV17692</v>
          </cell>
          <cell r="H1766" t="str">
            <v>g__Oscillibacter</v>
          </cell>
          <cell r="I1766" t="str">
            <v>s__unclassified_g__Oscillibacter</v>
          </cell>
        </row>
        <row r="1767">
          <cell r="G1767" t="str">
            <v>ASV1259</v>
          </cell>
          <cell r="H1767" t="str">
            <v>g__Candidatus_Soleaferrea</v>
          </cell>
          <cell r="I1767" t="str">
            <v>s__uncultured_bacterium_g__Candidatus_Soleaferrea</v>
          </cell>
        </row>
        <row r="1768">
          <cell r="G1768" t="str">
            <v>ASV5525</v>
          </cell>
          <cell r="H1768" t="str">
            <v>g__unclassified_o__Burkholderiales</v>
          </cell>
          <cell r="I1768" t="str">
            <v>s__unclassified_o__Burkholderiales</v>
          </cell>
        </row>
        <row r="1769">
          <cell r="G1769" t="str">
            <v>ASV3393</v>
          </cell>
          <cell r="H1769" t="str">
            <v>g__Epulopiscium</v>
          </cell>
          <cell r="I1769" t="str">
            <v>s__uncultured_organism_g__Epulopiscium</v>
          </cell>
        </row>
        <row r="1770">
          <cell r="G1770" t="str">
            <v>ASV2831</v>
          </cell>
          <cell r="H1770" t="str">
            <v>g__Streptococcus</v>
          </cell>
          <cell r="I1770" t="str">
            <v>s__unclassified_g__Streptococcus</v>
          </cell>
        </row>
        <row r="1771">
          <cell r="G1771" t="str">
            <v>ASV11173</v>
          </cell>
          <cell r="H1771" t="str">
            <v>g__Prevotellaceae_NK3B31_group</v>
          </cell>
          <cell r="I1771" t="str">
            <v>s__uncultured_bacterium_g__Prevotellaceae_NK3B31_group</v>
          </cell>
        </row>
        <row r="1772">
          <cell r="G1772" t="str">
            <v>ASV151</v>
          </cell>
          <cell r="H1772" t="str">
            <v>g__Eubacterium_oxidoreducens_group</v>
          </cell>
          <cell r="I1772" t="str">
            <v>s__uncultured_bacterium_g__Eubacterium_oxidoreducens_group</v>
          </cell>
        </row>
        <row r="1773">
          <cell r="G1773" t="str">
            <v>ASV8768</v>
          </cell>
          <cell r="H1773" t="str">
            <v>g__Succinivibrio</v>
          </cell>
          <cell r="I1773" t="str">
            <v>s__metagenome_g__Succinivibrio</v>
          </cell>
        </row>
        <row r="1774">
          <cell r="G1774" t="str">
            <v>ASV5493</v>
          </cell>
          <cell r="H1774" t="str">
            <v>g__unclassified_f__Lachnospiraceae</v>
          </cell>
          <cell r="I1774" t="str">
            <v>s__unclassified_f__Lachnospiraceae</v>
          </cell>
        </row>
        <row r="1775">
          <cell r="G1775" t="str">
            <v>ASV3173</v>
          </cell>
          <cell r="H1775" t="str">
            <v>g__Roseburia</v>
          </cell>
          <cell r="I1775" t="str">
            <v>s__unclassified_g__Roseburia</v>
          </cell>
        </row>
        <row r="1776">
          <cell r="G1776" t="str">
            <v>ASV7561</v>
          </cell>
          <cell r="H1776" t="str">
            <v>g__Staphylococcus</v>
          </cell>
          <cell r="I1776" t="str">
            <v>s__unclassified_g__Staphylococcus</v>
          </cell>
        </row>
        <row r="1777">
          <cell r="G1777" t="str">
            <v>ASV11116</v>
          </cell>
          <cell r="H1777" t="str">
            <v>g__Treponema</v>
          </cell>
          <cell r="I1777" t="str">
            <v>s__Treponema_berlinense</v>
          </cell>
        </row>
        <row r="1778">
          <cell r="G1778" t="str">
            <v>ASV12517</v>
          </cell>
          <cell r="H1778" t="str">
            <v>g__Bacteroides</v>
          </cell>
          <cell r="I1778" t="str">
            <v>s__unclassified_g__Bacteroides</v>
          </cell>
        </row>
        <row r="1779">
          <cell r="G1779" t="str">
            <v>ASV8765</v>
          </cell>
          <cell r="H1779" t="str">
            <v>g__Chryseobacterium</v>
          </cell>
          <cell r="I1779" t="str">
            <v>s__unclassified_g__Chryseobacterium</v>
          </cell>
        </row>
        <row r="1780">
          <cell r="G1780" t="str">
            <v>ASV3588</v>
          </cell>
          <cell r="H1780" t="str">
            <v>g__Prevotella</v>
          </cell>
          <cell r="I1780" t="str">
            <v>s__unclassified_g__Prevotella</v>
          </cell>
        </row>
        <row r="1781">
          <cell r="G1781" t="str">
            <v>ASV20358</v>
          </cell>
          <cell r="H1781" t="str">
            <v>g__unclassified_f__Lachnospiraceae</v>
          </cell>
          <cell r="I1781" t="str">
            <v>s__unclassified_f__Lachnospiraceae</v>
          </cell>
        </row>
        <row r="1782">
          <cell r="G1782" t="str">
            <v>ASV22997</v>
          </cell>
          <cell r="H1782" t="str">
            <v>g__Comamonas</v>
          </cell>
          <cell r="I1782" t="str">
            <v>s__unclassified_g__Comamonas</v>
          </cell>
        </row>
        <row r="1783">
          <cell r="G1783" t="str">
            <v>ASV2664</v>
          </cell>
          <cell r="H1783" t="str">
            <v>g__norank_f__norank_o__norank_c__Dojkabacteria</v>
          </cell>
          <cell r="I1783" t="str">
            <v>s__unclassified_g__norank_f__norank_o__norank_c__Dojkabacteria</v>
          </cell>
        </row>
        <row r="1784">
          <cell r="G1784" t="str">
            <v>ASV8698</v>
          </cell>
          <cell r="H1784" t="str">
            <v>g__Proteocatella</v>
          </cell>
          <cell r="I1784" t="str">
            <v>s__unclassified_g__Proteocatella</v>
          </cell>
        </row>
        <row r="1785">
          <cell r="G1785" t="str">
            <v>ASV14978</v>
          </cell>
          <cell r="H1785" t="str">
            <v>g__norank_f__Muribaculaceae</v>
          </cell>
          <cell r="I1785" t="str">
            <v>s__uncultured_bacterium_g__norank_f__Muribaculaceae</v>
          </cell>
        </row>
        <row r="1786">
          <cell r="G1786" t="str">
            <v>ASV319</v>
          </cell>
          <cell r="H1786" t="str">
            <v>g__norank_f__Lachnospiraceae</v>
          </cell>
          <cell r="I1786" t="str">
            <v>s__unclassified_g__norank_f__Lachnospiraceae</v>
          </cell>
        </row>
        <row r="1787">
          <cell r="G1787" t="str">
            <v>ASV10846</v>
          </cell>
          <cell r="H1787" t="str">
            <v>g__Treponema</v>
          </cell>
          <cell r="I1787" t="str">
            <v>s__unclassified_g__Treponema</v>
          </cell>
        </row>
        <row r="1788">
          <cell r="G1788" t="str">
            <v>ASV14975</v>
          </cell>
          <cell r="H1788" t="str">
            <v>g__Bacteroides</v>
          </cell>
          <cell r="I1788" t="str">
            <v>s__uncultured_bacterium_g__Bacteroides</v>
          </cell>
        </row>
        <row r="1789">
          <cell r="G1789" t="str">
            <v>ASV21777</v>
          </cell>
          <cell r="H1789" t="str">
            <v>g__UCG-005</v>
          </cell>
          <cell r="I1789" t="str">
            <v>s__uncultured_organism_g__UCG-005</v>
          </cell>
        </row>
        <row r="1790">
          <cell r="G1790" t="str">
            <v>ASV15875</v>
          </cell>
          <cell r="H1790" t="str">
            <v>g__unclassified_f__Lachnospiraceae</v>
          </cell>
          <cell r="I1790" t="str">
            <v>s__unclassified_f__Lachnospiraceae</v>
          </cell>
        </row>
        <row r="1791">
          <cell r="G1791" t="str">
            <v>ASV11033</v>
          </cell>
          <cell r="H1791" t="str">
            <v>g__Clostridium_sensu_stricto_1</v>
          </cell>
          <cell r="I1791" t="str">
            <v>s__unclassified_g__Clostridium_sensu_stricto_1</v>
          </cell>
        </row>
        <row r="1792">
          <cell r="G1792" t="str">
            <v>ASV3039</v>
          </cell>
          <cell r="H1792" t="str">
            <v>g__Eubacterium_nodatum_group</v>
          </cell>
          <cell r="I1792" t="str">
            <v>s__unclassified_g__Eubacterium_nodatum_group</v>
          </cell>
        </row>
        <row r="1793">
          <cell r="G1793" t="str">
            <v>ASV8941</v>
          </cell>
          <cell r="H1793" t="str">
            <v>g__Treponema</v>
          </cell>
          <cell r="I1793" t="str">
            <v>s__unclassified_g__Treponema</v>
          </cell>
        </row>
        <row r="1794">
          <cell r="G1794" t="str">
            <v>ASV3037</v>
          </cell>
          <cell r="H1794" t="str">
            <v>g__unclassified_f__Peptostreptococcaceae</v>
          </cell>
          <cell r="I1794" t="str">
            <v>s__unclassified_f__Peptostreptococcaceae</v>
          </cell>
        </row>
        <row r="1795">
          <cell r="G1795" t="str">
            <v>ASV5496</v>
          </cell>
          <cell r="H1795" t="str">
            <v>g__norank_f__p-2534-18B5_gut_group</v>
          </cell>
          <cell r="I1795" t="str">
            <v>s__uncultured_bacterium_g__norank_f__p-2534-18B5_gut_group</v>
          </cell>
        </row>
        <row r="1796">
          <cell r="G1796" t="str">
            <v>ASV22998</v>
          </cell>
          <cell r="H1796" t="str">
            <v>g__norank_f__F082</v>
          </cell>
          <cell r="I1796" t="str">
            <v>s__uncultured_bacterium_g__norank_f__F082</v>
          </cell>
        </row>
        <row r="1797">
          <cell r="G1797" t="str">
            <v>ASV7141</v>
          </cell>
          <cell r="H1797" t="str">
            <v>g__norank_f__Erysipelotrichaceae</v>
          </cell>
          <cell r="I1797" t="str">
            <v>s__unclassified_g__norank_f__Erysipelotrichaceae</v>
          </cell>
        </row>
        <row r="1798">
          <cell r="G1798" t="str">
            <v>ASV16226</v>
          </cell>
          <cell r="H1798" t="str">
            <v>g__Colidextribacter</v>
          </cell>
          <cell r="I1798" t="str">
            <v>s__unclassified_g__Colidextribacter</v>
          </cell>
        </row>
        <row r="1799">
          <cell r="G1799" t="str">
            <v>ASV16799</v>
          </cell>
          <cell r="H1799" t="str">
            <v>g__norank_f__Ruminococcaceae</v>
          </cell>
          <cell r="I1799" t="str">
            <v>s__unclassified_g__norank_f__Ruminococcaceae</v>
          </cell>
        </row>
        <row r="1800">
          <cell r="G1800" t="str">
            <v>ASV2834</v>
          </cell>
          <cell r="H1800" t="str">
            <v>g__Streptococcus</v>
          </cell>
          <cell r="I1800" t="str">
            <v>s__unclassified_g__Streptococcus</v>
          </cell>
        </row>
        <row r="1801">
          <cell r="G1801" t="str">
            <v>ASV24064</v>
          </cell>
          <cell r="H1801" t="str">
            <v>g__Cloacibacillus</v>
          </cell>
          <cell r="I1801" t="str">
            <v>s__unclassified_g__Cloacibacillus</v>
          </cell>
        </row>
        <row r="1802">
          <cell r="G1802" t="str">
            <v>ASV11118</v>
          </cell>
          <cell r="H1802" t="str">
            <v>g__unclassified_f__Lachnospiraceae</v>
          </cell>
          <cell r="I1802" t="str">
            <v>s__unclassified_f__Lachnospiraceae</v>
          </cell>
        </row>
        <row r="1803">
          <cell r="G1803" t="str">
            <v>ASV3790</v>
          </cell>
          <cell r="H1803" t="str">
            <v>g__XBB1006</v>
          </cell>
          <cell r="I1803" t="str">
            <v>s__unclassified_g__XBB1006</v>
          </cell>
        </row>
        <row r="1804">
          <cell r="G1804" t="str">
            <v>ASV251</v>
          </cell>
          <cell r="H1804" t="str">
            <v>g__Ruminococcus</v>
          </cell>
          <cell r="I1804" t="str">
            <v>s__unclassified_g__Ruminococcus</v>
          </cell>
        </row>
        <row r="1805">
          <cell r="G1805" t="str">
            <v>ASV4406</v>
          </cell>
          <cell r="H1805" t="str">
            <v>g__Treponema</v>
          </cell>
          <cell r="I1805" t="str">
            <v>s__Treponema_porcinum</v>
          </cell>
        </row>
        <row r="1806">
          <cell r="G1806" t="str">
            <v>ASV4767</v>
          </cell>
          <cell r="H1806" t="str">
            <v>g__unclassified_f__Ruminococcaceae</v>
          </cell>
          <cell r="I1806" t="str">
            <v>s__unclassified_f__Ruminococcaceae</v>
          </cell>
        </row>
        <row r="1807">
          <cell r="G1807" t="str">
            <v>ASV1907</v>
          </cell>
          <cell r="H1807" t="str">
            <v>g__Eubacterium_siraeum_group</v>
          </cell>
          <cell r="I1807" t="str">
            <v>s__uncultured_bacterium_g__Eubacterium_siraeum_group</v>
          </cell>
        </row>
        <row r="1808">
          <cell r="G1808" t="str">
            <v>ASV11117</v>
          </cell>
          <cell r="H1808" t="str">
            <v>g__unclassified_f__Lachnospiraceae</v>
          </cell>
          <cell r="I1808" t="str">
            <v>s__unclassified_f__Lachnospiraceae</v>
          </cell>
        </row>
        <row r="1809">
          <cell r="G1809" t="str">
            <v>ASV2897</v>
          </cell>
          <cell r="H1809" t="str">
            <v>g__Nocardioides</v>
          </cell>
          <cell r="I1809" t="str">
            <v>s__unclassified_g__Nocardioides</v>
          </cell>
        </row>
        <row r="1810">
          <cell r="G1810" t="str">
            <v>ASV23737</v>
          </cell>
          <cell r="H1810" t="str">
            <v>g__Lactobacillus</v>
          </cell>
          <cell r="I1810" t="str">
            <v>s__unclassified_g__Lactobacillus</v>
          </cell>
        </row>
        <row r="1811">
          <cell r="G1811" t="str">
            <v>ASV20359</v>
          </cell>
          <cell r="H1811" t="str">
            <v>g__Porphyromonas</v>
          </cell>
          <cell r="I1811" t="str">
            <v>s__unclassified_g__Porphyromonas</v>
          </cell>
        </row>
        <row r="1812">
          <cell r="G1812" t="str">
            <v>ASV19044</v>
          </cell>
          <cell r="H1812" t="str">
            <v>g__Eubacterium_brachy_group</v>
          </cell>
          <cell r="I1812" t="str">
            <v>s__uncultured_bacterium_g__Eubacterium_brachy_group</v>
          </cell>
        </row>
        <row r="1813">
          <cell r="G1813" t="str">
            <v>ASV14976</v>
          </cell>
          <cell r="H1813" t="str">
            <v>g__Mailhella</v>
          </cell>
          <cell r="I1813" t="str">
            <v>s__Desulfovibrio_sp._Marseille-P3199</v>
          </cell>
        </row>
        <row r="1814">
          <cell r="G1814" t="str">
            <v>ASV7441</v>
          </cell>
          <cell r="H1814" t="str">
            <v>g__unclassified_o__Bacteroidales</v>
          </cell>
          <cell r="I1814" t="str">
            <v>s__unclassified_o__Bacteroidales</v>
          </cell>
        </row>
        <row r="1815">
          <cell r="G1815" t="str">
            <v>ASV7515</v>
          </cell>
          <cell r="H1815" t="str">
            <v>g__unclassified_f__Lachnospiraceae</v>
          </cell>
          <cell r="I1815" t="str">
            <v>s__unclassified_f__Lachnospiraceae</v>
          </cell>
        </row>
        <row r="1816">
          <cell r="G1816" t="str">
            <v>ASV4213</v>
          </cell>
          <cell r="H1816" t="str">
            <v>g__Pasteurella</v>
          </cell>
          <cell r="I1816" t="str">
            <v>s__Pasteurella_aerogenes</v>
          </cell>
        </row>
        <row r="1817">
          <cell r="G1817" t="str">
            <v>ASV9960</v>
          </cell>
          <cell r="H1817" t="str">
            <v>g__norank_f__norank_o__Clostridia_vadinBB60_group</v>
          </cell>
          <cell r="I1817" t="str">
            <v>s__unclassified_g__norank_f__norank_o__Clostridia_vadinBB60_group</v>
          </cell>
        </row>
        <row r="1818">
          <cell r="G1818" t="str">
            <v>ASV17693</v>
          </cell>
          <cell r="H1818" t="str">
            <v>g__Christensenellaceae_R-7_group</v>
          </cell>
          <cell r="I1818" t="str">
            <v>s__gut_metagenome_g__Christensenellaceae_R-7_group</v>
          </cell>
        </row>
        <row r="1819">
          <cell r="G1819" t="str">
            <v>ASV20508</v>
          </cell>
          <cell r="H1819" t="str">
            <v>g__Christensenellaceae_R-7_group</v>
          </cell>
          <cell r="I1819" t="str">
            <v>s__unclassified_g__Christensenellaceae_R-7_group</v>
          </cell>
        </row>
        <row r="1820">
          <cell r="G1820" t="str">
            <v>ASV5635</v>
          </cell>
          <cell r="H1820" t="str">
            <v>g__Christensenellaceae_R-7_group</v>
          </cell>
          <cell r="I1820" t="str">
            <v>s__unclassified_g__Christensenellaceae_R-7_group</v>
          </cell>
        </row>
        <row r="1821">
          <cell r="G1821" t="str">
            <v>ASV21778</v>
          </cell>
          <cell r="H1821" t="str">
            <v>g__unclassified_f__Lachnospiraceae</v>
          </cell>
          <cell r="I1821" t="str">
            <v>s__unclassified_f__Lachnospiraceae</v>
          </cell>
        </row>
        <row r="1822">
          <cell r="G1822" t="str">
            <v>ASV7442</v>
          </cell>
          <cell r="H1822" t="str">
            <v>g__Clostridium_sensu_stricto_1</v>
          </cell>
          <cell r="I1822" t="str">
            <v>s__unclassified_g__Clostridium_sensu_stricto_1</v>
          </cell>
        </row>
        <row r="1823">
          <cell r="G1823" t="str">
            <v>ASV3769</v>
          </cell>
          <cell r="H1823" t="str">
            <v>g__Phascolarctobacterium</v>
          </cell>
          <cell r="I1823" t="str">
            <v>s__Ruminococcus_sp._N15.MGS-57_g__Phascolarctobacterium</v>
          </cell>
        </row>
        <row r="1824">
          <cell r="G1824" t="str">
            <v>ASV3893</v>
          </cell>
          <cell r="H1824" t="str">
            <v>g__unclassified_f__Oscillospiraceae</v>
          </cell>
          <cell r="I1824" t="str">
            <v>s__unclassified_f__Oscillospiraceae</v>
          </cell>
        </row>
        <row r="1825">
          <cell r="G1825" t="str">
            <v>ASV2927</v>
          </cell>
          <cell r="H1825" t="str">
            <v>g__Deinococcus</v>
          </cell>
          <cell r="I1825" t="str">
            <v>s__Deinococcus_reticulitermitis</v>
          </cell>
        </row>
        <row r="1826">
          <cell r="G1826" t="str">
            <v>ASV12493</v>
          </cell>
          <cell r="H1826" t="str">
            <v>g__unclassified_c__Bacilli</v>
          </cell>
          <cell r="I1826" t="str">
            <v>s__unclassified_c__Bacilli</v>
          </cell>
        </row>
        <row r="1827">
          <cell r="G1827" t="str">
            <v>ASV14977</v>
          </cell>
          <cell r="H1827" t="str">
            <v>g__Parasutterella</v>
          </cell>
          <cell r="I1827" t="str">
            <v>s__gut_metagenome_g__Parasutterella</v>
          </cell>
        </row>
        <row r="1828">
          <cell r="G1828" t="str">
            <v>ASV8726</v>
          </cell>
          <cell r="H1828" t="str">
            <v>g__Pleurocapsa_PCC-7319</v>
          </cell>
          <cell r="I1828" t="str">
            <v>s__Pleurocapsa_sp._HA4230</v>
          </cell>
        </row>
        <row r="1829">
          <cell r="G1829" t="str">
            <v>ASV7487</v>
          </cell>
          <cell r="H1829" t="str">
            <v>g__Phascolarctobacterium</v>
          </cell>
          <cell r="I1829" t="str">
            <v>s__unclassified_g__Phascolarctobacterium</v>
          </cell>
        </row>
        <row r="1830">
          <cell r="G1830" t="str">
            <v>ASV10576</v>
          </cell>
          <cell r="H1830" t="str">
            <v>g__norank_f__Bacteroidales_RF16_group</v>
          </cell>
          <cell r="I1830" t="str">
            <v>s__unclassified_g__norank_f__Bacteroidales_RF16_group</v>
          </cell>
        </row>
        <row r="1831">
          <cell r="G1831" t="str">
            <v>ASV13870</v>
          </cell>
          <cell r="H1831" t="str">
            <v>g__Lactobacillus</v>
          </cell>
          <cell r="I1831" t="str">
            <v>s__unclassified_g__Lactobacillus</v>
          </cell>
        </row>
        <row r="1832">
          <cell r="G1832" t="str">
            <v>ASV3011</v>
          </cell>
          <cell r="H1832" t="str">
            <v>g__Acetoanaerobium</v>
          </cell>
          <cell r="I1832" t="str">
            <v>s__unclassified_g__Acetoanaerobium</v>
          </cell>
        </row>
        <row r="1833">
          <cell r="G1833" t="str">
            <v>ASV4408</v>
          </cell>
          <cell r="H1833" t="str">
            <v>g__Parabacteroides</v>
          </cell>
          <cell r="I1833" t="str">
            <v>s__Porphyromonadaceae_bacterium_DJF_B175</v>
          </cell>
        </row>
        <row r="1834">
          <cell r="G1834" t="str">
            <v>ASV11273</v>
          </cell>
          <cell r="H1834" t="str">
            <v>g__Treponema</v>
          </cell>
          <cell r="I1834" t="str">
            <v>s__Treponema_succinifaciens_DSM_2489</v>
          </cell>
        </row>
        <row r="1835">
          <cell r="G1835" t="str">
            <v>ASV9933</v>
          </cell>
          <cell r="H1835" t="str">
            <v>g__norank_f__norank_o__Gastranaerophilales</v>
          </cell>
          <cell r="I1835" t="str">
            <v>s__uncultured_bacterium_g__norank_f__norank_o__Gastranaerophilales</v>
          </cell>
        </row>
        <row r="1836">
          <cell r="G1836" t="str">
            <v>ASV7992</v>
          </cell>
          <cell r="H1836" t="str">
            <v>g__norank_f__F082</v>
          </cell>
          <cell r="I1836" t="str">
            <v>s__uncultured_bacterium_g__norank_f__F082</v>
          </cell>
        </row>
        <row r="1837">
          <cell r="G1837" t="str">
            <v>ASV21779</v>
          </cell>
          <cell r="H1837" t="str">
            <v>g__norank_f__Eubacterium_coprostanoligenes_group</v>
          </cell>
          <cell r="I1837" t="str">
            <v>s__human_gut_metagenome_g__norank_f__Eubacterium_coprostanoligenes_group</v>
          </cell>
        </row>
        <row r="1838">
          <cell r="G1838" t="str">
            <v>ASV3843</v>
          </cell>
          <cell r="H1838" t="str">
            <v>g__Desulfovibrio</v>
          </cell>
          <cell r="I1838" t="str">
            <v>s__unclassified_g__Desulfovibrio</v>
          </cell>
        </row>
        <row r="1839">
          <cell r="G1839" t="str">
            <v>ASV10381</v>
          </cell>
          <cell r="H1839" t="str">
            <v>g__unclassified_c__Bacilli</v>
          </cell>
          <cell r="I1839" t="str">
            <v>s__unclassified_c__Bacilli</v>
          </cell>
        </row>
        <row r="1840">
          <cell r="G1840" t="str">
            <v>ASV2657</v>
          </cell>
          <cell r="H1840" t="str">
            <v>g__Streptococcus</v>
          </cell>
          <cell r="I1840" t="str">
            <v>s__unclassified_g__Streptococcus</v>
          </cell>
        </row>
        <row r="1841">
          <cell r="G1841" t="str">
            <v>ASV7150</v>
          </cell>
          <cell r="H1841" t="str">
            <v>g__Eubacterium_nodatum_group</v>
          </cell>
          <cell r="I1841" t="str">
            <v>s__unclassified_g__Eubacterium_nodatum_group</v>
          </cell>
        </row>
        <row r="1842">
          <cell r="G1842" t="str">
            <v>ASV21386</v>
          </cell>
          <cell r="H1842" t="str">
            <v>g__Megasphaera</v>
          </cell>
          <cell r="I1842" t="str">
            <v>s__unclassified_g__Megasphaera</v>
          </cell>
        </row>
        <row r="1843">
          <cell r="G1843" t="str">
            <v>ASV16205</v>
          </cell>
          <cell r="H1843" t="str">
            <v>g__Subdoligranulum</v>
          </cell>
          <cell r="I1843" t="str">
            <v>s__unclassified_g__Subdoligranulum</v>
          </cell>
        </row>
        <row r="1844">
          <cell r="G1844" t="str">
            <v>ASV13668</v>
          </cell>
          <cell r="H1844" t="str">
            <v>g__Lactobacillus</v>
          </cell>
          <cell r="I1844" t="str">
            <v>s__unclassified_g__Lactobacillus</v>
          </cell>
        </row>
        <row r="1845">
          <cell r="G1845" t="str">
            <v>ASV9134</v>
          </cell>
          <cell r="H1845" t="str">
            <v>g__norank_f__Eubacterium_coprostanoligenes_group</v>
          </cell>
          <cell r="I1845" t="str">
            <v>s__uncultured_bacterium_g__norank_f__Eubacterium_coprostanoligenes_group</v>
          </cell>
        </row>
        <row r="1846">
          <cell r="G1846" t="str">
            <v>ASV18492</v>
          </cell>
          <cell r="H1846" t="str">
            <v>g__Anaerobiospirillum</v>
          </cell>
          <cell r="I1846" t="str">
            <v>s__Anaerobiospirillum_succiniciproducens</v>
          </cell>
        </row>
        <row r="1847">
          <cell r="G1847" t="str">
            <v>ASV4041</v>
          </cell>
          <cell r="H1847" t="str">
            <v>g__Helicobacter</v>
          </cell>
          <cell r="I1847" t="str">
            <v>s__Helicobacter_trogontum</v>
          </cell>
        </row>
        <row r="1848">
          <cell r="G1848" t="str">
            <v>ASV10396</v>
          </cell>
          <cell r="H1848" t="str">
            <v>g__norank_f__norank_o__Clostridia_UCG-014</v>
          </cell>
          <cell r="I1848" t="str">
            <v>s__unclassified_g__norank_f__norank_o__Clostridia_UCG-014</v>
          </cell>
        </row>
        <row r="1849">
          <cell r="G1849" t="str">
            <v>ASV6521</v>
          </cell>
          <cell r="H1849" t="str">
            <v>g__Enterococcus</v>
          </cell>
          <cell r="I1849" t="str">
            <v>s__unclassified_g__Enterococcus</v>
          </cell>
        </row>
        <row r="1850">
          <cell r="G1850" t="str">
            <v>ASV6501</v>
          </cell>
          <cell r="H1850" t="str">
            <v>g__Mesorhizobium</v>
          </cell>
          <cell r="I1850" t="str">
            <v>s__unclassified_g__Mesorhizobium</v>
          </cell>
        </row>
        <row r="1851">
          <cell r="G1851" t="str">
            <v>ASV21560</v>
          </cell>
          <cell r="H1851" t="str">
            <v>g__Prevotella</v>
          </cell>
          <cell r="I1851" t="str">
            <v>s__unclassified_g__Prevotella</v>
          </cell>
        </row>
        <row r="1852">
          <cell r="G1852" t="str">
            <v>ASV20361</v>
          </cell>
          <cell r="H1852" t="str">
            <v>g__Alkanindiges</v>
          </cell>
          <cell r="I1852" t="str">
            <v>s__unclassified_g__Alkanindiges</v>
          </cell>
        </row>
        <row r="1853">
          <cell r="G1853" t="str">
            <v>ASV8909</v>
          </cell>
          <cell r="H1853" t="str">
            <v>g__Porphyromonas</v>
          </cell>
          <cell r="I1853" t="str">
            <v>s__unclassified_g__Porphyromonas</v>
          </cell>
        </row>
        <row r="1854">
          <cell r="G1854" t="str">
            <v>ASV12494</v>
          </cell>
          <cell r="H1854" t="str">
            <v>g__UCG-005</v>
          </cell>
          <cell r="I1854" t="str">
            <v>s__unclassified_g__UCG-005</v>
          </cell>
        </row>
        <row r="1855">
          <cell r="G1855" t="str">
            <v>ASV10140</v>
          </cell>
          <cell r="H1855" t="str">
            <v>g__Sutterella</v>
          </cell>
          <cell r="I1855" t="str">
            <v>s__uncultured_bacterium_g__Sutterella</v>
          </cell>
        </row>
        <row r="1856">
          <cell r="G1856" t="str">
            <v>ASV20360</v>
          </cell>
          <cell r="H1856" t="str">
            <v>g__unclassified_f__Comamonadaceae</v>
          </cell>
          <cell r="I1856" t="str">
            <v>s__unclassified_f__Comamonadaceae</v>
          </cell>
        </row>
        <row r="1857">
          <cell r="G1857" t="str">
            <v>ASV3591</v>
          </cell>
          <cell r="H1857" t="str">
            <v>g__Leptotrichia</v>
          </cell>
          <cell r="I1857" t="str">
            <v>s__unclassified_g__Leptotrichia</v>
          </cell>
        </row>
        <row r="1858">
          <cell r="G1858" t="str">
            <v>ASV9956</v>
          </cell>
          <cell r="H1858" t="str">
            <v>g__unclassified_f__Lachnospiraceae</v>
          </cell>
          <cell r="I1858" t="str">
            <v>s__unclassified_f__Lachnospiraceae</v>
          </cell>
        </row>
        <row r="1859">
          <cell r="G1859" t="str">
            <v>ASV13760</v>
          </cell>
          <cell r="H1859" t="str">
            <v>g__unclassified_f__Enterobacteriaceae</v>
          </cell>
          <cell r="I1859" t="str">
            <v>s__unclassified_f__Enterobacteriaceae</v>
          </cell>
        </row>
        <row r="1860">
          <cell r="G1860" t="str">
            <v>ASV4409</v>
          </cell>
          <cell r="H1860" t="str">
            <v>g__Lactobacillus</v>
          </cell>
          <cell r="I1860" t="str">
            <v>s__Lactobacillus_sp._C30An8</v>
          </cell>
        </row>
        <row r="1861">
          <cell r="G1861" t="str">
            <v>ASV18481</v>
          </cell>
          <cell r="H1861" t="str">
            <v>g__Mitsuokella</v>
          </cell>
          <cell r="I1861" t="str">
            <v>s__unclassified_g__Mitsuokella</v>
          </cell>
        </row>
        <row r="1862">
          <cell r="G1862" t="str">
            <v>ASV8604</v>
          </cell>
          <cell r="H1862" t="str">
            <v>g__Chryseobacterium</v>
          </cell>
          <cell r="I1862" t="str">
            <v>s__Chryseobacterium_sp._UYP8</v>
          </cell>
        </row>
        <row r="1863">
          <cell r="G1863" t="str">
            <v>ASV23892</v>
          </cell>
          <cell r="H1863" t="str">
            <v>g__Lactobacillus</v>
          </cell>
          <cell r="I1863" t="str">
            <v>s__unclassified_g__Lactobacillus</v>
          </cell>
        </row>
        <row r="1864">
          <cell r="G1864" t="str">
            <v>ASV9130</v>
          </cell>
          <cell r="H1864" t="str">
            <v>g__unclassified_f__Lachnospiraceae</v>
          </cell>
          <cell r="I1864" t="str">
            <v>s__unclassified_f__Lachnospiraceae</v>
          </cell>
        </row>
        <row r="1865">
          <cell r="G1865" t="str">
            <v>ASV12495</v>
          </cell>
          <cell r="H1865" t="str">
            <v>g__Prevotella</v>
          </cell>
          <cell r="I1865" t="str">
            <v>s__unclassified_g__Prevotella</v>
          </cell>
        </row>
        <row r="1866">
          <cell r="G1866" t="str">
            <v>ASV17343</v>
          </cell>
          <cell r="H1866" t="str">
            <v>g__Actinobacillus</v>
          </cell>
          <cell r="I1866" t="str">
            <v>s__unclassified_g__Actinobacillus</v>
          </cell>
        </row>
        <row r="1867">
          <cell r="G1867" t="str">
            <v>ASV7260</v>
          </cell>
          <cell r="H1867" t="str">
            <v>g__Sphingomonas</v>
          </cell>
          <cell r="I1867" t="str">
            <v>s__unclassified_g__Sphingomonas</v>
          </cell>
        </row>
        <row r="1868">
          <cell r="G1868" t="str">
            <v>ASV10146</v>
          </cell>
          <cell r="H1868" t="str">
            <v>g__Family_XIII_AD3011_group</v>
          </cell>
          <cell r="I1868" t="str">
            <v>s__uncultured_bacterium_g__Family_XIII_AD3011_group</v>
          </cell>
        </row>
        <row r="1869">
          <cell r="G1869" t="str">
            <v>ASV2843</v>
          </cell>
          <cell r="H1869" t="str">
            <v>g__Weissella</v>
          </cell>
          <cell r="I1869" t="str">
            <v>s__unclassified_g__Weissella</v>
          </cell>
        </row>
        <row r="1870">
          <cell r="G1870" t="str">
            <v>ASV3794</v>
          </cell>
          <cell r="H1870" t="str">
            <v>g__UCG-009</v>
          </cell>
          <cell r="I1870" t="str">
            <v>s__uncultured_bacterium_g__UCG-009</v>
          </cell>
        </row>
        <row r="1871">
          <cell r="G1871" t="str">
            <v>ASV2676</v>
          </cell>
          <cell r="H1871" t="str">
            <v>g__Desulfovibrio</v>
          </cell>
          <cell r="I1871" t="str">
            <v>s__unclassified_g__Desulfovibrio</v>
          </cell>
        </row>
        <row r="1872">
          <cell r="G1872" t="str">
            <v>ASV1542</v>
          </cell>
          <cell r="H1872" t="str">
            <v>g__unclassified_f__Peptostreptococcaceae</v>
          </cell>
          <cell r="I1872" t="str">
            <v>s__unclassified_f__Peptostreptococcaceae</v>
          </cell>
        </row>
        <row r="1873">
          <cell r="G1873" t="str">
            <v>ASV17448</v>
          </cell>
          <cell r="H1873" t="str">
            <v>g__Bacillus</v>
          </cell>
          <cell r="I1873" t="str">
            <v>s__Lactobacillus_vaginalis_g__Bacillus</v>
          </cell>
        </row>
        <row r="1874">
          <cell r="G1874" t="str">
            <v>ASV4601</v>
          </cell>
          <cell r="H1874" t="str">
            <v>g__Parabacteroides</v>
          </cell>
          <cell r="I1874" t="str">
            <v>s__Porphyromonadaceae_bacterium_DJF_B175</v>
          </cell>
        </row>
        <row r="1875">
          <cell r="G1875" t="str">
            <v>ASV19335</v>
          </cell>
          <cell r="H1875" t="str">
            <v>g__norank_f__norank_o__Clostridia_UCG-014</v>
          </cell>
          <cell r="I1875" t="str">
            <v>s__unclassified_g__norank_f__norank_o__Clostridia_UCG-014</v>
          </cell>
        </row>
        <row r="1876">
          <cell r="G1876" t="str">
            <v>ASV3622</v>
          </cell>
          <cell r="H1876" t="str">
            <v>g__Bergeyella</v>
          </cell>
          <cell r="I1876" t="str">
            <v>s__unclassified_g__Bergeyella</v>
          </cell>
        </row>
        <row r="1877">
          <cell r="G1877" t="str">
            <v>ASV3001</v>
          </cell>
          <cell r="H1877" t="str">
            <v>g__Brevundimonas</v>
          </cell>
          <cell r="I1877" t="str">
            <v>s__unclassified_g__Brevundimonas</v>
          </cell>
        </row>
        <row r="1878">
          <cell r="G1878" t="str">
            <v>ASV13762</v>
          </cell>
          <cell r="H1878" t="str">
            <v>g__Klebsiella</v>
          </cell>
          <cell r="I1878" t="str">
            <v>s__unclassified_g__Klebsiella</v>
          </cell>
        </row>
        <row r="1879">
          <cell r="G1879" t="str">
            <v>ASV4422</v>
          </cell>
          <cell r="H1879" t="str">
            <v>g__norank_f__Muribaculaceae</v>
          </cell>
          <cell r="I1879" t="str">
            <v>s__uncultured_bacterium_g__norank_f__Muribaculaceae</v>
          </cell>
        </row>
        <row r="1880">
          <cell r="G1880" t="str">
            <v>ASV12496</v>
          </cell>
          <cell r="H1880" t="str">
            <v>g__unclassified_f__Peptostreptococcaceae</v>
          </cell>
          <cell r="I1880" t="str">
            <v>s__unclassified_f__Peptostreptococcaceae</v>
          </cell>
        </row>
        <row r="1881">
          <cell r="G1881" t="str">
            <v>ASV21780</v>
          </cell>
          <cell r="H1881" t="str">
            <v>g__unclassified_c__Clostridia</v>
          </cell>
          <cell r="I1881" t="str">
            <v>s__unclassified_c__Clostridia</v>
          </cell>
        </row>
        <row r="1882">
          <cell r="G1882" t="str">
            <v>ASV18783</v>
          </cell>
          <cell r="H1882" t="str">
            <v>g__Prevotella</v>
          </cell>
          <cell r="I1882" t="str">
            <v>s__unclassified_g__Prevotella</v>
          </cell>
        </row>
        <row r="1883">
          <cell r="G1883" t="str">
            <v>ASV5519</v>
          </cell>
          <cell r="H1883" t="str">
            <v>g__norank_f__Christensenellaceae</v>
          </cell>
          <cell r="I1883" t="str">
            <v>s__Christensenella_sp._Marseille-P2437</v>
          </cell>
        </row>
        <row r="1884">
          <cell r="G1884" t="str">
            <v>ASV8318</v>
          </cell>
          <cell r="H1884" t="str">
            <v>g__Lactobacillus</v>
          </cell>
          <cell r="I1884" t="str">
            <v>s__unclassified_g__Lactobacillus</v>
          </cell>
        </row>
        <row r="1885">
          <cell r="G1885" t="str">
            <v>ASV21388</v>
          </cell>
          <cell r="H1885" t="str">
            <v>g__Megasphaera</v>
          </cell>
          <cell r="I1885" t="str">
            <v>s__unclassified_g__Megasphaera</v>
          </cell>
        </row>
        <row r="1886">
          <cell r="G1886" t="str">
            <v>ASV18795</v>
          </cell>
          <cell r="H1886" t="str">
            <v>g__Cloacibacillus</v>
          </cell>
          <cell r="I1886" t="str">
            <v>s__unclassified_g__Cloacibacillus</v>
          </cell>
        </row>
        <row r="1887">
          <cell r="G1887" t="str">
            <v>ASV8606</v>
          </cell>
          <cell r="H1887" t="str">
            <v>g__Staphylococcus</v>
          </cell>
          <cell r="I1887" t="str">
            <v>s__unclassified_g__Staphylococcus</v>
          </cell>
        </row>
        <row r="1888">
          <cell r="G1888" t="str">
            <v>ASV8769</v>
          </cell>
          <cell r="H1888" t="str">
            <v>g__Bacteroides</v>
          </cell>
          <cell r="I1888" t="str">
            <v>s__Bacteroides_uniformis</v>
          </cell>
        </row>
        <row r="1889">
          <cell r="G1889" t="str">
            <v>ASV15083</v>
          </cell>
          <cell r="H1889" t="str">
            <v>g__Chryseobacterium</v>
          </cell>
          <cell r="I1889" t="str">
            <v>s__unclassified_g__Chryseobacterium</v>
          </cell>
        </row>
        <row r="1890">
          <cell r="G1890" t="str">
            <v>ASV11146</v>
          </cell>
          <cell r="H1890" t="str">
            <v>g__Selenomonas</v>
          </cell>
          <cell r="I1890" t="str">
            <v>s__uncultured_Veillonellaceae_bacterium_g__Selenomonas</v>
          </cell>
        </row>
        <row r="1891">
          <cell r="G1891" t="str">
            <v>ASV8407</v>
          </cell>
          <cell r="H1891" t="str">
            <v>g__unclassified_f__Prevotellaceae</v>
          </cell>
          <cell r="I1891" t="str">
            <v>s__unclassified_f__Prevotellaceae</v>
          </cell>
        </row>
        <row r="1892">
          <cell r="G1892" t="str">
            <v>ASV3014</v>
          </cell>
          <cell r="H1892" t="str">
            <v>g__Pseudomonas</v>
          </cell>
          <cell r="I1892" t="str">
            <v>s__unclassified_g__Pseudomonas</v>
          </cell>
        </row>
        <row r="1893">
          <cell r="G1893" t="str">
            <v>ASV8910</v>
          </cell>
          <cell r="H1893" t="str">
            <v>g__unclassified_o__Bacteroidales</v>
          </cell>
          <cell r="I1893" t="str">
            <v>s__unclassified_o__Bacteroidales</v>
          </cell>
        </row>
        <row r="1894">
          <cell r="G1894" t="str">
            <v>ASV7443</v>
          </cell>
          <cell r="H1894" t="str">
            <v>g__Clostridium_sensu_stricto_1</v>
          </cell>
          <cell r="I1894" t="str">
            <v>s__uncultured_bacterium_g__Clostridium_sensu_stricto_1</v>
          </cell>
        </row>
        <row r="1895">
          <cell r="G1895" t="str">
            <v>ASV16206</v>
          </cell>
          <cell r="H1895" t="str">
            <v>g__Bacteroides</v>
          </cell>
          <cell r="I1895" t="str">
            <v>s__uncultured_bacterium_g__Bacteroides</v>
          </cell>
        </row>
        <row r="1896">
          <cell r="G1896" t="str">
            <v>ASV5746</v>
          </cell>
          <cell r="H1896" t="str">
            <v>g__norank_f__norank_o__Clostridia_vadinBB60_group</v>
          </cell>
          <cell r="I1896" t="str">
            <v>s__gut_metagenome_g__norank_f__norank</v>
          </cell>
        </row>
        <row r="1897">
          <cell r="G1897" t="str">
            <v>ASV7290</v>
          </cell>
          <cell r="H1897" t="str">
            <v>g__Parabacteroides</v>
          </cell>
          <cell r="I1897" t="str">
            <v>s__Porphyromonadaceae_bacterium_DJF_B175</v>
          </cell>
        </row>
        <row r="1898">
          <cell r="G1898" t="str">
            <v>ASV12511</v>
          </cell>
          <cell r="H1898" t="str">
            <v>g__Prevotellaceae_UCG-003</v>
          </cell>
          <cell r="I1898" t="str">
            <v>s__unclassified_g__Prevotellaceae_UCG-003</v>
          </cell>
        </row>
        <row r="1899">
          <cell r="G1899" t="str">
            <v>ASV9131</v>
          </cell>
          <cell r="H1899" t="str">
            <v>g__norank_f__Muribaculaceae</v>
          </cell>
          <cell r="I1899" t="str">
            <v>s__uncultured_bacterium_g__norank_f__Muribaculaceae</v>
          </cell>
        </row>
        <row r="1900">
          <cell r="G1900" t="str">
            <v>ASV13871</v>
          </cell>
          <cell r="H1900" t="str">
            <v>g__Christensenellaceae_R-7_group</v>
          </cell>
          <cell r="I1900" t="str">
            <v>s__unclassified_g__Christensenellaceae_R-7_group</v>
          </cell>
        </row>
        <row r="1901">
          <cell r="G1901" t="str">
            <v>ASV2733</v>
          </cell>
          <cell r="H1901" t="str">
            <v>g__Megasphaera</v>
          </cell>
          <cell r="I1901" t="str">
            <v>s__unclassified_g__Megasphaera</v>
          </cell>
        </row>
        <row r="1902">
          <cell r="G1902" t="str">
            <v>ASV18482</v>
          </cell>
          <cell r="H1902" t="str">
            <v>g__unclassified_f__Lachnospiraceae</v>
          </cell>
          <cell r="I1902" t="str">
            <v>s__unclassified_f__Lachnospiraceae</v>
          </cell>
        </row>
        <row r="1903">
          <cell r="G1903" t="str">
            <v>ASV17138</v>
          </cell>
          <cell r="H1903" t="str">
            <v>g__Deinococcus</v>
          </cell>
          <cell r="I1903" t="str">
            <v>s__unclassified_g__Deinococcus</v>
          </cell>
        </row>
        <row r="1904">
          <cell r="G1904" t="str">
            <v>ASV20509</v>
          </cell>
          <cell r="H1904" t="str">
            <v>g__Christensenellaceae_R-7_group</v>
          </cell>
          <cell r="I1904" t="str">
            <v>s__uncultured_bacterium_g__Christensenellaceae_R-7_group</v>
          </cell>
        </row>
        <row r="1905">
          <cell r="G1905" t="str">
            <v>ASV8931</v>
          </cell>
          <cell r="H1905" t="str">
            <v>g__Cellulosilyticum</v>
          </cell>
          <cell r="I1905" t="str">
            <v>s__uncultured_Cellulosilyticum_sp._g__Cellulosilyticum</v>
          </cell>
        </row>
        <row r="1906">
          <cell r="G1906" t="str">
            <v>ASV8801</v>
          </cell>
          <cell r="H1906" t="str">
            <v>g__Eubacterium_nodatum_group</v>
          </cell>
          <cell r="I1906" t="str">
            <v>s__unclassified_g__Eubacterium_nodatum_group</v>
          </cell>
        </row>
        <row r="1907">
          <cell r="G1907" t="str">
            <v>ASV17694</v>
          </cell>
          <cell r="H1907" t="str">
            <v>g__Cloacibacillus</v>
          </cell>
          <cell r="I1907" t="str">
            <v>s__unclassified_g__Cloacibacillus</v>
          </cell>
        </row>
        <row r="1908">
          <cell r="G1908" t="str">
            <v>ASV16815</v>
          </cell>
          <cell r="H1908" t="str">
            <v>g__Parabacteroides</v>
          </cell>
          <cell r="I1908" t="str">
            <v>s__uncultured_bacterium_g__Parabacteroides</v>
          </cell>
        </row>
        <row r="1909">
          <cell r="G1909" t="str">
            <v>ASV11123</v>
          </cell>
          <cell r="H1909" t="str">
            <v>g__Christensenellaceae_R-7_group</v>
          </cell>
          <cell r="I1909" t="str">
            <v>s__uncultured_prokaryote_g__Christensenellaceae_R-7_group</v>
          </cell>
        </row>
        <row r="1910">
          <cell r="G1910" t="str">
            <v>ASV4500</v>
          </cell>
          <cell r="H1910" t="str">
            <v>g__unclassified_f__Lachnospiraceae</v>
          </cell>
          <cell r="I1910" t="str">
            <v>s__unclassified_f__Lachnospiraceae</v>
          </cell>
        </row>
        <row r="1911">
          <cell r="G1911" t="str">
            <v>ASV11009</v>
          </cell>
          <cell r="H1911" t="str">
            <v>g__Bacteroides</v>
          </cell>
          <cell r="I1911" t="str">
            <v>s__unclassified_g__Bacteroides</v>
          </cell>
        </row>
        <row r="1912">
          <cell r="G1912" t="str">
            <v>ASV7415</v>
          </cell>
          <cell r="H1912" t="str">
            <v>g__Corynebacterium</v>
          </cell>
          <cell r="I1912" t="str">
            <v>s__unclassified_g__Corynebacterium</v>
          </cell>
        </row>
        <row r="1913">
          <cell r="G1913" t="str">
            <v>ASV4419</v>
          </cell>
          <cell r="H1913" t="str">
            <v>g__Christensenellaceae_R-7_group</v>
          </cell>
          <cell r="I1913" t="str">
            <v>s__unclassified_g__Christensenellaceae_R-7_group</v>
          </cell>
        </row>
        <row r="1914">
          <cell r="G1914" t="str">
            <v>ASV9951</v>
          </cell>
          <cell r="H1914" t="str">
            <v>g__Cellulosilyticum</v>
          </cell>
          <cell r="I1914" t="str">
            <v>s__uncultured_bacterium_g__Cellulosilyticum</v>
          </cell>
        </row>
        <row r="1915">
          <cell r="G1915" t="str">
            <v>ASV9249</v>
          </cell>
          <cell r="H1915" t="str">
            <v>g__UCG-009</v>
          </cell>
          <cell r="I1915" t="str">
            <v>s__uncultured_organism_g__UCG-009</v>
          </cell>
        </row>
        <row r="1916">
          <cell r="G1916" t="str">
            <v>ASV3786</v>
          </cell>
          <cell r="H1916" t="str">
            <v>g__Bilophila</v>
          </cell>
          <cell r="I1916" t="str">
            <v>s__uncultured_delta_proteobacterium_g__Bilophila</v>
          </cell>
        </row>
        <row r="1917">
          <cell r="G1917" t="str">
            <v>ASV17695</v>
          </cell>
          <cell r="H1917" t="str">
            <v>g__norank_f__Flavobacteriaceae</v>
          </cell>
          <cell r="I1917" t="str">
            <v>s__gut_metagenome_g__norank_f__Flavobacteriaceae</v>
          </cell>
        </row>
        <row r="1918">
          <cell r="G1918" t="str">
            <v>ASV2748</v>
          </cell>
          <cell r="H1918" t="str">
            <v>g__unclassified_f__Lachnospiraceae</v>
          </cell>
          <cell r="I1918" t="str">
            <v>s__unclassified_f__Lachnospiraceae</v>
          </cell>
        </row>
        <row r="1919">
          <cell r="G1919" t="str">
            <v>ASV11121</v>
          </cell>
          <cell r="H1919" t="str">
            <v>g__Moryella</v>
          </cell>
          <cell r="I1919" t="str">
            <v>s__human_gut_metagenome_g__Moryella</v>
          </cell>
        </row>
        <row r="1920">
          <cell r="G1920" t="str">
            <v>ASV23809</v>
          </cell>
          <cell r="H1920" t="str">
            <v>g__Lactobacillus</v>
          </cell>
          <cell r="I1920" t="str">
            <v>s__unclassified_g__Lactobacillus</v>
          </cell>
        </row>
        <row r="1921">
          <cell r="G1921" t="str">
            <v>ASV1709</v>
          </cell>
          <cell r="H1921" t="str">
            <v>g__unclassified_f__Eggerthellaceae</v>
          </cell>
          <cell r="I1921" t="str">
            <v>s__unclassified_f__Eggerthellaceae</v>
          </cell>
        </row>
        <row r="1922">
          <cell r="G1922" t="str">
            <v>ASV7252</v>
          </cell>
          <cell r="H1922" t="str">
            <v>g__Alloprevotella</v>
          </cell>
          <cell r="I1922" t="str">
            <v>s__uncultured_bacterium_g__Alloprevotella</v>
          </cell>
        </row>
        <row r="1923">
          <cell r="G1923" t="str">
            <v>ASV7197</v>
          </cell>
          <cell r="H1923" t="str">
            <v>g__Dietzia</v>
          </cell>
          <cell r="I1923" t="str">
            <v>s__Dietzia_maris</v>
          </cell>
        </row>
        <row r="1924">
          <cell r="G1924" t="str">
            <v>ASV15133</v>
          </cell>
          <cell r="H1924" t="str">
            <v>g__Christensenellaceae_R-7_group</v>
          </cell>
          <cell r="I1924" t="str">
            <v>s__unclassified_g__Christensenellaceae_R-7_group</v>
          </cell>
        </row>
        <row r="1925">
          <cell r="G1925" t="str">
            <v>ASV14983</v>
          </cell>
          <cell r="H1925" t="str">
            <v>g__Devosia</v>
          </cell>
          <cell r="I1925" t="str">
            <v>s__unclassified_g__Devosia</v>
          </cell>
        </row>
        <row r="1926">
          <cell r="G1926" t="str">
            <v>ASV21782</v>
          </cell>
          <cell r="H1926" t="str">
            <v>g__unclassified_o__Oscillospirales</v>
          </cell>
          <cell r="I1926" t="str">
            <v>s__unclassified_o__Oscillospirales</v>
          </cell>
        </row>
        <row r="1927">
          <cell r="G1927" t="str">
            <v>ASV4416</v>
          </cell>
          <cell r="H1927" t="str">
            <v>g__unclassified_f__Ruminococcaceae</v>
          </cell>
          <cell r="I1927" t="str">
            <v>s__unclassified_f__Ruminococcaceae</v>
          </cell>
        </row>
        <row r="1928">
          <cell r="G1928" t="str">
            <v>ASV21781</v>
          </cell>
          <cell r="H1928" t="str">
            <v>g__unclassified_f__Lachnospiraceae</v>
          </cell>
          <cell r="I1928" t="str">
            <v>s__unclassified_f__Lachnospiraceae</v>
          </cell>
        </row>
        <row r="1929">
          <cell r="G1929" t="str">
            <v>ASV3771</v>
          </cell>
          <cell r="H1929" t="str">
            <v>g__Synergistes</v>
          </cell>
          <cell r="I1929" t="str">
            <v>s__uncultured_organism_g__Synergistes</v>
          </cell>
        </row>
        <row r="1930">
          <cell r="G1930" t="str">
            <v>ASV13236</v>
          </cell>
          <cell r="H1930" t="str">
            <v>g__Christensenellaceae_R-7_group</v>
          </cell>
          <cell r="I1930" t="str">
            <v>s__unclassified_g__Christensenellaceae_R-7_group</v>
          </cell>
        </row>
        <row r="1931">
          <cell r="G1931" t="str">
            <v>ASV7178</v>
          </cell>
          <cell r="H1931" t="str">
            <v>g__Monoglobus</v>
          </cell>
          <cell r="I1931" t="str">
            <v>s__uncultured_bacterium_g__Monoglobus</v>
          </cell>
        </row>
        <row r="1932">
          <cell r="G1932" t="str">
            <v>ASV9923</v>
          </cell>
          <cell r="H1932" t="str">
            <v>g__Prevotella</v>
          </cell>
          <cell r="I1932" t="str">
            <v>s__unclassified_g__Prevotella</v>
          </cell>
        </row>
        <row r="1933">
          <cell r="G1933" t="str">
            <v>ASV4418</v>
          </cell>
          <cell r="H1933" t="str">
            <v>g__Christensenellaceae_R-7_group</v>
          </cell>
          <cell r="I1933" t="str">
            <v>s__unclassified_g__Christensenellaceae_R-7_group</v>
          </cell>
        </row>
        <row r="1934">
          <cell r="G1934" t="str">
            <v>ASV1796</v>
          </cell>
          <cell r="H1934" t="str">
            <v>g__norank_f__Ruminococcaceae</v>
          </cell>
          <cell r="I1934" t="str">
            <v>s__Ruminococcaceae_bacterium_Marseille-P3738</v>
          </cell>
        </row>
        <row r="1935">
          <cell r="G1935" t="str">
            <v>ASV4687</v>
          </cell>
          <cell r="H1935" t="str">
            <v>g__norank_f__norank_o__norank_c__Clostridia</v>
          </cell>
          <cell r="I1935" t="str">
            <v>s__unclassified_g__norank_f__norank_o__norank_c__Clostridia</v>
          </cell>
        </row>
        <row r="1936">
          <cell r="G1936" t="str">
            <v>ASV4417</v>
          </cell>
          <cell r="H1936" t="str">
            <v>g__UCG-002</v>
          </cell>
          <cell r="I1936" t="str">
            <v>s__uncultured_bacterium_g__UCG-002</v>
          </cell>
        </row>
        <row r="1937">
          <cell r="G1937" t="str">
            <v>ASV15173</v>
          </cell>
          <cell r="H1937" t="str">
            <v>g__Parabacteroides</v>
          </cell>
          <cell r="I1937" t="str">
            <v>s__Porphyromonadaceae_bacterium_DJF_B175</v>
          </cell>
        </row>
        <row r="1938">
          <cell r="G1938" t="str">
            <v>ASV9935</v>
          </cell>
          <cell r="H1938" t="str">
            <v>g__Ruminococcus</v>
          </cell>
          <cell r="I1938" t="str">
            <v>s__unclassified_g__Ruminococcus</v>
          </cell>
        </row>
        <row r="1939">
          <cell r="G1939" t="str">
            <v>ASV20362</v>
          </cell>
          <cell r="H1939" t="str">
            <v>g__Flavobacterium</v>
          </cell>
          <cell r="I1939" t="str">
            <v>s__Flavobacterium_sp._B202</v>
          </cell>
        </row>
        <row r="1940">
          <cell r="G1940" t="str">
            <v>ASV2704</v>
          </cell>
          <cell r="H1940" t="str">
            <v>g__Actinomyces</v>
          </cell>
          <cell r="I1940" t="str">
            <v>s__Actinomyces_slackii_g__Actinomyces</v>
          </cell>
        </row>
        <row r="1941">
          <cell r="G1941" t="str">
            <v>ASV5499</v>
          </cell>
          <cell r="H1941" t="str">
            <v>g__unclassified_c__Clostridia</v>
          </cell>
          <cell r="I1941" t="str">
            <v>s__unclassified_c__Clostridia</v>
          </cell>
        </row>
        <row r="1942">
          <cell r="G1942" t="str">
            <v>ASV7286</v>
          </cell>
          <cell r="H1942" t="str">
            <v>g__Burkholderia-Caballeronia-Paraburkholderia</v>
          </cell>
          <cell r="I1942" t="str">
            <v>s__unclassified_g__Burkholderia-Caballeronia-Paraburkholderia</v>
          </cell>
        </row>
        <row r="1943">
          <cell r="G1943" t="str">
            <v>ASV11122</v>
          </cell>
          <cell r="H1943" t="str">
            <v>g__norank_f__Muribaculaceae</v>
          </cell>
          <cell r="I1943" t="str">
            <v>s__unclassified_g__norank_f__Muribaculaceae</v>
          </cell>
        </row>
        <row r="1944">
          <cell r="G1944" t="str">
            <v>ASV10382</v>
          </cell>
          <cell r="H1944" t="str">
            <v>g__unclassified_f__Lachnospiraceae</v>
          </cell>
          <cell r="I1944" t="str">
            <v>s__unclassified_f__Lachnospiraceae</v>
          </cell>
        </row>
        <row r="1945">
          <cell r="G1945" t="str">
            <v>ASV4538</v>
          </cell>
          <cell r="H1945" t="str">
            <v>g__unclassified_f__Prevotellaceae</v>
          </cell>
          <cell r="I1945" t="str">
            <v>s__unclassified_f__Prevotellaceae</v>
          </cell>
        </row>
        <row r="1946">
          <cell r="G1946" t="str">
            <v>ASV17131</v>
          </cell>
          <cell r="H1946" t="str">
            <v>g__Clostridium_sensu_stricto_1</v>
          </cell>
          <cell r="I1946" t="str">
            <v>s__unclassified_g__Clostridium_sensu_stricto_1</v>
          </cell>
        </row>
        <row r="1947">
          <cell r="G1947" t="str">
            <v>ASV9982</v>
          </cell>
          <cell r="H1947" t="str">
            <v>g__Candidatus_Soleaferrea</v>
          </cell>
          <cell r="I1947" t="str">
            <v>s__uncultured_bacterium_g__Candidatus_Soleaferrea</v>
          </cell>
        </row>
        <row r="1948">
          <cell r="G1948" t="str">
            <v>ASV11127</v>
          </cell>
          <cell r="H1948" t="str">
            <v>g__Family_XIII_AD3011_group</v>
          </cell>
          <cell r="I1948" t="str">
            <v>s__unclassified_g__Family_XIII_AD3011_group</v>
          </cell>
        </row>
        <row r="1949">
          <cell r="G1949" t="str">
            <v>ASV11126</v>
          </cell>
          <cell r="H1949" t="str">
            <v>g__Escherichia-Shigella</v>
          </cell>
          <cell r="I1949" t="str">
            <v>s__unclassified_g__Escherichia-Shigella</v>
          </cell>
        </row>
        <row r="1950">
          <cell r="G1950" t="str">
            <v>ASV14981</v>
          </cell>
          <cell r="H1950" t="str">
            <v>g__Parabacteroides</v>
          </cell>
          <cell r="I1950" t="str">
            <v>s__uncultured_bacterium_g__Parabacteroides</v>
          </cell>
        </row>
        <row r="1951">
          <cell r="G1951" t="str">
            <v>ASV5500</v>
          </cell>
          <cell r="H1951" t="str">
            <v>g__Christensenellaceae_R-7_group</v>
          </cell>
          <cell r="I1951" t="str">
            <v>s__uncultured_prokaryote_g__Christensenellaceae_R-7_group</v>
          </cell>
        </row>
        <row r="1952">
          <cell r="G1952" t="str">
            <v>ASV2998</v>
          </cell>
          <cell r="H1952" t="str">
            <v>g__unclassified_o__Micrococcales</v>
          </cell>
          <cell r="I1952" t="str">
            <v>s__unclassified_o__Micrococcales</v>
          </cell>
        </row>
        <row r="1953">
          <cell r="G1953" t="str">
            <v>ASV20363</v>
          </cell>
          <cell r="H1953" t="str">
            <v>g__Pseudoxanthomonas</v>
          </cell>
          <cell r="I1953" t="str">
            <v>s__Pseudoxanthomonas_mexicana</v>
          </cell>
        </row>
        <row r="1954">
          <cell r="G1954" t="str">
            <v>ASV1922</v>
          </cell>
          <cell r="H1954" t="str">
            <v>g__Agathobacter</v>
          </cell>
          <cell r="I1954" t="str">
            <v>s__unclassified_g__Agathobacter</v>
          </cell>
        </row>
        <row r="1955">
          <cell r="G1955" t="str">
            <v>ASV2791</v>
          </cell>
          <cell r="H1955" t="str">
            <v>g__Luteococcus</v>
          </cell>
          <cell r="I1955" t="str">
            <v>s__Luteococcus_japonicus</v>
          </cell>
        </row>
        <row r="1956">
          <cell r="G1956" t="str">
            <v>ASV1439</v>
          </cell>
          <cell r="H1956" t="str">
            <v>g__norank_f__norank_o__Clostridia_UCG-014</v>
          </cell>
          <cell r="I1956" t="str">
            <v>s__unclassified_g__norank_f__norank_o__Clostridia_UCG-014</v>
          </cell>
        </row>
        <row r="1957">
          <cell r="G1957" t="str">
            <v>ASV13763</v>
          </cell>
          <cell r="H1957" t="str">
            <v>g__Klebsiella</v>
          </cell>
          <cell r="I1957" t="str">
            <v>s__unclassified_g__Klebsiella</v>
          </cell>
        </row>
        <row r="1958">
          <cell r="G1958" t="str">
            <v>ASV3775</v>
          </cell>
          <cell r="H1958" t="str">
            <v>g__Cloacibacillus</v>
          </cell>
          <cell r="I1958" t="str">
            <v>s__unclassified_g__Cloacibacillus</v>
          </cell>
        </row>
        <row r="1959">
          <cell r="G1959" t="str">
            <v>ASV7171</v>
          </cell>
          <cell r="H1959" t="str">
            <v>g__Carnobacterium</v>
          </cell>
          <cell r="I1959" t="str">
            <v>s__unclassified_g__Carnobacterium</v>
          </cell>
        </row>
        <row r="1960">
          <cell r="G1960" t="str">
            <v>ASV2162</v>
          </cell>
          <cell r="H1960" t="str">
            <v>g__unclassified_f__Lachnospiraceae</v>
          </cell>
          <cell r="I1960" t="str">
            <v>s__unclassified_f__Lachnospiraceae</v>
          </cell>
        </row>
        <row r="1961">
          <cell r="G1961" t="str">
            <v>ASV8797</v>
          </cell>
          <cell r="H1961" t="str">
            <v>g__unclassified_k__norank_d__Bacteria</v>
          </cell>
          <cell r="I1961" t="str">
            <v>s__unclassified_k__norank_d__Bacteria</v>
          </cell>
        </row>
        <row r="1962">
          <cell r="G1962" t="str">
            <v>ASV5513</v>
          </cell>
          <cell r="H1962" t="str">
            <v>g__norank_f__UCG-010</v>
          </cell>
          <cell r="I1962" t="str">
            <v>s__uncultured_bacterium_g__norank_f__UCG-010</v>
          </cell>
        </row>
        <row r="1963">
          <cell r="G1963" t="str">
            <v>ASV3584</v>
          </cell>
          <cell r="H1963" t="str">
            <v>g__Prevotella</v>
          </cell>
          <cell r="I1963" t="str">
            <v>s__unclassified_g__Prevotella</v>
          </cell>
        </row>
        <row r="1964">
          <cell r="G1964" t="str">
            <v>ASV10775</v>
          </cell>
          <cell r="H1964" t="str">
            <v>g__unclassified_f__Ruminococcaceae</v>
          </cell>
          <cell r="I1964" t="str">
            <v>s__unclassified_f__Ruminococcaceae</v>
          </cell>
        </row>
        <row r="1965">
          <cell r="G1965" t="str">
            <v>ASV10385</v>
          </cell>
          <cell r="H1965" t="str">
            <v>g__Peptococcus</v>
          </cell>
          <cell r="I1965" t="str">
            <v>s__uncultured_bacterium_g__Peptococcus</v>
          </cell>
        </row>
        <row r="1966">
          <cell r="G1966" t="str">
            <v>ASV7445</v>
          </cell>
          <cell r="H1966" t="str">
            <v>g__Bacillus</v>
          </cell>
          <cell r="I1966" t="str">
            <v>s__Lactobacillus_vaginalis_g__Bacillus</v>
          </cell>
        </row>
        <row r="1967">
          <cell r="G1967" t="str">
            <v>ASV22999</v>
          </cell>
          <cell r="H1967" t="str">
            <v>g__unclassified_f__Oscillospiraceae</v>
          </cell>
          <cell r="I1967" t="str">
            <v>s__unclassified_f__Oscillospiraceae</v>
          </cell>
        </row>
        <row r="1968">
          <cell r="G1968" t="str">
            <v>ASV2601</v>
          </cell>
          <cell r="H1968" t="str">
            <v>g__Cellulosilyticum</v>
          </cell>
          <cell r="I1968" t="str">
            <v>s__unclassified_g__Cellulosilyticum</v>
          </cell>
        </row>
        <row r="1969">
          <cell r="G1969" t="str">
            <v>ASV4421</v>
          </cell>
          <cell r="H1969" t="str">
            <v>g__Treponema</v>
          </cell>
          <cell r="I1969" t="str">
            <v>s__Treponema_porcinum</v>
          </cell>
        </row>
        <row r="1970">
          <cell r="G1970" t="str">
            <v>ASV11125</v>
          </cell>
          <cell r="H1970" t="str">
            <v>g__unclassified_f__Oscillospiraceae</v>
          </cell>
          <cell r="I1970" t="str">
            <v>s__unclassified_f__Oscillospiraceae</v>
          </cell>
        </row>
        <row r="1971">
          <cell r="G1971" t="str">
            <v>ASV806</v>
          </cell>
          <cell r="H1971" t="str">
            <v>g__norank_f__Muribaculaceae</v>
          </cell>
          <cell r="I1971" t="str">
            <v>s__uncultured_bacterium_g__norank_f__Muribaculaceae</v>
          </cell>
        </row>
        <row r="1972">
          <cell r="G1972" t="str">
            <v>ASV13669</v>
          </cell>
          <cell r="H1972" t="str">
            <v>g__unclassified_p__Firmicutes</v>
          </cell>
          <cell r="I1972" t="str">
            <v>s__unclassified_p__Firmicutes</v>
          </cell>
        </row>
        <row r="1973">
          <cell r="G1973" t="str">
            <v>ASV23748</v>
          </cell>
          <cell r="H1973" t="str">
            <v>g__Christensenellaceae_R-7_group</v>
          </cell>
          <cell r="I1973" t="str">
            <v>s__unclassified_g__Christensenellaceae_R-7_group</v>
          </cell>
        </row>
        <row r="1974">
          <cell r="G1974" t="str">
            <v>ASV8688</v>
          </cell>
          <cell r="H1974" t="str">
            <v>g__Actinobacillus</v>
          </cell>
          <cell r="I1974" t="str">
            <v>s__unclassified_g__Actinobacillus</v>
          </cell>
        </row>
        <row r="1975">
          <cell r="G1975" t="str">
            <v>ASV11124</v>
          </cell>
          <cell r="H1975" t="str">
            <v>g__unclassified_f__Oscillospiraceae</v>
          </cell>
          <cell r="I1975" t="str">
            <v>s__unclassified_f__Oscillospiraceae</v>
          </cell>
        </row>
        <row r="1976">
          <cell r="G1976" t="str">
            <v>ASV18741</v>
          </cell>
          <cell r="H1976" t="str">
            <v>g__Mobilicoccus</v>
          </cell>
          <cell r="I1976" t="str">
            <v>s__unclassified_g__Mobilicoccus</v>
          </cell>
        </row>
        <row r="1977">
          <cell r="G1977" t="str">
            <v>ASV3000</v>
          </cell>
          <cell r="H1977" t="str">
            <v>g__norank_f__norank_o__RF39</v>
          </cell>
          <cell r="I1977" t="str">
            <v>s__uncultured_bacterium_g__norank_f__norank_o__RF39</v>
          </cell>
        </row>
        <row r="1978">
          <cell r="G1978" t="str">
            <v>ASV2561</v>
          </cell>
          <cell r="H1978" t="str">
            <v>g__norank_f__UCG-010</v>
          </cell>
          <cell r="I1978" t="str">
            <v>s__unclassified_g__norank_f__UCG-010</v>
          </cell>
        </row>
        <row r="1979">
          <cell r="G1979" t="str">
            <v>ASV8697</v>
          </cell>
          <cell r="H1979" t="str">
            <v>g__Granulicatella</v>
          </cell>
          <cell r="I1979" t="str">
            <v>s__unclassified_g__Granulicatella</v>
          </cell>
        </row>
        <row r="1980">
          <cell r="G1980" t="str">
            <v>ASV13872</v>
          </cell>
          <cell r="H1980" t="str">
            <v>g__Prevotella</v>
          </cell>
          <cell r="I1980" t="str">
            <v>s__unclassified_g__Prevotella</v>
          </cell>
        </row>
        <row r="1981">
          <cell r="G1981" t="str">
            <v>ASV2974</v>
          </cell>
          <cell r="H1981" t="str">
            <v>g__Globicatella</v>
          </cell>
          <cell r="I1981" t="str">
            <v>s__uncultured_bacterium_g__Globicatella</v>
          </cell>
        </row>
        <row r="1982">
          <cell r="G1982" t="str">
            <v>ASV3772</v>
          </cell>
          <cell r="H1982" t="str">
            <v>g__norank_f__Synergistaceae</v>
          </cell>
          <cell r="I1982" t="str">
            <v>s__uncultured_bacterium_g__norank_f__Synergistaceae</v>
          </cell>
        </row>
        <row r="1983">
          <cell r="G1983" t="str">
            <v>ASV13850</v>
          </cell>
          <cell r="H1983" t="str">
            <v>g__Marvinbryantia</v>
          </cell>
          <cell r="I1983" t="str">
            <v>s__unclassified_g__Marvinbryantia</v>
          </cell>
        </row>
        <row r="1984">
          <cell r="G1984" t="str">
            <v>ASV8333</v>
          </cell>
          <cell r="H1984" t="str">
            <v>g__Actinomyces</v>
          </cell>
          <cell r="I1984" t="str">
            <v>s__Actinomyces_slackii_g__Actinomyces</v>
          </cell>
        </row>
        <row r="1985">
          <cell r="G1985" t="str">
            <v>ASV4420</v>
          </cell>
          <cell r="H1985" t="str">
            <v>g__UCG-002</v>
          </cell>
          <cell r="I1985" t="str">
            <v>s__uncultured_bacterium_g__UCG-002</v>
          </cell>
        </row>
        <row r="1986">
          <cell r="G1986" t="str">
            <v>ASV12497</v>
          </cell>
          <cell r="H1986" t="str">
            <v>g__unclassified_f__Peptostreptococcaceae</v>
          </cell>
          <cell r="I1986" t="str">
            <v>s__unclassified_f__Peptostreptococcaceae</v>
          </cell>
        </row>
        <row r="1987">
          <cell r="G1987" t="str">
            <v>ASV9133</v>
          </cell>
          <cell r="H1987" t="str">
            <v>g__unclassified_f__Peptostreptococcaceae</v>
          </cell>
          <cell r="I1987" t="str">
            <v>s__unclassified_f__Peptostreptococcaceae</v>
          </cell>
        </row>
        <row r="1988">
          <cell r="G1988" t="str">
            <v>ASV15141</v>
          </cell>
          <cell r="H1988" t="str">
            <v>g__UCG-007</v>
          </cell>
          <cell r="I1988" t="str">
            <v>s__unclassified_g__UCG-007</v>
          </cell>
        </row>
        <row r="1989">
          <cell r="G1989" t="str">
            <v>ASV23749</v>
          </cell>
          <cell r="H1989" t="str">
            <v>g__unclassified_f__Anaerovoracaceae</v>
          </cell>
          <cell r="I1989" t="str">
            <v>s__unclassified_f__Anaerovoracaceae</v>
          </cell>
        </row>
        <row r="1990">
          <cell r="G1990" t="str">
            <v>ASV4425</v>
          </cell>
          <cell r="H1990" t="str">
            <v>g__unclassified_f__Peptostreptococcaceae</v>
          </cell>
          <cell r="I1990" t="str">
            <v>s__unclassified_f__Peptostreptococcaceae</v>
          </cell>
        </row>
        <row r="1991">
          <cell r="G1991" t="str">
            <v>ASV2715</v>
          </cell>
          <cell r="H1991" t="str">
            <v>g__Selenomonas</v>
          </cell>
          <cell r="I1991" t="str">
            <v>s__bacterium_mpn-isolate_group_9</v>
          </cell>
        </row>
        <row r="1992">
          <cell r="G1992" t="str">
            <v>ASV2660</v>
          </cell>
          <cell r="H1992" t="str">
            <v>g__Lactobacillus</v>
          </cell>
          <cell r="I1992" t="str">
            <v>s__unclassified_g__Lactobacillus</v>
          </cell>
        </row>
        <row r="1993">
          <cell r="G1993" t="str">
            <v>ASV21784</v>
          </cell>
          <cell r="H1993" t="str">
            <v>g__unclassified_c__Bacilli</v>
          </cell>
          <cell r="I1993" t="str">
            <v>s__unclassified_c__Bacilli</v>
          </cell>
        </row>
        <row r="1994">
          <cell r="G1994" t="str">
            <v>ASV16207</v>
          </cell>
          <cell r="H1994" t="str">
            <v>g__unclassified_f__Peptostreptococcaceae</v>
          </cell>
          <cell r="I1994" t="str">
            <v>s__unclassified_f__Peptostreptococcaceae</v>
          </cell>
        </row>
        <row r="1995">
          <cell r="G1995" t="str">
            <v>ASV11131</v>
          </cell>
          <cell r="H1995" t="str">
            <v>g__unclassified_f__Lachnospiraceae</v>
          </cell>
          <cell r="I1995" t="str">
            <v>s__unclassified_f__Lachnospiraceae</v>
          </cell>
        </row>
        <row r="1996">
          <cell r="G1996" t="str">
            <v>ASV1884</v>
          </cell>
          <cell r="H1996" t="str">
            <v>g__norank_f__Muribaculaceae</v>
          </cell>
          <cell r="I1996" t="str">
            <v>s__uncultured_bacterium_g__norank_f__Muribaculaceae</v>
          </cell>
        </row>
        <row r="1997">
          <cell r="G1997" t="str">
            <v>ASV3799</v>
          </cell>
          <cell r="H1997" t="str">
            <v>g__Alistipes</v>
          </cell>
          <cell r="I1997" t="str">
            <v>s__Alistipes_sp._cv1</v>
          </cell>
        </row>
        <row r="1998">
          <cell r="G1998" t="str">
            <v>ASV13873</v>
          </cell>
          <cell r="H1998" t="str">
            <v>g__Lactobacillus</v>
          </cell>
          <cell r="I1998" t="str">
            <v>s__unclassified_g__Lactobacillus</v>
          </cell>
        </row>
        <row r="1999">
          <cell r="G1999" t="str">
            <v>ASV23001</v>
          </cell>
          <cell r="H1999" t="str">
            <v>g__unclassified_f__Peptostreptococcaceae</v>
          </cell>
          <cell r="I1999" t="str">
            <v>s__unclassified_f__Peptostreptococcaceae</v>
          </cell>
        </row>
        <row r="2000">
          <cell r="G2000" t="str">
            <v>ASV3920</v>
          </cell>
          <cell r="H2000" t="str">
            <v>g__unclassified_f__Ruminococcaceae</v>
          </cell>
          <cell r="I2000" t="str">
            <v>s__unclassified_f__Ruminococcaceae</v>
          </cell>
        </row>
        <row r="2001">
          <cell r="G2001" t="str">
            <v>ASV7448</v>
          </cell>
          <cell r="H2001" t="str">
            <v>g__Lactobacillus</v>
          </cell>
          <cell r="I2001" t="str">
            <v>s__unclassified_g__Lactobacillus</v>
          </cell>
        </row>
        <row r="2002">
          <cell r="G2002" t="str">
            <v>ASV8412</v>
          </cell>
          <cell r="H2002" t="str">
            <v>g__unclassified_f__Prevotellaceae</v>
          </cell>
          <cell r="I2002" t="str">
            <v>s__unclassified_f__Prevotellaceae</v>
          </cell>
        </row>
        <row r="2003">
          <cell r="G2003" t="str">
            <v>ASV5541</v>
          </cell>
          <cell r="H2003" t="str">
            <v>g__Cloacibacillus</v>
          </cell>
          <cell r="I2003" t="str">
            <v>s__unclassified_g__Cloacibacillus</v>
          </cell>
        </row>
        <row r="2004">
          <cell r="G2004" t="str">
            <v>ASV11435</v>
          </cell>
          <cell r="H2004" t="str">
            <v>g__norank_f__norank_o__Clostridia_UCG-014</v>
          </cell>
          <cell r="I2004" t="str">
            <v>s__unclassified_g__norank_f__norank_o__Clostridia_UCG-014</v>
          </cell>
        </row>
        <row r="2005">
          <cell r="G2005" t="str">
            <v>ASV10493</v>
          </cell>
          <cell r="H2005" t="str">
            <v>g__Christensenellaceae_R-7_group</v>
          </cell>
          <cell r="I2005" t="str">
            <v>s__unclassified_g__Christensenellaceae_R-7_group</v>
          </cell>
        </row>
        <row r="2006">
          <cell r="G2006" t="str">
            <v>ASV3773</v>
          </cell>
          <cell r="H2006" t="str">
            <v>g__Cloacibacillus</v>
          </cell>
          <cell r="I2006" t="str">
            <v>s__unclassified_g__Cloacibacillus</v>
          </cell>
        </row>
        <row r="2007">
          <cell r="G2007" t="str">
            <v>ASV14982</v>
          </cell>
          <cell r="H2007" t="str">
            <v>g__unclassified_f__Myxococcaceae</v>
          </cell>
          <cell r="I2007" t="str">
            <v>s__unclassified_f__Myxococcaceae</v>
          </cell>
        </row>
        <row r="2008">
          <cell r="G2008" t="str">
            <v>ASV3415</v>
          </cell>
          <cell r="H2008" t="str">
            <v>g__Lactobacillus</v>
          </cell>
          <cell r="I2008" t="str">
            <v>s__unclassified_g__Lactobacillus</v>
          </cell>
        </row>
        <row r="2009">
          <cell r="G2009" t="str">
            <v>ASV11132</v>
          </cell>
          <cell r="H2009" t="str">
            <v>g__Treponema</v>
          </cell>
          <cell r="I2009" t="str">
            <v>s__unclassified_g__Treponema</v>
          </cell>
        </row>
        <row r="2010">
          <cell r="G2010" t="str">
            <v>ASV16208</v>
          </cell>
          <cell r="H2010" t="str">
            <v>g__Bacteroides</v>
          </cell>
          <cell r="I2010" t="str">
            <v>s__uncultured_bacterium_g__Bacteroides</v>
          </cell>
        </row>
        <row r="2011">
          <cell r="G2011" t="str">
            <v>ASV4683</v>
          </cell>
          <cell r="H2011" t="str">
            <v>g__Oscillibacter</v>
          </cell>
          <cell r="I2011" t="str">
            <v>s__uncultured_Clostridiales_bacterium_g__Oscillibacter</v>
          </cell>
        </row>
        <row r="2012">
          <cell r="G2012" t="str">
            <v>ASV20365</v>
          </cell>
          <cell r="H2012" t="str">
            <v>g__Actinobacillus</v>
          </cell>
          <cell r="I2012" t="str">
            <v>s__unclassified_g__Actinobacillus</v>
          </cell>
        </row>
        <row r="2013">
          <cell r="G2013" t="str">
            <v>ASV1950</v>
          </cell>
          <cell r="H2013" t="str">
            <v>g__UCG-005</v>
          </cell>
          <cell r="I2013" t="str">
            <v>s__uncultured_organism_g__UCG-005</v>
          </cell>
        </row>
        <row r="2014">
          <cell r="G2014" t="str">
            <v>ASV195</v>
          </cell>
          <cell r="H2014" t="str">
            <v>g__Ruminococcus</v>
          </cell>
          <cell r="I2014" t="str">
            <v>s__unclassified_g__Ruminococcus</v>
          </cell>
        </row>
        <row r="2015">
          <cell r="G2015" t="str">
            <v>ASV13539</v>
          </cell>
          <cell r="H2015" t="str">
            <v>g__Treponema</v>
          </cell>
          <cell r="I2015" t="str">
            <v>s__unclassified_g__Treponema</v>
          </cell>
        </row>
        <row r="2016">
          <cell r="G2016" t="str">
            <v>ASV6946</v>
          </cell>
          <cell r="H2016" t="str">
            <v>g__unclassified_f__Lachnospiraceae</v>
          </cell>
          <cell r="I2016" t="str">
            <v>s__unclassified_f__Lachnospiraceae</v>
          </cell>
        </row>
        <row r="2017">
          <cell r="G2017" t="str">
            <v>ASV4424</v>
          </cell>
          <cell r="H2017" t="str">
            <v>g__UCG-005</v>
          </cell>
          <cell r="I2017" t="str">
            <v>s__unclassified_g__UCG-005</v>
          </cell>
        </row>
        <row r="2018">
          <cell r="G2018" t="str">
            <v>ASV21783</v>
          </cell>
          <cell r="H2018" t="str">
            <v>g__norank_f__Muribaculaceae</v>
          </cell>
          <cell r="I2018" t="str">
            <v>s__uncultured_bacterium_g__norank_f__Muribaculaceae</v>
          </cell>
        </row>
        <row r="2019">
          <cell r="G2019" t="str">
            <v>ASV18483</v>
          </cell>
          <cell r="H2019" t="str">
            <v>g__unclassified_f__Lachnospiraceae</v>
          </cell>
          <cell r="I2019" t="str">
            <v>s__unclassified_f__Lachnospiraceae</v>
          </cell>
        </row>
        <row r="2020">
          <cell r="G2020" t="str">
            <v>ASV11130</v>
          </cell>
          <cell r="H2020" t="str">
            <v>g__Prevotella</v>
          </cell>
          <cell r="I2020" t="str">
            <v>s__unclassified_g__Prevotella</v>
          </cell>
        </row>
        <row r="2021">
          <cell r="G2021" t="str">
            <v>ASV3053</v>
          </cell>
          <cell r="H2021" t="str">
            <v>g__Eubacterium_nodatum_group</v>
          </cell>
          <cell r="I2021" t="str">
            <v>s__uncultured_bacterium_g__Eubacterium_nodatum_group</v>
          </cell>
        </row>
        <row r="2022">
          <cell r="G2022" t="str">
            <v>ASV4796</v>
          </cell>
          <cell r="H2022" t="str">
            <v>g__Alloprevotella</v>
          </cell>
          <cell r="I2022" t="str">
            <v>s__uncultured_Bacteroidales_bacterium_g__Alloprevotella</v>
          </cell>
        </row>
        <row r="2023">
          <cell r="G2023" t="str">
            <v>ASV8911</v>
          </cell>
          <cell r="H2023" t="str">
            <v>g__Porphyromonas</v>
          </cell>
          <cell r="I2023" t="str">
            <v>s__unclassified_g__Porphyromonas</v>
          </cell>
        </row>
        <row r="2024">
          <cell r="G2024" t="str">
            <v>ASV8262</v>
          </cell>
          <cell r="H2024" t="str">
            <v>g__Brachybacterium</v>
          </cell>
          <cell r="I2024" t="str">
            <v>s__unclassified_g__Brachybacterium</v>
          </cell>
        </row>
        <row r="2025">
          <cell r="G2025" t="str">
            <v>ASV22954</v>
          </cell>
          <cell r="H2025" t="str">
            <v>g__norank_f__Selenomonadaceae</v>
          </cell>
          <cell r="I2025" t="str">
            <v>s__unclassified_g__norank_f__Selenomonadaceae</v>
          </cell>
        </row>
        <row r="2026">
          <cell r="G2026" t="str">
            <v>ASV7449</v>
          </cell>
          <cell r="H2026" t="str">
            <v>g__unclassified_f__Lachnospiraceae</v>
          </cell>
          <cell r="I2026" t="str">
            <v>s__unclassified_f__Lachnospiraceae</v>
          </cell>
        </row>
        <row r="2027">
          <cell r="G2027" t="str">
            <v>ASV23000</v>
          </cell>
          <cell r="H2027" t="str">
            <v>g__unclassified_c__Clostridia</v>
          </cell>
          <cell r="I2027" t="str">
            <v>s__unclassified_c__Clostridia</v>
          </cell>
        </row>
        <row r="2028">
          <cell r="G2028" t="str">
            <v>ASV8644</v>
          </cell>
          <cell r="H2028" t="str">
            <v>g__norank_f__Peptostreptococcaceae</v>
          </cell>
          <cell r="I2028" t="str">
            <v>s__Eubacterium</v>
          </cell>
        </row>
        <row r="2029">
          <cell r="G2029" t="str">
            <v>ASV7446</v>
          </cell>
          <cell r="H2029" t="str">
            <v>g__Clostridium_sensu_stricto_1</v>
          </cell>
          <cell r="I2029" t="str">
            <v>s__unclassified_g__Clostridium_sensu_stricto_1</v>
          </cell>
        </row>
        <row r="2030">
          <cell r="G2030" t="str">
            <v>ASV3416</v>
          </cell>
          <cell r="H2030" t="str">
            <v>g__Lactobacillus</v>
          </cell>
          <cell r="I2030" t="str">
            <v>s__unclassified_g__Lactobacillus</v>
          </cell>
        </row>
        <row r="2031">
          <cell r="G2031" t="str">
            <v>ASV4042</v>
          </cell>
          <cell r="H2031" t="str">
            <v>g__Treponema</v>
          </cell>
          <cell r="I2031" t="str">
            <v>s__uncultured_bacterium_g__Treponema</v>
          </cell>
        </row>
        <row r="2032">
          <cell r="G2032" t="str">
            <v>ASV18676</v>
          </cell>
          <cell r="H2032" t="str">
            <v>g__Lachnospira</v>
          </cell>
          <cell r="I2032" t="str">
            <v>s__uncultured_bacterium_g__Lachnospira</v>
          </cell>
        </row>
        <row r="2033">
          <cell r="G2033" t="str">
            <v>ASV11129</v>
          </cell>
          <cell r="H2033" t="str">
            <v>g__Marvinbryantia</v>
          </cell>
          <cell r="I2033" t="str">
            <v>s__unclassified_g__Marvinbryantia</v>
          </cell>
        </row>
        <row r="2034">
          <cell r="G2034" t="str">
            <v>ASV3639</v>
          </cell>
          <cell r="H2034" t="str">
            <v>g__unclassified_f__Pasteurellaceae</v>
          </cell>
          <cell r="I2034" t="str">
            <v>s__unclassified_f__Pasteurellaceae</v>
          </cell>
        </row>
        <row r="2035">
          <cell r="G2035" t="str">
            <v>ASV8319</v>
          </cell>
          <cell r="H2035" t="str">
            <v>g__Lactobacillus</v>
          </cell>
          <cell r="I2035" t="str">
            <v>s__Lactobacillus_agilis</v>
          </cell>
        </row>
        <row r="2036">
          <cell r="G2036" t="str">
            <v>ASV8260</v>
          </cell>
          <cell r="H2036" t="str">
            <v>g__Lactobacillus</v>
          </cell>
          <cell r="I2036" t="str">
            <v>s__unclassified_g__Lactobacillus</v>
          </cell>
        </row>
        <row r="2037">
          <cell r="G2037" t="str">
            <v>ASV13670</v>
          </cell>
          <cell r="H2037" t="str">
            <v>g__Megasphaera</v>
          </cell>
          <cell r="I2037" t="str">
            <v>s__unclassified_g__Megasphaera</v>
          </cell>
        </row>
        <row r="2038">
          <cell r="G2038" t="str">
            <v>ASV18784</v>
          </cell>
          <cell r="H2038" t="str">
            <v>g__unclassified_f__Lachnospiraceae</v>
          </cell>
          <cell r="I2038" t="str">
            <v>s__unclassified_f__Lachnospiraceae</v>
          </cell>
        </row>
        <row r="2039">
          <cell r="G2039" t="str">
            <v>ASV8824</v>
          </cell>
          <cell r="H2039" t="str">
            <v>g__Bacteroides</v>
          </cell>
          <cell r="I2039" t="str">
            <v>s__Bacteroides_sp._Marseille-P3166</v>
          </cell>
        </row>
        <row r="2040">
          <cell r="G2040" t="str">
            <v>ASV13874</v>
          </cell>
          <cell r="H2040" t="str">
            <v>g__unclassified_f__Lachnospiraceae</v>
          </cell>
          <cell r="I2040" t="str">
            <v>s__unclassified_f__Lachnospiraceae</v>
          </cell>
        </row>
        <row r="2041">
          <cell r="G2041" t="str">
            <v>ASV8643</v>
          </cell>
          <cell r="H2041" t="str">
            <v>g__Bacteroides</v>
          </cell>
          <cell r="I2041" t="str">
            <v>s__unclassified_g__Bacteroides</v>
          </cell>
        </row>
        <row r="2042">
          <cell r="G2042" t="str">
            <v>ASV8300</v>
          </cell>
          <cell r="H2042" t="str">
            <v>g__Streptococcus</v>
          </cell>
          <cell r="I2042" t="str">
            <v>s__unclassified_g__Streptococcus</v>
          </cell>
        </row>
        <row r="2043">
          <cell r="G2043" t="str">
            <v>ASV859</v>
          </cell>
          <cell r="H2043" t="str">
            <v>g__Acetitomaculum</v>
          </cell>
          <cell r="I2043" t="str">
            <v>s__uncultured_bacterium_g__Acetitomaculum</v>
          </cell>
        </row>
        <row r="2044">
          <cell r="G2044" t="str">
            <v>ASV8728</v>
          </cell>
          <cell r="H2044" t="str">
            <v>g__Porphyromonas</v>
          </cell>
          <cell r="I2044" t="str">
            <v>s__uncultured_bacterium_g__Porphyromonas</v>
          </cell>
        </row>
        <row r="2045">
          <cell r="G2045" t="str">
            <v>ASV8754</v>
          </cell>
          <cell r="H2045" t="str">
            <v>g__Lactobacillus</v>
          </cell>
          <cell r="I2045" t="str">
            <v>s__unclassified_g__Lactobacillus</v>
          </cell>
        </row>
        <row r="2046">
          <cell r="G2046" t="str">
            <v>ASV10269</v>
          </cell>
          <cell r="H2046" t="str">
            <v>g__Slackia</v>
          </cell>
          <cell r="I2046" t="str">
            <v>s__Slackia_piriformis</v>
          </cell>
        </row>
        <row r="2047">
          <cell r="G2047" t="str">
            <v>ASV9871</v>
          </cell>
          <cell r="H2047" t="str">
            <v>g__Leptotrichia</v>
          </cell>
          <cell r="I2047" t="str">
            <v>s__unclassified_g__Leptotrichia</v>
          </cell>
        </row>
        <row r="2048">
          <cell r="G2048" t="str">
            <v>ASV10387</v>
          </cell>
          <cell r="H2048" t="str">
            <v>g__Bacillus</v>
          </cell>
          <cell r="I2048" t="str">
            <v>s__Lactobacillus_vaginalis_g__Bacillus</v>
          </cell>
        </row>
        <row r="2049">
          <cell r="G2049" t="str">
            <v>ASV21785</v>
          </cell>
          <cell r="H2049" t="str">
            <v>g__unclassified_o__Oscillospirales</v>
          </cell>
          <cell r="I2049" t="str">
            <v>s__unclassified_o__Oscillospirales</v>
          </cell>
        </row>
        <row r="2050">
          <cell r="G2050" t="str">
            <v>ASV4428</v>
          </cell>
          <cell r="H2050" t="str">
            <v>g__Lactobacillus</v>
          </cell>
          <cell r="I2050" t="str">
            <v>s__Lactobacillus_sp._KLDS_1.0716</v>
          </cell>
        </row>
        <row r="2051">
          <cell r="G2051" t="str">
            <v>ASV5707</v>
          </cell>
          <cell r="H2051" t="str">
            <v>g__norank_f__norank_o__Clostridia_vadinBB60_group</v>
          </cell>
          <cell r="I2051" t="str">
            <v>s__unclassified_g__norank_f__norank_o__Clostridia_vadinBB60_group</v>
          </cell>
        </row>
        <row r="2052">
          <cell r="G2052" t="str">
            <v>ASV20366</v>
          </cell>
          <cell r="H2052" t="str">
            <v>g__Nocardioides</v>
          </cell>
          <cell r="I2052" t="str">
            <v>s__unclassified_g__Nocardioides</v>
          </cell>
        </row>
        <row r="2053">
          <cell r="G2053" t="str">
            <v>ASV14984</v>
          </cell>
          <cell r="H2053" t="str">
            <v>g__Burkholderia-Caballeronia-Paraburkholderia</v>
          </cell>
          <cell r="I2053" t="str">
            <v>s__unclassified_g__Burkholderia-Caballeronia-Paraburkholderia</v>
          </cell>
        </row>
        <row r="2054">
          <cell r="G2054" t="str">
            <v>ASV16209</v>
          </cell>
          <cell r="H2054" t="str">
            <v>g__unclassified_f__Spirochaetaceae</v>
          </cell>
          <cell r="I2054" t="str">
            <v>s__unclassified_f__Spirochaetaceae</v>
          </cell>
        </row>
        <row r="2055">
          <cell r="G2055" t="str">
            <v>ASV15886</v>
          </cell>
          <cell r="H2055" t="str">
            <v>g__Prevotellaceae_NK3B31_group</v>
          </cell>
          <cell r="I2055" t="str">
            <v>s__unclassified_g__Prevotellaceae_NK3B31_group</v>
          </cell>
        </row>
        <row r="2056">
          <cell r="G2056" t="str">
            <v>ASV1543</v>
          </cell>
          <cell r="H2056" t="str">
            <v>g__Clostridium_sensu_stricto_1</v>
          </cell>
          <cell r="I2056" t="str">
            <v>s__unclassified_g__Clostridium_sensu_stricto_1</v>
          </cell>
        </row>
        <row r="2057">
          <cell r="G2057" t="str">
            <v>ASV9135</v>
          </cell>
          <cell r="H2057" t="str">
            <v>g__Lachnoclostridium</v>
          </cell>
          <cell r="I2057" t="str">
            <v>s__unclassified_g__Lachnoclostridium</v>
          </cell>
        </row>
        <row r="2058">
          <cell r="G2058" t="str">
            <v>ASV5508</v>
          </cell>
          <cell r="H2058" t="str">
            <v>g__UCG-005</v>
          </cell>
          <cell r="I2058" t="str">
            <v>s__uncultured_organism_g__UCG-005</v>
          </cell>
        </row>
        <row r="2059">
          <cell r="G2059" t="str">
            <v>ASV8611</v>
          </cell>
          <cell r="H2059" t="str">
            <v>g__Anaerococcus</v>
          </cell>
          <cell r="I2059" t="str">
            <v>s__unclassified_g__Anaerococcus</v>
          </cell>
        </row>
        <row r="2060">
          <cell r="G2060" t="str">
            <v>ASV9210</v>
          </cell>
          <cell r="H2060" t="str">
            <v>g__Christensenellaceae_R-7_group</v>
          </cell>
          <cell r="I2060" t="str">
            <v>s__gut_metagenome_g__Christensenellaceae_R-7_group</v>
          </cell>
        </row>
        <row r="2061">
          <cell r="G2061" t="str">
            <v>ASV21389</v>
          </cell>
          <cell r="H2061" t="str">
            <v>g__Megasphaera</v>
          </cell>
          <cell r="I2061" t="str">
            <v>s__unclassified_g__Megasphaera</v>
          </cell>
        </row>
        <row r="2062">
          <cell r="G2062" t="str">
            <v>ASV12498</v>
          </cell>
          <cell r="H2062" t="str">
            <v>g__unclassified_f__Lachnospiraceae</v>
          </cell>
          <cell r="I2062" t="str">
            <v>s__unclassified_f__Lachnospiraceae</v>
          </cell>
        </row>
        <row r="2063">
          <cell r="G2063" t="str">
            <v>ASV2708</v>
          </cell>
          <cell r="H2063" t="str">
            <v>g__unclassified_f__Lachnospiraceae</v>
          </cell>
          <cell r="I2063" t="str">
            <v>s__unclassified_f__Lachnospiraceae</v>
          </cell>
        </row>
        <row r="2064">
          <cell r="G2064" t="str">
            <v>ASV15769</v>
          </cell>
          <cell r="H2064" t="str">
            <v>g__unclassified_f__Veillonellaceae</v>
          </cell>
          <cell r="I2064" t="str">
            <v>s__unclassified_f__Veillonellaceae</v>
          </cell>
        </row>
        <row r="2065">
          <cell r="G2065" t="str">
            <v>ASV15136</v>
          </cell>
          <cell r="H2065" t="str">
            <v>g__Alloprevotella</v>
          </cell>
          <cell r="I2065" t="str">
            <v>s__uncultured_bacterium_g__Alloprevotella</v>
          </cell>
        </row>
        <row r="2066">
          <cell r="G2066" t="str">
            <v>ASV13875</v>
          </cell>
          <cell r="H2066" t="str">
            <v>g__Terrisporobacter</v>
          </cell>
          <cell r="I2066" t="str">
            <v>s__unclassified_g__Terrisporobacter</v>
          </cell>
        </row>
        <row r="2067">
          <cell r="G2067" t="str">
            <v>ASV13278</v>
          </cell>
          <cell r="H2067" t="str">
            <v>g__Christensenellaceae_R-7_group</v>
          </cell>
          <cell r="I2067" t="str">
            <v>s__unclassified_g__Christensenellaceae_R-7_group</v>
          </cell>
        </row>
        <row r="2068">
          <cell r="G2068" t="str">
            <v>ASV12704</v>
          </cell>
          <cell r="H2068" t="str">
            <v>g__Faecalibacterium</v>
          </cell>
          <cell r="I2068" t="str">
            <v>s__uncultured_bacterium_g__Faecalibacterium</v>
          </cell>
        </row>
        <row r="2069">
          <cell r="G2069" t="str">
            <v>ASV2806</v>
          </cell>
          <cell r="H2069" t="str">
            <v>g__unclassified_f__Saccharimonadaceae</v>
          </cell>
          <cell r="I2069" t="str">
            <v>s__unclassified_f__Saccharimonadaceae</v>
          </cell>
        </row>
        <row r="2070">
          <cell r="G2070" t="str">
            <v>ASV3054</v>
          </cell>
          <cell r="H2070" t="str">
            <v>g__unclassified_f__Propionibacteriaceae</v>
          </cell>
          <cell r="I2070" t="str">
            <v>s__unclassified_f__Propionibacteriaceae</v>
          </cell>
        </row>
        <row r="2071">
          <cell r="G2071" t="str">
            <v>ASV19171</v>
          </cell>
          <cell r="H2071" t="str">
            <v>g__Butyricicoccus</v>
          </cell>
          <cell r="I2071" t="str">
            <v>s__unclassified_g__Butyricicoccus</v>
          </cell>
        </row>
        <row r="2072">
          <cell r="G2072" t="str">
            <v>ASV3030</v>
          </cell>
          <cell r="H2072" t="str">
            <v>g__Streptococcus</v>
          </cell>
          <cell r="I2072" t="str">
            <v>s__unclassified_g__Streptococcus</v>
          </cell>
        </row>
        <row r="2073">
          <cell r="G2073" t="str">
            <v>ASV15135</v>
          </cell>
          <cell r="H2073" t="str">
            <v>g__Christensenellaceae_R-7_group</v>
          </cell>
          <cell r="I2073" t="str">
            <v>s__unclassified_g__Christensenellaceae_R-7_group</v>
          </cell>
        </row>
        <row r="2074">
          <cell r="G2074" t="str">
            <v>ASV3671</v>
          </cell>
          <cell r="H2074" t="str">
            <v>g__Peptococcus</v>
          </cell>
          <cell r="I2074" t="str">
            <v>s__Peptococcus_sp._canine_oral_taxon_044</v>
          </cell>
        </row>
        <row r="2075">
          <cell r="G2075" t="str">
            <v>ASV2785</v>
          </cell>
          <cell r="H2075" t="str">
            <v>g__norank_f__Ruminococcaceae</v>
          </cell>
          <cell r="I2075" t="str">
            <v>s__unclassified_g__norank_f__Ruminococcaceae</v>
          </cell>
        </row>
        <row r="2076">
          <cell r="G2076" t="str">
            <v>ASV7264</v>
          </cell>
          <cell r="H2076" t="str">
            <v>g__Alloprevotella</v>
          </cell>
          <cell r="I2076" t="str">
            <v>s__uncultured_bacterium_g__Alloprevotella</v>
          </cell>
        </row>
        <row r="2077">
          <cell r="G2077" t="str">
            <v>ASV1544</v>
          </cell>
          <cell r="H2077" t="str">
            <v>g__Veillonella</v>
          </cell>
          <cell r="I2077" t="str">
            <v>s__bacterium_RA2114</v>
          </cell>
        </row>
        <row r="2078">
          <cell r="G2078" t="str">
            <v>ASV5507</v>
          </cell>
          <cell r="H2078" t="str">
            <v>g__Ruminococcus</v>
          </cell>
          <cell r="I2078" t="str">
            <v>s__uncultured_bacterium_g__Ruminococcus</v>
          </cell>
        </row>
        <row r="2079">
          <cell r="G2079" t="str">
            <v>ASV1956</v>
          </cell>
          <cell r="H2079" t="str">
            <v>g__Oscillospira</v>
          </cell>
          <cell r="I2079" t="str">
            <v>s__unclassified_g__Oscillospira</v>
          </cell>
        </row>
        <row r="2080">
          <cell r="G2080" t="str">
            <v>ASV23893</v>
          </cell>
          <cell r="H2080" t="str">
            <v>g__Lactobacillus</v>
          </cell>
          <cell r="I2080" t="str">
            <v>s__unclassified_g__Lactobacillus</v>
          </cell>
        </row>
        <row r="2081">
          <cell r="G2081" t="str">
            <v>ASV17696</v>
          </cell>
          <cell r="H2081" t="str">
            <v>g__Bacteroides</v>
          </cell>
          <cell r="I2081" t="str">
            <v>s__unclassified_g__Bacteroides</v>
          </cell>
        </row>
        <row r="2082">
          <cell r="G2082" t="str">
            <v>ASV10065</v>
          </cell>
          <cell r="H2082" t="str">
            <v>g__Prevotella</v>
          </cell>
          <cell r="I2082" t="str">
            <v>s__unclassified_g__Prevotella</v>
          </cell>
        </row>
        <row r="2083">
          <cell r="G2083" t="str">
            <v>ASV5790</v>
          </cell>
          <cell r="H2083" t="str">
            <v>g__unclassified_f__Ruminococcaceae</v>
          </cell>
          <cell r="I2083" t="str">
            <v>s__unclassified_f__Ruminococcaceae</v>
          </cell>
        </row>
        <row r="2084">
          <cell r="G2084" t="str">
            <v>ASV20510</v>
          </cell>
          <cell r="H2084" t="str">
            <v>g__unclassified_f__Lachnospiraceae</v>
          </cell>
          <cell r="I2084" t="str">
            <v>s__unclassified_f__Lachnospiraceae</v>
          </cell>
        </row>
        <row r="2085">
          <cell r="G2085" t="str">
            <v>ASV11136</v>
          </cell>
          <cell r="H2085" t="str">
            <v>g__Prevotella</v>
          </cell>
          <cell r="I2085" t="str">
            <v>s__unclassified_g__Prevotella</v>
          </cell>
        </row>
        <row r="2086">
          <cell r="G2086" t="str">
            <v>ASV9925</v>
          </cell>
          <cell r="H2086" t="str">
            <v>g__Alloprevotella</v>
          </cell>
          <cell r="I2086" t="str">
            <v>s__uncultured_bacterium_g__Alloprevotella</v>
          </cell>
        </row>
        <row r="2087">
          <cell r="G2087" t="str">
            <v>ASV4430</v>
          </cell>
          <cell r="H2087" t="str">
            <v>g__unclassified_f__Peptostreptococcaceae</v>
          </cell>
          <cell r="I2087" t="str">
            <v>s__unclassified_f__Peptostreptococcaceae</v>
          </cell>
        </row>
        <row r="2088">
          <cell r="G2088" t="str">
            <v>ASV10574</v>
          </cell>
          <cell r="H2088" t="str">
            <v>g__Alloprevotella</v>
          </cell>
          <cell r="I2088" t="str">
            <v>s__unclassified_g__Alloprevotella</v>
          </cell>
        </row>
        <row r="2089">
          <cell r="G2089" t="str">
            <v>ASV2668</v>
          </cell>
          <cell r="H2089" t="str">
            <v>g__unclassified_f__Lachnospiraceae</v>
          </cell>
          <cell r="I2089" t="str">
            <v>s__unclassified_f__Lachnospiraceae</v>
          </cell>
        </row>
        <row r="2090">
          <cell r="G2090" t="str">
            <v>ASV2840</v>
          </cell>
          <cell r="H2090" t="str">
            <v>g__Veillonella</v>
          </cell>
          <cell r="I2090" t="str">
            <v>s__unclassified_g__Veillonella</v>
          </cell>
        </row>
        <row r="2091">
          <cell r="G2091" t="str">
            <v>ASV17164</v>
          </cell>
          <cell r="H2091" t="str">
            <v>g__Veillonella</v>
          </cell>
          <cell r="I2091" t="str">
            <v>s__bacterium_RA2114</v>
          </cell>
        </row>
        <row r="2092">
          <cell r="G2092" t="str">
            <v>ASV10389</v>
          </cell>
          <cell r="H2092" t="str">
            <v>g__Lactobacillus</v>
          </cell>
          <cell r="I2092" t="str">
            <v>s__unclassified_g__Lactobacillus</v>
          </cell>
        </row>
        <row r="2093">
          <cell r="G2093" t="str">
            <v>ASV2938</v>
          </cell>
          <cell r="H2093" t="str">
            <v>g__Anaerococcus</v>
          </cell>
          <cell r="I2093" t="str">
            <v>s__unclassified_g__Anaerococcus</v>
          </cell>
        </row>
        <row r="2094">
          <cell r="G2094" t="str">
            <v>ASV3418</v>
          </cell>
          <cell r="H2094" t="str">
            <v>g__Clostridium_sensu_stricto_1</v>
          </cell>
          <cell r="I2094" t="str">
            <v>s__unclassified_g__Clostridium_sensu_stricto_1</v>
          </cell>
        </row>
        <row r="2095">
          <cell r="G2095" t="str">
            <v>ASV9137</v>
          </cell>
          <cell r="H2095" t="str">
            <v>g__norank_f__Erysipelotrichaceae</v>
          </cell>
          <cell r="I2095" t="str">
            <v>s__uncultured_bacterium_g__norank_f__Erysipelotrichaceae</v>
          </cell>
        </row>
        <row r="2096">
          <cell r="G2096" t="str">
            <v>ASV4432</v>
          </cell>
          <cell r="H2096" t="str">
            <v>g__unclassified_f__Peptostreptococcaceae</v>
          </cell>
          <cell r="I2096" t="str">
            <v>s__unclassified_f__Peptostreptococcaceae</v>
          </cell>
        </row>
        <row r="2097">
          <cell r="G2097" t="str">
            <v>ASV15876</v>
          </cell>
          <cell r="H2097" t="str">
            <v>g__Blautia</v>
          </cell>
          <cell r="I2097" t="str">
            <v>s__unclassified_g__Blautia</v>
          </cell>
        </row>
        <row r="2098">
          <cell r="G2098" t="str">
            <v>ASV12645</v>
          </cell>
          <cell r="H2098" t="str">
            <v>g__Lachnospiraceae_ND3007_group</v>
          </cell>
          <cell r="I2098" t="str">
            <v>s__uncultured_bacterium_g__Lachnospiraceae_ND3007_group</v>
          </cell>
        </row>
        <row r="2099">
          <cell r="G2099" t="str">
            <v>ASV16210</v>
          </cell>
          <cell r="H2099" t="str">
            <v>g__UCG-002</v>
          </cell>
          <cell r="I2099" t="str">
            <v>s__uncultured_bacterium_g__UCG-002</v>
          </cell>
        </row>
        <row r="2100">
          <cell r="G2100" t="str">
            <v>ASV9207</v>
          </cell>
          <cell r="H2100" t="str">
            <v>g__Anaerovibrio</v>
          </cell>
          <cell r="I2100" t="str">
            <v>s__uncultured_bacterium_g__Anaerovibrio</v>
          </cell>
        </row>
        <row r="2101">
          <cell r="G2101" t="str">
            <v>ASV2964</v>
          </cell>
          <cell r="H2101" t="str">
            <v>g__Nocardioides</v>
          </cell>
          <cell r="I2101" t="str">
            <v>s__unclassified_g__Nocardioides</v>
          </cell>
        </row>
        <row r="2102">
          <cell r="G2102" t="str">
            <v>ASV3092</v>
          </cell>
          <cell r="H2102" t="str">
            <v>g__unclassified_f__Pasteurellaceae</v>
          </cell>
          <cell r="I2102" t="str">
            <v>s__unclassified_f__Pasteurellaceae</v>
          </cell>
        </row>
        <row r="2103">
          <cell r="G2103" t="str">
            <v>ASV7184</v>
          </cell>
          <cell r="H2103" t="str">
            <v>g__Candidatus_Saccharimonas</v>
          </cell>
          <cell r="I2103" t="str">
            <v>s__uncultured_bacterium_g__Candidatus_Saccharimonas</v>
          </cell>
        </row>
        <row r="2104">
          <cell r="G2104" t="str">
            <v>ASV20198</v>
          </cell>
          <cell r="H2104" t="str">
            <v>g__Collinsella</v>
          </cell>
          <cell r="I2104" t="str">
            <v>s__unclassified_g__Collinsella</v>
          </cell>
        </row>
        <row r="2105">
          <cell r="G2105" t="str">
            <v>ASV15137</v>
          </cell>
          <cell r="H2105" t="str">
            <v>g__Christensenellaceae_R-7_group</v>
          </cell>
          <cell r="I2105" t="str">
            <v>s__unclassified_g__Christensenellaceae_R-7_group</v>
          </cell>
        </row>
        <row r="2106">
          <cell r="G2106" t="str">
            <v>ASV23002</v>
          </cell>
          <cell r="H2106" t="str">
            <v>g__norank_f__Muribaculaceae</v>
          </cell>
          <cell r="I2106" t="str">
            <v>s__uncultured_bacterium_g__norank_f__Muribaculaceae</v>
          </cell>
        </row>
        <row r="2107">
          <cell r="G2107" t="str">
            <v>ASV21786</v>
          </cell>
          <cell r="H2107" t="str">
            <v>g__UCG-002</v>
          </cell>
          <cell r="I2107" t="str">
            <v>s__uncultured_bacterium_g__UCG-002</v>
          </cell>
        </row>
        <row r="2108">
          <cell r="G2108" t="str">
            <v>ASV8755</v>
          </cell>
          <cell r="H2108" t="str">
            <v>g__Lachnoclostridium</v>
          </cell>
          <cell r="I2108" t="str">
            <v>s__unclassified_g__Lachnoclostridium</v>
          </cell>
        </row>
        <row r="2109">
          <cell r="G2109" t="str">
            <v>ASV9136</v>
          </cell>
          <cell r="H2109" t="str">
            <v>g__norank_f__Muribaculaceae</v>
          </cell>
          <cell r="I2109" t="str">
            <v>s__unclassified_g__norank_f__Muribaculaceae</v>
          </cell>
        </row>
        <row r="2110">
          <cell r="G2110" t="str">
            <v>ASV9924</v>
          </cell>
          <cell r="H2110" t="str">
            <v>g__Alloprevotella</v>
          </cell>
          <cell r="I2110" t="str">
            <v>s__unclassified_g__Alloprevotella</v>
          </cell>
        </row>
        <row r="2111">
          <cell r="G2111" t="str">
            <v>ASV5510</v>
          </cell>
          <cell r="H2111" t="str">
            <v>g__Christensenellaceae_R-7_group</v>
          </cell>
          <cell r="I2111" t="str">
            <v>s__unclassified_g__Christensenellaceae_R-7_group</v>
          </cell>
        </row>
        <row r="2112">
          <cell r="G2112" t="str">
            <v>ASV7565</v>
          </cell>
          <cell r="H2112" t="str">
            <v>g__norank_f__Paludibacteraceae</v>
          </cell>
          <cell r="I2112" t="str">
            <v>s__uncultured_bacterium_g__norank_f__Paludibacteraceae</v>
          </cell>
        </row>
        <row r="2113">
          <cell r="G2113" t="str">
            <v>ASV8756</v>
          </cell>
          <cell r="H2113" t="str">
            <v>g__norank_f__Muribaculaceae</v>
          </cell>
          <cell r="I2113" t="str">
            <v>s__uncultured_bacterium_g__norank_f__Muribaculaceae</v>
          </cell>
        </row>
        <row r="2114">
          <cell r="G2114" t="str">
            <v>ASV3636</v>
          </cell>
          <cell r="H2114" t="str">
            <v>g__Deinococcus</v>
          </cell>
          <cell r="I2114" t="str">
            <v>s__unclassified_g__Deinococcus</v>
          </cell>
        </row>
        <row r="2115">
          <cell r="G2115" t="str">
            <v>ASV6523</v>
          </cell>
          <cell r="H2115" t="str">
            <v>g__Peptococcus</v>
          </cell>
          <cell r="I2115" t="str">
            <v>s__uncultured_bacterium_g__Peptococcus</v>
          </cell>
        </row>
        <row r="2116">
          <cell r="G2116" t="str">
            <v>ASV8626</v>
          </cell>
          <cell r="H2116" t="str">
            <v>g__Lachnospiraceae_UCG-007</v>
          </cell>
          <cell r="I2116" t="str">
            <v>s__uncultured_bacterium_g__Lachnospiraceae_UCG-007</v>
          </cell>
        </row>
        <row r="2117">
          <cell r="G2117" t="str">
            <v>ASV3417</v>
          </cell>
          <cell r="H2117" t="str">
            <v>g__Paeniclostridium</v>
          </cell>
          <cell r="I2117" t="str">
            <v>s__unclassified_g__Paeniclostridium</v>
          </cell>
        </row>
        <row r="2118">
          <cell r="G2118" t="str">
            <v>ASV11137</v>
          </cell>
          <cell r="H2118" t="str">
            <v>g__norank_f__norank_o__Clostridia_UCG-014</v>
          </cell>
          <cell r="I2118" t="str">
            <v>s__unclassified_g__norank_f__norank_o__Clostridia_UCG-014</v>
          </cell>
        </row>
        <row r="2119">
          <cell r="G2119" t="str">
            <v>ASV11135</v>
          </cell>
          <cell r="H2119" t="str">
            <v>g__norank_f__Muribaculaceae</v>
          </cell>
          <cell r="I2119" t="str">
            <v>s__uncultured_bacterium_g__norank_f__Muribaculaceae</v>
          </cell>
        </row>
        <row r="2120">
          <cell r="G2120" t="str">
            <v>ASV20511</v>
          </cell>
          <cell r="H2120" t="str">
            <v>g__unclassified_c__Clostridia</v>
          </cell>
          <cell r="I2120" t="str">
            <v>s__unclassified_c__Clostridia</v>
          </cell>
        </row>
        <row r="2121">
          <cell r="G2121" t="str">
            <v>ASV339</v>
          </cell>
          <cell r="H2121" t="str">
            <v>g__Family_XIII_AD3011_group</v>
          </cell>
          <cell r="I2121" t="str">
            <v>s__uncultured_bacterium_g__Family_XIII_AD3011_group</v>
          </cell>
        </row>
        <row r="2122">
          <cell r="G2122" t="str">
            <v>ASV2576</v>
          </cell>
          <cell r="H2122" t="str">
            <v>g__norank_f__Clostridium_methylpentosum_group</v>
          </cell>
          <cell r="I2122" t="str">
            <v>s__unclassified_g__norank_f__Clostridium_methylpentosum_group</v>
          </cell>
        </row>
        <row r="2123">
          <cell r="G2123" t="str">
            <v>ASV11134</v>
          </cell>
          <cell r="H2123" t="str">
            <v>g__Enterorhabdus</v>
          </cell>
          <cell r="I2123" t="str">
            <v>s__uncultured_bacterium_g__Enterorhabdus</v>
          </cell>
        </row>
        <row r="2124">
          <cell r="G2124" t="str">
            <v>ASV4431</v>
          </cell>
          <cell r="H2124" t="str">
            <v>g__Ruminococcus</v>
          </cell>
          <cell r="I2124" t="str">
            <v>s__unclassified_g__Ruminococcus</v>
          </cell>
        </row>
        <row r="2125">
          <cell r="G2125" t="str">
            <v>ASV16211</v>
          </cell>
          <cell r="H2125" t="str">
            <v>g__Sphaerochaeta</v>
          </cell>
          <cell r="I2125" t="str">
            <v>s__uncultured_prokaryote_g__Sphaerochaeta</v>
          </cell>
        </row>
        <row r="2126">
          <cell r="G2126" t="str">
            <v>ASV1888</v>
          </cell>
          <cell r="H2126" t="str">
            <v>g__unclassified_p__Firmicutes</v>
          </cell>
          <cell r="I2126" t="str">
            <v>s__unclassified_p__Firmicutes</v>
          </cell>
        </row>
        <row r="2127">
          <cell r="G2127" t="str">
            <v>ASV11139</v>
          </cell>
          <cell r="H2127" t="str">
            <v>g__unclassified_f__Oscillospiraceae</v>
          </cell>
          <cell r="I2127" t="str">
            <v>s__unclassified_f__Oscillospiraceae</v>
          </cell>
        </row>
        <row r="2128">
          <cell r="G2128" t="str">
            <v>ASV192</v>
          </cell>
          <cell r="H2128" t="str">
            <v>g__Rikenellaceae_RC9_gut_group</v>
          </cell>
          <cell r="I2128" t="str">
            <v>s__uncultured_bacterium_g__Rikenellaceae_RC9_gut_group</v>
          </cell>
        </row>
        <row r="2129">
          <cell r="G2129" t="str">
            <v>ASV7270</v>
          </cell>
          <cell r="H2129" t="str">
            <v>g__unclassified_f__Dermacoccaceae</v>
          </cell>
          <cell r="I2129" t="str">
            <v>s__unclassified_f__Dermacoccaceae</v>
          </cell>
        </row>
        <row r="2130">
          <cell r="G2130" t="str">
            <v>ASV5509</v>
          </cell>
          <cell r="H2130" t="str">
            <v>g__unclassified_c__Clostridia</v>
          </cell>
          <cell r="I2130" t="str">
            <v>s__unclassified_c__Clostridia</v>
          </cell>
        </row>
        <row r="2131">
          <cell r="G2131" t="str">
            <v>ASV6507</v>
          </cell>
          <cell r="H2131" t="str">
            <v>g__Stenotrophomonas</v>
          </cell>
          <cell r="I2131" t="str">
            <v>s__unclassified_g__Stenotrophomonas</v>
          </cell>
        </row>
        <row r="2132">
          <cell r="G2132" t="str">
            <v>ASV10066</v>
          </cell>
          <cell r="H2132" t="str">
            <v>g__Lactobacillus</v>
          </cell>
          <cell r="I2132" t="str">
            <v>s__unclassified_g__Lactobacillus</v>
          </cell>
        </row>
        <row r="2133">
          <cell r="G2133" t="str">
            <v>ASV8913</v>
          </cell>
          <cell r="H2133" t="str">
            <v>g__Porphyromonas</v>
          </cell>
          <cell r="I2133" t="str">
            <v>s__unclassified_g__Porphyromonas</v>
          </cell>
        </row>
        <row r="2134">
          <cell r="G2134" t="str">
            <v>ASV10388</v>
          </cell>
          <cell r="H2134" t="str">
            <v>g__unclassified_f__Lachnospiraceae</v>
          </cell>
          <cell r="I2134" t="str">
            <v>s__unclassified_f__Lachnospiraceae</v>
          </cell>
        </row>
        <row r="2135">
          <cell r="G2135" t="str">
            <v>ASV3093</v>
          </cell>
          <cell r="H2135" t="str">
            <v>g__Lactobacillus</v>
          </cell>
          <cell r="I2135" t="str">
            <v>s__unclassified_g__Lactobacillus</v>
          </cell>
        </row>
        <row r="2136">
          <cell r="G2136" t="str">
            <v>ASV6500</v>
          </cell>
          <cell r="H2136" t="str">
            <v>g__Allorhizobium-Neorhizobium-Pararhizobium-Rhizobium</v>
          </cell>
          <cell r="I2136" t="str">
            <v>s__unclassified_g__Allorhizobium-Neorhizobium-Pararhizobium-Rhizobium</v>
          </cell>
        </row>
        <row r="2137">
          <cell r="G2137" t="str">
            <v>ASV369</v>
          </cell>
          <cell r="H2137" t="str">
            <v>g__unclassified_f__Lachnospiraceae</v>
          </cell>
          <cell r="I2137" t="str">
            <v>s__unclassified_f__Lachnospiraceae</v>
          </cell>
        </row>
        <row r="2138">
          <cell r="G2138" t="str">
            <v>ASV1545</v>
          </cell>
          <cell r="H2138" t="str">
            <v>g__Lactobacillus</v>
          </cell>
          <cell r="I2138" t="str">
            <v>s__unclassified_g__Lactobacillus</v>
          </cell>
        </row>
        <row r="2139">
          <cell r="G2139" t="str">
            <v>ASV7204</v>
          </cell>
          <cell r="H2139" t="str">
            <v>g__Nocardioides</v>
          </cell>
          <cell r="I2139" t="str">
            <v>s__unclassified_g__Nocardioides</v>
          </cell>
        </row>
        <row r="2140">
          <cell r="G2140" t="str">
            <v>ASV3595</v>
          </cell>
          <cell r="H2140" t="str">
            <v>g__Rothia</v>
          </cell>
          <cell r="I2140" t="str">
            <v>s__unclassified_g__Rothia</v>
          </cell>
        </row>
        <row r="2141">
          <cell r="G2141" t="str">
            <v>ASV20512</v>
          </cell>
          <cell r="H2141" t="str">
            <v>g__Lachnospiraceae_FCS020_group</v>
          </cell>
          <cell r="I2141" t="str">
            <v>s__uncultured_prokaryote_g__Lachnospiraceae_FCS020_group</v>
          </cell>
        </row>
        <row r="2142">
          <cell r="G2142" t="str">
            <v>ASV15877</v>
          </cell>
          <cell r="H2142" t="str">
            <v>g__unclassified_c__Bacilli</v>
          </cell>
          <cell r="I2142" t="str">
            <v>s__unclassified_c__Bacilli</v>
          </cell>
        </row>
        <row r="2143">
          <cell r="G2143" t="str">
            <v>ASV21561</v>
          </cell>
          <cell r="H2143" t="str">
            <v>g__Bacteroides</v>
          </cell>
          <cell r="I2143" t="str">
            <v>s__uncultured_bacterium_g__Bacteroides</v>
          </cell>
        </row>
        <row r="2144">
          <cell r="G2144" t="str">
            <v>ASV3489</v>
          </cell>
          <cell r="H2144" t="str">
            <v>g__Allorhizobium-Neorhizobium-Pararhizobium-Rhizobium</v>
          </cell>
          <cell r="I2144" t="str">
            <v>s__unclassified_g__Allorhizobium-Neorhizobium-Pararhizobium-Rhizobium</v>
          </cell>
        </row>
        <row r="2145">
          <cell r="G2145" t="str">
            <v>ASV13439</v>
          </cell>
          <cell r="H2145" t="str">
            <v>g__Rikenellaceae_RC9_gut_group</v>
          </cell>
          <cell r="I2145" t="str">
            <v>s__uncultured_bacterium_g__Rikenellaceae_RC9_gut_group</v>
          </cell>
        </row>
        <row r="2146">
          <cell r="G2146" t="str">
            <v>ASV3419</v>
          </cell>
          <cell r="H2146" t="str">
            <v>g__Lactobacillus</v>
          </cell>
          <cell r="I2146" t="str">
            <v>s__unclassified_g__Lactobacillus</v>
          </cell>
        </row>
        <row r="2147">
          <cell r="G2147" t="str">
            <v>ASV9927</v>
          </cell>
          <cell r="H2147" t="str">
            <v>g__Sutterella</v>
          </cell>
          <cell r="I2147" t="str">
            <v>s__uncultured_bacterium_g__Sutterella</v>
          </cell>
        </row>
        <row r="2148">
          <cell r="G2148" t="str">
            <v>ASV17775</v>
          </cell>
          <cell r="H2148" t="str">
            <v>g__unclassified_f__Lachnospiraceae</v>
          </cell>
          <cell r="I2148" t="str">
            <v>s__unclassified_f__Lachnospiraceae</v>
          </cell>
        </row>
        <row r="2149">
          <cell r="G2149" t="str">
            <v>ASV13876</v>
          </cell>
          <cell r="H2149" t="str">
            <v>g__Lactobacillus</v>
          </cell>
          <cell r="I2149" t="str">
            <v>s__unclassified_g__Lactobacillus</v>
          </cell>
        </row>
        <row r="2150">
          <cell r="G2150" t="str">
            <v>ASV2717</v>
          </cell>
          <cell r="H2150" t="str">
            <v>g__Corynebacterium</v>
          </cell>
          <cell r="I2150" t="str">
            <v>s__unclassified_g__Corynebacterium</v>
          </cell>
        </row>
        <row r="2151">
          <cell r="G2151" t="str">
            <v>ASV8914</v>
          </cell>
          <cell r="H2151" t="str">
            <v>g__Neisseria</v>
          </cell>
          <cell r="I2151" t="str">
            <v>s__unclassified_g__Neisseria</v>
          </cell>
        </row>
        <row r="2152">
          <cell r="G2152" t="str">
            <v>ASV17586</v>
          </cell>
          <cell r="H2152" t="str">
            <v>g__Sutterella</v>
          </cell>
          <cell r="I2152" t="str">
            <v>s__uncultured_bacterium_g__Sutterella</v>
          </cell>
        </row>
        <row r="2153">
          <cell r="G2153" t="str">
            <v>ASV13877</v>
          </cell>
          <cell r="H2153" t="str">
            <v>g__Lactobacillus</v>
          </cell>
          <cell r="I2153" t="str">
            <v>s__unclassified_g__Lactobacillus</v>
          </cell>
        </row>
        <row r="2154">
          <cell r="G2154" t="str">
            <v>ASV4435</v>
          </cell>
          <cell r="H2154" t="str">
            <v>g__Rikenellaceae_RC9_gut_group</v>
          </cell>
          <cell r="I2154" t="str">
            <v>s__uncultured_bacterium_g__Rikenellaceae_RC9_gut_group</v>
          </cell>
        </row>
        <row r="2155">
          <cell r="G2155" t="str">
            <v>ASV9968</v>
          </cell>
          <cell r="H2155" t="str">
            <v>g__Treponema</v>
          </cell>
          <cell r="I2155" t="str">
            <v>s__unclassified_g__Treponema</v>
          </cell>
        </row>
        <row r="2156">
          <cell r="G2156" t="str">
            <v>ASV8602</v>
          </cell>
          <cell r="H2156" t="str">
            <v>g__Clostridium_sensu_stricto_1</v>
          </cell>
          <cell r="I2156" t="str">
            <v>s__Clostridium_sp._ND2</v>
          </cell>
        </row>
        <row r="2157">
          <cell r="G2157" t="str">
            <v>ASV21789</v>
          </cell>
          <cell r="H2157" t="str">
            <v>g__Succiniclasticum</v>
          </cell>
          <cell r="I2157" t="str">
            <v>s__uncultured_rumen_bacterium_4C28d-16</v>
          </cell>
        </row>
        <row r="2158">
          <cell r="G2158" t="str">
            <v>ASV5529</v>
          </cell>
          <cell r="H2158" t="str">
            <v>g__Christensenella</v>
          </cell>
          <cell r="I2158" t="str">
            <v>s__unclassified_g__Christensenella</v>
          </cell>
        </row>
        <row r="2159">
          <cell r="G2159" t="str">
            <v>ASV23894</v>
          </cell>
          <cell r="H2159" t="str">
            <v>g__unclassified_f__Selenomonadaceae</v>
          </cell>
          <cell r="I2159" t="str">
            <v>s__unclassified_f__Selenomonadaceae</v>
          </cell>
        </row>
        <row r="2160">
          <cell r="G2160" t="str">
            <v>ASV10060</v>
          </cell>
          <cell r="H2160" t="str">
            <v>g__unclassified_f__Lachnospiraceae</v>
          </cell>
          <cell r="I2160" t="str">
            <v>s__unclassified_f__Lachnospiraceae</v>
          </cell>
        </row>
        <row r="2161">
          <cell r="G2161" t="str">
            <v>ASV3096</v>
          </cell>
          <cell r="H2161" t="str">
            <v>g__Campylobacter</v>
          </cell>
          <cell r="I2161" t="str">
            <v>s__unclassified_g__Campylobacter</v>
          </cell>
        </row>
        <row r="2162">
          <cell r="G2162" t="str">
            <v>ASV4559</v>
          </cell>
          <cell r="H2162" t="str">
            <v>g__Treponema</v>
          </cell>
          <cell r="I2162" t="str">
            <v>s__unclassified_g__Treponema</v>
          </cell>
        </row>
        <row r="2163">
          <cell r="G2163" t="str">
            <v>ASV17698</v>
          </cell>
          <cell r="H2163" t="str">
            <v>g__unclassified_c__Clostridia</v>
          </cell>
          <cell r="I2163" t="str">
            <v>s__unclassified_c__Clostridia</v>
          </cell>
        </row>
        <row r="2164">
          <cell r="G2164" t="str">
            <v>ASV4434</v>
          </cell>
          <cell r="H2164" t="str">
            <v>g__Oscillibacter</v>
          </cell>
          <cell r="I2164" t="str">
            <v>s__uncultured_bacterium_g__Oscillibacter</v>
          </cell>
        </row>
        <row r="2165">
          <cell r="G2165" t="str">
            <v>ASV4436</v>
          </cell>
          <cell r="H2165" t="str">
            <v>g__Alloprevotella</v>
          </cell>
          <cell r="I2165" t="str">
            <v>s__uncultured_bacterium_g__Alloprevotella</v>
          </cell>
        </row>
        <row r="2166">
          <cell r="G2166" t="str">
            <v>ASV8601</v>
          </cell>
          <cell r="H2166" t="str">
            <v>g__unclassified_f__Pasteurellaceae</v>
          </cell>
          <cell r="I2166" t="str">
            <v>s__unclassified_f__Pasteurellaceae</v>
          </cell>
        </row>
        <row r="2167">
          <cell r="G2167" t="str">
            <v>ASV19197</v>
          </cell>
          <cell r="H2167" t="str">
            <v>g__Megasphaera</v>
          </cell>
          <cell r="I2167" t="str">
            <v>s__unclassified_g__Megasphaera</v>
          </cell>
        </row>
        <row r="2168">
          <cell r="G2168" t="str">
            <v>ASV7146</v>
          </cell>
          <cell r="H2168" t="str">
            <v>g__norank_f__Selenomonadaceae</v>
          </cell>
          <cell r="I2168" t="str">
            <v>s__Selenomonas_sp._oral_clone_JI021</v>
          </cell>
        </row>
        <row r="2169">
          <cell r="G2169" t="str">
            <v>ASV17724</v>
          </cell>
          <cell r="H2169" t="str">
            <v>g__unclassified_f__Lachnospiraceae</v>
          </cell>
          <cell r="I2169" t="str">
            <v>s__unclassified_f__Lachnospiraceae</v>
          </cell>
        </row>
        <row r="2170">
          <cell r="G2170" t="str">
            <v>ASV1890</v>
          </cell>
          <cell r="H2170" t="str">
            <v>g__norank_f__Eubacterium_coprostanoligenes_group</v>
          </cell>
          <cell r="I2170" t="str">
            <v>s__uncultured_bacterium_g__norank_f__Eubacterium_coprostanoligenes_group</v>
          </cell>
        </row>
        <row r="2171">
          <cell r="G2171" t="str">
            <v>ASV7451</v>
          </cell>
          <cell r="H2171" t="str">
            <v>g__Ruminococcus</v>
          </cell>
          <cell r="I2171" t="str">
            <v>s__uncultured_bacterium_g__Ruminococcus</v>
          </cell>
        </row>
        <row r="2172">
          <cell r="G2172" t="str">
            <v>ASV7185</v>
          </cell>
          <cell r="H2172" t="str">
            <v>g__norank_f__norank_o__mle1-27</v>
          </cell>
          <cell r="I2172" t="str">
            <v>s__uncultured_bacterium_g__norank_f__norank_o__mle1-27</v>
          </cell>
        </row>
        <row r="2173">
          <cell r="G2173" t="str">
            <v>ASV7166</v>
          </cell>
          <cell r="H2173" t="str">
            <v>g__Christensenellaceae_R-7_group</v>
          </cell>
          <cell r="I2173" t="str">
            <v>s__unclassified_g__Christensenellaceae_R-7_group</v>
          </cell>
        </row>
        <row r="2174">
          <cell r="G2174" t="str">
            <v>ASV14990</v>
          </cell>
          <cell r="H2174" t="str">
            <v>g__Parabacteroides</v>
          </cell>
          <cell r="I2174" t="str">
            <v>s__Porphyromonadaceae_bacterium_DJF_B175</v>
          </cell>
        </row>
        <row r="2175">
          <cell r="G2175" t="str">
            <v>ASV13239</v>
          </cell>
          <cell r="H2175" t="str">
            <v>g__Enterococcus</v>
          </cell>
          <cell r="I2175" t="str">
            <v>s__unclassified_g__Enterococcus</v>
          </cell>
        </row>
        <row r="2176">
          <cell r="G2176" t="str">
            <v>ASV16212</v>
          </cell>
          <cell r="H2176" t="str">
            <v>g__Bacteroides</v>
          </cell>
          <cell r="I2176" t="str">
            <v>s__uncultured_bacterium_g__Bacteroides</v>
          </cell>
        </row>
        <row r="2177">
          <cell r="G2177" t="str">
            <v>ASV9138</v>
          </cell>
          <cell r="H2177" t="str">
            <v>g__unclassified_k__norank_d__Bacteria</v>
          </cell>
          <cell r="I2177" t="str">
            <v>s__unclassified_k__norank_d__Bacteria</v>
          </cell>
        </row>
        <row r="2178">
          <cell r="G2178" t="str">
            <v>ASV10491</v>
          </cell>
          <cell r="H2178" t="str">
            <v>g__unclassified_f__Lachnospiraceae</v>
          </cell>
          <cell r="I2178" t="str">
            <v>s__unclassified_f__Lachnospiraceae</v>
          </cell>
        </row>
        <row r="2179">
          <cell r="G2179" t="str">
            <v>ASV14988</v>
          </cell>
          <cell r="H2179" t="str">
            <v>g__norank_f__Mitochondria</v>
          </cell>
          <cell r="I2179" t="str">
            <v>s__unclassified_g__norank_f__Mitochondria</v>
          </cell>
        </row>
        <row r="2180">
          <cell r="G2180" t="str">
            <v>ASV14987</v>
          </cell>
          <cell r="H2180" t="str">
            <v>g__Novosphingobium</v>
          </cell>
          <cell r="I2180" t="str">
            <v>s__unclassified_g__Novosphingobium</v>
          </cell>
        </row>
        <row r="2181">
          <cell r="G2181" t="str">
            <v>ASV22905</v>
          </cell>
          <cell r="H2181" t="str">
            <v>g__Streptococcus</v>
          </cell>
          <cell r="I2181" t="str">
            <v>s__unclassified_g__Streptococcus</v>
          </cell>
        </row>
        <row r="2182">
          <cell r="G2182" t="str">
            <v>ASV7269</v>
          </cell>
          <cell r="H2182" t="str">
            <v>g__unclassified_f__Lachnospiraceae</v>
          </cell>
          <cell r="I2182" t="str">
            <v>s__unclassified_f__Lachnospiraceae</v>
          </cell>
        </row>
        <row r="2183">
          <cell r="G2183" t="str">
            <v>ASV11141</v>
          </cell>
          <cell r="H2183" t="str">
            <v>g__unclassified_f__Lachnospiraceae</v>
          </cell>
          <cell r="I2183" t="str">
            <v>s__unclassified_f__Lachnospiraceae</v>
          </cell>
        </row>
        <row r="2184">
          <cell r="G2184" t="str">
            <v>ASV21764</v>
          </cell>
          <cell r="H2184" t="str">
            <v>g__unclassified_o__Lactobacillales</v>
          </cell>
          <cell r="I2184" t="str">
            <v>s__unclassified_o__Lactobacillales</v>
          </cell>
        </row>
        <row r="2185">
          <cell r="G2185" t="str">
            <v>ASV13238</v>
          </cell>
          <cell r="H2185" t="str">
            <v>g__Christensenellaceae_R-7_group</v>
          </cell>
          <cell r="I2185" t="str">
            <v>s__uncultured_bacterium_g__Christensenellaceae_R-7_group</v>
          </cell>
        </row>
        <row r="2186">
          <cell r="G2186" t="str">
            <v>ASV13878</v>
          </cell>
          <cell r="H2186" t="str">
            <v>g__Prevotella</v>
          </cell>
          <cell r="I2186" t="str">
            <v>s__unclassified_g__Prevotella</v>
          </cell>
        </row>
        <row r="2187">
          <cell r="G2187" t="str">
            <v>ASV11143</v>
          </cell>
          <cell r="H2187" t="str">
            <v>g__Succiniclasticum</v>
          </cell>
          <cell r="I2187" t="str">
            <v>s__uncultured_rumen_bacterium_4C28d-16</v>
          </cell>
        </row>
        <row r="2188">
          <cell r="G2188" t="str">
            <v>ASV21787</v>
          </cell>
          <cell r="H2188" t="str">
            <v>g__unclassified_c__Clostridia</v>
          </cell>
          <cell r="I2188" t="str">
            <v>s__unclassified_c__Clostridia</v>
          </cell>
        </row>
        <row r="2189">
          <cell r="G2189" t="str">
            <v>ASV5558</v>
          </cell>
          <cell r="H2189" t="str">
            <v>g__unclassified_f__Lachnospiraceae</v>
          </cell>
          <cell r="I2189" t="str">
            <v>s__unclassified_f__Lachnospiraceae</v>
          </cell>
        </row>
        <row r="2190">
          <cell r="G2190" t="str">
            <v>ASV13672</v>
          </cell>
          <cell r="H2190" t="str">
            <v>g__Allisonella</v>
          </cell>
          <cell r="I2190" t="str">
            <v>s__uncultured_bacterium_g__Allisonella</v>
          </cell>
        </row>
        <row r="2191">
          <cell r="G2191" t="str">
            <v>ASV3807</v>
          </cell>
          <cell r="H2191" t="str">
            <v>g__Parabacteroides</v>
          </cell>
          <cell r="I2191" t="str">
            <v>s__Parabacteroides_chinchillae</v>
          </cell>
        </row>
        <row r="2192">
          <cell r="G2192" t="str">
            <v>ASV10390</v>
          </cell>
          <cell r="H2192" t="str">
            <v>g__unclassified_c__Bacilli</v>
          </cell>
          <cell r="I2192" t="str">
            <v>s__unclassified_c__Bacilli</v>
          </cell>
        </row>
        <row r="2193">
          <cell r="G2193" t="str">
            <v>ASV17957</v>
          </cell>
          <cell r="H2193" t="str">
            <v>g__norank_f__Ruminococcaceae</v>
          </cell>
          <cell r="I2193" t="str">
            <v>s__human_gut_metagenome_g__norank_f__Ruminococcaceae</v>
          </cell>
        </row>
        <row r="2194">
          <cell r="G2194" t="str">
            <v>ASV16213</v>
          </cell>
          <cell r="H2194" t="str">
            <v>g__Rikenellaceae_RC9_gut_group</v>
          </cell>
          <cell r="I2194" t="str">
            <v>s__uncultured_bacterium_g__Rikenellaceae_RC9_gut_group</v>
          </cell>
        </row>
        <row r="2195">
          <cell r="G2195" t="str">
            <v>ASV11144</v>
          </cell>
          <cell r="H2195" t="str">
            <v>g__Prevotellaceae_NK3B31_group</v>
          </cell>
          <cell r="I2195" t="str">
            <v>s__uncultured_Prevotella_sp._g__Prevotellaceae_NK3B31_group</v>
          </cell>
        </row>
        <row r="2196">
          <cell r="G2196" t="str">
            <v>ASV17697</v>
          </cell>
          <cell r="H2196" t="str">
            <v>g__Bacteroides</v>
          </cell>
          <cell r="I2196" t="str">
            <v>s__Bacteroides_eggerthii</v>
          </cell>
        </row>
        <row r="2197">
          <cell r="G2197" t="str">
            <v>ASV5866</v>
          </cell>
          <cell r="H2197" t="str">
            <v>g__Prevotellaceae_NK3B31_group</v>
          </cell>
          <cell r="I2197" t="str">
            <v>s__uncultured_bacterium_g__Prevotellaceae_NK3B31_group</v>
          </cell>
        </row>
        <row r="2198">
          <cell r="G2198" t="str">
            <v>ASV14991</v>
          </cell>
          <cell r="H2198" t="str">
            <v>g__Christensenellaceae_R-7_group</v>
          </cell>
          <cell r="I2198" t="str">
            <v>s__uncultured_prokaryote_g__Christensenellaceae_R-7_group</v>
          </cell>
        </row>
        <row r="2199">
          <cell r="G2199" t="str">
            <v>ASV12499</v>
          </cell>
          <cell r="H2199" t="str">
            <v>g__norank_f__Eubacterium_coprostanoligenes_group</v>
          </cell>
          <cell r="I2199" t="str">
            <v>s__unclassified_g__norank_f__Eubacterium_coprostanoligenes_group</v>
          </cell>
        </row>
        <row r="2200">
          <cell r="G2200" t="str">
            <v>ASV8996</v>
          </cell>
          <cell r="H2200" t="str">
            <v>g__Prevotella</v>
          </cell>
          <cell r="I2200" t="str">
            <v>s__unclassified_g__Prevotella</v>
          </cell>
        </row>
        <row r="2201">
          <cell r="G2201" t="str">
            <v>ASV13237</v>
          </cell>
          <cell r="H2201" t="str">
            <v>g__unclassified_f__Lachnospiraceae</v>
          </cell>
          <cell r="I2201" t="str">
            <v>s__unclassified_f__Lachnospiraceae</v>
          </cell>
        </row>
        <row r="2202">
          <cell r="G2202" t="str">
            <v>ASV23003</v>
          </cell>
          <cell r="H2202" t="str">
            <v>g__Mucispirillum</v>
          </cell>
          <cell r="I2202" t="str">
            <v>s__unclassified_g__Mucispirillum</v>
          </cell>
        </row>
        <row r="2203">
          <cell r="G2203" t="str">
            <v>ASV196</v>
          </cell>
          <cell r="H2203" t="str">
            <v>g__Christensenellaceae_R-7_group</v>
          </cell>
          <cell r="I2203" t="str">
            <v>s__unclassified_g__Christensenellaceae_R-7_group</v>
          </cell>
        </row>
        <row r="2204">
          <cell r="G2204" t="str">
            <v>ASV21788</v>
          </cell>
          <cell r="H2204" t="str">
            <v>g__Selenomonas</v>
          </cell>
          <cell r="I2204" t="str">
            <v>s__unclassified_g__Selenomonas</v>
          </cell>
        </row>
        <row r="2205">
          <cell r="G2205" t="str">
            <v>ASV3379</v>
          </cell>
          <cell r="H2205" t="str">
            <v>g__norank_f__Erysipelotrichaceae</v>
          </cell>
          <cell r="I2205" t="str">
            <v>s__Erysipelotrichaceae_bacterium_canine_oral_taxon_317</v>
          </cell>
        </row>
        <row r="2206">
          <cell r="G2206" t="str">
            <v>ASV11142</v>
          </cell>
          <cell r="H2206" t="str">
            <v>g__unclassified_f__Lachnospiraceae</v>
          </cell>
          <cell r="I2206" t="str">
            <v>s__unclassified_f__Lachnospiraceae</v>
          </cell>
        </row>
        <row r="2207">
          <cell r="G2207" t="str">
            <v>ASV20513</v>
          </cell>
          <cell r="H2207" t="str">
            <v>g__Christensenellaceae_R-7_group</v>
          </cell>
          <cell r="I2207" t="str">
            <v>s__unclassified_g__Christensenellaceae_R-7_group</v>
          </cell>
        </row>
        <row r="2208">
          <cell r="G2208" t="str">
            <v>ASV15081</v>
          </cell>
          <cell r="H2208" t="str">
            <v>g__norank_f__Muribaculaceae</v>
          </cell>
          <cell r="I2208" t="str">
            <v>s__uncultured_bacterium_g__norank_f__Muribaculaceae</v>
          </cell>
        </row>
        <row r="2209">
          <cell r="G2209" t="str">
            <v>ASV12500</v>
          </cell>
          <cell r="H2209" t="str">
            <v>g__unclassified_f__Lachnospiraceae</v>
          </cell>
          <cell r="I2209" t="str">
            <v>s__unclassified_f__Lachnospiraceae</v>
          </cell>
        </row>
        <row r="2210">
          <cell r="G2210" t="str">
            <v>ASV11145</v>
          </cell>
          <cell r="H2210" t="str">
            <v>g__norank_f__norank_o__Clostridia_UCG-014</v>
          </cell>
          <cell r="I2210" t="str">
            <v>s__uncultured_bacterium_g__norank_f__norank_o__Clostridia_UCG-014</v>
          </cell>
        </row>
        <row r="2211">
          <cell r="G2211" t="str">
            <v>ASV2726</v>
          </cell>
          <cell r="H2211" t="str">
            <v>g__Hungatella</v>
          </cell>
          <cell r="I2211" t="str">
            <v>s__unclassified_g__Hungatella</v>
          </cell>
        </row>
        <row r="2212">
          <cell r="G2212" t="str">
            <v>ASV13881</v>
          </cell>
          <cell r="H2212" t="str">
            <v>g__Christensenellaceae_R-7_group</v>
          </cell>
          <cell r="I2212" t="str">
            <v>s__unclassified_g__Christensenellaceae_R-7_group</v>
          </cell>
        </row>
        <row r="2213">
          <cell r="G2213" t="str">
            <v>ASV1892</v>
          </cell>
          <cell r="H2213" t="str">
            <v>g__Christensenellaceae_R-7_group</v>
          </cell>
          <cell r="I2213" t="str">
            <v>s__unclassified_g__Christensenellaceae_R-7_group</v>
          </cell>
        </row>
        <row r="2214">
          <cell r="G2214" t="str">
            <v>ASV8609</v>
          </cell>
          <cell r="H2214" t="str">
            <v>g__Porphyromonas</v>
          </cell>
          <cell r="I2214" t="str">
            <v>s__uncultured_bacterium_g__Porphyromonas</v>
          </cell>
        </row>
        <row r="2215">
          <cell r="G2215" t="str">
            <v>ASV20369</v>
          </cell>
          <cell r="H2215" t="str">
            <v>g__Porphyromonas</v>
          </cell>
          <cell r="I2215" t="str">
            <v>s__unclassified_g__Porphyromonas</v>
          </cell>
        </row>
        <row r="2216">
          <cell r="G2216" t="str">
            <v>ASV21792</v>
          </cell>
          <cell r="H2216" t="str">
            <v>g__Candidatus_Soleaferrea</v>
          </cell>
          <cell r="I2216" t="str">
            <v>s__uncultured_bacterium_g__Candidatus_Soleaferrea</v>
          </cell>
        </row>
        <row r="2217">
          <cell r="G2217" t="str">
            <v>ASV21390</v>
          </cell>
          <cell r="H2217" t="str">
            <v>g__Allisonella</v>
          </cell>
          <cell r="I2217" t="str">
            <v>s__uncultured_bacterium_g__Allisonella</v>
          </cell>
        </row>
        <row r="2218">
          <cell r="G2218" t="str">
            <v>ASV207</v>
          </cell>
          <cell r="H2218" t="str">
            <v>g__unclassified_k__norank_d__Bacteria</v>
          </cell>
          <cell r="I2218" t="str">
            <v>s__unclassified_k__norank_d__Bacteria</v>
          </cell>
        </row>
        <row r="2219">
          <cell r="G2219" t="str">
            <v>ASV16214</v>
          </cell>
          <cell r="H2219" t="str">
            <v>g__unclassified_f__Clostridiaceae</v>
          </cell>
          <cell r="I2219" t="str">
            <v>s__unclassified_f__Clostridiaceae</v>
          </cell>
        </row>
        <row r="2220">
          <cell r="G2220" t="str">
            <v>ASV10150</v>
          </cell>
          <cell r="H2220" t="str">
            <v>g__Lactobacillus</v>
          </cell>
          <cell r="I2220" t="str">
            <v>s__unclassified_g__Lactobacillus</v>
          </cell>
        </row>
        <row r="2221">
          <cell r="G2221" t="str">
            <v>ASV3782</v>
          </cell>
          <cell r="H2221" t="str">
            <v>g__Enterococcus</v>
          </cell>
          <cell r="I2221" t="str">
            <v>s__unclassified_g__Enterococcus</v>
          </cell>
        </row>
        <row r="2222">
          <cell r="G2222" t="str">
            <v>ASV205</v>
          </cell>
          <cell r="H2222" t="str">
            <v>g__unclassified_o__Oscillospirales</v>
          </cell>
          <cell r="I2222" t="str">
            <v>s__unclassified_o__Oscillospirales</v>
          </cell>
        </row>
        <row r="2223">
          <cell r="G2223" t="str">
            <v>ASV203</v>
          </cell>
          <cell r="H2223" t="str">
            <v>g__unclassified_f__Lachnospiraceae</v>
          </cell>
          <cell r="I2223" t="str">
            <v>s__unclassified_f__Lachnospiraceae</v>
          </cell>
        </row>
        <row r="2224">
          <cell r="G2224" t="str">
            <v>ASV16838</v>
          </cell>
          <cell r="H2224" t="str">
            <v>g__unclassified_f__Lachnospiraceae</v>
          </cell>
          <cell r="I2224" t="str">
            <v>s__unclassified_f__Lachnospiraceae</v>
          </cell>
        </row>
        <row r="2225">
          <cell r="G2225" t="str">
            <v>ASV21791</v>
          </cell>
          <cell r="H2225" t="str">
            <v>g__Lactobacillus</v>
          </cell>
          <cell r="I2225" t="str">
            <v>s__unclassified_g__Lactobacillus</v>
          </cell>
        </row>
        <row r="2226">
          <cell r="G2226" t="str">
            <v>ASV1944</v>
          </cell>
          <cell r="H2226" t="str">
            <v>g__norank_f__norank_o__RF39</v>
          </cell>
          <cell r="I2226" t="str">
            <v>s__unclassified_g__norank_f__norank_o__RF39</v>
          </cell>
        </row>
        <row r="2227">
          <cell r="G2227" t="str">
            <v>ASV2592</v>
          </cell>
          <cell r="H2227" t="str">
            <v>g__Terrisporobacter</v>
          </cell>
          <cell r="I2227" t="str">
            <v>s__unclassified_g__Terrisporobacter</v>
          </cell>
        </row>
        <row r="2228">
          <cell r="G2228" t="str">
            <v>ASV5656</v>
          </cell>
          <cell r="H2228" t="str">
            <v>g__unclassified_f__Ruminococcaceae</v>
          </cell>
          <cell r="I2228" t="str">
            <v>s__unclassified_f__Ruminococcaceae</v>
          </cell>
        </row>
        <row r="2229">
          <cell r="G2229" t="str">
            <v>ASV8401</v>
          </cell>
          <cell r="H2229" t="str">
            <v>g__Prevotella</v>
          </cell>
          <cell r="I2229" t="str">
            <v>s__unclassified_g__Prevotella</v>
          </cell>
        </row>
        <row r="2230">
          <cell r="G2230" t="str">
            <v>ASV13880</v>
          </cell>
          <cell r="H2230" t="str">
            <v>g__norank_f__Muribaculaceae</v>
          </cell>
          <cell r="I2230" t="str">
            <v>s__uncultured_Porphyromonadaceae_bacterium_g__norank_f__Muribaculaceae</v>
          </cell>
        </row>
        <row r="2231">
          <cell r="G2231" t="str">
            <v>ASV20368</v>
          </cell>
          <cell r="H2231" t="str">
            <v>g__Porphyromonas</v>
          </cell>
          <cell r="I2231" t="str">
            <v>s__uncultured_bacterium_g__Porphyromonas</v>
          </cell>
        </row>
        <row r="2232">
          <cell r="G2232" t="str">
            <v>ASV16771</v>
          </cell>
          <cell r="H2232" t="str">
            <v>g__Fusobacterium</v>
          </cell>
          <cell r="I2232" t="str">
            <v>s__unclassified_g__Fusobacterium</v>
          </cell>
        </row>
        <row r="2233">
          <cell r="G2233" t="str">
            <v>ASV17606</v>
          </cell>
          <cell r="H2233" t="str">
            <v>g__Anaerovibrio</v>
          </cell>
          <cell r="I2233" t="str">
            <v>s__unclassified_g__Anaerovibrio</v>
          </cell>
        </row>
        <row r="2234">
          <cell r="G2234" t="str">
            <v>ASV18785</v>
          </cell>
          <cell r="H2234" t="str">
            <v>g__unclassified_f__Lachnospiraceae</v>
          </cell>
          <cell r="I2234" t="str">
            <v>s__unclassified_f__Lachnospiraceae</v>
          </cell>
        </row>
        <row r="2235">
          <cell r="G2235" t="str">
            <v>ASV11150</v>
          </cell>
          <cell r="H2235" t="str">
            <v>g__Rikenellaceae_RC9_gut_group</v>
          </cell>
          <cell r="I2235" t="str">
            <v>s__uncultured_bacterium_g__Rikenellaceae_RC9_gut_group</v>
          </cell>
        </row>
        <row r="2236">
          <cell r="G2236" t="str">
            <v>ASV3874</v>
          </cell>
          <cell r="H2236" t="str">
            <v>g__Bilophila</v>
          </cell>
          <cell r="I2236" t="str">
            <v>s__unclassified_g__Bilophila</v>
          </cell>
        </row>
        <row r="2237">
          <cell r="G2237" t="str">
            <v>ASV21141</v>
          </cell>
          <cell r="H2237" t="str">
            <v>g__Fusobacterium</v>
          </cell>
          <cell r="I2237" t="str">
            <v>s__unclassified_g__Fusobacterium</v>
          </cell>
        </row>
        <row r="2238">
          <cell r="G2238" t="str">
            <v>ASV17647</v>
          </cell>
          <cell r="H2238" t="str">
            <v>g__Sarcina</v>
          </cell>
          <cell r="I2238" t="str">
            <v>s__unclassified_g__Sarcina</v>
          </cell>
        </row>
        <row r="2239">
          <cell r="G2239" t="str">
            <v>ASV206</v>
          </cell>
          <cell r="H2239" t="str">
            <v>g__unclassified_f__Oscillospiraceae</v>
          </cell>
          <cell r="I2239" t="str">
            <v>s__unclassified_f__Oscillospiraceae</v>
          </cell>
        </row>
        <row r="2240">
          <cell r="G2240" t="str">
            <v>ASV8320</v>
          </cell>
          <cell r="H2240" t="str">
            <v>g__Clostridium_sensu_stricto_1</v>
          </cell>
          <cell r="I2240" t="str">
            <v>s__Clostridium_butyricum</v>
          </cell>
        </row>
        <row r="2241">
          <cell r="G2241" t="str">
            <v>ASV11148</v>
          </cell>
          <cell r="H2241" t="str">
            <v>g__Megasphaera</v>
          </cell>
          <cell r="I2241" t="str">
            <v>s__unclassified_g__Megasphaera</v>
          </cell>
        </row>
        <row r="2242">
          <cell r="G2242" t="str">
            <v>ASV5547</v>
          </cell>
          <cell r="H2242" t="str">
            <v>g__norank_f__p-2534-18B5_gut_group</v>
          </cell>
          <cell r="I2242" t="str">
            <v>s__uncultured_bacterium_g__norank_f__p-2534-18B5_gut_group</v>
          </cell>
        </row>
        <row r="2243">
          <cell r="G2243" t="str">
            <v>ASV8894</v>
          </cell>
          <cell r="H2243" t="str">
            <v>g__Parabacteroides</v>
          </cell>
          <cell r="I2243" t="str">
            <v>s__uncultured_bacterium_g__Parabacteroides</v>
          </cell>
        </row>
        <row r="2244">
          <cell r="G2244" t="str">
            <v>ASV17699</v>
          </cell>
          <cell r="H2244" t="str">
            <v>g__norank_f__Eubacterium_coprostanoligenes_group</v>
          </cell>
          <cell r="I2244" t="str">
            <v>s__unclassified_g__norank_f__Eubacterium_coprostanoligenes_group</v>
          </cell>
        </row>
        <row r="2245">
          <cell r="G2245" t="str">
            <v>ASV23004</v>
          </cell>
          <cell r="H2245" t="str">
            <v>g__unclassified_c__Clostridia</v>
          </cell>
          <cell r="I2245" t="str">
            <v>s__unclassified_c__Clostridia</v>
          </cell>
        </row>
        <row r="2246">
          <cell r="G2246" t="str">
            <v>ASV13879</v>
          </cell>
          <cell r="H2246" t="str">
            <v>g__Colidextribacter</v>
          </cell>
          <cell r="I2246" t="str">
            <v>s__uncultured_bacterium_g__Colidextribacter</v>
          </cell>
        </row>
        <row r="2247">
          <cell r="G2247" t="str">
            <v>ASV8702</v>
          </cell>
          <cell r="H2247" t="str">
            <v>g__unclassified_f__Neisseriaceae</v>
          </cell>
          <cell r="I2247" t="str">
            <v>s__unclassified_f__Neisseriaceae</v>
          </cell>
        </row>
        <row r="2248">
          <cell r="G2248" t="str">
            <v>ASV11149</v>
          </cell>
          <cell r="H2248" t="str">
            <v>g__Subdoligranulum</v>
          </cell>
          <cell r="I2248" t="str">
            <v>s__uncultured_bacterium_g__Subdoligranulum</v>
          </cell>
        </row>
        <row r="2249">
          <cell r="G2249" t="str">
            <v>ASV204</v>
          </cell>
          <cell r="H2249" t="str">
            <v>g__Parabacteroides</v>
          </cell>
          <cell r="I2249" t="str">
            <v>s__Porphyromonadaceae_bacterium_DJF_B175</v>
          </cell>
        </row>
        <row r="2250">
          <cell r="G2250" t="str">
            <v>ASV20367</v>
          </cell>
          <cell r="H2250" t="str">
            <v>g__Actinobacillus</v>
          </cell>
          <cell r="I2250" t="str">
            <v>s__unclassified_g__Actinobacillus</v>
          </cell>
        </row>
        <row r="2251">
          <cell r="G2251" t="str">
            <v>ASV3781</v>
          </cell>
          <cell r="H2251" t="str">
            <v>g__Enterococcus</v>
          </cell>
          <cell r="I2251" t="str">
            <v>s__unclassified_g__Enterococcus</v>
          </cell>
        </row>
        <row r="2252">
          <cell r="G2252" t="str">
            <v>ASV4437</v>
          </cell>
          <cell r="H2252" t="str">
            <v>g__unclassified_o__Lactobacillales</v>
          </cell>
          <cell r="I2252" t="str">
            <v>s__unclassified_o__Lactobacillales</v>
          </cell>
        </row>
        <row r="2253">
          <cell r="G2253" t="str">
            <v>ASV2924</v>
          </cell>
          <cell r="H2253" t="str">
            <v>g__Anaerococcus</v>
          </cell>
          <cell r="I2253" t="str">
            <v>s__unclassified_g__Anaerococcus</v>
          </cell>
        </row>
        <row r="2254">
          <cell r="G2254" t="str">
            <v>ASV7310</v>
          </cell>
          <cell r="H2254" t="str">
            <v>g__Chryseobacterium</v>
          </cell>
          <cell r="I2254" t="str">
            <v>s__unclassified_g__Chryseobacterium</v>
          </cell>
        </row>
        <row r="2255">
          <cell r="G2255" t="str">
            <v>ASV8282</v>
          </cell>
          <cell r="H2255" t="str">
            <v>g__Rhodococcus</v>
          </cell>
          <cell r="I2255" t="str">
            <v>s__Rhodococcus_corynebacterioides</v>
          </cell>
        </row>
        <row r="2256">
          <cell r="G2256" t="str">
            <v>ASV18484</v>
          </cell>
          <cell r="H2256" t="str">
            <v>g__unclassified_f__Lachnospiraceae</v>
          </cell>
          <cell r="I2256" t="str">
            <v>s__unclassified_f__Lachnospiraceae</v>
          </cell>
        </row>
        <row r="2257">
          <cell r="G2257" t="str">
            <v>ASV3630</v>
          </cell>
          <cell r="H2257" t="str">
            <v>g__Selenomonas</v>
          </cell>
          <cell r="I2257" t="str">
            <v>s__Selenomonas_sputigena_ATCC_35185</v>
          </cell>
        </row>
        <row r="2258">
          <cell r="G2258" t="str">
            <v>ASV4438</v>
          </cell>
          <cell r="H2258" t="str">
            <v>g__Lactobacillus</v>
          </cell>
          <cell r="I2258" t="str">
            <v>s__mouse_gut_metagenome_g__Lactobacillus</v>
          </cell>
        </row>
        <row r="2259">
          <cell r="G2259" t="str">
            <v>ASV11147</v>
          </cell>
          <cell r="H2259" t="str">
            <v>g__unclassified_f__Peptostreptococcaceae</v>
          </cell>
          <cell r="I2259" t="str">
            <v>s__unclassified_f__Peptostreptococcaceae</v>
          </cell>
        </row>
        <row r="2260">
          <cell r="G2260" t="str">
            <v>ASV3780</v>
          </cell>
          <cell r="H2260" t="str">
            <v>g__Cloacibacillus</v>
          </cell>
          <cell r="I2260" t="str">
            <v>s__unclassified_g__Cloacibacillus</v>
          </cell>
        </row>
        <row r="2261">
          <cell r="G2261" t="str">
            <v>ASV23005</v>
          </cell>
          <cell r="H2261" t="str">
            <v>g__Clostridium_sensu_stricto_1</v>
          </cell>
          <cell r="I2261" t="str">
            <v>s__unclassified_g__Clostridium_sensu_stricto_1</v>
          </cell>
        </row>
        <row r="2262">
          <cell r="G2262" t="str">
            <v>ASV15878</v>
          </cell>
          <cell r="H2262" t="str">
            <v>g__Prevotella</v>
          </cell>
          <cell r="I2262" t="str">
            <v>s__unclassified_g__Prevotella</v>
          </cell>
        </row>
        <row r="2263">
          <cell r="G2263" t="str">
            <v>ASV19228</v>
          </cell>
          <cell r="H2263" t="str">
            <v>g__Prevotella</v>
          </cell>
          <cell r="I2263" t="str">
            <v>s__unclassified_g__Prevotella</v>
          </cell>
        </row>
        <row r="2264">
          <cell r="G2264" t="str">
            <v>ASV9140</v>
          </cell>
          <cell r="H2264" t="str">
            <v>g__Eubacterium_oxidoreducens_group</v>
          </cell>
          <cell r="I2264" t="str">
            <v>s__uncultured_bacterium_g__Eubacterium_oxidoreducens_group</v>
          </cell>
        </row>
        <row r="2265">
          <cell r="G2265" t="str">
            <v>ASV10392</v>
          </cell>
          <cell r="H2265" t="str">
            <v>g__Terrisporobacter</v>
          </cell>
          <cell r="I2265" t="str">
            <v>s__unclassified_g__Terrisporobacter</v>
          </cell>
        </row>
        <row r="2266">
          <cell r="G2266" t="str">
            <v>ASV3710</v>
          </cell>
          <cell r="H2266" t="str">
            <v>g__Gallicola</v>
          </cell>
          <cell r="I2266" t="str">
            <v>s__uncultured_bacterium_g__Gallicola</v>
          </cell>
        </row>
        <row r="2267">
          <cell r="G2267" t="str">
            <v>ASV5593</v>
          </cell>
          <cell r="H2267" t="str">
            <v>g__Fretibacterium</v>
          </cell>
          <cell r="I2267" t="str">
            <v>s__unclassified_g__Fretibacterium</v>
          </cell>
        </row>
        <row r="2268">
          <cell r="G2268" t="str">
            <v>ASV21790</v>
          </cell>
          <cell r="H2268" t="str">
            <v>g__UCG-009</v>
          </cell>
          <cell r="I2268" t="str">
            <v>s__uncultured_bacterium_g__UCG-009</v>
          </cell>
        </row>
        <row r="2269">
          <cell r="G2269" t="str">
            <v>ASV8691</v>
          </cell>
          <cell r="H2269" t="str">
            <v>g__Actinomyces</v>
          </cell>
          <cell r="I2269" t="str">
            <v>s__Schaalia_hyovaginalis</v>
          </cell>
        </row>
        <row r="2270">
          <cell r="G2270" t="str">
            <v>ASV3421</v>
          </cell>
          <cell r="H2270" t="str">
            <v>g__unclassified_c__Bacilli</v>
          </cell>
          <cell r="I2270" t="str">
            <v>s__unclassified_c__Bacilli</v>
          </cell>
        </row>
        <row r="2271">
          <cell r="G2271" t="str">
            <v>ASV8757</v>
          </cell>
          <cell r="H2271" t="str">
            <v>g__Actinobacillus</v>
          </cell>
          <cell r="I2271" t="str">
            <v>s__unclassified_g__Actinobacillus</v>
          </cell>
        </row>
        <row r="2272">
          <cell r="G2272" t="str">
            <v>ASV8915</v>
          </cell>
          <cell r="H2272" t="str">
            <v>g__Porphyromonas</v>
          </cell>
          <cell r="I2272" t="str">
            <v>s__unclassified_g__Porphyromonas</v>
          </cell>
        </row>
        <row r="2273">
          <cell r="G2273" t="str">
            <v>ASV9139</v>
          </cell>
          <cell r="H2273" t="str">
            <v>g__Eubacterium_oxidoreducens_group</v>
          </cell>
          <cell r="I2273" t="str">
            <v>s__uncultured_bacterium_g__Eubacterium_oxidoreducens_group</v>
          </cell>
        </row>
        <row r="2274">
          <cell r="G2274" t="str">
            <v>ASV637</v>
          </cell>
          <cell r="H2274" t="str">
            <v>g__unclassified_f__Christensenellaceae</v>
          </cell>
          <cell r="I2274" t="str">
            <v>s__unclassified_f__Christensenellaceae</v>
          </cell>
        </row>
        <row r="2275">
          <cell r="G2275" t="str">
            <v>ASV15216</v>
          </cell>
          <cell r="H2275" t="str">
            <v>g__Oscillibacter</v>
          </cell>
          <cell r="I2275" t="str">
            <v>s__uncultured_bacterium_g__Oscillibacter</v>
          </cell>
        </row>
        <row r="2276">
          <cell r="G2276" t="str">
            <v>ASV15071</v>
          </cell>
          <cell r="H2276" t="str">
            <v>g__Psychrobacter</v>
          </cell>
          <cell r="I2276" t="str">
            <v>s__unclassified_g__Psychrobacter</v>
          </cell>
        </row>
        <row r="2277">
          <cell r="G2277" t="str">
            <v>ASV6490</v>
          </cell>
          <cell r="H2277" t="str">
            <v>g__Burkholderia-Caballeronia-Paraburkholderia</v>
          </cell>
          <cell r="I2277" t="str">
            <v>s__unclassified_g__Burkholderia-Caballeronia-Paraburkholderia</v>
          </cell>
        </row>
        <row r="2278">
          <cell r="G2278" t="str">
            <v>ASV16215</v>
          </cell>
          <cell r="H2278" t="str">
            <v>g__unclassified_f__Rikenellaceae</v>
          </cell>
          <cell r="I2278" t="str">
            <v>s__unclassified_f__Rikenellaceae</v>
          </cell>
        </row>
        <row r="2279">
          <cell r="G2279" t="str">
            <v>ASV6524</v>
          </cell>
          <cell r="H2279" t="str">
            <v>g__Klebsiella</v>
          </cell>
          <cell r="I2279" t="str">
            <v>s__unclassified_g__Klebsiella</v>
          </cell>
        </row>
        <row r="2280">
          <cell r="G2280" t="str">
            <v>ASV5517</v>
          </cell>
          <cell r="H2280" t="str">
            <v>g__Cloacibacillus</v>
          </cell>
          <cell r="I2280" t="str">
            <v>s__unclassified_g__Cloacibacillus</v>
          </cell>
        </row>
        <row r="2281">
          <cell r="G2281" t="str">
            <v>ASV9141</v>
          </cell>
          <cell r="H2281" t="str">
            <v>g__Subdoligranulum</v>
          </cell>
          <cell r="I2281" t="str">
            <v>s__uncultured_bacterium_g__Subdoligranulum</v>
          </cell>
        </row>
        <row r="2282">
          <cell r="G2282" t="str">
            <v>ASV21793</v>
          </cell>
          <cell r="H2282" t="str">
            <v>g__unclassified_c__Clostridia</v>
          </cell>
          <cell r="I2282" t="str">
            <v>s__unclassified_c__Clostridia</v>
          </cell>
        </row>
        <row r="2283">
          <cell r="G2283" t="str">
            <v>ASV12512</v>
          </cell>
          <cell r="H2283" t="str">
            <v>g__Christensenellaceae_R-7_group</v>
          </cell>
          <cell r="I2283" t="str">
            <v>s__unclassified_g__Christensenellaceae_R-7_group</v>
          </cell>
        </row>
        <row r="2284">
          <cell r="G2284" t="str">
            <v>ASV10143</v>
          </cell>
          <cell r="H2284" t="str">
            <v>g__unclassified_c__Bacilli</v>
          </cell>
          <cell r="I2284" t="str">
            <v>s__unclassified_c__Bacilli</v>
          </cell>
        </row>
        <row r="2285">
          <cell r="G2285" t="str">
            <v>ASV4544</v>
          </cell>
          <cell r="H2285" t="str">
            <v>g__unclassified_f__Lachnospiraceae</v>
          </cell>
          <cell r="I2285" t="str">
            <v>s__unclassified_f__Lachnospiraceae</v>
          </cell>
        </row>
        <row r="2286">
          <cell r="G2286" t="str">
            <v>ASV13764</v>
          </cell>
          <cell r="H2286" t="str">
            <v>g__Escherichia-Shigella</v>
          </cell>
          <cell r="I2286" t="str">
            <v>s__unclassified_g__Escherichia-Shigella</v>
          </cell>
        </row>
        <row r="2287">
          <cell r="G2287" t="str">
            <v>ASV14992</v>
          </cell>
          <cell r="H2287" t="str">
            <v>g__norank_f__norank_o__Chloroplast</v>
          </cell>
          <cell r="I2287" t="str">
            <v>s__unclassified_g__norank_f__norank_o__Chloroplast</v>
          </cell>
        </row>
        <row r="2288">
          <cell r="G2288" t="str">
            <v>ASV11154</v>
          </cell>
          <cell r="H2288" t="str">
            <v>g__Parabacteroides</v>
          </cell>
          <cell r="I2288" t="str">
            <v>s__Porphyromonadaceae_bacterium_DJF_B175</v>
          </cell>
        </row>
        <row r="2289">
          <cell r="G2289" t="str">
            <v>ASV17717</v>
          </cell>
          <cell r="H2289" t="str">
            <v>g__unclassified_c__Clostridia</v>
          </cell>
          <cell r="I2289" t="str">
            <v>s__unclassified_c__Clostridia</v>
          </cell>
        </row>
        <row r="2290">
          <cell r="G2290" t="str">
            <v>ASV15139</v>
          </cell>
          <cell r="H2290" t="str">
            <v>g__Collinsella</v>
          </cell>
          <cell r="I2290" t="str">
            <v>s__uncultured_bacterium_g__Collinsella</v>
          </cell>
        </row>
        <row r="2291">
          <cell r="G2291" t="str">
            <v>ASV13883</v>
          </cell>
          <cell r="H2291" t="str">
            <v>g__unclassified_f__Oscillospiraceae</v>
          </cell>
          <cell r="I2291" t="str">
            <v>s__unclassified_f__Oscillospiraceae</v>
          </cell>
        </row>
        <row r="2292">
          <cell r="G2292" t="str">
            <v>ASV5521</v>
          </cell>
          <cell r="H2292" t="str">
            <v>g__Cloacibacillus</v>
          </cell>
          <cell r="I2292" t="str">
            <v>s__unclassified_g__Cloacibacillus</v>
          </cell>
        </row>
        <row r="2293">
          <cell r="G2293" t="str">
            <v>ASV19231</v>
          </cell>
          <cell r="H2293" t="str">
            <v>g__UCG-002</v>
          </cell>
          <cell r="I2293" t="str">
            <v>s__uncultured_bacterium_g__UCG-002</v>
          </cell>
        </row>
        <row r="2294">
          <cell r="G2294" t="str">
            <v>ASV10142</v>
          </cell>
          <cell r="H2294" t="str">
            <v>g__Lactobacillus</v>
          </cell>
          <cell r="I2294" t="str">
            <v>s__unclassified_g__Lactobacillus</v>
          </cell>
        </row>
        <row r="2295">
          <cell r="G2295" t="str">
            <v>ASV7249</v>
          </cell>
          <cell r="H2295" t="str">
            <v>g__Alloprevotella</v>
          </cell>
          <cell r="I2295" t="str">
            <v>s__uncultured_bacterium_g__Alloprevotella</v>
          </cell>
        </row>
        <row r="2296">
          <cell r="G2296" t="str">
            <v>ASV7456</v>
          </cell>
          <cell r="H2296" t="str">
            <v>g__Christensenellaceae_R-7_group</v>
          </cell>
          <cell r="I2296" t="str">
            <v>s__unclassified_g__Christensenellaceae_R-7_group</v>
          </cell>
        </row>
        <row r="2297">
          <cell r="G2297" t="str">
            <v>ASV6525</v>
          </cell>
          <cell r="H2297" t="str">
            <v>g__Cloacibacillus</v>
          </cell>
          <cell r="I2297" t="str">
            <v>s__unclassified_g__Cloacibacillus</v>
          </cell>
        </row>
        <row r="2298">
          <cell r="G2298" t="str">
            <v>ASV19280</v>
          </cell>
          <cell r="H2298" t="str">
            <v>g__Marvinbryantia</v>
          </cell>
          <cell r="I2298" t="str">
            <v>s__unclassified_g__Marvinbryantia</v>
          </cell>
        </row>
        <row r="2299">
          <cell r="G2299" t="str">
            <v>ASV11152</v>
          </cell>
          <cell r="H2299" t="str">
            <v>g__unclassified_f__Ruminococcaceae</v>
          </cell>
          <cell r="I2299" t="str">
            <v>s__unclassified_f__Ruminococcaceae</v>
          </cell>
        </row>
        <row r="2300">
          <cell r="G2300" t="str">
            <v>ASV3692</v>
          </cell>
          <cell r="H2300" t="str">
            <v>g__Cellvibrio</v>
          </cell>
          <cell r="I2300" t="str">
            <v>s__unclassified_g__Cellvibrio</v>
          </cell>
        </row>
        <row r="2301">
          <cell r="G2301" t="str">
            <v>ASV7277</v>
          </cell>
          <cell r="H2301" t="str">
            <v>g__Methylobacterium-Methylorubrum</v>
          </cell>
          <cell r="I2301" t="str">
            <v>s__unclassified_g__Methylobacterium-Methylorubrum</v>
          </cell>
        </row>
        <row r="2302">
          <cell r="G2302" t="str">
            <v>ASV21705</v>
          </cell>
          <cell r="H2302" t="str">
            <v>g__Parabacteroides</v>
          </cell>
          <cell r="I2302" t="str">
            <v>s__uncultured_bacterium_g__Parabacteroides</v>
          </cell>
        </row>
        <row r="2303">
          <cell r="G2303" t="str">
            <v>ASV20514</v>
          </cell>
          <cell r="H2303" t="str">
            <v>g__Christensenella</v>
          </cell>
          <cell r="I2303" t="str">
            <v>s__Christensenella_minuta</v>
          </cell>
        </row>
        <row r="2304">
          <cell r="G2304" t="str">
            <v>ASV7169</v>
          </cell>
          <cell r="H2304" t="str">
            <v>g__Filifactor</v>
          </cell>
          <cell r="I2304" t="str">
            <v>s__unclassified_g__Filifactor</v>
          </cell>
        </row>
        <row r="2305">
          <cell r="G2305" t="str">
            <v>ASV3004</v>
          </cell>
          <cell r="H2305" t="str">
            <v>g__Streptococcus</v>
          </cell>
          <cell r="I2305" t="str">
            <v>s__unclassified_g__Streptococcus</v>
          </cell>
        </row>
        <row r="2306">
          <cell r="G2306" t="str">
            <v>ASV7455</v>
          </cell>
          <cell r="H2306" t="str">
            <v>g__unclassified_f__Clostridiaceae</v>
          </cell>
          <cell r="I2306" t="str">
            <v>s__unclassified_f__Clostridiaceae</v>
          </cell>
        </row>
        <row r="2307">
          <cell r="G2307" t="str">
            <v>ASV13240</v>
          </cell>
          <cell r="H2307" t="str">
            <v>g__Ruminococcus</v>
          </cell>
          <cell r="I2307" t="str">
            <v>s__uncultured_bacterium_g__Ruminococcus</v>
          </cell>
        </row>
        <row r="2308">
          <cell r="G2308" t="str">
            <v>ASV16801</v>
          </cell>
          <cell r="H2308" t="str">
            <v>g__Prevotella</v>
          </cell>
          <cell r="I2308" t="str">
            <v>s__unclassified_g__Prevotella</v>
          </cell>
        </row>
        <row r="2309">
          <cell r="G2309" t="str">
            <v>ASV19229</v>
          </cell>
          <cell r="H2309" t="str">
            <v>g__Prevotellaceae_UCG-003</v>
          </cell>
          <cell r="I2309" t="str">
            <v>s__uncultured_bacterium_g__Prevotellaceae_UCG-003</v>
          </cell>
        </row>
        <row r="2310">
          <cell r="G2310" t="str">
            <v>ASV8329</v>
          </cell>
          <cell r="H2310" t="str">
            <v>g__Clostridium_sensu_stricto_1</v>
          </cell>
          <cell r="I2310" t="str">
            <v>s__unclassified_g__Clostridium_sensu_stricto_1</v>
          </cell>
        </row>
        <row r="2311">
          <cell r="G2311" t="str">
            <v>ASV215</v>
          </cell>
          <cell r="H2311" t="str">
            <v>g__unclassified_f__Ruminococcaceae</v>
          </cell>
          <cell r="I2311" t="str">
            <v>s__unclassified_f__Ruminococcaceae</v>
          </cell>
        </row>
        <row r="2312">
          <cell r="G2312" t="str">
            <v>ASV20371</v>
          </cell>
          <cell r="H2312" t="str">
            <v>g__Aeromicrobium</v>
          </cell>
          <cell r="I2312" t="str">
            <v>s__unclassified_g__Aeromicrobium</v>
          </cell>
        </row>
        <row r="2313">
          <cell r="G2313" t="str">
            <v>ASV7144</v>
          </cell>
          <cell r="H2313" t="str">
            <v>g__Leptotrichia</v>
          </cell>
          <cell r="I2313" t="str">
            <v>s__uncultured_bacterium_g__Leptotrichia</v>
          </cell>
        </row>
        <row r="2314">
          <cell r="G2314" t="str">
            <v>ASV8760</v>
          </cell>
          <cell r="H2314" t="str">
            <v>g__Barnesiella</v>
          </cell>
          <cell r="I2314" t="str">
            <v>s__unclassified_g__Barnesiella</v>
          </cell>
        </row>
        <row r="2315">
          <cell r="G2315" t="str">
            <v>ASV14994</v>
          </cell>
          <cell r="H2315" t="str">
            <v>g__Mailhella</v>
          </cell>
          <cell r="I2315" t="str">
            <v>s__Desulfovibrio_sp._Marseille-P3199</v>
          </cell>
        </row>
        <row r="2316">
          <cell r="G2316" t="str">
            <v>ASV16217</v>
          </cell>
          <cell r="H2316" t="str">
            <v>g__Rikenellaceae_RC9_gut_group</v>
          </cell>
          <cell r="I2316" t="str">
            <v>s__uncultured_bacterium_g__Rikenellaceae_RC9_gut_group</v>
          </cell>
        </row>
        <row r="2317">
          <cell r="G2317" t="str">
            <v>ASV6526</v>
          </cell>
          <cell r="H2317" t="str">
            <v>g__unclassified_c__Clostridia</v>
          </cell>
          <cell r="I2317" t="str">
            <v>s__unclassified_c__Clostridia</v>
          </cell>
        </row>
        <row r="2318">
          <cell r="G2318" t="str">
            <v>ASV3785</v>
          </cell>
          <cell r="H2318" t="str">
            <v>g__Escherichia-Shigella</v>
          </cell>
          <cell r="I2318" t="str">
            <v>s__unclassified_g__Escherichia-Shigella</v>
          </cell>
        </row>
        <row r="2319">
          <cell r="G2319" t="str">
            <v>ASV2762</v>
          </cell>
          <cell r="H2319" t="str">
            <v>g__unclassified_f__Christensenellaceae</v>
          </cell>
          <cell r="I2319" t="str">
            <v>s__unclassified_f__Christensenellaceae</v>
          </cell>
        </row>
        <row r="2320">
          <cell r="G2320" t="str">
            <v>ASV11613</v>
          </cell>
          <cell r="H2320" t="str">
            <v>g__unclassified_f__Lachnospiraceae</v>
          </cell>
          <cell r="I2320" t="str">
            <v>s__unclassified_f__Lachnospiraceae</v>
          </cell>
        </row>
        <row r="2321">
          <cell r="G2321" t="str">
            <v>ASV6889</v>
          </cell>
          <cell r="H2321" t="str">
            <v>g__Oribacterium</v>
          </cell>
          <cell r="I2321" t="str">
            <v>s__uncultured_bacterium_g__Oribacterium</v>
          </cell>
        </row>
        <row r="2322">
          <cell r="G2322" t="str">
            <v>ASV1895</v>
          </cell>
          <cell r="H2322" t="str">
            <v>g__unclassified_f__Lachnospiraceae</v>
          </cell>
          <cell r="I2322" t="str">
            <v>s__unclassified_f__Lachnospiraceae</v>
          </cell>
        </row>
        <row r="2323">
          <cell r="G2323" t="str">
            <v>ASV11417</v>
          </cell>
          <cell r="H2323" t="str">
            <v>g__norank_f__UCG-010</v>
          </cell>
          <cell r="I2323" t="str">
            <v>s__unclassified_g__norank_f__UCG-010</v>
          </cell>
        </row>
        <row r="2324">
          <cell r="G2324" t="str">
            <v>ASV21794</v>
          </cell>
          <cell r="H2324" t="str">
            <v>g__unclassified_f__Peptostreptococcaceae</v>
          </cell>
          <cell r="I2324" t="str">
            <v>s__unclassified_f__Peptostreptococcaceae</v>
          </cell>
        </row>
        <row r="2325">
          <cell r="G2325" t="str">
            <v>ASV7458</v>
          </cell>
          <cell r="H2325" t="str">
            <v>g__Clostridium_sensu_stricto_1</v>
          </cell>
          <cell r="I2325" t="str">
            <v>s__unclassified_g__Clostridium_sensu_stricto_1</v>
          </cell>
        </row>
        <row r="2326">
          <cell r="G2326" t="str">
            <v>ASV21391</v>
          </cell>
          <cell r="H2326" t="str">
            <v>g__Lactobacillus</v>
          </cell>
          <cell r="I2326" t="str">
            <v>s__unclassified_g__Lactobacillus</v>
          </cell>
        </row>
        <row r="2327">
          <cell r="G2327" t="str">
            <v>ASV210</v>
          </cell>
          <cell r="H2327" t="str">
            <v>g__unclassified_p__Firmicutes</v>
          </cell>
          <cell r="I2327" t="str">
            <v>s__unclassified_p__Firmicutes</v>
          </cell>
        </row>
        <row r="2328">
          <cell r="G2328" t="str">
            <v>ASV13882</v>
          </cell>
          <cell r="H2328" t="str">
            <v>g__unclassified_p__Firmicutes</v>
          </cell>
          <cell r="I2328" t="str">
            <v>s__unclassified_p__Firmicutes</v>
          </cell>
        </row>
        <row r="2329">
          <cell r="G2329" t="str">
            <v>ASV13242</v>
          </cell>
          <cell r="H2329" t="str">
            <v>g__Lachnoclostridium</v>
          </cell>
          <cell r="I2329" t="str">
            <v>s__unclassified_g__Lachnoclostridium</v>
          </cell>
        </row>
        <row r="2330">
          <cell r="G2330" t="str">
            <v>ASV16216</v>
          </cell>
          <cell r="H2330" t="str">
            <v>g__Parabacteroides</v>
          </cell>
          <cell r="I2330" t="str">
            <v>s__Porphyromonadaceae_bacterium_DJF_B175</v>
          </cell>
        </row>
        <row r="2331">
          <cell r="G2331" t="str">
            <v>ASV7457</v>
          </cell>
          <cell r="H2331" t="str">
            <v>g__Ruminococcus</v>
          </cell>
          <cell r="I2331" t="str">
            <v>s__bacterium_ic1277</v>
          </cell>
        </row>
        <row r="2332">
          <cell r="G2332" t="str">
            <v>ASV15140</v>
          </cell>
          <cell r="H2332" t="str">
            <v>g__Christensenellaceae_R-7_group</v>
          </cell>
          <cell r="I2332" t="str">
            <v>s__unclassified_g__Christensenellaceae_R-7_group</v>
          </cell>
        </row>
        <row r="2333">
          <cell r="G2333" t="str">
            <v>ASV17700</v>
          </cell>
          <cell r="H2333" t="str">
            <v>g__Parabacteroides</v>
          </cell>
          <cell r="I2333" t="str">
            <v>s__unclassified_g__Parabacteroides</v>
          </cell>
        </row>
        <row r="2334">
          <cell r="G2334" t="str">
            <v>ASV18786</v>
          </cell>
          <cell r="H2334" t="str">
            <v>g__Fusobacterium</v>
          </cell>
          <cell r="I2334" t="str">
            <v>s__unclassified_g__Fusobacterium</v>
          </cell>
        </row>
        <row r="2335">
          <cell r="G2335" t="str">
            <v>ASV17702</v>
          </cell>
          <cell r="H2335" t="str">
            <v>g__Christensenellaceae_R-7_group</v>
          </cell>
          <cell r="I2335" t="str">
            <v>s__uncultured_bacterium_g__Christensenellaceae_R-7_group</v>
          </cell>
        </row>
        <row r="2336">
          <cell r="G2336" t="str">
            <v>ASV6491</v>
          </cell>
          <cell r="H2336" t="str">
            <v>g__Acinetobacter</v>
          </cell>
          <cell r="I2336" t="str">
            <v>s__unclassified_g__Acinetobacter</v>
          </cell>
        </row>
        <row r="2337">
          <cell r="G2337" t="str">
            <v>ASV4440</v>
          </cell>
          <cell r="H2337" t="str">
            <v>g__norank_f__Muribaculaceae</v>
          </cell>
          <cell r="I2337" t="str">
            <v>s__uncultured_bacterium_g__norank_f__Muribaculaceae</v>
          </cell>
        </row>
        <row r="2338">
          <cell r="G2338" t="str">
            <v>ASV9929</v>
          </cell>
          <cell r="H2338" t="str">
            <v>g__Parabacteroides</v>
          </cell>
          <cell r="I2338" t="str">
            <v>s__Porphyromonadaceae_bacterium_DJF_B175</v>
          </cell>
        </row>
        <row r="2339">
          <cell r="G2339" t="str">
            <v>ASV12501</v>
          </cell>
          <cell r="H2339" t="str">
            <v>g__UCG-002</v>
          </cell>
          <cell r="I2339" t="str">
            <v>s__unclassified_g__UCG-002</v>
          </cell>
        </row>
        <row r="2340">
          <cell r="G2340" t="str">
            <v>ASV4443</v>
          </cell>
          <cell r="H2340" t="str">
            <v>g__unclassified_o__Oscillospirales</v>
          </cell>
          <cell r="I2340" t="str">
            <v>s__unclassified_o__Oscillospirales</v>
          </cell>
        </row>
        <row r="2341">
          <cell r="G2341" t="str">
            <v>ASV11151</v>
          </cell>
          <cell r="H2341" t="str">
            <v>g__UCG-009</v>
          </cell>
          <cell r="I2341" t="str">
            <v>s__uncultured_bacterium_g__UCG-009</v>
          </cell>
        </row>
        <row r="2342">
          <cell r="G2342" t="str">
            <v>ASV17701</v>
          </cell>
          <cell r="H2342" t="str">
            <v>g__unclassified_f__Ruminococcaceae</v>
          </cell>
          <cell r="I2342" t="str">
            <v>s__unclassified_f__Ruminococcaceae</v>
          </cell>
        </row>
        <row r="2343">
          <cell r="G2343" t="str">
            <v>ASV10630</v>
          </cell>
          <cell r="H2343" t="str">
            <v>g__norank_f__Ruminococcaceae</v>
          </cell>
          <cell r="I2343" t="str">
            <v>s__unclassified_g__norank_f__Ruminococcaceae</v>
          </cell>
        </row>
        <row r="2344">
          <cell r="G2344" t="str">
            <v>ASV2698</v>
          </cell>
          <cell r="H2344" t="str">
            <v>g__Corynebacterium</v>
          </cell>
          <cell r="I2344" t="str">
            <v>s__unclassified_g__Corynebacterium</v>
          </cell>
        </row>
        <row r="2345">
          <cell r="G2345" t="str">
            <v>ASV17703</v>
          </cell>
          <cell r="H2345" t="str">
            <v>g__norank_f__Ruminococcaceae</v>
          </cell>
          <cell r="I2345" t="str">
            <v>s__unclassified_g__norank_f__Ruminococcaceae</v>
          </cell>
        </row>
        <row r="2346">
          <cell r="G2346" t="str">
            <v>ASV11155</v>
          </cell>
          <cell r="H2346" t="str">
            <v>g__Treponema</v>
          </cell>
          <cell r="I2346" t="str">
            <v>s__unclassified_g__Treponema</v>
          </cell>
        </row>
        <row r="2347">
          <cell r="G2347" t="str">
            <v>ASV14993</v>
          </cell>
          <cell r="H2347" t="str">
            <v>g__Desulfovibrio</v>
          </cell>
          <cell r="I2347" t="str">
            <v>s__unclassified_g__Desulfovibrio</v>
          </cell>
        </row>
        <row r="2348">
          <cell r="G2348" t="str">
            <v>ASV14995</v>
          </cell>
          <cell r="H2348" t="str">
            <v>g__Clostridium_sensu_stricto_1</v>
          </cell>
          <cell r="I2348" t="str">
            <v>s__unclassified_g__Clostridium_sensu_stricto_1</v>
          </cell>
        </row>
        <row r="2349">
          <cell r="G2349" t="str">
            <v>ASV10393</v>
          </cell>
          <cell r="H2349" t="str">
            <v>g__Christensenellaceae_R-7_group</v>
          </cell>
          <cell r="I2349" t="str">
            <v>s__unclassified_g__Christensenellaceae_R-7_group</v>
          </cell>
        </row>
        <row r="2350">
          <cell r="G2350" t="str">
            <v>ASV14996</v>
          </cell>
          <cell r="H2350" t="str">
            <v>g__unclassified_f__Prevotellaceae</v>
          </cell>
          <cell r="I2350" t="str">
            <v>s__unclassified_f__Prevotellaceae</v>
          </cell>
        </row>
        <row r="2351">
          <cell r="G2351" t="str">
            <v>ASV2707</v>
          </cell>
          <cell r="H2351" t="str">
            <v>g__norank_f__norank_o__Chloroplast</v>
          </cell>
          <cell r="I2351" t="str">
            <v>s__Ginkgo_biloba_maidenhair_tree_g__norank_f__norank</v>
          </cell>
        </row>
        <row r="2352">
          <cell r="G2352" t="str">
            <v>ASV21795</v>
          </cell>
          <cell r="H2352" t="str">
            <v>g__unclassified_f__Lachnospiraceae</v>
          </cell>
          <cell r="I2352" t="str">
            <v>s__unclassified_f__Lachnospiraceae</v>
          </cell>
        </row>
        <row r="2353">
          <cell r="G2353" t="str">
            <v>ASV5599</v>
          </cell>
          <cell r="H2353" t="str">
            <v>g__norank_f__Ruminococcaceae</v>
          </cell>
          <cell r="I2353" t="str">
            <v>s__unclassified_g__norank_f__Ruminococcaceae</v>
          </cell>
        </row>
        <row r="2354">
          <cell r="G2354" t="str">
            <v>ASV19232</v>
          </cell>
          <cell r="H2354" t="str">
            <v>g__Christensenellaceae_R-7_group</v>
          </cell>
          <cell r="I2354" t="str">
            <v>s__uncultured_prokaryote_g__Christensenellaceae_R-7_group</v>
          </cell>
        </row>
        <row r="2355">
          <cell r="G2355" t="str">
            <v>ASV5520</v>
          </cell>
          <cell r="H2355" t="str">
            <v>g__Eubacterium_oxidoreducens_group</v>
          </cell>
          <cell r="I2355" t="str">
            <v>s__uncultured_bacterium_g__Eubacterium_oxidoreducens_group</v>
          </cell>
        </row>
        <row r="2356">
          <cell r="G2356" t="str">
            <v>ASV17344</v>
          </cell>
          <cell r="H2356" t="str">
            <v>g__Actinobacillus</v>
          </cell>
          <cell r="I2356" t="str">
            <v>s__Actinobacillus_indolicus</v>
          </cell>
        </row>
        <row r="2357">
          <cell r="G2357" t="str">
            <v>ASV5618</v>
          </cell>
          <cell r="H2357" t="str">
            <v>g__norank_f__Ruminococcaceae</v>
          </cell>
          <cell r="I2357" t="str">
            <v>s__unclassified_g__norank_f__Ruminococcaceae</v>
          </cell>
        </row>
        <row r="2358">
          <cell r="G2358" t="str">
            <v>ASV13241</v>
          </cell>
          <cell r="H2358" t="str">
            <v>g__Lactobacillus</v>
          </cell>
          <cell r="I2358" t="str">
            <v>s__unclassified_g__Lactobacillus</v>
          </cell>
        </row>
        <row r="2359">
          <cell r="G2359" t="str">
            <v>ASV9143</v>
          </cell>
          <cell r="H2359" t="str">
            <v>g__Eubacterium_oxidoreducens_group</v>
          </cell>
          <cell r="I2359" t="str">
            <v>s__uncultured_bacterium_g__Eubacterium_oxidoreducens_group</v>
          </cell>
        </row>
        <row r="2360">
          <cell r="G2360" t="str">
            <v>ASV214</v>
          </cell>
          <cell r="H2360" t="str">
            <v>g__unclassified_f__Lachnospiraceae</v>
          </cell>
          <cell r="I2360" t="str">
            <v>s__unclassified_f__Lachnospiraceae</v>
          </cell>
        </row>
        <row r="2361">
          <cell r="G2361" t="str">
            <v>ASV20370</v>
          </cell>
          <cell r="H2361" t="str">
            <v>g__Acidovorax</v>
          </cell>
          <cell r="I2361" t="str">
            <v>s__unclassified_g__Acidovorax</v>
          </cell>
        </row>
        <row r="2362">
          <cell r="G2362" t="str">
            <v>ASV7158</v>
          </cell>
          <cell r="H2362" t="str">
            <v>g__Candidatus_Saccharimonas</v>
          </cell>
          <cell r="I2362" t="str">
            <v>s__unclassified_g__Candidatus_Saccharimonas</v>
          </cell>
        </row>
        <row r="2363">
          <cell r="G2363" t="str">
            <v>ASV23006</v>
          </cell>
          <cell r="H2363" t="str">
            <v>g__norank_f__Ruminococcaceae</v>
          </cell>
          <cell r="I2363" t="str">
            <v>s__gut_metagenome_g__norank_f__Ruminococcaceae</v>
          </cell>
        </row>
        <row r="2364">
          <cell r="G2364" t="str">
            <v>ASV12513</v>
          </cell>
          <cell r="H2364" t="str">
            <v>g__Lachnospiraceae_NK4A136_group</v>
          </cell>
          <cell r="I2364" t="str">
            <v>s__unclassified_g__Lachnospiraceae_NK4A136_group</v>
          </cell>
        </row>
        <row r="2365">
          <cell r="G2365" t="str">
            <v>ASV4446</v>
          </cell>
          <cell r="H2365" t="str">
            <v>g__Ruminococcus</v>
          </cell>
          <cell r="I2365" t="str">
            <v>s__bacterium_ic1277</v>
          </cell>
        </row>
        <row r="2366">
          <cell r="G2366" t="str">
            <v>ASV212</v>
          </cell>
          <cell r="H2366" t="str">
            <v>g__Ruminococcus</v>
          </cell>
          <cell r="I2366" t="str">
            <v>s__bacterium_ic1277</v>
          </cell>
        </row>
        <row r="2367">
          <cell r="G2367" t="str">
            <v>ASV3422</v>
          </cell>
          <cell r="H2367" t="str">
            <v>g__Clostridium_sensu_stricto_1</v>
          </cell>
          <cell r="I2367" t="str">
            <v>s__unclassified_g__Clostridium_sensu_stricto_1</v>
          </cell>
        </row>
        <row r="2368">
          <cell r="G2368" t="str">
            <v>ASV4445</v>
          </cell>
          <cell r="H2368" t="str">
            <v>g__unclassified_f__Lachnospiraceae</v>
          </cell>
          <cell r="I2368" t="str">
            <v>s__unclassified_f__Lachnospiraceae</v>
          </cell>
        </row>
        <row r="2369">
          <cell r="G2369" t="str">
            <v>ASV19230</v>
          </cell>
          <cell r="H2369" t="str">
            <v>g__norank_f__Eubacterium_coprostanoligenes_group</v>
          </cell>
          <cell r="I2369" t="str">
            <v>s__uncultured_bacterium_g__norank_f__Eubacterium_coprostanoligenes_group</v>
          </cell>
        </row>
        <row r="2370">
          <cell r="G2370" t="str">
            <v>ASV11153</v>
          </cell>
          <cell r="H2370" t="str">
            <v>g__Megasphaera</v>
          </cell>
          <cell r="I2370" t="str">
            <v>s__unclassified_g__Megasphaera</v>
          </cell>
        </row>
        <row r="2371">
          <cell r="G2371" t="str">
            <v>ASV2235</v>
          </cell>
          <cell r="H2371" t="str">
            <v>g__UCG-009</v>
          </cell>
          <cell r="I2371" t="str">
            <v>s__uncultured_bacterium_g__UCG-009</v>
          </cell>
        </row>
        <row r="2372">
          <cell r="G2372" t="str">
            <v>ASV2737</v>
          </cell>
          <cell r="H2372" t="str">
            <v>g__Aerococcus</v>
          </cell>
          <cell r="I2372" t="str">
            <v>s__Aerococcus_suis</v>
          </cell>
        </row>
        <row r="2373">
          <cell r="G2373" t="str">
            <v>ASV3919</v>
          </cell>
          <cell r="H2373" t="str">
            <v>g__Butyricicoccus</v>
          </cell>
          <cell r="I2373" t="str">
            <v>s__unclassified_g__Butyricicoccus</v>
          </cell>
        </row>
        <row r="2374">
          <cell r="G2374" t="str">
            <v>ASV4444</v>
          </cell>
          <cell r="H2374" t="str">
            <v>g__unclassified_f__Lachnospiraceae</v>
          </cell>
          <cell r="I2374" t="str">
            <v>s__unclassified_f__Lachnospiraceae</v>
          </cell>
        </row>
        <row r="2375">
          <cell r="G2375" t="str">
            <v>ASV9142</v>
          </cell>
          <cell r="H2375" t="str">
            <v>g__Lachnospiraceae_NC2004_group</v>
          </cell>
          <cell r="I2375" t="str">
            <v>s__unclassified_g__Lachnospiraceae_NC2004_group</v>
          </cell>
        </row>
        <row r="2376">
          <cell r="G2376" t="str">
            <v>ASV19234</v>
          </cell>
          <cell r="H2376" t="str">
            <v>g__Christensenellaceae_R-7_group</v>
          </cell>
          <cell r="I2376" t="str">
            <v>s__unclassified_g__Christensenellaceae_R-7_group</v>
          </cell>
        </row>
        <row r="2377">
          <cell r="G2377" t="str">
            <v>ASV17704</v>
          </cell>
          <cell r="H2377" t="str">
            <v>g__unclassified_o__Oscillospirales</v>
          </cell>
          <cell r="I2377" t="str">
            <v>s__unclassified_o__Oscillospirales</v>
          </cell>
        </row>
        <row r="2378">
          <cell r="G2378" t="str">
            <v>ASV15772</v>
          </cell>
          <cell r="H2378" t="str">
            <v>g__Lactobacillus</v>
          </cell>
          <cell r="I2378" t="str">
            <v>s__unclassified_g__Lactobacillus</v>
          </cell>
        </row>
        <row r="2379">
          <cell r="G2379" t="str">
            <v>ASV3792</v>
          </cell>
          <cell r="H2379" t="str">
            <v>g__norank_f__Victivallaceae</v>
          </cell>
          <cell r="I2379" t="str">
            <v>s__uncultured_organism_g__norank_f__Victivallaceae</v>
          </cell>
        </row>
        <row r="2380">
          <cell r="G2380" t="str">
            <v>ASV4452</v>
          </cell>
          <cell r="H2380" t="str">
            <v>g__unclassified_c__Clostridia</v>
          </cell>
          <cell r="I2380" t="str">
            <v>s__unclassified_c__Clostridia</v>
          </cell>
        </row>
        <row r="2381">
          <cell r="G2381" t="str">
            <v>ASV8404</v>
          </cell>
          <cell r="H2381" t="str">
            <v>g__Megasphaera</v>
          </cell>
          <cell r="I2381" t="str">
            <v>s__unclassified_g__Megasphaera</v>
          </cell>
        </row>
        <row r="2382">
          <cell r="G2382" t="str">
            <v>ASV11156</v>
          </cell>
          <cell r="H2382" t="str">
            <v>g__Rikenellaceae_RC9_gut_group</v>
          </cell>
          <cell r="I2382" t="str">
            <v>s__uncultured_bacterium_g__Rikenellaceae_RC9_gut_group</v>
          </cell>
        </row>
        <row r="2383">
          <cell r="G2383" t="str">
            <v>ASV8405</v>
          </cell>
          <cell r="H2383" t="str">
            <v>g__Megasphaera</v>
          </cell>
          <cell r="I2383" t="str">
            <v>s__unclassified_g__Megasphaera</v>
          </cell>
        </row>
        <row r="2384">
          <cell r="G2384" t="str">
            <v>ASV21799</v>
          </cell>
          <cell r="H2384" t="str">
            <v>g__Lactobacillus</v>
          </cell>
          <cell r="I2384" t="str">
            <v>s__unclassified_g__Lactobacillus</v>
          </cell>
        </row>
        <row r="2385">
          <cell r="G2385" t="str">
            <v>ASV1629</v>
          </cell>
          <cell r="H2385" t="str">
            <v>g__Ruminococcus_gauvreauii_group</v>
          </cell>
          <cell r="I2385" t="str">
            <v>s__unclassified_g__Ruminococcus_gauvreauii_group</v>
          </cell>
        </row>
        <row r="2386">
          <cell r="G2386" t="str">
            <v>ASV225</v>
          </cell>
          <cell r="H2386" t="str">
            <v>g__Christensenellaceae_R-7_group</v>
          </cell>
          <cell r="I2386" t="str">
            <v>s__uncultured_spirochete_g__Christensenellaceae_R-7_group</v>
          </cell>
        </row>
        <row r="2387">
          <cell r="G2387" t="str">
            <v>ASV23007</v>
          </cell>
          <cell r="H2387" t="str">
            <v>g__Subdoligranulum</v>
          </cell>
          <cell r="I2387" t="str">
            <v>s__uncultured_bacterium_g__Subdoligranulum</v>
          </cell>
        </row>
        <row r="2388">
          <cell r="G2388" t="str">
            <v>ASV4464</v>
          </cell>
          <cell r="H2388" t="str">
            <v>g__Eubacterium_eligens_group</v>
          </cell>
          <cell r="I2388" t="str">
            <v>s__uncultured_bacterium_g__Eubacterium_eligens_group</v>
          </cell>
        </row>
        <row r="2389">
          <cell r="G2389" t="str">
            <v>ASV11034</v>
          </cell>
          <cell r="H2389" t="str">
            <v>g__Lactobacillus</v>
          </cell>
          <cell r="I2389" t="str">
            <v>s__unclassified_g__Lactobacillus</v>
          </cell>
        </row>
        <row r="2390">
          <cell r="G2390" t="str">
            <v>ASV20515</v>
          </cell>
          <cell r="H2390" t="str">
            <v>g__unclassified_o__Oscillospirales</v>
          </cell>
          <cell r="I2390" t="str">
            <v>s__unclassified_o__Oscillospirales</v>
          </cell>
        </row>
        <row r="2391">
          <cell r="G2391" t="str">
            <v>ASV18485</v>
          </cell>
          <cell r="H2391" t="str">
            <v>g__unclassified_p__Firmicutes</v>
          </cell>
          <cell r="I2391" t="str">
            <v>s__unclassified_p__Firmicutes</v>
          </cell>
        </row>
        <row r="2392">
          <cell r="G2392" t="str">
            <v>ASV15047</v>
          </cell>
          <cell r="H2392" t="str">
            <v>g__unclassified_f__Oscillospiraceae</v>
          </cell>
          <cell r="I2392" t="str">
            <v>s__unclassified_f__Oscillospiraceae</v>
          </cell>
        </row>
        <row r="2393">
          <cell r="G2393" t="str">
            <v>ASV14997</v>
          </cell>
          <cell r="H2393" t="str">
            <v>g__Butyricimonas</v>
          </cell>
          <cell r="I2393" t="str">
            <v>s__uncultured_bacterium_g__Butyricimonas</v>
          </cell>
        </row>
        <row r="2394">
          <cell r="G2394" t="str">
            <v>ASV15142</v>
          </cell>
          <cell r="H2394" t="str">
            <v>g__Christensenellaceae_R-7_group</v>
          </cell>
          <cell r="I2394" t="str">
            <v>s__unclassified_g__Christensenellaceae_R-7_group</v>
          </cell>
        </row>
        <row r="2395">
          <cell r="G2395" t="str">
            <v>ASV13765</v>
          </cell>
          <cell r="H2395" t="str">
            <v>g__Streptococcus</v>
          </cell>
          <cell r="I2395" t="str">
            <v>s__unclassified_g__Streptococcus</v>
          </cell>
        </row>
        <row r="2396">
          <cell r="G2396" t="str">
            <v>ASV7170</v>
          </cell>
          <cell r="H2396" t="str">
            <v>g__unclassified_f__Christensenellaceae</v>
          </cell>
          <cell r="I2396" t="str">
            <v>s__unclassified_f__Christensenellaceae</v>
          </cell>
        </row>
        <row r="2397">
          <cell r="G2397" t="str">
            <v>ASV15143</v>
          </cell>
          <cell r="H2397" t="str">
            <v>g__Christensenellaceae_R-7_group</v>
          </cell>
          <cell r="I2397" t="str">
            <v>s__unclassified_g__Christensenellaceae_R-7_group</v>
          </cell>
        </row>
        <row r="2398">
          <cell r="G2398" t="str">
            <v>ASV16802</v>
          </cell>
          <cell r="H2398" t="str">
            <v>g__Lachnoclostridium</v>
          </cell>
          <cell r="I2398" t="str">
            <v>s__unclassified_g__Lachnoclostridium</v>
          </cell>
        </row>
        <row r="2399">
          <cell r="G2399" t="str">
            <v>ASV21796</v>
          </cell>
          <cell r="H2399" t="str">
            <v>g__unclassified_f__Lachnospiraceae</v>
          </cell>
          <cell r="I2399" t="str">
            <v>s__unclassified_f__Lachnospiraceae</v>
          </cell>
        </row>
        <row r="2400">
          <cell r="G2400" t="str">
            <v>ASV16219</v>
          </cell>
          <cell r="H2400" t="str">
            <v>g__Oscillibacter</v>
          </cell>
          <cell r="I2400" t="str">
            <v>s__unclassified_g__Oscillibacter</v>
          </cell>
        </row>
        <row r="2401">
          <cell r="G2401" t="str">
            <v>ASV4453</v>
          </cell>
          <cell r="H2401" t="str">
            <v>g__Lactobacillus</v>
          </cell>
          <cell r="I2401" t="str">
            <v>s__unclassified_g__Lactobacillus</v>
          </cell>
        </row>
        <row r="2402">
          <cell r="G2402" t="str">
            <v>ASV10190</v>
          </cell>
          <cell r="H2402" t="str">
            <v>g__Clostridioides</v>
          </cell>
          <cell r="I2402" t="str">
            <v>s__unclassified_g__Clostridioides</v>
          </cell>
        </row>
        <row r="2403">
          <cell r="G2403" t="str">
            <v>ASV3099</v>
          </cell>
          <cell r="H2403" t="str">
            <v>g__Allisonella</v>
          </cell>
          <cell r="I2403" t="str">
            <v>s__unclassified_g__Allisonella</v>
          </cell>
        </row>
        <row r="2404">
          <cell r="G2404" t="str">
            <v>ASV227</v>
          </cell>
          <cell r="H2404" t="str">
            <v>g__Lactobacillus</v>
          </cell>
          <cell r="I2404" t="str">
            <v>s__unclassified_g__Lactobacillus</v>
          </cell>
        </row>
        <row r="2405">
          <cell r="G2405" t="str">
            <v>ASV8402</v>
          </cell>
          <cell r="H2405" t="str">
            <v>g__Helicobacter</v>
          </cell>
          <cell r="I2405" t="str">
            <v>s__Helicobacter_trogontum</v>
          </cell>
        </row>
        <row r="2406">
          <cell r="G2406" t="str">
            <v>ASV11160</v>
          </cell>
          <cell r="H2406" t="str">
            <v>g__unclassified_c__Clostridia</v>
          </cell>
          <cell r="I2406" t="str">
            <v>s__unclassified_c__Clostridia</v>
          </cell>
        </row>
        <row r="2407">
          <cell r="G2407" t="str">
            <v>ASV11161</v>
          </cell>
          <cell r="H2407" t="str">
            <v>g__norank_f__Muribaculaceae</v>
          </cell>
          <cell r="I2407" t="str">
            <v>s__unclassified_g__norank_f__Muribaculaceae</v>
          </cell>
        </row>
        <row r="2408">
          <cell r="G2408" t="str">
            <v>ASV9932</v>
          </cell>
          <cell r="H2408" t="str">
            <v>g__Alloprevotella</v>
          </cell>
          <cell r="I2408" t="str">
            <v>s__uncultured_bacterium_g__Alloprevotella</v>
          </cell>
        </row>
        <row r="2409">
          <cell r="G2409" t="str">
            <v>ASV19236</v>
          </cell>
          <cell r="H2409" t="str">
            <v>g__unclassified_f__Oscillospiraceae</v>
          </cell>
          <cell r="I2409" t="str">
            <v>s__unclassified_f__Oscillospiraceae</v>
          </cell>
        </row>
        <row r="2410">
          <cell r="G2410" t="str">
            <v>ASV9999</v>
          </cell>
          <cell r="H2410" t="str">
            <v>g__unclassified_o__Bacteroidales</v>
          </cell>
          <cell r="I2410" t="str">
            <v>s__unclassified_o__Bacteroidales</v>
          </cell>
        </row>
        <row r="2411">
          <cell r="G2411" t="str">
            <v>ASV17447</v>
          </cell>
          <cell r="H2411" t="str">
            <v>g__Blautia</v>
          </cell>
          <cell r="I2411" t="str">
            <v>s__unclassified_g__Blautia</v>
          </cell>
        </row>
        <row r="2412">
          <cell r="G2412" t="str">
            <v>ASV11158</v>
          </cell>
          <cell r="H2412" t="str">
            <v>g__Parabacteroides</v>
          </cell>
          <cell r="I2412" t="str">
            <v>s__Porphyromonadaceae_bacterium_DJF_B175</v>
          </cell>
        </row>
        <row r="2413">
          <cell r="G2413" t="str">
            <v>ASV21563</v>
          </cell>
          <cell r="H2413" t="str">
            <v>g__unclassified_f__Lachnospiraceae</v>
          </cell>
          <cell r="I2413" t="str">
            <v>s__unclassified_f__Lachnospiraceae</v>
          </cell>
        </row>
        <row r="2414">
          <cell r="G2414" t="str">
            <v>ASV2903</v>
          </cell>
          <cell r="H2414" t="str">
            <v>g__unclassified_f__Microbacteriaceae</v>
          </cell>
          <cell r="I2414" t="str">
            <v>s__unclassified_f__Microbacteriaceae</v>
          </cell>
        </row>
        <row r="2415">
          <cell r="G2415" t="str">
            <v>ASV1585</v>
          </cell>
          <cell r="H2415" t="str">
            <v>g__norank_f__norank_o__RF39</v>
          </cell>
          <cell r="I2415" t="str">
            <v>s__uncultured_bacterium_g__norank_f__norank_o__RF39</v>
          </cell>
        </row>
        <row r="2416">
          <cell r="G2416" t="str">
            <v>ASV8403</v>
          </cell>
          <cell r="H2416" t="str">
            <v>g__Acidaminococcus</v>
          </cell>
          <cell r="I2416" t="str">
            <v>s__unclassified_g__Acidaminococcus</v>
          </cell>
        </row>
        <row r="2417">
          <cell r="G2417" t="str">
            <v>ASV12502</v>
          </cell>
          <cell r="H2417" t="str">
            <v>g__UCG-002</v>
          </cell>
          <cell r="I2417" t="str">
            <v>s__uncultured_bacterium_g__UCG-002</v>
          </cell>
        </row>
        <row r="2418">
          <cell r="G2418" t="str">
            <v>ASV2231</v>
          </cell>
          <cell r="H2418" t="str">
            <v>g__Ruminococcus</v>
          </cell>
          <cell r="I2418" t="str">
            <v>s__gut_metagenome_g__Ruminococcus</v>
          </cell>
        </row>
        <row r="2419">
          <cell r="G2419" t="str">
            <v>ASV24376</v>
          </cell>
          <cell r="H2419" t="str">
            <v>g__Syntrophococcus</v>
          </cell>
          <cell r="I2419" t="str">
            <v>s__uncultured_bacterium_g__Syntrophococcus</v>
          </cell>
        </row>
        <row r="2420">
          <cell r="G2420" t="str">
            <v>ASV15880</v>
          </cell>
          <cell r="H2420" t="str">
            <v>g__Bacillus</v>
          </cell>
          <cell r="I2420" t="str">
            <v>s__Lactobacillus_vaginalis_g__Bacillus</v>
          </cell>
        </row>
        <row r="2421">
          <cell r="G2421" t="str">
            <v>ASV5674</v>
          </cell>
          <cell r="H2421" t="str">
            <v>g__unclassified_o__Oscillospirales</v>
          </cell>
          <cell r="I2421" t="str">
            <v>s__unclassified_o__Oscillospirales</v>
          </cell>
        </row>
        <row r="2422">
          <cell r="G2422" t="str">
            <v>ASV11157</v>
          </cell>
          <cell r="H2422" t="str">
            <v>g__Monoglobus</v>
          </cell>
          <cell r="I2422" t="str">
            <v>s__unclassified_g__Monoglobus</v>
          </cell>
        </row>
        <row r="2423">
          <cell r="G2423" t="str">
            <v>ASV5524</v>
          </cell>
          <cell r="H2423" t="str">
            <v>g__Romboutsia</v>
          </cell>
          <cell r="I2423" t="str">
            <v>s__unclassified_g__Romboutsia</v>
          </cell>
        </row>
        <row r="2424">
          <cell r="G2424" t="str">
            <v>ASV13673</v>
          </cell>
          <cell r="H2424" t="str">
            <v>g__Lactobacillus</v>
          </cell>
          <cell r="I2424" t="str">
            <v>s__unclassified_g__Lactobacillus</v>
          </cell>
        </row>
        <row r="2425">
          <cell r="G2425" t="str">
            <v>ASV8920</v>
          </cell>
          <cell r="H2425" t="str">
            <v>g__norank_f__Oscillospiraceae</v>
          </cell>
          <cell r="I2425" t="str">
            <v>s__unclassified_g__norank_f__Oscillospiraceae</v>
          </cell>
        </row>
        <row r="2426">
          <cell r="G2426" t="str">
            <v>ASV223</v>
          </cell>
          <cell r="H2426" t="str">
            <v>g__unclassified_f__Lachnospiraceae</v>
          </cell>
          <cell r="I2426" t="str">
            <v>s__unclassified_f__Lachnospiraceae</v>
          </cell>
        </row>
        <row r="2427">
          <cell r="G2427" t="str">
            <v>ASV220</v>
          </cell>
          <cell r="H2427" t="str">
            <v>g__unclassified_c__Clostridia</v>
          </cell>
          <cell r="I2427" t="str">
            <v>s__unclassified_c__Clostridia</v>
          </cell>
        </row>
        <row r="2428">
          <cell r="G2428" t="str">
            <v>ASV9954</v>
          </cell>
          <cell r="H2428" t="str">
            <v>g__unclassified_f__Lachnospiraceae</v>
          </cell>
          <cell r="I2428" t="str">
            <v>s__unclassified_f__Lachnospiraceae</v>
          </cell>
        </row>
        <row r="2429">
          <cell r="G2429" t="str">
            <v>ASV5870</v>
          </cell>
          <cell r="H2429" t="str">
            <v>g__norank_f__norank_o__Clostridia_vadinBB60_group</v>
          </cell>
          <cell r="I2429" t="str">
            <v>s__uncultured_bacterium_g__norank_f__norank_o__Clostridia_vadinBB60_group</v>
          </cell>
        </row>
        <row r="2430">
          <cell r="G2430" t="str">
            <v>ASV13884</v>
          </cell>
          <cell r="H2430" t="str">
            <v>g__norank_f__Ruminococcaceae</v>
          </cell>
          <cell r="I2430" t="str">
            <v>s__unclassified_g__norank_f__Ruminococcaceae</v>
          </cell>
        </row>
        <row r="2431">
          <cell r="G2431" t="str">
            <v>ASV17165</v>
          </cell>
          <cell r="H2431" t="str">
            <v>g__unclassified_p__Firmicutes</v>
          </cell>
          <cell r="I2431" t="str">
            <v>s__unclassified_p__Firmicutes</v>
          </cell>
        </row>
        <row r="2432">
          <cell r="G2432" t="str">
            <v>ASV13886</v>
          </cell>
          <cell r="H2432" t="str">
            <v>g__unclassified_f__Oscillospiraceae</v>
          </cell>
          <cell r="I2432" t="str">
            <v>s__unclassified_f__Oscillospiraceae</v>
          </cell>
        </row>
        <row r="2433">
          <cell r="G2433" t="str">
            <v>ASV1055</v>
          </cell>
          <cell r="H2433" t="str">
            <v>g__Ruminococcus</v>
          </cell>
          <cell r="I2433" t="str">
            <v>s__unclassified_g__Ruminococcus</v>
          </cell>
        </row>
        <row r="2434">
          <cell r="G2434" t="str">
            <v>ASV17132</v>
          </cell>
          <cell r="H2434" t="str">
            <v>g__Clostridium_sensu_stricto_1</v>
          </cell>
          <cell r="I2434" t="str">
            <v>s__unclassified_g__Clostridium_sensu_stricto_1</v>
          </cell>
        </row>
        <row r="2435">
          <cell r="G2435" t="str">
            <v>ASV600</v>
          </cell>
          <cell r="H2435" t="str">
            <v>g__Prevotella</v>
          </cell>
          <cell r="I2435" t="str">
            <v>s__unclassified_g__Prevotella</v>
          </cell>
        </row>
        <row r="2436">
          <cell r="G2436" t="str">
            <v>ASV10394</v>
          </cell>
          <cell r="H2436" t="str">
            <v>g__Lactobacillus</v>
          </cell>
          <cell r="I2436" t="str">
            <v>s__unclassified_g__Lactobacillus</v>
          </cell>
        </row>
        <row r="2437">
          <cell r="G2437" t="str">
            <v>ASV4494</v>
          </cell>
          <cell r="H2437" t="str">
            <v>g__Parabacteroides</v>
          </cell>
          <cell r="I2437" t="str">
            <v>s__Porphyromonadaceae_bacterium_DJF_B175</v>
          </cell>
        </row>
        <row r="2438">
          <cell r="G2438" t="str">
            <v>ASV8614</v>
          </cell>
          <cell r="H2438" t="str">
            <v>g__Enterococcus</v>
          </cell>
          <cell r="I2438" t="str">
            <v>s__unclassified_g__Enterococcus</v>
          </cell>
        </row>
        <row r="2439">
          <cell r="G2439" t="str">
            <v>ASV1899</v>
          </cell>
          <cell r="H2439" t="str">
            <v>g__unclassified_c__Clostridia</v>
          </cell>
          <cell r="I2439" t="str">
            <v>s__unclassified_c__Clostridia</v>
          </cell>
        </row>
        <row r="2440">
          <cell r="G2440" t="str">
            <v>ASV3632</v>
          </cell>
          <cell r="H2440" t="str">
            <v>g__Ignavigranum</v>
          </cell>
          <cell r="I2440" t="str">
            <v>s__uncultured_bacterium_g__Ignavigranum</v>
          </cell>
        </row>
        <row r="2441">
          <cell r="G2441" t="str">
            <v>ASV15190</v>
          </cell>
          <cell r="H2441" t="str">
            <v>g__Christensenellaceae_R-7_group</v>
          </cell>
          <cell r="I2441" t="str">
            <v>s__unclassified_g__Christensenellaceae_R-7_group</v>
          </cell>
        </row>
        <row r="2442">
          <cell r="G2442" t="str">
            <v>ASV21798</v>
          </cell>
          <cell r="H2442" t="str">
            <v>g__Christensenellaceae_R-7_group</v>
          </cell>
          <cell r="I2442" t="str">
            <v>s__unclassified_g__Christensenellaceae_R-7_group</v>
          </cell>
        </row>
        <row r="2443">
          <cell r="G2443" t="str">
            <v>ASV17705</v>
          </cell>
          <cell r="H2443" t="str">
            <v>g__unclassified_c__Clostridia</v>
          </cell>
          <cell r="I2443" t="str">
            <v>s__unclassified_c__Clostridia</v>
          </cell>
        </row>
        <row r="2444">
          <cell r="G2444" t="str">
            <v>ASV21562</v>
          </cell>
          <cell r="H2444" t="str">
            <v>g__Bacteroides</v>
          </cell>
          <cell r="I2444" t="str">
            <v>s__unclassified_g__Bacteroides</v>
          </cell>
        </row>
        <row r="2445">
          <cell r="G2445" t="str">
            <v>ASV15770</v>
          </cell>
          <cell r="H2445" t="str">
            <v>g__Lactobacillus</v>
          </cell>
          <cell r="I2445" t="str">
            <v>s__unclassified_g__Lactobacillus</v>
          </cell>
        </row>
        <row r="2446">
          <cell r="G2446" t="str">
            <v>ASV6503</v>
          </cell>
          <cell r="H2446" t="str">
            <v>g__unclassified_k__norank_d__Bacteria</v>
          </cell>
          <cell r="I2446" t="str">
            <v>s__unclassified_k__norank_d__Bacteria</v>
          </cell>
        </row>
        <row r="2447">
          <cell r="G2447" t="str">
            <v>ASV7250</v>
          </cell>
          <cell r="H2447" t="str">
            <v>g__Desulfovibrio</v>
          </cell>
          <cell r="I2447" t="str">
            <v>s__unclassified_g__Desulfovibrio</v>
          </cell>
        </row>
        <row r="2448">
          <cell r="G2448" t="str">
            <v>ASV17706</v>
          </cell>
          <cell r="H2448" t="str">
            <v>g__unclassified_f__Lachnospiraceae</v>
          </cell>
          <cell r="I2448" t="str">
            <v>s__unclassified_f__Lachnospiraceae</v>
          </cell>
        </row>
        <row r="2449">
          <cell r="G2449" t="str">
            <v>ASV224</v>
          </cell>
          <cell r="H2449" t="str">
            <v>g__norank_f__norank_o__norank_c__norank_p__WPS-2</v>
          </cell>
          <cell r="I2449" t="str">
            <v>s__uncultured_rumen_bacterium_g__norank_f__norank_o__norank_c__norank</v>
          </cell>
        </row>
        <row r="2450">
          <cell r="G2450" t="str">
            <v>ASV15144</v>
          </cell>
          <cell r="H2450" t="str">
            <v>g__unclassified_c__Clostridia</v>
          </cell>
          <cell r="I2450" t="str">
            <v>s__unclassified_c__Clostridia</v>
          </cell>
        </row>
        <row r="2451">
          <cell r="G2451" t="str">
            <v>ASV17378</v>
          </cell>
          <cell r="H2451" t="str">
            <v>g__unclassified_k__norank_d__Bacteria</v>
          </cell>
          <cell r="I2451" t="str">
            <v>s__unclassified_k__norank_d__Bacteria</v>
          </cell>
        </row>
        <row r="2452">
          <cell r="G2452" t="str">
            <v>ASV16848</v>
          </cell>
          <cell r="H2452" t="str">
            <v>g__Bacteroides</v>
          </cell>
          <cell r="I2452" t="str">
            <v>s__unclassified_g__Bacteroides</v>
          </cell>
        </row>
        <row r="2453">
          <cell r="G2453" t="str">
            <v>ASV8322</v>
          </cell>
          <cell r="H2453" t="str">
            <v>g__Bacillus</v>
          </cell>
          <cell r="I2453" t="str">
            <v>s__Lactobacillus_vaginalis_g__Bacillus</v>
          </cell>
        </row>
        <row r="2454">
          <cell r="G2454" t="str">
            <v>ASV4451</v>
          </cell>
          <cell r="H2454" t="str">
            <v>g__Christensenellaceae_R-7_group</v>
          </cell>
          <cell r="I2454" t="str">
            <v>s__unclassified_g__Christensenellaceae_R-7_group</v>
          </cell>
        </row>
        <row r="2455">
          <cell r="G2455" t="str">
            <v>ASV15771</v>
          </cell>
          <cell r="H2455" t="str">
            <v>g__unclassified_f__Lachnospiraceae</v>
          </cell>
          <cell r="I2455" t="str">
            <v>s__unclassified_f__Lachnospiraceae</v>
          </cell>
        </row>
        <row r="2456">
          <cell r="G2456" t="str">
            <v>ASV16218</v>
          </cell>
          <cell r="H2456" t="str">
            <v>g__Alloprevotella</v>
          </cell>
          <cell r="I2456" t="str">
            <v>s__uncultured_bacterium_g__Alloprevotella</v>
          </cell>
        </row>
        <row r="2457">
          <cell r="G2457" t="str">
            <v>ASV15145</v>
          </cell>
          <cell r="H2457" t="str">
            <v>g__unclassified_c__Clostridia</v>
          </cell>
          <cell r="I2457" t="str">
            <v>s__unclassified_c__Clostridia</v>
          </cell>
        </row>
        <row r="2458">
          <cell r="G2458" t="str">
            <v>ASV221</v>
          </cell>
          <cell r="H2458" t="str">
            <v>g__Lactobacillus</v>
          </cell>
          <cell r="I2458" t="str">
            <v>s__unclassified_g__Lactobacillus</v>
          </cell>
        </row>
        <row r="2459">
          <cell r="G2459" t="str">
            <v>ASV11159</v>
          </cell>
          <cell r="H2459" t="str">
            <v>g__norank_f__Muribaculaceae</v>
          </cell>
          <cell r="I2459" t="str">
            <v>s__unclassified_g__norank_f__Muribaculaceae</v>
          </cell>
        </row>
        <row r="2460">
          <cell r="G2460" t="str">
            <v>ASV19233</v>
          </cell>
          <cell r="H2460" t="str">
            <v>g__Succiniclasticum</v>
          </cell>
          <cell r="I2460" t="str">
            <v>s__uncultured_rumen_bacterium_4C28d-16</v>
          </cell>
        </row>
        <row r="2461">
          <cell r="G2461" t="str">
            <v>ASV17166</v>
          </cell>
          <cell r="H2461" t="str">
            <v>g__Clostridium_sensu_stricto_1</v>
          </cell>
          <cell r="I2461" t="str">
            <v>s__uncultured_bacterium_g__Clostridium_sensu_stricto_1</v>
          </cell>
        </row>
        <row r="2462">
          <cell r="G2462" t="str">
            <v>ASV17707</v>
          </cell>
          <cell r="H2462" t="str">
            <v>g__Cloacibacillus</v>
          </cell>
          <cell r="I2462" t="str">
            <v>s__unclassified_g__Cloacibacillus</v>
          </cell>
        </row>
        <row r="2463">
          <cell r="G2463" t="str">
            <v>ASV21700</v>
          </cell>
          <cell r="H2463" t="str">
            <v>g__Proteiniclasticum</v>
          </cell>
          <cell r="I2463" t="str">
            <v>s__unclassified_g__Proteiniclasticum</v>
          </cell>
        </row>
        <row r="2464">
          <cell r="G2464" t="str">
            <v>ASV2931</v>
          </cell>
          <cell r="H2464" t="str">
            <v>g__Prevotella</v>
          </cell>
          <cell r="I2464" t="str">
            <v>s__unclassified_g__Prevotella</v>
          </cell>
        </row>
        <row r="2465">
          <cell r="G2465" t="str">
            <v>ASV21797</v>
          </cell>
          <cell r="H2465" t="str">
            <v>g__Eisenbergiella</v>
          </cell>
          <cell r="I2465" t="str">
            <v>s__unclassified_g__Eisenbergiella</v>
          </cell>
        </row>
        <row r="2466">
          <cell r="G2466" t="str">
            <v>ASV8916</v>
          </cell>
          <cell r="H2466" t="str">
            <v>g__Porphyromonas</v>
          </cell>
          <cell r="I2466" t="str">
            <v>s__unclassified_g__Porphyromonas</v>
          </cell>
        </row>
        <row r="2467">
          <cell r="G2467" t="str">
            <v>ASV1898</v>
          </cell>
          <cell r="H2467" t="str">
            <v>g__unclassified_c__Clostridia</v>
          </cell>
          <cell r="I2467" t="str">
            <v>s__unclassified_c__Clostridia</v>
          </cell>
        </row>
        <row r="2468">
          <cell r="G2468" t="str">
            <v>ASV19235</v>
          </cell>
          <cell r="H2468" t="str">
            <v>g__Veillonella</v>
          </cell>
          <cell r="I2468" t="str">
            <v>s__unclassified_g__Veillonella</v>
          </cell>
        </row>
        <row r="2469">
          <cell r="G2469" t="str">
            <v>ASV20372</v>
          </cell>
          <cell r="H2469" t="str">
            <v>g__Hydrogenophaga</v>
          </cell>
          <cell r="I2469" t="str">
            <v>s__unclassified_g__Hydrogenophaga</v>
          </cell>
        </row>
        <row r="2470">
          <cell r="G2470" t="str">
            <v>ASV3031</v>
          </cell>
          <cell r="H2470" t="str">
            <v>g__Sediminibacterium</v>
          </cell>
          <cell r="I2470" t="str">
            <v>s__uncultured_bacterium_g__Sediminibacterium</v>
          </cell>
        </row>
        <row r="2471">
          <cell r="G2471" t="str">
            <v>ASV4450</v>
          </cell>
          <cell r="H2471" t="str">
            <v>g__Alloprevotella</v>
          </cell>
          <cell r="I2471" t="str">
            <v>s__uncultured_bacterium_g__Alloprevotella</v>
          </cell>
        </row>
        <row r="2472">
          <cell r="G2472" t="str">
            <v>ASV11035</v>
          </cell>
          <cell r="H2472" t="str">
            <v>g__Terrisporobacter</v>
          </cell>
          <cell r="I2472" t="str">
            <v>s__uncultured_bacterium_g__Terrisporobacter</v>
          </cell>
        </row>
        <row r="2473">
          <cell r="G2473" t="str">
            <v>ASV13885</v>
          </cell>
          <cell r="H2473" t="str">
            <v>g__UCG-002</v>
          </cell>
          <cell r="I2473" t="str">
            <v>s__unclassified_g__UCG-002</v>
          </cell>
        </row>
        <row r="2474">
          <cell r="G2474" t="str">
            <v>ASV16170</v>
          </cell>
          <cell r="H2474" t="str">
            <v>g__Lactobacillus</v>
          </cell>
          <cell r="I2474" t="str">
            <v>s__unclassified_g__Lactobacillus</v>
          </cell>
        </row>
        <row r="2475">
          <cell r="G2475" t="str">
            <v>ASV23895</v>
          </cell>
          <cell r="H2475" t="str">
            <v>g__norank_f__Selenomonadaceae</v>
          </cell>
          <cell r="I2475" t="str">
            <v>s__unclassified_g__norank_f__Selenomonadaceae</v>
          </cell>
        </row>
        <row r="2476">
          <cell r="G2476" t="str">
            <v>ASV9958</v>
          </cell>
          <cell r="H2476" t="str">
            <v>g__UCG-005</v>
          </cell>
          <cell r="I2476" t="str">
            <v>s__unclassified_g__UCG-005</v>
          </cell>
        </row>
        <row r="2477">
          <cell r="G2477" t="str">
            <v>ASV21808</v>
          </cell>
          <cell r="H2477" t="str">
            <v>g__Christensenellaceae_R-7_group</v>
          </cell>
          <cell r="I2477" t="str">
            <v>s__unclassified_g__Christensenellaceae_R-7_group</v>
          </cell>
        </row>
        <row r="2478">
          <cell r="G2478" t="str">
            <v>ASV15882</v>
          </cell>
          <cell r="H2478" t="str">
            <v>g__unclassified_c__Bacilli</v>
          </cell>
          <cell r="I2478" t="str">
            <v>s__unclassified_c__Bacilli</v>
          </cell>
        </row>
        <row r="2479">
          <cell r="G2479" t="str">
            <v>ASV7163</v>
          </cell>
          <cell r="H2479" t="str">
            <v>g__unclassified_f__Lachnospiraceae</v>
          </cell>
          <cell r="I2479" t="str">
            <v>s__unclassified_f__Lachnospiraceae</v>
          </cell>
        </row>
        <row r="2480">
          <cell r="G2480" t="str">
            <v>ASV8917</v>
          </cell>
          <cell r="H2480" t="str">
            <v>g__unclassified_f__Butyricicoccaceae</v>
          </cell>
          <cell r="I2480" t="str">
            <v>s__unclassified_f__Butyricicoccaceae</v>
          </cell>
        </row>
        <row r="2481">
          <cell r="G2481" t="str">
            <v>ASV10398</v>
          </cell>
          <cell r="H2481" t="str">
            <v>g__unclassified_f__Peptostreptococcaceae</v>
          </cell>
          <cell r="I2481" t="str">
            <v>s__unclassified_f__Peptostreptococcaceae</v>
          </cell>
        </row>
        <row r="2482">
          <cell r="G2482" t="str">
            <v>ASV235</v>
          </cell>
          <cell r="H2482" t="str">
            <v>g__unclassified_f__Ruminococcaceae</v>
          </cell>
          <cell r="I2482" t="str">
            <v>s__unclassified_f__Ruminococcaceae</v>
          </cell>
        </row>
        <row r="2483">
          <cell r="G2483" t="str">
            <v>ASV8408</v>
          </cell>
          <cell r="H2483" t="str">
            <v>g__Mitsuokella</v>
          </cell>
          <cell r="I2483" t="str">
            <v>s__unclassified_g__Mitsuokella</v>
          </cell>
        </row>
        <row r="2484">
          <cell r="G2484" t="str">
            <v>ASV15001</v>
          </cell>
          <cell r="H2484" t="str">
            <v>g__unclassified_k__norank_d__Bacteria</v>
          </cell>
          <cell r="I2484" t="str">
            <v>s__unclassified_k__norank_d__Bacteria</v>
          </cell>
        </row>
        <row r="2485">
          <cell r="G2485" t="str">
            <v>ASV11163</v>
          </cell>
          <cell r="H2485" t="str">
            <v>g__norank_f__norank_o__Clostridia_UCG-014</v>
          </cell>
          <cell r="I2485" t="str">
            <v>s__unclassified_g__norank_f__norank_o__Clostridia_UCG-014</v>
          </cell>
        </row>
        <row r="2486">
          <cell r="G2486" t="str">
            <v>ASV5526</v>
          </cell>
          <cell r="H2486" t="str">
            <v>g__Terrisporobacter</v>
          </cell>
          <cell r="I2486" t="str">
            <v>s__unclassified_g__Terrisporobacter</v>
          </cell>
        </row>
        <row r="2487">
          <cell r="G2487" t="str">
            <v>ASV17167</v>
          </cell>
          <cell r="H2487" t="str">
            <v>g__Veillonella</v>
          </cell>
          <cell r="I2487" t="str">
            <v>s__unclassified_g__Veillonella</v>
          </cell>
        </row>
        <row r="2488">
          <cell r="G2488" t="str">
            <v>ASV6529</v>
          </cell>
          <cell r="H2488" t="str">
            <v>g__Peptococcus</v>
          </cell>
          <cell r="I2488" t="str">
            <v>s__uncultured_bacterium_g__Peptococcus</v>
          </cell>
        </row>
        <row r="2489">
          <cell r="G2489" t="str">
            <v>ASV4459</v>
          </cell>
          <cell r="H2489" t="str">
            <v>g__Parabacteroides</v>
          </cell>
          <cell r="I2489" t="str">
            <v>s__uncultured_bacterium_g__Parabacteroides</v>
          </cell>
        </row>
        <row r="2490">
          <cell r="G2490" t="str">
            <v>ASV12508</v>
          </cell>
          <cell r="H2490" t="str">
            <v>g__unclassified_c__Bacilli</v>
          </cell>
          <cell r="I2490" t="str">
            <v>s__unclassified_c__Bacilli</v>
          </cell>
        </row>
        <row r="2491">
          <cell r="G2491" t="str">
            <v>ASV8918</v>
          </cell>
          <cell r="H2491" t="str">
            <v>g__Acinetobacter</v>
          </cell>
          <cell r="I2491" t="str">
            <v>s__unclassified_g__Acinetobacter</v>
          </cell>
        </row>
        <row r="2492">
          <cell r="G2492" t="str">
            <v>ASV24065</v>
          </cell>
          <cell r="H2492" t="str">
            <v>g__unclassified_f__Lachnospiraceae</v>
          </cell>
          <cell r="I2492" t="str">
            <v>s__unclassified_f__Lachnospiraceae</v>
          </cell>
        </row>
        <row r="2493">
          <cell r="G2493" t="str">
            <v>ASV13243</v>
          </cell>
          <cell r="H2493" t="str">
            <v>g__norank_f__Ruminococcaceae</v>
          </cell>
          <cell r="I2493" t="str">
            <v>s__unclassified_g__norank_f__Ruminococcaceae</v>
          </cell>
        </row>
        <row r="2494">
          <cell r="G2494" t="str">
            <v>ASV12509</v>
          </cell>
          <cell r="H2494" t="str">
            <v>g__Clostridium_sensu_stricto_1</v>
          </cell>
          <cell r="I2494" t="str">
            <v>s__unclassified_g__Clostridium_sensu_stricto_1</v>
          </cell>
        </row>
        <row r="2495">
          <cell r="G2495" t="str">
            <v>ASV20374</v>
          </cell>
          <cell r="H2495" t="str">
            <v>g__Prevotella</v>
          </cell>
          <cell r="I2495" t="str">
            <v>s__unclassified_g__Prevotella</v>
          </cell>
        </row>
        <row r="2496">
          <cell r="G2496" t="str">
            <v>ASV7165</v>
          </cell>
          <cell r="H2496" t="str">
            <v>g__Dielma</v>
          </cell>
          <cell r="I2496" t="str">
            <v>s__uncultured_bacterium_g__Dielma</v>
          </cell>
        </row>
        <row r="2497">
          <cell r="G2497" t="str">
            <v>ASV21804</v>
          </cell>
          <cell r="H2497" t="str">
            <v>g__unclassified_o__Oscillospirales</v>
          </cell>
          <cell r="I2497" t="str">
            <v>s__unclassified_o__Oscillospirales</v>
          </cell>
        </row>
        <row r="2498">
          <cell r="G2498" t="str">
            <v>ASV2925</v>
          </cell>
          <cell r="H2498" t="str">
            <v>g__Lysobacter</v>
          </cell>
          <cell r="I2498" t="str">
            <v>s__Lysobacter_xinjiangensis</v>
          </cell>
        </row>
        <row r="2499">
          <cell r="G2499" t="str">
            <v>ASV13890</v>
          </cell>
          <cell r="H2499" t="str">
            <v>g__norank_f__Muribaculaceae</v>
          </cell>
          <cell r="I2499" t="str">
            <v>s__unclassified_g__norank_f__Muribaculaceae</v>
          </cell>
        </row>
        <row r="2500">
          <cell r="G2500" t="str">
            <v>ASV7142</v>
          </cell>
          <cell r="H2500" t="str">
            <v>g__Pygmaiobacter</v>
          </cell>
          <cell r="I2500" t="str">
            <v>s__Pygmaiobacter_massiliensis</v>
          </cell>
        </row>
        <row r="2501">
          <cell r="G2501" t="str">
            <v>ASV19237</v>
          </cell>
          <cell r="H2501" t="str">
            <v>g__unclassified_f__Lachnospiraceae</v>
          </cell>
          <cell r="I2501" t="str">
            <v>s__unclassified_f__Lachnospiraceae</v>
          </cell>
        </row>
        <row r="2502">
          <cell r="G2502" t="str">
            <v>ASV12507</v>
          </cell>
          <cell r="H2502" t="str">
            <v>g__Collinsella</v>
          </cell>
          <cell r="I2502" t="str">
            <v>s__unclassified_g__Collinsella</v>
          </cell>
        </row>
        <row r="2503">
          <cell r="G2503" t="str">
            <v>ASV12503</v>
          </cell>
          <cell r="H2503" t="str">
            <v>g__unclassified_f__Oscillospiraceae</v>
          </cell>
          <cell r="I2503" t="str">
            <v>s__unclassified_f__Oscillospiraceae</v>
          </cell>
        </row>
        <row r="2504">
          <cell r="G2504" t="str">
            <v>ASV20517</v>
          </cell>
          <cell r="H2504" t="str">
            <v>g__Enterococcus</v>
          </cell>
          <cell r="I2504" t="str">
            <v>s__unclassified_g__Enterococcus</v>
          </cell>
        </row>
        <row r="2505">
          <cell r="G2505" t="str">
            <v>ASV17709</v>
          </cell>
          <cell r="H2505" t="str">
            <v>g__Bilophila</v>
          </cell>
          <cell r="I2505" t="str">
            <v>s__unclassified_g__Bilophila</v>
          </cell>
        </row>
        <row r="2506">
          <cell r="G2506" t="str">
            <v>ASV10397</v>
          </cell>
          <cell r="H2506" t="str">
            <v>g__unclassified_c__Clostridia</v>
          </cell>
          <cell r="I2506" t="str">
            <v>s__unclassified_c__Clostridia</v>
          </cell>
        </row>
        <row r="2507">
          <cell r="G2507" t="str">
            <v>ASV4456</v>
          </cell>
          <cell r="H2507" t="str">
            <v>g__unclassified_c__Clostridia</v>
          </cell>
          <cell r="I2507" t="str">
            <v>s__unclassified_c__Clostridia</v>
          </cell>
        </row>
        <row r="2508">
          <cell r="G2508" t="str">
            <v>ASV21803</v>
          </cell>
          <cell r="H2508" t="str">
            <v>g__Eubacterium_oxidoreducens_group</v>
          </cell>
          <cell r="I2508" t="str">
            <v>s__uncultured_bacterium_g__Eubacterium_oxidoreducens_group</v>
          </cell>
        </row>
        <row r="2509">
          <cell r="G2509" t="str">
            <v>ASV9936</v>
          </cell>
          <cell r="H2509" t="str">
            <v>g__Fusobacterium</v>
          </cell>
          <cell r="I2509" t="str">
            <v>s__unclassified_g__Fusobacterium</v>
          </cell>
        </row>
        <row r="2510">
          <cell r="G2510" t="str">
            <v>ASV13888</v>
          </cell>
          <cell r="H2510" t="str">
            <v>g__Christensenellaceae_R-7_group</v>
          </cell>
          <cell r="I2510" t="str">
            <v>s__unclassified_g__Christensenellaceae_R-7_group</v>
          </cell>
        </row>
        <row r="2511">
          <cell r="G2511" t="str">
            <v>ASV232</v>
          </cell>
          <cell r="H2511" t="str">
            <v>g__unclassified_o__Oscillospirales</v>
          </cell>
          <cell r="I2511" t="str">
            <v>s__unclassified_o__Oscillospirales</v>
          </cell>
        </row>
        <row r="2512">
          <cell r="G2512" t="str">
            <v>ASV12506</v>
          </cell>
          <cell r="H2512" t="str">
            <v>g__unclassified_c__Clostridia</v>
          </cell>
          <cell r="I2512" t="str">
            <v>s__unclassified_c__Clostridia</v>
          </cell>
        </row>
        <row r="2513">
          <cell r="G2513" t="str">
            <v>ASV4457</v>
          </cell>
          <cell r="H2513" t="str">
            <v>g__unclassified_f__Lachnospiraceae</v>
          </cell>
          <cell r="I2513" t="str">
            <v>s__unclassified_f__Lachnospiraceae</v>
          </cell>
        </row>
        <row r="2514">
          <cell r="G2514" t="str">
            <v>ASV15002</v>
          </cell>
          <cell r="H2514" t="str">
            <v>g__Alloprevotella</v>
          </cell>
          <cell r="I2514" t="str">
            <v>s__uncultured_bacterium_g__Alloprevotella</v>
          </cell>
        </row>
        <row r="2515">
          <cell r="G2515" t="str">
            <v>ASV12505</v>
          </cell>
          <cell r="H2515" t="str">
            <v>g__Clostridium_sensu_stricto_1</v>
          </cell>
          <cell r="I2515" t="str">
            <v>s__unclassified_g__Clostridium_sensu_stricto_1</v>
          </cell>
        </row>
        <row r="2516">
          <cell r="G2516" t="str">
            <v>ASV20516</v>
          </cell>
          <cell r="H2516" t="str">
            <v>g__Christensenellaceae_R-7_group</v>
          </cell>
          <cell r="I2516" t="str">
            <v>s__unclassified_g__Christensenellaceae_R-7_group</v>
          </cell>
        </row>
        <row r="2517">
          <cell r="G2517" t="str">
            <v>ASV15146</v>
          </cell>
          <cell r="H2517" t="str">
            <v>g__Rikenellaceae_RC9_gut_group</v>
          </cell>
          <cell r="I2517" t="str">
            <v>s__uncultured_bacterium_g__Rikenellaceae_RC9_gut_group</v>
          </cell>
        </row>
        <row r="2518">
          <cell r="G2518" t="str">
            <v>ASV18742</v>
          </cell>
          <cell r="H2518" t="str">
            <v>g__TM7x</v>
          </cell>
          <cell r="I2518" t="str">
            <v>s__uncultured_bacterium_g__TM7x</v>
          </cell>
        </row>
        <row r="2519">
          <cell r="G2519" t="str">
            <v>ASV3625</v>
          </cell>
          <cell r="H2519" t="str">
            <v>g__unclassified_f__Neisseriaceae</v>
          </cell>
          <cell r="I2519" t="str">
            <v>s__unclassified_f__Neisseriaceae</v>
          </cell>
        </row>
        <row r="2520">
          <cell r="G2520" t="str">
            <v>ASV3107</v>
          </cell>
          <cell r="H2520" t="str">
            <v>g__unclassified_f__Lachnospiraceae</v>
          </cell>
          <cell r="I2520" t="str">
            <v>s__unclassified_f__Lachnospiraceae</v>
          </cell>
        </row>
        <row r="2521">
          <cell r="G2521" t="str">
            <v>ASV5528</v>
          </cell>
          <cell r="H2521" t="str">
            <v>g__UCG-002</v>
          </cell>
          <cell r="I2521" t="str">
            <v>s__unclassified_g__UCG-002</v>
          </cell>
        </row>
        <row r="2522">
          <cell r="G2522" t="str">
            <v>ASV16220</v>
          </cell>
          <cell r="H2522" t="str">
            <v>g__Parabacteroides</v>
          </cell>
          <cell r="I2522" t="str">
            <v>s__Porphyromonadaceae_bacterium_DJF_B175</v>
          </cell>
        </row>
        <row r="2523">
          <cell r="G2523" t="str">
            <v>ASV20373</v>
          </cell>
          <cell r="H2523" t="str">
            <v>g__Pedobacter</v>
          </cell>
          <cell r="I2523" t="str">
            <v>s__unclassified_g__Pedobacter</v>
          </cell>
        </row>
        <row r="2524">
          <cell r="G2524" t="str">
            <v>ASV17708</v>
          </cell>
          <cell r="H2524" t="str">
            <v>g__norank_f__norank_o__norank_c__norank_p__Firmicutes</v>
          </cell>
          <cell r="I2524" t="str">
            <v>s__uncultured_Peptococcaceae_bacterium_g__norank_f__norank_o__norank</v>
          </cell>
        </row>
        <row r="2525">
          <cell r="G2525" t="str">
            <v>ASV7462</v>
          </cell>
          <cell r="H2525" t="str">
            <v>g__Lactobacillus</v>
          </cell>
          <cell r="I2525" t="str">
            <v>s__unclassified_g__Lactobacillus</v>
          </cell>
        </row>
        <row r="2526">
          <cell r="G2526" t="str">
            <v>ASV9934</v>
          </cell>
          <cell r="H2526" t="str">
            <v>g__Prevotellaceae_UCG-003</v>
          </cell>
          <cell r="I2526" t="str">
            <v>s__uncultured_bacterium_g__Prevotellaceae_UCG-003</v>
          </cell>
        </row>
        <row r="2527">
          <cell r="G2527" t="str">
            <v>ASV13891</v>
          </cell>
          <cell r="H2527" t="str">
            <v>g__norank_f__Peptostreptococcaceae</v>
          </cell>
          <cell r="I2527" t="str">
            <v>s__unclassified_g__norank_f__Peptostreptococcaceae</v>
          </cell>
        </row>
        <row r="2528">
          <cell r="G2528" t="str">
            <v>ASV19198</v>
          </cell>
          <cell r="H2528" t="str">
            <v>g__Allisonella</v>
          </cell>
          <cell r="I2528" t="str">
            <v>s__uncultured_bacterium_g__Allisonella</v>
          </cell>
        </row>
        <row r="2529">
          <cell r="G2529" t="str">
            <v>ASV11165</v>
          </cell>
          <cell r="H2529" t="str">
            <v>g__unclassified_f__Lachnospiraceae</v>
          </cell>
          <cell r="I2529" t="str">
            <v>s__unclassified_f__Lachnospiraceae</v>
          </cell>
        </row>
        <row r="2530">
          <cell r="G2530" t="str">
            <v>ASV233</v>
          </cell>
          <cell r="H2530" t="str">
            <v>g__unclassified_c__Clostridia</v>
          </cell>
          <cell r="I2530" t="str">
            <v>s__unclassified_c__Clostridia</v>
          </cell>
        </row>
        <row r="2531">
          <cell r="G2531" t="str">
            <v>ASV8919</v>
          </cell>
          <cell r="H2531" t="str">
            <v>g__Lactobacillus</v>
          </cell>
          <cell r="I2531" t="str">
            <v>s__unclassified_g__Lactobacillus</v>
          </cell>
        </row>
        <row r="2532">
          <cell r="G2532" t="str">
            <v>ASV21805</v>
          </cell>
          <cell r="H2532" t="str">
            <v>g__unclassified_c__Bacilli</v>
          </cell>
          <cell r="I2532" t="str">
            <v>s__unclassified_c__Bacilli</v>
          </cell>
        </row>
        <row r="2533">
          <cell r="G2533" t="str">
            <v>ASV17168</v>
          </cell>
          <cell r="H2533" t="str">
            <v>g__Lactobacillus</v>
          </cell>
          <cell r="I2533" t="str">
            <v>s__Lactobacillus_coleohominis</v>
          </cell>
        </row>
        <row r="2534">
          <cell r="G2534" t="str">
            <v>ASV23896</v>
          </cell>
          <cell r="H2534" t="str">
            <v>g__unclassified_c__Bacilli</v>
          </cell>
          <cell r="I2534" t="str">
            <v>s__unclassified_c__Bacilli</v>
          </cell>
        </row>
        <row r="2535">
          <cell r="G2535" t="str">
            <v>ASV13887</v>
          </cell>
          <cell r="H2535" t="str">
            <v>g__unclassified_c__Clostridia</v>
          </cell>
          <cell r="I2535" t="str">
            <v>s__unclassified_c__Clostridia</v>
          </cell>
        </row>
        <row r="2536">
          <cell r="G2536" t="str">
            <v>ASV8323</v>
          </cell>
          <cell r="H2536" t="str">
            <v>g__Streptococcus</v>
          </cell>
          <cell r="I2536" t="str">
            <v>s__unclassified_g__Streptococcus</v>
          </cell>
        </row>
        <row r="2537">
          <cell r="G2537" t="str">
            <v>ASV23008</v>
          </cell>
          <cell r="H2537" t="str">
            <v>g__unclassified_c__Clostridia</v>
          </cell>
          <cell r="I2537" t="str">
            <v>s__unclassified_c__Clostridia</v>
          </cell>
        </row>
        <row r="2538">
          <cell r="G2538" t="str">
            <v>ASV6412</v>
          </cell>
          <cell r="H2538" t="str">
            <v>g__Bilophila</v>
          </cell>
          <cell r="I2538" t="str">
            <v>s__uncultured_delta_proteobacterium_g__Bilophila</v>
          </cell>
        </row>
        <row r="2539">
          <cell r="G2539" t="str">
            <v>ASV10621</v>
          </cell>
          <cell r="H2539" t="str">
            <v>g__Bacteroides</v>
          </cell>
          <cell r="I2539" t="str">
            <v>s__unclassified_g__Bacteroides</v>
          </cell>
        </row>
        <row r="2540">
          <cell r="G2540" t="str">
            <v>ASV17923</v>
          </cell>
          <cell r="H2540" t="str">
            <v>g__unclassified_f__Desulfovibrionaceae</v>
          </cell>
          <cell r="I2540" t="str">
            <v>s__unclassified_f__Desulfovibrionaceae</v>
          </cell>
        </row>
        <row r="2541">
          <cell r="G2541" t="str">
            <v>ASV3716</v>
          </cell>
          <cell r="H2541" t="str">
            <v>g__Chryseobacterium</v>
          </cell>
          <cell r="I2541" t="str">
            <v>s__unclassified_g__Chryseobacterium</v>
          </cell>
        </row>
        <row r="2542">
          <cell r="G2542" t="str">
            <v>ASV21806</v>
          </cell>
          <cell r="H2542" t="str">
            <v>g__unclassified_f__Lachnospiraceae</v>
          </cell>
          <cell r="I2542" t="str">
            <v>s__unclassified_f__Lachnospiraceae</v>
          </cell>
        </row>
        <row r="2543">
          <cell r="G2543" t="str">
            <v>ASV3789</v>
          </cell>
          <cell r="H2543" t="str">
            <v>g__unclassified_f__Enterobacteriaceae</v>
          </cell>
          <cell r="I2543" t="str">
            <v>s__unclassified_f__Enterobacteriaceae</v>
          </cell>
        </row>
        <row r="2544">
          <cell r="G2544" t="str">
            <v>ASV7464</v>
          </cell>
          <cell r="H2544" t="str">
            <v>g__Christensenellaceae_R-7_group</v>
          </cell>
          <cell r="I2544" t="str">
            <v>s__uncultured_prokaryote_g__Christensenellaceae_R-7_group</v>
          </cell>
        </row>
        <row r="2545">
          <cell r="G2545" t="str">
            <v>ASV9942</v>
          </cell>
          <cell r="H2545" t="str">
            <v>g__norank_f__norank_o__WCHB1-41</v>
          </cell>
          <cell r="I2545" t="str">
            <v>s__uncultured_rumen_bacterium_g__norank_f__norank</v>
          </cell>
        </row>
        <row r="2546">
          <cell r="G2546" t="str">
            <v>ASV11166</v>
          </cell>
          <cell r="H2546" t="str">
            <v>g__Parabacteroides</v>
          </cell>
          <cell r="I2546" t="str">
            <v>s__Porphyromonadaceae_bacterium_DJF_B175</v>
          </cell>
        </row>
        <row r="2547">
          <cell r="G2547" t="str">
            <v>ASV9007</v>
          </cell>
          <cell r="H2547" t="str">
            <v>g__Treponema</v>
          </cell>
          <cell r="I2547" t="str">
            <v>s__uncultured_bacterium_g__Treponema</v>
          </cell>
        </row>
        <row r="2548">
          <cell r="G2548" t="str">
            <v>ASV7293</v>
          </cell>
          <cell r="H2548" t="str">
            <v>g__Pedobacter</v>
          </cell>
          <cell r="I2548" t="str">
            <v>s__unclassified_g__Pedobacter</v>
          </cell>
        </row>
        <row r="2549">
          <cell r="G2549" t="str">
            <v>ASV3423</v>
          </cell>
          <cell r="H2549" t="str">
            <v>g__Escherichia-Shigella</v>
          </cell>
          <cell r="I2549" t="str">
            <v>s__unclassified_g__Escherichia-Shigella</v>
          </cell>
        </row>
        <row r="2550">
          <cell r="G2550" t="str">
            <v>ASV21802</v>
          </cell>
          <cell r="H2550" t="str">
            <v>g__Christensenellaceae_R-7_group</v>
          </cell>
          <cell r="I2550" t="str">
            <v>s__unclassified_g__Christensenellaceae_R-7_group</v>
          </cell>
        </row>
        <row r="2551">
          <cell r="G2551" t="str">
            <v>ASV7463</v>
          </cell>
          <cell r="H2551" t="str">
            <v>g__unclassified_c__Clostridia</v>
          </cell>
          <cell r="I2551" t="str">
            <v>s__unclassified_c__Clostridia</v>
          </cell>
        </row>
        <row r="2552">
          <cell r="G2552" t="str">
            <v>ASV8713</v>
          </cell>
          <cell r="H2552" t="str">
            <v>g__Fusibacter</v>
          </cell>
          <cell r="I2552" t="str">
            <v>s__Peptostreptococcaceae_bacterium_feline_oral_taxon_069</v>
          </cell>
        </row>
        <row r="2553">
          <cell r="G2553" t="str">
            <v>ASV17710</v>
          </cell>
          <cell r="H2553" t="str">
            <v>g__unclassified_c__Clostridia</v>
          </cell>
          <cell r="I2553" t="str">
            <v>s__unclassified_c__Clostridia</v>
          </cell>
        </row>
        <row r="2554">
          <cell r="G2554" t="str">
            <v>ASV19149</v>
          </cell>
          <cell r="H2554" t="str">
            <v>g__Megasphaera</v>
          </cell>
          <cell r="I2554" t="str">
            <v>s__unclassified_g__Megasphaera</v>
          </cell>
        </row>
        <row r="2555">
          <cell r="G2555" t="str">
            <v>ASV15147</v>
          </cell>
          <cell r="H2555" t="str">
            <v>g__unclassified_f__Lachnospiraceae</v>
          </cell>
          <cell r="I2555" t="str">
            <v>s__unclassified_f__Lachnospiraceae</v>
          </cell>
        </row>
        <row r="2556">
          <cell r="G2556" t="str">
            <v>ASV21800</v>
          </cell>
          <cell r="H2556" t="str">
            <v>g__Megasphaera</v>
          </cell>
          <cell r="I2556" t="str">
            <v>s__unclassified_g__Megasphaera</v>
          </cell>
        </row>
        <row r="2557">
          <cell r="G2557" t="str">
            <v>ASV1903</v>
          </cell>
          <cell r="H2557" t="str">
            <v>g__Terrisporobacter</v>
          </cell>
          <cell r="I2557" t="str">
            <v>s__unclassified_g__Terrisporobacter</v>
          </cell>
        </row>
        <row r="2558">
          <cell r="G2558" t="str">
            <v>ASV21801</v>
          </cell>
          <cell r="H2558" t="str">
            <v>g__unclassified_f__Peptostreptococcaceae</v>
          </cell>
          <cell r="I2558" t="str">
            <v>s__unclassified_f__Peptostreptococcaceae</v>
          </cell>
        </row>
        <row r="2559">
          <cell r="G2559" t="str">
            <v>ASV230</v>
          </cell>
          <cell r="H2559" t="str">
            <v>g__UCG-002</v>
          </cell>
          <cell r="I2559" t="str">
            <v>s__uncultured_bacterium_g__UCG-002</v>
          </cell>
        </row>
        <row r="2560">
          <cell r="G2560" t="str">
            <v>ASV231</v>
          </cell>
          <cell r="H2560" t="str">
            <v>g__Sharpea</v>
          </cell>
          <cell r="I2560" t="str">
            <v>s__unclassified_g__Sharpea</v>
          </cell>
        </row>
        <row r="2561">
          <cell r="G2561" t="str">
            <v>ASV13245</v>
          </cell>
          <cell r="H2561" t="str">
            <v>g__unclassified_f__Peptostreptococcaceae</v>
          </cell>
          <cell r="I2561" t="str">
            <v>s__unclassified_f__Peptostreptococcaceae</v>
          </cell>
        </row>
        <row r="2562">
          <cell r="G2562" t="str">
            <v>ASV12504</v>
          </cell>
          <cell r="H2562" t="str">
            <v>g__Clostridium_sensu_stricto_1</v>
          </cell>
          <cell r="I2562" t="str">
            <v>s__unclassified_g__Clostridium_sensu_stricto_1</v>
          </cell>
        </row>
        <row r="2563">
          <cell r="G2563" t="str">
            <v>ASV24066</v>
          </cell>
          <cell r="H2563" t="str">
            <v>g__Alloprevotella</v>
          </cell>
          <cell r="I2563" t="str">
            <v>s__uncultured_bacterium_g__Alloprevotella</v>
          </cell>
        </row>
        <row r="2564">
          <cell r="G2564" t="str">
            <v>ASV15000</v>
          </cell>
          <cell r="H2564" t="str">
            <v>g__Lactobacillus</v>
          </cell>
          <cell r="I2564" t="str">
            <v>s__unclassified_g__Lactobacillus</v>
          </cell>
        </row>
        <row r="2565">
          <cell r="G2565" t="str">
            <v>ASV21807</v>
          </cell>
          <cell r="H2565" t="str">
            <v>g__unclassified_f__Lachnospiraceae</v>
          </cell>
          <cell r="I2565" t="str">
            <v>s__unclassified_f__Lachnospiraceae</v>
          </cell>
        </row>
        <row r="2566">
          <cell r="G2566" t="str">
            <v>ASV13889</v>
          </cell>
          <cell r="H2566" t="str">
            <v>g__unclassified_f__Ruminococcaceae</v>
          </cell>
          <cell r="I2566" t="str">
            <v>s__unclassified_f__Ruminococcaceae</v>
          </cell>
        </row>
        <row r="2567">
          <cell r="G2567" t="str">
            <v>ASV14999</v>
          </cell>
          <cell r="H2567" t="str">
            <v>g__Luteolibacter</v>
          </cell>
          <cell r="I2567" t="str">
            <v>s__unclassified_g__Luteolibacter</v>
          </cell>
        </row>
        <row r="2568">
          <cell r="G2568" t="str">
            <v>ASV6502</v>
          </cell>
          <cell r="H2568" t="str">
            <v>g__Methylobacterium-Methylorubrum</v>
          </cell>
          <cell r="I2568" t="str">
            <v>s__unclassified_g__Methylobacterium-Methylorubrum</v>
          </cell>
        </row>
        <row r="2569">
          <cell r="G2569" t="str">
            <v>ASV15279</v>
          </cell>
          <cell r="H2569" t="str">
            <v>g__Pyramidobacter</v>
          </cell>
          <cell r="I2569" t="str">
            <v>s__uncultured_bacterium_g__Pyramidobacter</v>
          </cell>
        </row>
        <row r="2570">
          <cell r="G2570" t="str">
            <v>ASV17566</v>
          </cell>
          <cell r="H2570" t="str">
            <v>g__Lachnoclostridium</v>
          </cell>
          <cell r="I2570" t="str">
            <v>s__unclassified_g__Lachnoclostridium</v>
          </cell>
        </row>
        <row r="2571">
          <cell r="G2571" t="str">
            <v>ASV9145</v>
          </cell>
          <cell r="H2571" t="str">
            <v>g__unclassified_o__Oscillospirales</v>
          </cell>
          <cell r="I2571" t="str">
            <v>s__unclassified_o__Oscillospirales</v>
          </cell>
        </row>
        <row r="2572">
          <cell r="G2572" t="str">
            <v>ASV7460</v>
          </cell>
          <cell r="H2572" t="str">
            <v>g__unclassified_c__Clostridia</v>
          </cell>
          <cell r="I2572" t="str">
            <v>s__unclassified_c__Clostridia</v>
          </cell>
        </row>
        <row r="2573">
          <cell r="G2573" t="str">
            <v>ASV1059</v>
          </cell>
          <cell r="H2573" t="str">
            <v>g__Treponema</v>
          </cell>
          <cell r="I2573" t="str">
            <v>s__uncultured_bacterium_g__Treponema</v>
          </cell>
        </row>
        <row r="2574">
          <cell r="G2574" t="str">
            <v>ASV8366</v>
          </cell>
          <cell r="H2574" t="str">
            <v>g__Cloacibacillus</v>
          </cell>
          <cell r="I2574" t="str">
            <v>s__unclassified_g__Cloacibacillus</v>
          </cell>
        </row>
        <row r="2575">
          <cell r="G2575" t="str">
            <v>ASV16221</v>
          </cell>
          <cell r="H2575" t="str">
            <v>g__UCG-002</v>
          </cell>
          <cell r="I2575" t="str">
            <v>s__uncultured_bacterium_g__UCG-002</v>
          </cell>
        </row>
        <row r="2576">
          <cell r="G2576" t="str">
            <v>ASV13892</v>
          </cell>
          <cell r="H2576" t="str">
            <v>g__unclassified_c__Clostridia</v>
          </cell>
          <cell r="I2576" t="str">
            <v>s__unclassified_c__Clostridia</v>
          </cell>
        </row>
        <row r="2577">
          <cell r="G2577" t="str">
            <v>ASV9144</v>
          </cell>
          <cell r="H2577" t="str">
            <v>g__Subdoligranulum</v>
          </cell>
          <cell r="I2577" t="str">
            <v>s__unclassified_g__Subdoligranulum</v>
          </cell>
        </row>
        <row r="2578">
          <cell r="G2578" t="str">
            <v>ASV7424</v>
          </cell>
          <cell r="H2578" t="str">
            <v>g__Eubacterium_nodatum_group</v>
          </cell>
          <cell r="I2578" t="str">
            <v>s__Eubacterium_nodatum</v>
          </cell>
        </row>
        <row r="2579">
          <cell r="G2579" t="str">
            <v>ASV10485</v>
          </cell>
          <cell r="H2579" t="str">
            <v>g__unclassified_f__Lachnospiraceae</v>
          </cell>
          <cell r="I2579" t="str">
            <v>s__unclassified_f__Lachnospiraceae</v>
          </cell>
        </row>
        <row r="2580">
          <cell r="G2580" t="str">
            <v>ASV15883</v>
          </cell>
          <cell r="H2580" t="str">
            <v>g__Prevotella</v>
          </cell>
          <cell r="I2580" t="str">
            <v>s__unclassified_g__Prevotella</v>
          </cell>
        </row>
        <row r="2581">
          <cell r="G2581" t="str">
            <v>ASV7140</v>
          </cell>
          <cell r="H2581" t="str">
            <v>g__Staphylococcus</v>
          </cell>
          <cell r="I2581" t="str">
            <v>s__unclassified_g__Staphylococcus</v>
          </cell>
        </row>
        <row r="2582">
          <cell r="G2582" t="str">
            <v>ASV6530</v>
          </cell>
          <cell r="H2582" t="str">
            <v>g__unclassified_c__Bacilli</v>
          </cell>
          <cell r="I2582" t="str">
            <v>s__unclassified_c__Bacilli</v>
          </cell>
        </row>
        <row r="2583">
          <cell r="G2583" t="str">
            <v>ASV13244</v>
          </cell>
          <cell r="H2583" t="str">
            <v>g__unclassified_c__Clostridia</v>
          </cell>
          <cell r="I2583" t="str">
            <v>s__unclassified_c__Clostridia</v>
          </cell>
        </row>
        <row r="2584">
          <cell r="G2584" t="str">
            <v>ASV7139</v>
          </cell>
          <cell r="H2584" t="str">
            <v>g__Cyanobium_PCC-6307</v>
          </cell>
          <cell r="I2584" t="str">
            <v>s__unclassified_g__Cyanobium_PCC-6307</v>
          </cell>
        </row>
        <row r="2585">
          <cell r="G2585" t="str">
            <v>ASV21142</v>
          </cell>
          <cell r="H2585" t="str">
            <v>g__unclassified_c__Bacilli</v>
          </cell>
          <cell r="I2585" t="str">
            <v>s__unclassified_c__Bacilli</v>
          </cell>
        </row>
        <row r="2586">
          <cell r="G2586" t="str">
            <v>ASV9146</v>
          </cell>
          <cell r="H2586" t="str">
            <v>g__norank_f__Muribaculaceae</v>
          </cell>
          <cell r="I2586" t="str">
            <v>s__unclassified_g__norank_f__Muribaculaceae</v>
          </cell>
        </row>
        <row r="2587">
          <cell r="G2587" t="str">
            <v>ASV4458</v>
          </cell>
          <cell r="H2587" t="str">
            <v>g__Rikenellaceae_RC9_gut_group</v>
          </cell>
          <cell r="I2587" t="str">
            <v>s__uncultured_bacterium_g__Rikenellaceae_RC9_gut_group</v>
          </cell>
        </row>
        <row r="2588">
          <cell r="G2588" t="str">
            <v>ASV19029</v>
          </cell>
          <cell r="H2588" t="str">
            <v>g__Lactobacillus</v>
          </cell>
          <cell r="I2588" t="str">
            <v>s__unclassified_g__Lactobacillus</v>
          </cell>
        </row>
        <row r="2589">
          <cell r="G2589" t="str">
            <v>ASV5527</v>
          </cell>
          <cell r="H2589" t="str">
            <v>g__unclassified_f__Lachnospiraceae</v>
          </cell>
          <cell r="I2589" t="str">
            <v>s__unclassified_f__Lachnospiraceae</v>
          </cell>
        </row>
        <row r="2590">
          <cell r="G2590" t="str">
            <v>ASV3793</v>
          </cell>
          <cell r="H2590" t="str">
            <v>g__unclassified_f__Desulfovibrionaceae</v>
          </cell>
          <cell r="I2590" t="str">
            <v>s__unclassified_f__Desulfovibrionaceae</v>
          </cell>
        </row>
        <row r="2591">
          <cell r="G2591" t="str">
            <v>ASV6531</v>
          </cell>
          <cell r="H2591" t="str">
            <v>g__unclassified_c__Clostridia</v>
          </cell>
          <cell r="I2591" t="str">
            <v>s__unclassified_c__Clostridia</v>
          </cell>
        </row>
        <row r="2592">
          <cell r="G2592" t="str">
            <v>ASV15003</v>
          </cell>
          <cell r="H2592" t="str">
            <v>g__Bacteroides</v>
          </cell>
          <cell r="I2592" t="str">
            <v>s__unclassified_g__Bacteroides</v>
          </cell>
        </row>
        <row r="2593">
          <cell r="G2593" t="str">
            <v>ASV3647</v>
          </cell>
          <cell r="H2593" t="str">
            <v>g__Peptoniphilus</v>
          </cell>
          <cell r="I2593" t="str">
            <v>s__unclassified_g__Peptoniphilus</v>
          </cell>
        </row>
        <row r="2594">
          <cell r="G2594" t="str">
            <v>ASV6528</v>
          </cell>
          <cell r="H2594" t="str">
            <v>g__Lactobacillus</v>
          </cell>
          <cell r="I2594" t="str">
            <v>s__unclassified_g__Lactobacillus</v>
          </cell>
        </row>
        <row r="2595">
          <cell r="G2595" t="str">
            <v>ASV21143</v>
          </cell>
          <cell r="H2595" t="str">
            <v>g__Fusobacterium</v>
          </cell>
          <cell r="I2595" t="str">
            <v>s__unclassified_g__Fusobacterium</v>
          </cell>
        </row>
        <row r="2596">
          <cell r="G2596" t="str">
            <v>ASV11921</v>
          </cell>
          <cell r="H2596" t="str">
            <v>g__norank_f__Muribaculaceae</v>
          </cell>
          <cell r="I2596" t="str">
            <v>s__uncultured_bacterium_g__norank_f__Muribaculaceae</v>
          </cell>
        </row>
        <row r="2597">
          <cell r="G2597" t="str">
            <v>ASV7461</v>
          </cell>
          <cell r="H2597" t="str">
            <v>g__unclassified_f__Lachnospiraceae</v>
          </cell>
          <cell r="I2597" t="str">
            <v>s__unclassified_f__Lachnospiraceae</v>
          </cell>
        </row>
        <row r="2598">
          <cell r="G2598" t="str">
            <v>ASV18787</v>
          </cell>
          <cell r="H2598" t="str">
            <v>g__Prevotella</v>
          </cell>
          <cell r="I2598" t="str">
            <v>s__unclassified_g__Prevotella</v>
          </cell>
        </row>
        <row r="2599">
          <cell r="G2599" t="str">
            <v>ASV3368</v>
          </cell>
          <cell r="H2599" t="str">
            <v>g__unclassified_f__Dermacoccaceae</v>
          </cell>
          <cell r="I2599" t="str">
            <v>s__unclassified_f__Dermacoccaceae</v>
          </cell>
        </row>
        <row r="2600">
          <cell r="G2600" t="str">
            <v>ASV9148</v>
          </cell>
          <cell r="H2600" t="str">
            <v>g__unclassified_f__Lachnospiraceae</v>
          </cell>
          <cell r="I2600" t="str">
            <v>s__unclassified_f__Lachnospiraceae</v>
          </cell>
        </row>
        <row r="2601">
          <cell r="G2601" t="str">
            <v>ASV1911</v>
          </cell>
          <cell r="H2601" t="str">
            <v>g__Peptococcus</v>
          </cell>
          <cell r="I2601" t="str">
            <v>s__uncultured_bacterium_g__Peptococcus</v>
          </cell>
        </row>
        <row r="2602">
          <cell r="G2602" t="str">
            <v>ASV5348</v>
          </cell>
          <cell r="H2602" t="str">
            <v>g__norank_f__UCG-010</v>
          </cell>
          <cell r="I2602" t="str">
            <v>s__uncultured_bacterium_g__norank_f__UCG-010</v>
          </cell>
        </row>
        <row r="2603">
          <cell r="G2603" t="str">
            <v>ASV8620</v>
          </cell>
          <cell r="H2603" t="str">
            <v>g__unclassified_f__Prevotellaceae</v>
          </cell>
          <cell r="I2603" t="str">
            <v>s__unclassified_f__Prevotellaceae</v>
          </cell>
        </row>
        <row r="2604">
          <cell r="G2604" t="str">
            <v>ASV21701</v>
          </cell>
          <cell r="H2604" t="str">
            <v>g__Methylobacterium-Methylorubrum</v>
          </cell>
          <cell r="I2604" t="str">
            <v>s__unclassified_g__Methylobacterium-Methylorubrum</v>
          </cell>
        </row>
        <row r="2605">
          <cell r="G2605" t="str">
            <v>ASV19241</v>
          </cell>
          <cell r="H2605" t="str">
            <v>g__Family_XIII_AD3011_group</v>
          </cell>
          <cell r="I2605" t="str">
            <v>s__uncultured_organism_g__Family_XIII_AD3011_group</v>
          </cell>
        </row>
        <row r="2606">
          <cell r="G2606" t="str">
            <v>ASV15008</v>
          </cell>
          <cell r="H2606" t="str">
            <v>g__Prevotellaceae_NK3B31_group</v>
          </cell>
          <cell r="I2606" t="str">
            <v>s__unclassified_g__Prevotellaceae_NK3B31_group</v>
          </cell>
        </row>
        <row r="2607">
          <cell r="G2607" t="str">
            <v>ASV8779</v>
          </cell>
          <cell r="H2607" t="str">
            <v>g__Kocuria</v>
          </cell>
          <cell r="I2607" t="str">
            <v>s__unclassified_g__Kocuria</v>
          </cell>
        </row>
        <row r="2608">
          <cell r="G2608" t="str">
            <v>ASV10401</v>
          </cell>
          <cell r="H2608" t="str">
            <v>g__unclassified_f__Peptostreptococcaceae</v>
          </cell>
          <cell r="I2608" t="str">
            <v>s__unclassified_f__Peptostreptococcaceae</v>
          </cell>
        </row>
        <row r="2609">
          <cell r="G2609" t="str">
            <v>ASV15005</v>
          </cell>
          <cell r="H2609" t="str">
            <v>g__Sutterella</v>
          </cell>
          <cell r="I2609" t="str">
            <v>s__unclassified_g__Sutterella</v>
          </cell>
        </row>
        <row r="2610">
          <cell r="G2610" t="str">
            <v>ASV3791</v>
          </cell>
          <cell r="H2610" t="str">
            <v>g__Escherichia-Shigella</v>
          </cell>
          <cell r="I2610" t="str">
            <v>s__unclassified_g__Escherichia-Shigella</v>
          </cell>
        </row>
        <row r="2611">
          <cell r="G2611" t="str">
            <v>ASV10272</v>
          </cell>
          <cell r="H2611" t="str">
            <v>g__unclassified_f__Lachnospiraceae</v>
          </cell>
          <cell r="I2611" t="str">
            <v>s__unclassified_f__Lachnospiraceae</v>
          </cell>
        </row>
        <row r="2612">
          <cell r="G2612" t="str">
            <v>ASV12862</v>
          </cell>
          <cell r="H2612" t="str">
            <v>g__unclassified_f__Selenomonadaceae</v>
          </cell>
          <cell r="I2612" t="str">
            <v>s__unclassified_f__Selenomonadaceae</v>
          </cell>
        </row>
        <row r="2613">
          <cell r="G2613" t="str">
            <v>ASV15152</v>
          </cell>
          <cell r="H2613" t="str">
            <v>g__Lachnoclostridium</v>
          </cell>
          <cell r="I2613" t="str">
            <v>s__unclassified_g__Lachnoclostridium</v>
          </cell>
        </row>
        <row r="2614">
          <cell r="G2614" t="str">
            <v>ASV2883</v>
          </cell>
          <cell r="H2614" t="str">
            <v>g__unclassified_f__Neisseriaceae</v>
          </cell>
          <cell r="I2614" t="str">
            <v>s__unclassified_f__Neisseriaceae</v>
          </cell>
        </row>
        <row r="2615">
          <cell r="G2615" t="str">
            <v>ASV24068</v>
          </cell>
          <cell r="H2615" t="str">
            <v>g__Campylobacter</v>
          </cell>
          <cell r="I2615" t="str">
            <v>s__unclassified_g__Campylobacter</v>
          </cell>
        </row>
        <row r="2616">
          <cell r="G2616" t="str">
            <v>ASV17716</v>
          </cell>
          <cell r="H2616" t="str">
            <v>g__Collinsella</v>
          </cell>
          <cell r="I2616" t="str">
            <v>s__uncultured_bacterium_g__Collinsella</v>
          </cell>
        </row>
        <row r="2617">
          <cell r="G2617" t="str">
            <v>ASV17712</v>
          </cell>
          <cell r="H2617" t="str">
            <v>g__unclassified_c__Clostridia</v>
          </cell>
          <cell r="I2617" t="str">
            <v>s__unclassified_c__Clostridia</v>
          </cell>
        </row>
        <row r="2618">
          <cell r="G2618" t="str">
            <v>ASV19239</v>
          </cell>
          <cell r="H2618" t="str">
            <v>g__Lachnospiraceae_NC2004_group</v>
          </cell>
          <cell r="I2618" t="str">
            <v>s__unclassified_g__Lachnospiraceae_NC2004_group</v>
          </cell>
        </row>
        <row r="2619">
          <cell r="G2619" t="str">
            <v>ASV18788</v>
          </cell>
          <cell r="H2619" t="str">
            <v>g__Prevotella</v>
          </cell>
          <cell r="I2619" t="str">
            <v>s__human_gut_metagenome_g__Prevotella</v>
          </cell>
        </row>
        <row r="2620">
          <cell r="G2620" t="str">
            <v>ASV18487</v>
          </cell>
          <cell r="H2620" t="str">
            <v>g__Lactobacillus</v>
          </cell>
          <cell r="I2620" t="str">
            <v>s__Lactobacillus_sp._KC45b</v>
          </cell>
        </row>
        <row r="2621">
          <cell r="G2621" t="str">
            <v>ASV16222</v>
          </cell>
          <cell r="H2621" t="str">
            <v>g__Alloprevotella</v>
          </cell>
          <cell r="I2621" t="str">
            <v>s__uncultured_bacterium_g__Alloprevotella</v>
          </cell>
        </row>
        <row r="2622">
          <cell r="G2622" t="str">
            <v>ASV1342</v>
          </cell>
          <cell r="H2622" t="str">
            <v>g__unclassified_o__Oscillospirales</v>
          </cell>
          <cell r="I2622" t="str">
            <v>s__unclassified_o__Oscillospirales</v>
          </cell>
        </row>
        <row r="2623">
          <cell r="G2623" t="str">
            <v>ASV23898</v>
          </cell>
          <cell r="H2623" t="str">
            <v>g__Desulfovibrio</v>
          </cell>
          <cell r="I2623" t="str">
            <v>s__bacterium_g__Desulfovibrio</v>
          </cell>
        </row>
        <row r="2624">
          <cell r="G2624" t="str">
            <v>ASV21144</v>
          </cell>
          <cell r="H2624" t="str">
            <v>g__unclassified_c__Clostridia</v>
          </cell>
          <cell r="I2624" t="str">
            <v>s__unclassified_c__Clostridia</v>
          </cell>
        </row>
        <row r="2625">
          <cell r="G2625" t="str">
            <v>ASV12518</v>
          </cell>
          <cell r="H2625" t="str">
            <v>g__Clostridium_sensu_stricto_1</v>
          </cell>
          <cell r="I2625" t="str">
            <v>s__unclassified_g__Clostridium_sensu_stricto_1</v>
          </cell>
        </row>
        <row r="2626">
          <cell r="G2626" t="str">
            <v>ASV4465</v>
          </cell>
          <cell r="H2626" t="str">
            <v>g__Terrisporobacter</v>
          </cell>
          <cell r="I2626" t="str">
            <v>s__unclassified_g__Terrisporobacter</v>
          </cell>
        </row>
        <row r="2627">
          <cell r="G2627" t="str">
            <v>ASV3600</v>
          </cell>
          <cell r="H2627" t="str">
            <v>g__Bacteroides</v>
          </cell>
          <cell r="I2627" t="str">
            <v>s__unclassified_g__Bacteroides</v>
          </cell>
        </row>
        <row r="2628">
          <cell r="G2628" t="str">
            <v>ASV1910</v>
          </cell>
          <cell r="H2628" t="str">
            <v>g__unclassified_c__Clostridia</v>
          </cell>
          <cell r="I2628" t="str">
            <v>s__unclassified_c__Clostridia</v>
          </cell>
        </row>
        <row r="2629">
          <cell r="G2629" t="str">
            <v>ASV4497</v>
          </cell>
          <cell r="H2629" t="str">
            <v>g__Prevotellaceae_UCG-001</v>
          </cell>
          <cell r="I2629" t="str">
            <v>s__uncultured_bacterium_g__Prevotellaceae_UCG-001</v>
          </cell>
        </row>
        <row r="2630">
          <cell r="G2630" t="str">
            <v>ASV24069</v>
          </cell>
          <cell r="H2630" t="str">
            <v>g__Alloprevotella</v>
          </cell>
          <cell r="I2630" t="str">
            <v>s__uncultured_bacterium_g__Alloprevotella</v>
          </cell>
        </row>
        <row r="2631">
          <cell r="G2631" t="str">
            <v>ASV12516</v>
          </cell>
          <cell r="H2631" t="str">
            <v>g__Clostridium_sensu_stricto_1</v>
          </cell>
          <cell r="I2631" t="str">
            <v>s__uncultured_bacterium_g__Clostridium_sensu_stricto_1</v>
          </cell>
        </row>
        <row r="2632">
          <cell r="G2632" t="str">
            <v>ASV11171</v>
          </cell>
          <cell r="H2632" t="str">
            <v>g__Rikenellaceae_RC9_gut_group</v>
          </cell>
          <cell r="I2632" t="str">
            <v>s__uncultured_beta_proteobacterium_g__Rikenellaceae_RC9_gut_group</v>
          </cell>
        </row>
        <row r="2633">
          <cell r="G2633" t="str">
            <v>ASV3657</v>
          </cell>
          <cell r="H2633" t="str">
            <v>g__Neisseria</v>
          </cell>
          <cell r="I2633" t="str">
            <v>s__unclassified_g__Neisseria</v>
          </cell>
        </row>
        <row r="2634">
          <cell r="G2634" t="str">
            <v>ASV11169</v>
          </cell>
          <cell r="H2634" t="str">
            <v>g__Lachnospiraceae_ND3007_group</v>
          </cell>
          <cell r="I2634" t="str">
            <v>s__unclassified_g__Lachnospiraceae_ND3007_group</v>
          </cell>
        </row>
        <row r="2635">
          <cell r="G2635" t="str">
            <v>ASV12515</v>
          </cell>
          <cell r="H2635" t="str">
            <v>g__unclassified_o__Lactobacillales</v>
          </cell>
          <cell r="I2635" t="str">
            <v>s__unclassified_o__Lactobacillales</v>
          </cell>
        </row>
        <row r="2636">
          <cell r="G2636" t="str">
            <v>ASV23810</v>
          </cell>
          <cell r="H2636" t="str">
            <v>g__Lactobacillus</v>
          </cell>
          <cell r="I2636" t="str">
            <v>s__unclassified_g__Lactobacillus</v>
          </cell>
        </row>
        <row r="2637">
          <cell r="G2637" t="str">
            <v>ASV20520</v>
          </cell>
          <cell r="H2637" t="str">
            <v>g__unclassified_f__Lachnospiraceae</v>
          </cell>
          <cell r="I2637" t="str">
            <v>s__unclassified_f__Lachnospiraceae</v>
          </cell>
        </row>
        <row r="2638">
          <cell r="G2638" t="str">
            <v>ASV7422</v>
          </cell>
          <cell r="H2638" t="str">
            <v>g__Actinomyces</v>
          </cell>
          <cell r="I2638" t="str">
            <v>s__unclassified_g__Actinomyces</v>
          </cell>
        </row>
        <row r="2639">
          <cell r="G2639" t="str">
            <v>ASV16224</v>
          </cell>
          <cell r="H2639" t="str">
            <v>g__UCG-005</v>
          </cell>
          <cell r="I2639" t="str">
            <v>s__uncultured_bacterium_g__UCG-005</v>
          </cell>
        </row>
        <row r="2640">
          <cell r="G2640" t="str">
            <v>ASV4466</v>
          </cell>
          <cell r="H2640" t="str">
            <v>g__Collinsella</v>
          </cell>
          <cell r="I2640" t="str">
            <v>s__uncultured_bacterium_g__Collinsella</v>
          </cell>
        </row>
        <row r="2641">
          <cell r="G2641" t="str">
            <v>ASV4461</v>
          </cell>
          <cell r="H2641" t="str">
            <v>g__norank_f__norank_o__Bradymonadales</v>
          </cell>
          <cell r="I2641" t="str">
            <v>s__uncultured_rumen_bacterium_g__norank_f__norank_o__Bradymonadales</v>
          </cell>
        </row>
        <row r="2642">
          <cell r="G2642" t="str">
            <v>ASV21393</v>
          </cell>
          <cell r="H2642" t="str">
            <v>g__Megasphaera</v>
          </cell>
          <cell r="I2642" t="str">
            <v>s__unclassified_g__Megasphaera</v>
          </cell>
        </row>
        <row r="2643">
          <cell r="G2643" t="str">
            <v>ASV11174</v>
          </cell>
          <cell r="H2643" t="str">
            <v>g__Colidextribacter</v>
          </cell>
          <cell r="I2643" t="str">
            <v>s__uncultured_bacterium_g__Colidextribacter</v>
          </cell>
        </row>
        <row r="2644">
          <cell r="G2644" t="str">
            <v>ASV5530</v>
          </cell>
          <cell r="H2644" t="str">
            <v>g__unclassified_f__Lachnospiraceae</v>
          </cell>
          <cell r="I2644" t="str">
            <v>s__unclassified_f__Lachnospiraceae</v>
          </cell>
        </row>
        <row r="2645">
          <cell r="G2645" t="str">
            <v>ASV8331</v>
          </cell>
          <cell r="H2645" t="str">
            <v>g__Acidovorax</v>
          </cell>
          <cell r="I2645" t="str">
            <v>s__unclassified_g__Acidovorax</v>
          </cell>
        </row>
        <row r="2646">
          <cell r="G2646" t="str">
            <v>ASV13675</v>
          </cell>
          <cell r="H2646" t="str">
            <v>g__unclassified_p__Firmicutes</v>
          </cell>
          <cell r="I2646" t="str">
            <v>s__unclassified_p__Firmicutes</v>
          </cell>
        </row>
        <row r="2647">
          <cell r="G2647" t="str">
            <v>ASV21392</v>
          </cell>
          <cell r="H2647" t="str">
            <v>g__unclassified_f__Lachnospiraceae</v>
          </cell>
          <cell r="I2647" t="str">
            <v>s__unclassified_f__Lachnospiraceae</v>
          </cell>
        </row>
        <row r="2648">
          <cell r="G2648" t="str">
            <v>ASV17822</v>
          </cell>
          <cell r="H2648" t="str">
            <v>g__Oscillibacter</v>
          </cell>
          <cell r="I2648" t="str">
            <v>s__Oscillibacter_sp._PEA192</v>
          </cell>
        </row>
        <row r="2649">
          <cell r="G2649" t="str">
            <v>ASV23750</v>
          </cell>
          <cell r="H2649" t="str">
            <v>g__Lactobacillus</v>
          </cell>
          <cell r="I2649" t="str">
            <v>s__unclassified_g__Lactobacillus</v>
          </cell>
        </row>
        <row r="2650">
          <cell r="G2650" t="str">
            <v>ASV9941</v>
          </cell>
          <cell r="H2650" t="str">
            <v>g__Phascolarctobacterium</v>
          </cell>
          <cell r="I2650" t="str">
            <v>s__unclassified_g__Phascolarctobacterium</v>
          </cell>
        </row>
        <row r="2651">
          <cell r="G2651" t="str">
            <v>ASV4472</v>
          </cell>
          <cell r="H2651" t="str">
            <v>g__norank_f__Eubacterium_coprostanoligenes_group</v>
          </cell>
          <cell r="I2651" t="str">
            <v>s__unclassified_g__norank_f__Eubacterium_coprostanoligenes_group</v>
          </cell>
        </row>
        <row r="2652">
          <cell r="G2652" t="str">
            <v>ASV20199</v>
          </cell>
          <cell r="H2652" t="str">
            <v>g__Parabacteroides</v>
          </cell>
          <cell r="I2652" t="str">
            <v>s__unclassified_g__Parabacteroides</v>
          </cell>
        </row>
        <row r="2653">
          <cell r="G2653" t="str">
            <v>ASV21813</v>
          </cell>
          <cell r="H2653" t="str">
            <v>g__unclassified_f__Peptostreptococcaceae</v>
          </cell>
          <cell r="I2653" t="str">
            <v>s__unclassified_f__Peptostreptococcaceae</v>
          </cell>
        </row>
        <row r="2654">
          <cell r="G2654" t="str">
            <v>ASV15010</v>
          </cell>
          <cell r="H2654" t="str">
            <v>g__Blautia</v>
          </cell>
          <cell r="I2654" t="str">
            <v>s__unclassified_g__Blautia</v>
          </cell>
        </row>
        <row r="2655">
          <cell r="G2655" t="str">
            <v>ASV13894</v>
          </cell>
          <cell r="H2655" t="str">
            <v>g__Prevotellaceae_UCG-003</v>
          </cell>
          <cell r="I2655" t="str">
            <v>s__uncultured_bacterium_g__Prevotellaceae_UCG-003</v>
          </cell>
        </row>
        <row r="2656">
          <cell r="G2656" t="str">
            <v>ASV412</v>
          </cell>
          <cell r="H2656" t="str">
            <v>g__unclassified_f__Oscillospiraceae</v>
          </cell>
          <cell r="I2656" t="str">
            <v>s__unclassified_f__Oscillospiraceae</v>
          </cell>
        </row>
        <row r="2657">
          <cell r="G2657" t="str">
            <v>ASV12510</v>
          </cell>
          <cell r="H2657" t="str">
            <v>g__unclassified_f__Eggerthellaceae</v>
          </cell>
          <cell r="I2657" t="str">
            <v>s__unclassified_f__Eggerthellaceae</v>
          </cell>
        </row>
        <row r="2658">
          <cell r="G2658" t="str">
            <v>ASV20376</v>
          </cell>
          <cell r="H2658" t="str">
            <v>g__Pseudomonas</v>
          </cell>
          <cell r="I2658" t="str">
            <v>s__unclassified_g__Pseudomonas</v>
          </cell>
        </row>
        <row r="2659">
          <cell r="G2659" t="str">
            <v>ASV5532</v>
          </cell>
          <cell r="H2659" t="str">
            <v>g__unclassified_k__norank_d__Bacteria</v>
          </cell>
          <cell r="I2659" t="str">
            <v>s__unclassified_k__norank_d__Bacteria</v>
          </cell>
        </row>
        <row r="2660">
          <cell r="G2660" t="str">
            <v>ASV17713</v>
          </cell>
          <cell r="H2660" t="str">
            <v>g__unclassified_c__Clostridia</v>
          </cell>
          <cell r="I2660" t="str">
            <v>s__unclassified_c__Clostridia</v>
          </cell>
        </row>
        <row r="2661">
          <cell r="G2661" t="str">
            <v>ASV9147</v>
          </cell>
          <cell r="H2661" t="str">
            <v>g__norank_f__Muribaculaceae</v>
          </cell>
          <cell r="I2661" t="str">
            <v>s__unclassified_g__norank_f__Muribaculaceae</v>
          </cell>
        </row>
        <row r="2662">
          <cell r="G2662" t="str">
            <v>ASV15151</v>
          </cell>
          <cell r="H2662" t="str">
            <v>g__Christensenellaceae_R-7_group</v>
          </cell>
          <cell r="I2662" t="str">
            <v>s__unclassified_g__Christensenellaceae_R-7_group</v>
          </cell>
        </row>
        <row r="2663">
          <cell r="G2663" t="str">
            <v>ASV21814</v>
          </cell>
          <cell r="H2663" t="str">
            <v>g__Eubacterium_oxidoreducens_group</v>
          </cell>
          <cell r="I2663" t="str">
            <v>s__uncultured_bacterium_g__Eubacterium_oxidoreducens_group</v>
          </cell>
        </row>
        <row r="2664">
          <cell r="G2664" t="str">
            <v>ASV16832</v>
          </cell>
          <cell r="H2664" t="str">
            <v>g__UCG-009</v>
          </cell>
          <cell r="I2664" t="str">
            <v>s__unclassified_g__UCG-009</v>
          </cell>
        </row>
        <row r="2665">
          <cell r="G2665" t="str">
            <v>ASV11175</v>
          </cell>
          <cell r="H2665" t="str">
            <v>g__Rikenellaceae_RC9_gut_group</v>
          </cell>
          <cell r="I2665" t="str">
            <v>s__uncultured_bacterium_g__Rikenellaceae_RC9_gut_group</v>
          </cell>
        </row>
        <row r="2666">
          <cell r="G2666" t="str">
            <v>ASV23011</v>
          </cell>
          <cell r="H2666" t="str">
            <v>g__unclassified_p__Firmicutes</v>
          </cell>
          <cell r="I2666" t="str">
            <v>s__unclassified_p__Firmicutes</v>
          </cell>
        </row>
        <row r="2667">
          <cell r="G2667" t="str">
            <v>ASV2905</v>
          </cell>
          <cell r="H2667" t="str">
            <v>g__W5053</v>
          </cell>
          <cell r="I2667" t="str">
            <v>s__Clostridiales_bacterium_FK041</v>
          </cell>
        </row>
        <row r="2668">
          <cell r="G2668" t="str">
            <v>ASV15153</v>
          </cell>
          <cell r="H2668" t="str">
            <v>g__unclassified_f__Ruminococcaceae</v>
          </cell>
          <cell r="I2668" t="str">
            <v>s__unclassified_f__Ruminococcaceae</v>
          </cell>
        </row>
        <row r="2669">
          <cell r="G2669" t="str">
            <v>ASV258</v>
          </cell>
          <cell r="H2669" t="str">
            <v>g__unclassified_f__Lachnospiraceae</v>
          </cell>
          <cell r="I2669" t="str">
            <v>s__unclassified_f__Lachnospiraceae</v>
          </cell>
        </row>
        <row r="2670">
          <cell r="G2670" t="str">
            <v>ASV21564</v>
          </cell>
          <cell r="H2670" t="str">
            <v>g__Allisonella</v>
          </cell>
          <cell r="I2670" t="str">
            <v>s__unclassified_g__Allisonella</v>
          </cell>
        </row>
        <row r="2671">
          <cell r="G2671" t="str">
            <v>ASV13899</v>
          </cell>
          <cell r="H2671" t="str">
            <v>g__unclassified_f__Peptostreptococcaceae</v>
          </cell>
          <cell r="I2671" t="str">
            <v>s__unclassified_f__Peptostreptococcaceae</v>
          </cell>
        </row>
        <row r="2672">
          <cell r="G2672" t="str">
            <v>ASV11170</v>
          </cell>
          <cell r="H2672" t="str">
            <v>g__unclassified_p__Firmicutes</v>
          </cell>
          <cell r="I2672" t="str">
            <v>s__unclassified_p__Firmicutes</v>
          </cell>
        </row>
        <row r="2673">
          <cell r="G2673" t="str">
            <v>ASV11172</v>
          </cell>
          <cell r="H2673" t="str">
            <v>g__unclassified_f__Lachnospiraceae</v>
          </cell>
          <cell r="I2673" t="str">
            <v>s__unclassified_f__Lachnospiraceae</v>
          </cell>
        </row>
        <row r="2674">
          <cell r="G2674" t="str">
            <v>ASV12514</v>
          </cell>
          <cell r="H2674" t="str">
            <v>g__Eubacterium_oxidoreducens_group</v>
          </cell>
          <cell r="I2674" t="str">
            <v>s__uncultured_bacterium_g__Eubacterium_oxidoreducens_group</v>
          </cell>
        </row>
        <row r="2675">
          <cell r="G2675" t="str">
            <v>ASV245</v>
          </cell>
          <cell r="H2675" t="str">
            <v>g__norank_f__Muribaculaceae</v>
          </cell>
          <cell r="I2675" t="str">
            <v>s__unclassified_g__norank_f__Muribaculaceae</v>
          </cell>
        </row>
        <row r="2676">
          <cell r="G2676" t="str">
            <v>ASV16223</v>
          </cell>
          <cell r="H2676" t="str">
            <v>g__unclassified_f__Clostridiaceae</v>
          </cell>
          <cell r="I2676" t="str">
            <v>s__unclassified_f__Clostridiaceae</v>
          </cell>
        </row>
        <row r="2677">
          <cell r="G2677" t="str">
            <v>ASV10488</v>
          </cell>
          <cell r="H2677" t="str">
            <v>g__Monoglobus</v>
          </cell>
          <cell r="I2677" t="str">
            <v>s__unclassified_g__Monoglobus</v>
          </cell>
        </row>
        <row r="2678">
          <cell r="G2678" t="str">
            <v>ASV2701</v>
          </cell>
          <cell r="H2678" t="str">
            <v>g__norank_f__norank_o__Chloroplast</v>
          </cell>
          <cell r="I2678" t="str">
            <v>s__unclassified_g__norank_f__norank_o__Chloroplast</v>
          </cell>
        </row>
        <row r="2679">
          <cell r="G2679" t="str">
            <v>ASV21145</v>
          </cell>
          <cell r="H2679" t="str">
            <v>g__Lactobacillus</v>
          </cell>
          <cell r="I2679" t="str">
            <v>s__unclassified_g__Lactobacillus</v>
          </cell>
        </row>
        <row r="2680">
          <cell r="G2680" t="str">
            <v>ASV8922</v>
          </cell>
          <cell r="H2680" t="str">
            <v>g__Neisseria</v>
          </cell>
          <cell r="I2680" t="str">
            <v>s__unclassified_g__Neisseria</v>
          </cell>
        </row>
        <row r="2681">
          <cell r="G2681" t="str">
            <v>ASV9979</v>
          </cell>
          <cell r="H2681" t="str">
            <v>g__unclassified_f__Christensenellaceae</v>
          </cell>
          <cell r="I2681" t="str">
            <v>s__unclassified_f__Christensenellaceae</v>
          </cell>
        </row>
        <row r="2682">
          <cell r="G2682" t="str">
            <v>ASV1554</v>
          </cell>
          <cell r="H2682" t="str">
            <v>g__Bacillus</v>
          </cell>
          <cell r="I2682" t="str">
            <v>s__Lactobacillus_vaginalis_g__Bacillus</v>
          </cell>
        </row>
        <row r="2683">
          <cell r="G2683" t="str">
            <v>ASV3820</v>
          </cell>
          <cell r="H2683" t="str">
            <v>g__Alistipes</v>
          </cell>
          <cell r="I2683" t="str">
            <v>s__unclassified_g__Alistipes</v>
          </cell>
        </row>
        <row r="2684">
          <cell r="G2684" t="str">
            <v>ASV8921</v>
          </cell>
          <cell r="H2684" t="str">
            <v>g__Neisseria</v>
          </cell>
          <cell r="I2684" t="str">
            <v>s__unclassified_g__Neisseria</v>
          </cell>
        </row>
        <row r="2685">
          <cell r="G2685" t="str">
            <v>ASV20375</v>
          </cell>
          <cell r="H2685" t="str">
            <v>g__norank_f__NS11-12_marine_group</v>
          </cell>
          <cell r="I2685" t="str">
            <v>s__uncultured_Sphingobacterium_sp._g__norank_f__NS11-12_marine_group</v>
          </cell>
        </row>
        <row r="2686">
          <cell r="G2686" t="str">
            <v>ASV13674</v>
          </cell>
          <cell r="H2686" t="str">
            <v>g__Megasphaera</v>
          </cell>
          <cell r="I2686" t="str">
            <v>s__unclassified_g__Megasphaera</v>
          </cell>
        </row>
        <row r="2687">
          <cell r="G2687" t="str">
            <v>ASV13895</v>
          </cell>
          <cell r="H2687" t="str">
            <v>g__Christensenellaceae_R-7_group</v>
          </cell>
          <cell r="I2687" t="str">
            <v>s__unclassified_g__Christensenellaceae_R-7_group</v>
          </cell>
        </row>
        <row r="2688">
          <cell r="G2688" t="str">
            <v>ASV21811</v>
          </cell>
          <cell r="H2688" t="str">
            <v>g__Megasphaera</v>
          </cell>
          <cell r="I2688" t="str">
            <v>s__unclassified_g__Megasphaera</v>
          </cell>
        </row>
        <row r="2689">
          <cell r="G2689" t="str">
            <v>ASV21810</v>
          </cell>
          <cell r="H2689" t="str">
            <v>g__unclassified_f__Peptostreptococcaceae</v>
          </cell>
          <cell r="I2689" t="str">
            <v>s__unclassified_f__Peptostreptococcaceae</v>
          </cell>
        </row>
        <row r="2690">
          <cell r="G2690" t="str">
            <v>ASV5921</v>
          </cell>
          <cell r="H2690" t="str">
            <v>g__Prevotellaceae_NK3B31_group</v>
          </cell>
          <cell r="I2690" t="str">
            <v>s__uncultured_bacterium_g__Prevotellaceae_NK3B31_group</v>
          </cell>
        </row>
        <row r="2691">
          <cell r="G2691" t="str">
            <v>ASV4467</v>
          </cell>
          <cell r="H2691" t="str">
            <v>g__Prevotellaceae_NK3B31_group</v>
          </cell>
          <cell r="I2691" t="str">
            <v>s__unclassified_g__Prevotellaceae_NK3B31_group</v>
          </cell>
        </row>
        <row r="2692">
          <cell r="G2692" t="str">
            <v>ASV15150</v>
          </cell>
          <cell r="H2692" t="str">
            <v>g__unclassified_f__Lachnospiraceae</v>
          </cell>
          <cell r="I2692" t="str">
            <v>s__unclassified_f__Lachnospiraceae</v>
          </cell>
        </row>
        <row r="2693">
          <cell r="G2693" t="str">
            <v>ASV11178</v>
          </cell>
          <cell r="H2693" t="str">
            <v>g__unclassified_f__Oscillospiraceae</v>
          </cell>
          <cell r="I2693" t="str">
            <v>s__unclassified_f__Oscillospiraceae</v>
          </cell>
        </row>
        <row r="2694">
          <cell r="G2694" t="str">
            <v>ASV7182</v>
          </cell>
          <cell r="H2694" t="str">
            <v>g__Psychrobacter</v>
          </cell>
          <cell r="I2694" t="str">
            <v>s__unclassified_g__Psychrobacter</v>
          </cell>
        </row>
        <row r="2695">
          <cell r="G2695" t="str">
            <v>ASV11177</v>
          </cell>
          <cell r="H2695" t="str">
            <v>g__unclassified_o__Oscillospirales</v>
          </cell>
          <cell r="I2695" t="str">
            <v>s__unclassified_o__Oscillospirales</v>
          </cell>
        </row>
        <row r="2696">
          <cell r="G2696" t="str">
            <v>ASV23010</v>
          </cell>
          <cell r="H2696" t="str">
            <v>g__Escherichia-Shigella</v>
          </cell>
          <cell r="I2696" t="str">
            <v>s__unclassified_g__Escherichia-Shigella</v>
          </cell>
        </row>
        <row r="2697">
          <cell r="G2697" t="str">
            <v>ASV11168</v>
          </cell>
          <cell r="H2697" t="str">
            <v>g__Faecalibacterium</v>
          </cell>
          <cell r="I2697" t="str">
            <v>s__unclassified_g__Faecalibacterium</v>
          </cell>
        </row>
        <row r="2698">
          <cell r="G2698" t="str">
            <v>ASV2677</v>
          </cell>
          <cell r="H2698" t="str">
            <v>g__Clostridium_sensu_stricto_1</v>
          </cell>
          <cell r="I2698" t="str">
            <v>s__unclassified_g__Clostridium_sensu_stricto_1</v>
          </cell>
        </row>
        <row r="2699">
          <cell r="G2699" t="str">
            <v>ASV9149</v>
          </cell>
          <cell r="H2699" t="str">
            <v>g__Christensenellaceae_R-7_group</v>
          </cell>
          <cell r="I2699" t="str">
            <v>s__unclassified_g__Christensenellaceae_R-7_group</v>
          </cell>
        </row>
        <row r="2700">
          <cell r="G2700" t="str">
            <v>ASV15006</v>
          </cell>
          <cell r="H2700" t="str">
            <v>g__Christensenellaceae_R-7_group</v>
          </cell>
          <cell r="I2700" t="str">
            <v>s__bacterium_YE57</v>
          </cell>
        </row>
        <row r="2701">
          <cell r="G2701" t="str">
            <v>ASV15884</v>
          </cell>
          <cell r="H2701" t="str">
            <v>g__Alloprevotella</v>
          </cell>
          <cell r="I2701" t="str">
            <v>s__uncultured_bacterium_g__Alloprevotella</v>
          </cell>
        </row>
        <row r="2702">
          <cell r="G2702" t="str">
            <v>ASV6533</v>
          </cell>
          <cell r="H2702" t="str">
            <v>g__unclassified_f__Peptostreptococcaceae</v>
          </cell>
          <cell r="I2702" t="str">
            <v>s__unclassified_f__Peptostreptococcaceae</v>
          </cell>
        </row>
        <row r="2703">
          <cell r="G2703" t="str">
            <v>ASV7729</v>
          </cell>
          <cell r="H2703" t="str">
            <v>g__Paludicola</v>
          </cell>
          <cell r="I2703" t="str">
            <v>s__uncultured_bacterium_g__Paludicola</v>
          </cell>
        </row>
        <row r="2704">
          <cell r="G2704" t="str">
            <v>ASV15009</v>
          </cell>
          <cell r="H2704" t="str">
            <v>g__Blautia</v>
          </cell>
          <cell r="I2704" t="str">
            <v>s__unclassified_g__Blautia</v>
          </cell>
        </row>
        <row r="2705">
          <cell r="G2705" t="str">
            <v>ASV4468</v>
          </cell>
          <cell r="H2705" t="str">
            <v>g__unclassified_k__norank_d__Bacteria</v>
          </cell>
          <cell r="I2705" t="str">
            <v>s__unclassified_k__norank_d__Bacteria</v>
          </cell>
        </row>
        <row r="2706">
          <cell r="G2706" t="str">
            <v>ASV4470</v>
          </cell>
          <cell r="H2706" t="str">
            <v>g__unclassified_c__Clostridia</v>
          </cell>
          <cell r="I2706" t="str">
            <v>s__unclassified_c__Clostridia</v>
          </cell>
        </row>
        <row r="2707">
          <cell r="G2707" t="str">
            <v>ASV17648</v>
          </cell>
          <cell r="H2707" t="str">
            <v>g__Sarcina</v>
          </cell>
          <cell r="I2707" t="str">
            <v>s__unclassified_g__Sarcina</v>
          </cell>
        </row>
        <row r="2708">
          <cell r="G2708" t="str">
            <v>ASV21809</v>
          </cell>
          <cell r="H2708" t="str">
            <v>g__Bacillus</v>
          </cell>
          <cell r="I2708" t="str">
            <v>s__Lactobacillus_vaginalis_g__Bacillus</v>
          </cell>
        </row>
        <row r="2709">
          <cell r="G2709" t="str">
            <v>ASV8625</v>
          </cell>
          <cell r="H2709" t="str">
            <v>g__Stenotrophomonas</v>
          </cell>
          <cell r="I2709" t="str">
            <v>s__unclassified_g__Stenotrophomonas</v>
          </cell>
        </row>
        <row r="2710">
          <cell r="G2710" t="str">
            <v>ASV21812</v>
          </cell>
          <cell r="H2710" t="str">
            <v>g__Lactobacillus</v>
          </cell>
          <cell r="I2710" t="str">
            <v>s__unclassified_g__Lactobacillus</v>
          </cell>
        </row>
        <row r="2711">
          <cell r="G2711" t="str">
            <v>ASV13898</v>
          </cell>
          <cell r="H2711" t="str">
            <v>g__unclassified_o__Oscillospirales</v>
          </cell>
          <cell r="I2711" t="str">
            <v>s__unclassified_o__Oscillospirales</v>
          </cell>
        </row>
        <row r="2712">
          <cell r="G2712" t="str">
            <v>ASV13893</v>
          </cell>
          <cell r="H2712" t="str">
            <v>g__unclassified_c__Clostridia</v>
          </cell>
          <cell r="I2712" t="str">
            <v>s__unclassified_c__Clostridia</v>
          </cell>
        </row>
        <row r="2713">
          <cell r="G2713" t="str">
            <v>ASV7465</v>
          </cell>
          <cell r="H2713" t="str">
            <v>g__Lactobacillus</v>
          </cell>
          <cell r="I2713" t="str">
            <v>s__unclassified_g__Lactobacillus</v>
          </cell>
        </row>
        <row r="2714">
          <cell r="G2714" t="str">
            <v>ASV241</v>
          </cell>
          <cell r="H2714" t="str">
            <v>g__unclassified_f__Peptostreptococcaceae</v>
          </cell>
          <cell r="I2714" t="str">
            <v>s__unclassified_f__Peptostreptococcaceae</v>
          </cell>
        </row>
        <row r="2715">
          <cell r="G2715" t="str">
            <v>ASV17261</v>
          </cell>
          <cell r="H2715" t="str">
            <v>g__Veillonella</v>
          </cell>
          <cell r="I2715" t="str">
            <v>s__unclassified_g__Veillonella</v>
          </cell>
        </row>
        <row r="2716">
          <cell r="G2716" t="str">
            <v>ASV9882</v>
          </cell>
          <cell r="H2716" t="str">
            <v>g__Porphyromonas</v>
          </cell>
          <cell r="I2716" t="str">
            <v>s__unclassified_g__Porphyromonas</v>
          </cell>
        </row>
        <row r="2717">
          <cell r="G2717" t="str">
            <v>ASV13896</v>
          </cell>
          <cell r="H2717" t="str">
            <v>g__Lactobacillus</v>
          </cell>
          <cell r="I2717" t="str">
            <v>s__unclassified_g__Lactobacillus</v>
          </cell>
        </row>
        <row r="2718">
          <cell r="G2718" t="str">
            <v>ASV10864</v>
          </cell>
          <cell r="H2718" t="str">
            <v>g__Prevotella</v>
          </cell>
          <cell r="I2718" t="str">
            <v>s__unclassified_g__Prevotella</v>
          </cell>
        </row>
        <row r="2719">
          <cell r="G2719" t="str">
            <v>ASV19238</v>
          </cell>
          <cell r="H2719" t="str">
            <v>g__Rikenellaceae_RC9_gut_group</v>
          </cell>
          <cell r="I2719" t="str">
            <v>s__uncultured_bacterium_g__Rikenellaceae_RC9_gut_group</v>
          </cell>
        </row>
        <row r="2720">
          <cell r="G2720" t="str">
            <v>ASV3607</v>
          </cell>
          <cell r="H2720" t="str">
            <v>g__Facklamia</v>
          </cell>
          <cell r="I2720" t="str">
            <v>s__uncultured_bacterium_g__Facklamia</v>
          </cell>
        </row>
        <row r="2721">
          <cell r="G2721" t="str">
            <v>ASV20518</v>
          </cell>
          <cell r="H2721" t="str">
            <v>g__Bacteroides</v>
          </cell>
          <cell r="I2721" t="str">
            <v>s__Bacteroides_eggerthii</v>
          </cell>
        </row>
        <row r="2722">
          <cell r="G2722" t="str">
            <v>ASV10437</v>
          </cell>
          <cell r="H2722" t="str">
            <v>g__Parabacteroides</v>
          </cell>
          <cell r="I2722" t="str">
            <v>s__Porphyromonadaceae_bacterium_DJF_B175</v>
          </cell>
        </row>
        <row r="2723">
          <cell r="G2723" t="str">
            <v>ASV1652</v>
          </cell>
          <cell r="H2723" t="str">
            <v>g__norank_f__Peptococcaceae</v>
          </cell>
          <cell r="I2723" t="str">
            <v>s__uncultured_bacterium_g__norank_f__Peptococcaceae</v>
          </cell>
        </row>
        <row r="2724">
          <cell r="G2724" t="str">
            <v>ASV15004</v>
          </cell>
          <cell r="H2724" t="str">
            <v>g__unclassified_f__Comamonadaceae</v>
          </cell>
          <cell r="I2724" t="str">
            <v>s__unclassified_f__Comamonadaceae</v>
          </cell>
        </row>
        <row r="2725">
          <cell r="G2725" t="str">
            <v>ASV16332</v>
          </cell>
          <cell r="H2725" t="str">
            <v>g__Family_XIII_AD3011_group</v>
          </cell>
          <cell r="I2725" t="str">
            <v>s__uncultured_bacterium_g__Family_XIII_AD3011_group</v>
          </cell>
        </row>
        <row r="2726">
          <cell r="G2726" t="str">
            <v>ASV17715</v>
          </cell>
          <cell r="H2726" t="str">
            <v>g__unclassified_c__Clostridia</v>
          </cell>
          <cell r="I2726" t="str">
            <v>s__unclassified_c__Clostridia</v>
          </cell>
        </row>
        <row r="2727">
          <cell r="G2727" t="str">
            <v>ASV19242</v>
          </cell>
          <cell r="H2727" t="str">
            <v>g__unclassified_c__Clostridia</v>
          </cell>
          <cell r="I2727" t="str">
            <v>s__unclassified_c__Clostridia</v>
          </cell>
        </row>
        <row r="2728">
          <cell r="G2728" t="str">
            <v>ASV5533</v>
          </cell>
          <cell r="H2728" t="str">
            <v>g__unclassified_f__Peptostreptococcaceae</v>
          </cell>
          <cell r="I2728" t="str">
            <v>s__unclassified_f__Peptostreptococcaceae</v>
          </cell>
        </row>
        <row r="2729">
          <cell r="G2729" t="str">
            <v>ASV4469</v>
          </cell>
          <cell r="H2729" t="str">
            <v>g__Collinsella</v>
          </cell>
          <cell r="I2729" t="str">
            <v>s__unclassified_g__Collinsella</v>
          </cell>
        </row>
        <row r="2730">
          <cell r="G2730" t="str">
            <v>ASV8923</v>
          </cell>
          <cell r="H2730" t="str">
            <v>g__Fusobacterium</v>
          </cell>
          <cell r="I2730" t="str">
            <v>s__unclassified_g__Fusobacterium</v>
          </cell>
        </row>
        <row r="2731">
          <cell r="G2731" t="str">
            <v>ASV17260</v>
          </cell>
          <cell r="H2731" t="str">
            <v>g__unclassified_c__Bacilli</v>
          </cell>
          <cell r="I2731" t="str">
            <v>s__unclassified_c__Bacilli</v>
          </cell>
        </row>
        <row r="2732">
          <cell r="G2732" t="str">
            <v>ASV1912</v>
          </cell>
          <cell r="H2732" t="str">
            <v>g__Christensenellaceae_R-7_group</v>
          </cell>
          <cell r="I2732" t="str">
            <v>s__unclassified_g__Christensenellaceae_R-7_group</v>
          </cell>
        </row>
        <row r="2733">
          <cell r="G2733" t="str">
            <v>ASV9939</v>
          </cell>
          <cell r="H2733" t="str">
            <v>g__norank_f__F082</v>
          </cell>
          <cell r="I2733" t="str">
            <v>s__uncultured_bacterium_g__norank_f__F082</v>
          </cell>
        </row>
        <row r="2734">
          <cell r="G2734" t="str">
            <v>ASV19240</v>
          </cell>
          <cell r="H2734" t="str">
            <v>g__Megasphaera</v>
          </cell>
          <cell r="I2734" t="str">
            <v>s__unclassified_g__Megasphaera</v>
          </cell>
        </row>
        <row r="2735">
          <cell r="G2735" t="str">
            <v>ASV17711</v>
          </cell>
          <cell r="H2735" t="str">
            <v>g__norank_f__Erysipelotrichaceae</v>
          </cell>
          <cell r="I2735" t="str">
            <v>s__uncultured_bacterium_g__norank_f__Erysipelotrichaceae</v>
          </cell>
        </row>
        <row r="2736">
          <cell r="G2736" t="str">
            <v>ASV19030</v>
          </cell>
          <cell r="H2736" t="str">
            <v>g__Christensenellaceae_R-7_group</v>
          </cell>
          <cell r="I2736" t="str">
            <v>s__unclassified_g__Christensenellaceae_R-7_group</v>
          </cell>
        </row>
        <row r="2737">
          <cell r="G2737" t="str">
            <v>ASV15885</v>
          </cell>
          <cell r="H2737" t="str">
            <v>g__Campylobacter</v>
          </cell>
          <cell r="I2737" t="str">
            <v>s__unclassified_g__Campylobacter</v>
          </cell>
        </row>
        <row r="2738">
          <cell r="G2738" t="str">
            <v>ASV17617</v>
          </cell>
          <cell r="H2738" t="str">
            <v>g__Staphylococcus</v>
          </cell>
          <cell r="I2738" t="str">
            <v>s__unclassified_g__Staphylococcus</v>
          </cell>
        </row>
        <row r="2739">
          <cell r="G2739" t="str">
            <v>ASV1909</v>
          </cell>
          <cell r="H2739" t="str">
            <v>g__Lactobacillus</v>
          </cell>
          <cell r="I2739" t="str">
            <v>s__unclassified_g__Lactobacillus</v>
          </cell>
        </row>
        <row r="2740">
          <cell r="G2740" t="str">
            <v>ASV9589</v>
          </cell>
          <cell r="H2740" t="str">
            <v>g__norank_f__norank_o__Oscillospirales</v>
          </cell>
          <cell r="I2740" t="str">
            <v>s__metagenome_g__norank_f__norank_o__Oscillospirales</v>
          </cell>
        </row>
        <row r="2741">
          <cell r="G2741" t="str">
            <v>ASV23897</v>
          </cell>
          <cell r="H2741" t="str">
            <v>g__Lactobacillus</v>
          </cell>
          <cell r="I2741" t="str">
            <v>s__unclassified_g__Lactobacillus</v>
          </cell>
        </row>
        <row r="2742">
          <cell r="G2742" t="str">
            <v>ASV24067</v>
          </cell>
          <cell r="H2742" t="str">
            <v>g__unclassified_f__Eggerthellaceae</v>
          </cell>
          <cell r="I2742" t="str">
            <v>s__unclassified_f__Eggerthellaceae</v>
          </cell>
        </row>
        <row r="2743">
          <cell r="G2743" t="str">
            <v>ASV12519</v>
          </cell>
          <cell r="H2743" t="str">
            <v>g__unclassified_f__Lachnospiraceae</v>
          </cell>
          <cell r="I2743" t="str">
            <v>s__unclassified_f__Lachnospiraceae</v>
          </cell>
        </row>
        <row r="2744">
          <cell r="G2744" t="str">
            <v>ASV13897</v>
          </cell>
          <cell r="H2744" t="str">
            <v>g__Lactobacillus</v>
          </cell>
          <cell r="I2744" t="str">
            <v>s__unclassified_g__Lactobacillus</v>
          </cell>
        </row>
        <row r="2745">
          <cell r="G2745" t="str">
            <v>ASV23012</v>
          </cell>
          <cell r="H2745" t="str">
            <v>g__unclassified_c__Clostridia</v>
          </cell>
          <cell r="I2745" t="str">
            <v>s__unclassified_c__Clostridia</v>
          </cell>
        </row>
        <row r="2746">
          <cell r="G2746" t="str">
            <v>ASV13246</v>
          </cell>
          <cell r="H2746" t="str">
            <v>g__unclassified_c__Clostridia</v>
          </cell>
          <cell r="I2746" t="str">
            <v>s__unclassified_c__Clostridia</v>
          </cell>
        </row>
        <row r="2747">
          <cell r="G2747" t="str">
            <v>ASV10402</v>
          </cell>
          <cell r="H2747" t="str">
            <v>g__Christensenellaceae_R-7_group</v>
          </cell>
          <cell r="I2747" t="str">
            <v>s__uncultured_prokaryote_g__Christensenellaceae_R-7_group</v>
          </cell>
        </row>
        <row r="2748">
          <cell r="G2748" t="str">
            <v>ASV15149</v>
          </cell>
          <cell r="H2748" t="str">
            <v>g__unclassified_f__Lachnospiraceae</v>
          </cell>
          <cell r="I2748" t="str">
            <v>s__unclassified_f__Lachnospiraceae</v>
          </cell>
        </row>
        <row r="2749">
          <cell r="G2749" t="str">
            <v>ASV17714</v>
          </cell>
          <cell r="H2749" t="str">
            <v>g__Cloacibacillus</v>
          </cell>
          <cell r="I2749" t="str">
            <v>s__unclassified_g__Cloacibacillus</v>
          </cell>
        </row>
        <row r="2750">
          <cell r="G2750" t="str">
            <v>ASV11309</v>
          </cell>
          <cell r="H2750" t="str">
            <v>g__unclassified_c__Clostridia</v>
          </cell>
          <cell r="I2750" t="str">
            <v>s__unclassified_c__Clostridia</v>
          </cell>
        </row>
        <row r="2751">
          <cell r="G2751" t="str">
            <v>ASV11176</v>
          </cell>
          <cell r="H2751" t="str">
            <v>g__unclassified_f__Lachnospiraceae</v>
          </cell>
          <cell r="I2751" t="str">
            <v>s__unclassified_f__Lachnospiraceae</v>
          </cell>
        </row>
        <row r="2752">
          <cell r="G2752" t="str">
            <v>ASV20519</v>
          </cell>
          <cell r="H2752" t="str">
            <v>g__Enterococcus</v>
          </cell>
          <cell r="I2752" t="str">
            <v>s__unclassified_g__Enterococcus</v>
          </cell>
        </row>
        <row r="2753">
          <cell r="G2753" t="str">
            <v>ASV23009</v>
          </cell>
          <cell r="H2753" t="str">
            <v>g__unclassified_c__Clostridia</v>
          </cell>
          <cell r="I2753" t="str">
            <v>s__unclassified_c__Clostridia</v>
          </cell>
        </row>
        <row r="2754">
          <cell r="G2754" t="str">
            <v>ASV13247</v>
          </cell>
          <cell r="H2754" t="str">
            <v>g__Lactobacillus</v>
          </cell>
          <cell r="I2754" t="str">
            <v>s__unclassified_g__Lactobacillus</v>
          </cell>
        </row>
        <row r="2755">
          <cell r="G2755" t="str">
            <v>ASV3702</v>
          </cell>
          <cell r="H2755" t="str">
            <v>g__Catonella</v>
          </cell>
          <cell r="I2755" t="str">
            <v>s__uncultured_bacterium_g__Catonella</v>
          </cell>
        </row>
        <row r="2756">
          <cell r="G2756" t="str">
            <v>ASV7161</v>
          </cell>
          <cell r="H2756" t="str">
            <v>g__unclassified_f__Micrococcaceae</v>
          </cell>
          <cell r="I2756" t="str">
            <v>s__unclassified_f__Micrococcaceae</v>
          </cell>
        </row>
        <row r="2757">
          <cell r="G2757" t="str">
            <v>ASV2864</v>
          </cell>
          <cell r="H2757" t="str">
            <v>g__Bacteroides</v>
          </cell>
          <cell r="I2757" t="str">
            <v>s__unclassified_g__Bacteroides</v>
          </cell>
        </row>
        <row r="2758">
          <cell r="G2758" t="str">
            <v>ASV20200</v>
          </cell>
          <cell r="H2758" t="str">
            <v>g__Peptostreptococcus</v>
          </cell>
          <cell r="I2758" t="str">
            <v>s__unclassified_g__Peptostreptococcus</v>
          </cell>
        </row>
        <row r="2759">
          <cell r="G2759" t="str">
            <v>ASV13904</v>
          </cell>
          <cell r="H2759" t="str">
            <v>g__Collinsella</v>
          </cell>
          <cell r="I2759" t="str">
            <v>s__unclassified_g__Collinsella</v>
          </cell>
        </row>
        <row r="2760">
          <cell r="G2760" t="str">
            <v>ASV13248</v>
          </cell>
          <cell r="H2760" t="str">
            <v>g__unclassified_c__Clostridia</v>
          </cell>
          <cell r="I2760" t="str">
            <v>s__unclassified_c__Clostridia</v>
          </cell>
        </row>
        <row r="2761">
          <cell r="G2761" t="str">
            <v>ASV18789</v>
          </cell>
          <cell r="H2761" t="str">
            <v>g__unclassified_k__norank_d__Bacteria</v>
          </cell>
          <cell r="I2761" t="str">
            <v>s__unclassified_k__norank_d__Bacteria</v>
          </cell>
        </row>
        <row r="2762">
          <cell r="G2762" t="str">
            <v>ASV7467</v>
          </cell>
          <cell r="H2762" t="str">
            <v>g__Lactobacillus</v>
          </cell>
          <cell r="I2762" t="str">
            <v>s__unclassified_g__Lactobacillus</v>
          </cell>
        </row>
        <row r="2763">
          <cell r="G2763" t="str">
            <v>ASV253</v>
          </cell>
          <cell r="H2763" t="str">
            <v>g__Eubacterium_oxidoreducens_group</v>
          </cell>
          <cell r="I2763" t="str">
            <v>s__uncultured_bacterium_g__Eubacterium_oxidoreducens_group</v>
          </cell>
        </row>
        <row r="2764">
          <cell r="G2764" t="str">
            <v>ASV21394</v>
          </cell>
          <cell r="H2764" t="str">
            <v>g__unclassified_f__Lachnospiraceae</v>
          </cell>
          <cell r="I2764" t="str">
            <v>s__unclassified_f__Lachnospiraceae</v>
          </cell>
        </row>
        <row r="2765">
          <cell r="G2765" t="str">
            <v>ASV1557</v>
          </cell>
          <cell r="H2765" t="str">
            <v>g__Lactobacillus</v>
          </cell>
          <cell r="I2765" t="str">
            <v>s__unclassified_g__Lactobacillus</v>
          </cell>
        </row>
        <row r="2766">
          <cell r="G2766" t="str">
            <v>ASV250</v>
          </cell>
          <cell r="H2766" t="str">
            <v>g__Lactobacillus</v>
          </cell>
          <cell r="I2766" t="str">
            <v>s__unclassified_g__Lactobacillus</v>
          </cell>
        </row>
        <row r="2767">
          <cell r="G2767" t="str">
            <v>ASV19031</v>
          </cell>
          <cell r="H2767" t="str">
            <v>g__unclassified_f__Lachnospiraceae</v>
          </cell>
          <cell r="I2767" t="str">
            <v>s__unclassified_f__Lachnospiraceae</v>
          </cell>
        </row>
        <row r="2768">
          <cell r="G2768" t="str">
            <v>ASV17721</v>
          </cell>
          <cell r="H2768" t="str">
            <v>g__unclassified_f__Lachnospiraceae</v>
          </cell>
          <cell r="I2768" t="str">
            <v>s__unclassified_f__Lachnospiraceae</v>
          </cell>
        </row>
        <row r="2769">
          <cell r="G2769" t="str">
            <v>ASV9944</v>
          </cell>
          <cell r="H2769" t="str">
            <v>g__Bacteroides</v>
          </cell>
          <cell r="I2769" t="str">
            <v>s__unclassified_g__Bacteroides</v>
          </cell>
        </row>
        <row r="2770">
          <cell r="G2770" t="str">
            <v>ASV21815</v>
          </cell>
          <cell r="H2770" t="str">
            <v>g__Eubacterium_oxidoreducens_group</v>
          </cell>
          <cell r="I2770" t="str">
            <v>s__unclassified_g__Eubacterium_oxidoreducens_group</v>
          </cell>
        </row>
        <row r="2771">
          <cell r="G2771" t="str">
            <v>ASV13678</v>
          </cell>
          <cell r="H2771" t="str">
            <v>g__unclassified_o__Veillonellales-Selenomonadales</v>
          </cell>
          <cell r="I2771" t="str">
            <v>s__unclassified_o__Veillonellales-Selenomonadales</v>
          </cell>
        </row>
        <row r="2772">
          <cell r="G2772" t="str">
            <v>ASV7259</v>
          </cell>
          <cell r="H2772" t="str">
            <v>g__unclassified_f__Lachnospiraceae</v>
          </cell>
          <cell r="I2772" t="str">
            <v>s__unclassified_f__Lachnospiraceae</v>
          </cell>
        </row>
        <row r="2773">
          <cell r="G2773" t="str">
            <v>ASV4483</v>
          </cell>
          <cell r="H2773" t="str">
            <v>g__unclassified_p__Firmicutes</v>
          </cell>
          <cell r="I2773" t="str">
            <v>s__unclassified_p__Firmicutes</v>
          </cell>
        </row>
        <row r="2774">
          <cell r="G2774" t="str">
            <v>ASV3597</v>
          </cell>
          <cell r="H2774" t="str">
            <v>g__unclassified_f__Staphylococcaceae</v>
          </cell>
          <cell r="I2774" t="str">
            <v>s__unclassified_f__Staphylococcaceae</v>
          </cell>
        </row>
        <row r="2775">
          <cell r="G2775" t="str">
            <v>ASV11183</v>
          </cell>
          <cell r="H2775" t="str">
            <v>g__Sharpea</v>
          </cell>
          <cell r="I2775" t="str">
            <v>s__unclassified_g__Sharpea</v>
          </cell>
        </row>
        <row r="2776">
          <cell r="G2776" t="str">
            <v>ASV17726</v>
          </cell>
          <cell r="H2776" t="str">
            <v>g__Ruminococcus</v>
          </cell>
          <cell r="I2776" t="str">
            <v>s__unclassified_g__Ruminococcus</v>
          </cell>
        </row>
        <row r="2777">
          <cell r="G2777" t="str">
            <v>ASV7174</v>
          </cell>
          <cell r="H2777" t="str">
            <v>g__Actinomyces</v>
          </cell>
          <cell r="I2777" t="str">
            <v>s__unclassified_g__Actinomyces</v>
          </cell>
        </row>
        <row r="2778">
          <cell r="G2778" t="str">
            <v>ASV1918</v>
          </cell>
          <cell r="H2778" t="str">
            <v>g__Enterococcus</v>
          </cell>
          <cell r="I2778" t="str">
            <v>s__unclassified_g__Enterococcus</v>
          </cell>
        </row>
        <row r="2779">
          <cell r="G2779" t="str">
            <v>ASV4482</v>
          </cell>
          <cell r="H2779" t="str">
            <v>g__Christensenellaceae_R-7_group</v>
          </cell>
          <cell r="I2779" t="str">
            <v>s__unclassified_g__Christensenellaceae_R-7_group</v>
          </cell>
        </row>
        <row r="2780">
          <cell r="G2780" t="str">
            <v>ASV13252</v>
          </cell>
          <cell r="H2780" t="str">
            <v>g__Lactobacillus</v>
          </cell>
          <cell r="I2780" t="str">
            <v>s__unclassified_g__Lactobacillus</v>
          </cell>
        </row>
        <row r="2781">
          <cell r="G2781" t="str">
            <v>ASV15014</v>
          </cell>
          <cell r="H2781" t="str">
            <v>g__norank_f__Chitinophagaceae</v>
          </cell>
          <cell r="I2781" t="str">
            <v>s__bacterium_enrichment_culture_clone_D8</v>
          </cell>
        </row>
        <row r="2782">
          <cell r="G2782" t="str">
            <v>ASV17728</v>
          </cell>
          <cell r="H2782" t="str">
            <v>g__Christensenellaceae_R-7_group</v>
          </cell>
          <cell r="I2782" t="str">
            <v>s__unclassified_g__Christensenellaceae_R-7_group</v>
          </cell>
        </row>
        <row r="2783">
          <cell r="G2783" t="str">
            <v>ASV1919</v>
          </cell>
          <cell r="H2783" t="str">
            <v>g__unclassified_c__Clostridia</v>
          </cell>
          <cell r="I2783" t="str">
            <v>s__unclassified_c__Clostridia</v>
          </cell>
        </row>
        <row r="2784">
          <cell r="G2784" t="str">
            <v>ASV16227</v>
          </cell>
          <cell r="H2784" t="str">
            <v>g__Christensenellaceae_R-7_group</v>
          </cell>
          <cell r="I2784" t="str">
            <v>s__uncultured_prokaryote_g__Christensenellaceae_R-7_group</v>
          </cell>
        </row>
        <row r="2785">
          <cell r="G2785" t="str">
            <v>ASV5673</v>
          </cell>
          <cell r="H2785" t="str">
            <v>g__norank_f__UCG-010</v>
          </cell>
          <cell r="I2785" t="str">
            <v>s__uncultured_bacterium_g__norank_f__UCG-010</v>
          </cell>
        </row>
        <row r="2786">
          <cell r="G2786" t="str">
            <v>ASV16229</v>
          </cell>
          <cell r="H2786" t="str">
            <v>g__Bacteroides</v>
          </cell>
          <cell r="I2786" t="str">
            <v>s__unclassified_g__Bacteroides</v>
          </cell>
        </row>
        <row r="2787">
          <cell r="G2787" t="str">
            <v>ASV3606</v>
          </cell>
          <cell r="H2787" t="str">
            <v>g__Filobacterium</v>
          </cell>
          <cell r="I2787" t="str">
            <v>s__cilia-associated_respiratory_bacterium_95-15405</v>
          </cell>
        </row>
        <row r="2788">
          <cell r="G2788" t="str">
            <v>ASV11179</v>
          </cell>
          <cell r="H2788" t="str">
            <v>g__UCG-009</v>
          </cell>
          <cell r="I2788" t="str">
            <v>s__unclassified_g__UCG-009</v>
          </cell>
        </row>
        <row r="2789">
          <cell r="G2789" t="str">
            <v>ASV21821</v>
          </cell>
          <cell r="H2789" t="str">
            <v>g__unclassified_c__Clostridia</v>
          </cell>
          <cell r="I2789" t="str">
            <v>s__unclassified_c__Clostridia</v>
          </cell>
        </row>
        <row r="2790">
          <cell r="G2790" t="str">
            <v>ASV5538</v>
          </cell>
          <cell r="H2790" t="str">
            <v>g__norank_f__Erysipelotrichaceae</v>
          </cell>
          <cell r="I2790" t="str">
            <v>s__uncultured_bacterium_g__norank_f__Erysipelotrichaceae</v>
          </cell>
        </row>
        <row r="2791">
          <cell r="G2791" t="str">
            <v>ASV24070</v>
          </cell>
          <cell r="H2791" t="str">
            <v>g__Anaerofilum</v>
          </cell>
          <cell r="I2791" t="str">
            <v>s__uncultured_bacterium_g__Anaerofilum</v>
          </cell>
        </row>
        <row r="2792">
          <cell r="G2792" t="str">
            <v>ASV11185</v>
          </cell>
          <cell r="H2792" t="str">
            <v>g__Phascolarctobacterium</v>
          </cell>
          <cell r="I2792" t="str">
            <v>s__uncultured_bacterium_g__Phascolarctobacterium</v>
          </cell>
        </row>
        <row r="2793">
          <cell r="G2793" t="str">
            <v>ASV15154</v>
          </cell>
          <cell r="H2793" t="str">
            <v>g__norank_f__F082</v>
          </cell>
          <cell r="I2793" t="str">
            <v>s__uncultured_bacterium_g__norank_f__F082</v>
          </cell>
        </row>
        <row r="2794">
          <cell r="G2794" t="str">
            <v>ASV23900</v>
          </cell>
          <cell r="H2794" t="str">
            <v>g__Lactobacillus</v>
          </cell>
          <cell r="I2794" t="str">
            <v>s__unclassified_g__Lactobacillus</v>
          </cell>
        </row>
        <row r="2795">
          <cell r="G2795" t="str">
            <v>ASV4488</v>
          </cell>
          <cell r="H2795" t="str">
            <v>g__unclassified_c__Clostridia</v>
          </cell>
          <cell r="I2795" t="str">
            <v>s__unclassified_c__Clostridia</v>
          </cell>
        </row>
        <row r="2796">
          <cell r="G2796" t="str">
            <v>ASV9152</v>
          </cell>
          <cell r="H2796" t="str">
            <v>g__Christensenellaceae_R-7_group</v>
          </cell>
          <cell r="I2796" t="str">
            <v>s__unclassified_g__Christensenellaceae_R-7_group</v>
          </cell>
        </row>
        <row r="2797">
          <cell r="G2797" t="str">
            <v>ASV4486</v>
          </cell>
          <cell r="H2797" t="str">
            <v>g__Rikenellaceae_RC9_gut_group</v>
          </cell>
          <cell r="I2797" t="str">
            <v>s__uncultured_bacterium_g__Rikenellaceae_RC9_gut_group</v>
          </cell>
        </row>
        <row r="2798">
          <cell r="G2798" t="str">
            <v>ASV4484</v>
          </cell>
          <cell r="H2798" t="str">
            <v>g__UCG-002</v>
          </cell>
          <cell r="I2798" t="str">
            <v>s__uncultured_bacterium_g__UCG-002</v>
          </cell>
        </row>
        <row r="2799">
          <cell r="G2799" t="str">
            <v>ASV20377</v>
          </cell>
          <cell r="H2799" t="str">
            <v>g__unclassified_f__Comamonadaceae</v>
          </cell>
          <cell r="I2799" t="str">
            <v>s__unclassified_f__Comamonadaceae</v>
          </cell>
        </row>
        <row r="2800">
          <cell r="G2800" t="str">
            <v>ASV3100</v>
          </cell>
          <cell r="H2800" t="str">
            <v>g__unclassified_f__Veillonellaceae</v>
          </cell>
          <cell r="I2800" t="str">
            <v>s__unclassified_f__Veillonellaceae</v>
          </cell>
        </row>
        <row r="2801">
          <cell r="G2801" t="str">
            <v>ASV256</v>
          </cell>
          <cell r="H2801" t="str">
            <v>g__unclassified_f__Oscillospiraceae</v>
          </cell>
          <cell r="I2801" t="str">
            <v>s__unclassified_f__Oscillospiraceae</v>
          </cell>
        </row>
        <row r="2802">
          <cell r="G2802" t="str">
            <v>ASV9153</v>
          </cell>
          <cell r="H2802" t="str">
            <v>g__Lactobacillus</v>
          </cell>
          <cell r="I2802" t="str">
            <v>s__unclassified_g__Lactobacillus</v>
          </cell>
        </row>
        <row r="2803">
          <cell r="G2803" t="str">
            <v>ASV12520</v>
          </cell>
          <cell r="H2803" t="str">
            <v>g__Eubacterium_oxidoreducens_group</v>
          </cell>
          <cell r="I2803" t="str">
            <v>s__uncultured_bacterium_g__Eubacterium_oxidoreducens_group</v>
          </cell>
        </row>
        <row r="2804">
          <cell r="G2804" t="str">
            <v>ASV3797</v>
          </cell>
          <cell r="H2804" t="str">
            <v>g__Cloacibacillus</v>
          </cell>
          <cell r="I2804" t="str">
            <v>s__unclassified_g__Cloacibacillus</v>
          </cell>
        </row>
        <row r="2805">
          <cell r="G2805" t="str">
            <v>ASV18790</v>
          </cell>
          <cell r="H2805" t="str">
            <v>g__Lactobacillus</v>
          </cell>
          <cell r="I2805" t="str">
            <v>s__unclassified_g__Lactobacillus</v>
          </cell>
        </row>
        <row r="2806">
          <cell r="G2806" t="str">
            <v>ASV3424</v>
          </cell>
          <cell r="H2806" t="str">
            <v>g__unclassified_f__Clostridiaceae</v>
          </cell>
          <cell r="I2806" t="str">
            <v>s__unclassified_f__Clostridiaceae</v>
          </cell>
        </row>
        <row r="2807">
          <cell r="G2807" t="str">
            <v>ASV24071</v>
          </cell>
          <cell r="H2807" t="str">
            <v>g__Lactobacillus</v>
          </cell>
          <cell r="I2807" t="str">
            <v>s__unclassified_g__Lactobacillus</v>
          </cell>
        </row>
        <row r="2808">
          <cell r="G2808" t="str">
            <v>ASV6534</v>
          </cell>
          <cell r="H2808" t="str">
            <v>g__Escherichia-Shigella</v>
          </cell>
          <cell r="I2808" t="str">
            <v>s__unclassified_g__Escherichia-Shigella</v>
          </cell>
        </row>
        <row r="2809">
          <cell r="G2809" t="str">
            <v>ASV18489</v>
          </cell>
          <cell r="H2809" t="str">
            <v>g__Lactobacillus</v>
          </cell>
          <cell r="I2809" t="str">
            <v>s__Lactobacillus_agilis</v>
          </cell>
        </row>
        <row r="2810">
          <cell r="G2810" t="str">
            <v>ASV16228</v>
          </cell>
          <cell r="H2810" t="str">
            <v>g__unclassified_c__Clostridia</v>
          </cell>
          <cell r="I2810" t="str">
            <v>s__unclassified_c__Clostridia</v>
          </cell>
        </row>
        <row r="2811">
          <cell r="G2811" t="str">
            <v>ASV7469</v>
          </cell>
          <cell r="H2811" t="str">
            <v>g__Clostridium_sensu_stricto_1</v>
          </cell>
          <cell r="I2811" t="str">
            <v>s__unclassified_g__Clostridium_sensu_stricto_1</v>
          </cell>
        </row>
        <row r="2812">
          <cell r="G2812" t="str">
            <v>ASV7472</v>
          </cell>
          <cell r="H2812" t="str">
            <v>g__Christensenellaceae_R-7_group</v>
          </cell>
          <cell r="I2812" t="str">
            <v>s__unclassified_g__Christensenellaceae_R-7_group</v>
          </cell>
        </row>
        <row r="2813">
          <cell r="G2813" t="str">
            <v>ASV18491</v>
          </cell>
          <cell r="H2813" t="str">
            <v>g__unclassified_f__Lachnospiraceae</v>
          </cell>
          <cell r="I2813" t="str">
            <v>s__unclassified_f__Lachnospiraceae</v>
          </cell>
        </row>
        <row r="2814">
          <cell r="G2814" t="str">
            <v>ASV12525</v>
          </cell>
          <cell r="H2814" t="str">
            <v>g__norank_f__Eubacterium_coprostanoligenes_group</v>
          </cell>
          <cell r="I2814" t="str">
            <v>s__unclassified_g__norank_f__Eubacterium_coprostanoligenes_group</v>
          </cell>
        </row>
        <row r="2815">
          <cell r="G2815" t="str">
            <v>ASV1556</v>
          </cell>
          <cell r="H2815" t="str">
            <v>g__UCG-002</v>
          </cell>
          <cell r="I2815" t="str">
            <v>s__unclassified_g__UCG-002</v>
          </cell>
        </row>
        <row r="2816">
          <cell r="G2816" t="str">
            <v>ASV4476</v>
          </cell>
          <cell r="H2816" t="str">
            <v>g__unclassified_o__Oscillospirales</v>
          </cell>
          <cell r="I2816" t="str">
            <v>s__unclassified_o__Oscillospirales</v>
          </cell>
        </row>
        <row r="2817">
          <cell r="G2817" t="str">
            <v>ASV10405</v>
          </cell>
          <cell r="H2817" t="str">
            <v>g__Clostridium_sensu_stricto_1</v>
          </cell>
          <cell r="I2817" t="str">
            <v>s__unclassified_g__Clostridium_sensu_stricto_1</v>
          </cell>
        </row>
        <row r="2818">
          <cell r="G2818" t="str">
            <v>ASV5539</v>
          </cell>
          <cell r="H2818" t="str">
            <v>g__Christensenellaceae_R-7_group</v>
          </cell>
          <cell r="I2818" t="str">
            <v>s__unclassified_g__Christensenellaceae_R-7_group</v>
          </cell>
        </row>
        <row r="2819">
          <cell r="G2819" t="str">
            <v>ASV13767</v>
          </cell>
          <cell r="H2819" t="str">
            <v>g__unclassified_f__Lachnospiraceae</v>
          </cell>
          <cell r="I2819" t="str">
            <v>s__unclassified_f__Lachnospiraceae</v>
          </cell>
        </row>
        <row r="2820">
          <cell r="G2820" t="str">
            <v>ASV13251</v>
          </cell>
          <cell r="H2820" t="str">
            <v>g__Christensenellaceae_R-7_group</v>
          </cell>
          <cell r="I2820" t="str">
            <v>s__unclassified_g__Christensenellaceae_R-7_group</v>
          </cell>
        </row>
        <row r="2821">
          <cell r="G2821" t="str">
            <v>ASV13676</v>
          </cell>
          <cell r="H2821" t="str">
            <v>g__Megasphaera</v>
          </cell>
          <cell r="I2821" t="str">
            <v>s__unclassified_g__Megasphaera</v>
          </cell>
        </row>
        <row r="2822">
          <cell r="G2822" t="str">
            <v>ASV9294</v>
          </cell>
          <cell r="H2822" t="str">
            <v>g__norank_f__Ruminococcaceae</v>
          </cell>
          <cell r="I2822" t="str">
            <v>s__Ruminococcaceae_bacterium_Marseille-P3738</v>
          </cell>
        </row>
        <row r="2823">
          <cell r="G2823" t="str">
            <v>ASV7960</v>
          </cell>
          <cell r="H2823" t="str">
            <v>g__norank_f__norank_o__norank_c__Clostridia</v>
          </cell>
          <cell r="I2823" t="str">
            <v>s__uncultured_organism_g__norank_f__norank_o__norank_c__Clostridia</v>
          </cell>
        </row>
        <row r="2824">
          <cell r="G2824" t="str">
            <v>ASV19246</v>
          </cell>
          <cell r="H2824" t="str">
            <v>g__Christensenellaceae_R-7_group</v>
          </cell>
          <cell r="I2824" t="str">
            <v>s__unclassified_g__Christensenellaceae_R-7_group</v>
          </cell>
        </row>
        <row r="2825">
          <cell r="G2825" t="str">
            <v>ASV2074</v>
          </cell>
          <cell r="H2825" t="str">
            <v>g__UCG-005</v>
          </cell>
          <cell r="I2825" t="str">
            <v>s__uncultured_rumen_bacterium_g__UCG-005</v>
          </cell>
        </row>
        <row r="2826">
          <cell r="G2826" t="str">
            <v>ASV12523</v>
          </cell>
          <cell r="H2826" t="str">
            <v>g__unclassified_c__Clostridia</v>
          </cell>
          <cell r="I2826" t="str">
            <v>s__unclassified_c__Clostridia</v>
          </cell>
        </row>
        <row r="2827">
          <cell r="G2827" t="str">
            <v>ASV20378</v>
          </cell>
          <cell r="H2827" t="str">
            <v>g__Simplicispira</v>
          </cell>
          <cell r="I2827" t="str">
            <v>s__unclassified_g__Simplicispira</v>
          </cell>
        </row>
        <row r="2828">
          <cell r="G2828" t="str">
            <v>ASV20521</v>
          </cell>
          <cell r="H2828" t="str">
            <v>g__Turicibacter</v>
          </cell>
          <cell r="I2828" t="str">
            <v>s__uncultured_bacterium_g__Turicibacter</v>
          </cell>
        </row>
        <row r="2829">
          <cell r="G2829" t="str">
            <v>ASV17725</v>
          </cell>
          <cell r="H2829" t="str">
            <v>g__unclassified_f__Peptostreptococcaceae</v>
          </cell>
          <cell r="I2829" t="str">
            <v>s__unclassified_f__Peptostreptococcaceae</v>
          </cell>
        </row>
        <row r="2830">
          <cell r="G2830" t="str">
            <v>ASV10062</v>
          </cell>
          <cell r="H2830" t="str">
            <v>g__NK4A214_group</v>
          </cell>
          <cell r="I2830" t="str">
            <v>s__unclassified_g__NK4A214_group</v>
          </cell>
        </row>
        <row r="2831">
          <cell r="G2831" t="str">
            <v>ASV21703</v>
          </cell>
          <cell r="H2831" t="str">
            <v>g__Staphylococcus</v>
          </cell>
          <cell r="I2831" t="str">
            <v>s__unclassified_g__Staphylococcus</v>
          </cell>
        </row>
        <row r="2832">
          <cell r="G2832" t="str">
            <v>ASV5537</v>
          </cell>
          <cell r="H2832" t="str">
            <v>g__Terrisporobacter</v>
          </cell>
          <cell r="I2832" t="str">
            <v>s__unclassified_g__Terrisporobacter</v>
          </cell>
        </row>
        <row r="2833">
          <cell r="G2833" t="str">
            <v>ASV13903</v>
          </cell>
          <cell r="H2833" t="str">
            <v>g__unclassified_f__Oscillospiraceae</v>
          </cell>
          <cell r="I2833" t="str">
            <v>s__unclassified_f__Oscillospiraceae</v>
          </cell>
        </row>
        <row r="2834">
          <cell r="G2834" t="str">
            <v>ASV21819</v>
          </cell>
          <cell r="H2834" t="str">
            <v>g__Sharpea</v>
          </cell>
          <cell r="I2834" t="str">
            <v>s__uncultured_bacterium_g__Sharpea</v>
          </cell>
        </row>
        <row r="2835">
          <cell r="G2835" t="str">
            <v>ASV3798</v>
          </cell>
          <cell r="H2835" t="str">
            <v>g__unclassified_f__Peptostreptococcaceae</v>
          </cell>
          <cell r="I2835" t="str">
            <v>s__unclassified_f__Peptostreptococcaceae</v>
          </cell>
        </row>
        <row r="2836">
          <cell r="G2836" t="str">
            <v>ASV4791</v>
          </cell>
          <cell r="H2836" t="str">
            <v>g__norank_f__Erysipelotrichaceae</v>
          </cell>
          <cell r="I2836" t="str">
            <v>s__uncultured_bacterium_g__norank_f__Erysipelotrichaceae</v>
          </cell>
        </row>
        <row r="2837">
          <cell r="G2837" t="str">
            <v>ASV13900</v>
          </cell>
          <cell r="H2837" t="str">
            <v>g__unclassified_k__norank_d__Bacteria</v>
          </cell>
          <cell r="I2837" t="str">
            <v>s__unclassified_k__norank_d__Bacteria</v>
          </cell>
        </row>
        <row r="2838">
          <cell r="G2838" t="str">
            <v>ASV21146</v>
          </cell>
          <cell r="H2838" t="str">
            <v>g__unclassified_f__Lachnospiraceae</v>
          </cell>
          <cell r="I2838" t="str">
            <v>s__unclassified_f__Lachnospiraceae</v>
          </cell>
        </row>
        <row r="2839">
          <cell r="G2839" t="str">
            <v>ASV8409</v>
          </cell>
          <cell r="H2839" t="str">
            <v>g__Veillonella</v>
          </cell>
          <cell r="I2839" t="str">
            <v>s__unclassified_g__Veillonella</v>
          </cell>
        </row>
        <row r="2840">
          <cell r="G2840" t="str">
            <v>ASV17727</v>
          </cell>
          <cell r="H2840" t="str">
            <v>g__Phascolarctobacterium</v>
          </cell>
          <cell r="I2840" t="str">
            <v>s__unclassified_g__Phascolarctobacterium</v>
          </cell>
        </row>
        <row r="2841">
          <cell r="G2841" t="str">
            <v>ASV252</v>
          </cell>
          <cell r="H2841" t="str">
            <v>g__UCG-002</v>
          </cell>
          <cell r="I2841" t="str">
            <v>s__unclassified_g__UCG-002</v>
          </cell>
        </row>
        <row r="2842">
          <cell r="G2842" t="str">
            <v>ASV17723</v>
          </cell>
          <cell r="H2842" t="str">
            <v>g__unclassified_f__Christensenellaceae</v>
          </cell>
          <cell r="I2842" t="str">
            <v>s__unclassified_f__Christensenellaceae</v>
          </cell>
        </row>
        <row r="2843">
          <cell r="G2843" t="str">
            <v>ASV5536</v>
          </cell>
          <cell r="H2843" t="str">
            <v>g__Cloacibacillus</v>
          </cell>
          <cell r="I2843" t="str">
            <v>s__unclassified_g__Cloacibacillus</v>
          </cell>
        </row>
        <row r="2844">
          <cell r="G2844" t="str">
            <v>ASV7009</v>
          </cell>
          <cell r="H2844" t="str">
            <v>g__unclassified_c__Bacilli</v>
          </cell>
          <cell r="I2844" t="str">
            <v>s__unclassified_c__Bacilli</v>
          </cell>
        </row>
        <row r="2845">
          <cell r="G2845" t="str">
            <v>ASV2868</v>
          </cell>
          <cell r="H2845" t="str">
            <v>g__Weissella</v>
          </cell>
          <cell r="I2845" t="str">
            <v>s__unclassified_g__Weissella</v>
          </cell>
        </row>
        <row r="2846">
          <cell r="G2846" t="str">
            <v>ASV15015</v>
          </cell>
          <cell r="H2846" t="str">
            <v>g__Comamonas</v>
          </cell>
          <cell r="I2846" t="str">
            <v>s__Comamonas_koreensis</v>
          </cell>
        </row>
        <row r="2847">
          <cell r="G2847" t="str">
            <v>ASV1917</v>
          </cell>
          <cell r="H2847" t="str">
            <v>g__unclassified_c__Clostridia</v>
          </cell>
          <cell r="I2847" t="str">
            <v>s__unclassified_c__Clostridia</v>
          </cell>
        </row>
        <row r="2848">
          <cell r="G2848" t="str">
            <v>ASV19177</v>
          </cell>
          <cell r="H2848" t="str">
            <v>g__Lactobacillus</v>
          </cell>
          <cell r="I2848" t="str">
            <v>s__unclassified_g__Lactobacillus</v>
          </cell>
        </row>
        <row r="2849">
          <cell r="G2849" t="str">
            <v>ASV19244</v>
          </cell>
          <cell r="H2849" t="str">
            <v>g__unclassified_c__Bacilli</v>
          </cell>
          <cell r="I2849" t="str">
            <v>s__unclassified_c__Bacilli</v>
          </cell>
        </row>
        <row r="2850">
          <cell r="G2850" t="str">
            <v>ASV12524</v>
          </cell>
          <cell r="H2850" t="str">
            <v>g__unclassified_o__Oscillospirales</v>
          </cell>
          <cell r="I2850" t="str">
            <v>s__unclassified_o__Oscillospirales</v>
          </cell>
        </row>
        <row r="2851">
          <cell r="G2851" t="str">
            <v>ASV4481</v>
          </cell>
          <cell r="H2851" t="str">
            <v>g__Eubacterium_siraeum_group</v>
          </cell>
          <cell r="I2851" t="str">
            <v>s__uncultured_bacterium_g__Eubacterium_siraeum_group</v>
          </cell>
        </row>
        <row r="2852">
          <cell r="G2852" t="str">
            <v>ASV11184</v>
          </cell>
          <cell r="H2852" t="str">
            <v>g__Ruminococcus</v>
          </cell>
          <cell r="I2852" t="str">
            <v>s__unclassified_g__Ruminococcus</v>
          </cell>
        </row>
        <row r="2853">
          <cell r="G2853" t="str">
            <v>ASV7470</v>
          </cell>
          <cell r="H2853" t="str">
            <v>g__Lachnoclostridium</v>
          </cell>
          <cell r="I2853" t="str">
            <v>s__unclassified_g__Lachnoclostridium</v>
          </cell>
        </row>
        <row r="2854">
          <cell r="G2854" t="str">
            <v>ASV4487</v>
          </cell>
          <cell r="H2854" t="str">
            <v>g__unclassified_f__Lachnospiraceae</v>
          </cell>
          <cell r="I2854" t="str">
            <v>s__unclassified_f__Lachnospiraceae</v>
          </cell>
        </row>
        <row r="2855">
          <cell r="G2855" t="str">
            <v>ASV11182</v>
          </cell>
          <cell r="H2855" t="str">
            <v>g__UCG-005</v>
          </cell>
          <cell r="I2855" t="str">
            <v>s__unclassified_g__UCG-005</v>
          </cell>
        </row>
        <row r="2856">
          <cell r="G2856" t="str">
            <v>ASV6537</v>
          </cell>
          <cell r="H2856" t="str">
            <v>g__Fusobacterium</v>
          </cell>
          <cell r="I2856" t="str">
            <v>s__unclassified_g__Fusobacterium</v>
          </cell>
        </row>
        <row r="2857">
          <cell r="G2857" t="str">
            <v>ASV1973</v>
          </cell>
          <cell r="H2857" t="str">
            <v>g__norank_f__norank_o__RF39</v>
          </cell>
          <cell r="I2857" t="str">
            <v>s__uncultured_bacterium_g__norank_f__norank_o__RF39</v>
          </cell>
        </row>
        <row r="2858">
          <cell r="G2858" t="str">
            <v>ASV7473</v>
          </cell>
          <cell r="H2858" t="str">
            <v>g__Subdoligranulum</v>
          </cell>
          <cell r="I2858" t="str">
            <v>s__unclassified_g__Subdoligranulum</v>
          </cell>
        </row>
        <row r="2859">
          <cell r="G2859" t="str">
            <v>ASV4485</v>
          </cell>
          <cell r="H2859" t="str">
            <v>g__Peptococcus</v>
          </cell>
          <cell r="I2859" t="str">
            <v>s__uncultured_bacterium_g__Peptococcus</v>
          </cell>
        </row>
        <row r="2860">
          <cell r="G2860" t="str">
            <v>ASV8324</v>
          </cell>
          <cell r="H2860" t="str">
            <v>g__Enterococcus</v>
          </cell>
          <cell r="I2860" t="str">
            <v>s__unclassified_g__Enterococcus</v>
          </cell>
        </row>
        <row r="2861">
          <cell r="G2861" t="str">
            <v>ASV254</v>
          </cell>
          <cell r="H2861" t="str">
            <v>g__NK4A214_group</v>
          </cell>
          <cell r="I2861" t="str">
            <v>s__unclassified_g__NK4A214_group</v>
          </cell>
        </row>
        <row r="2862">
          <cell r="G2862" t="str">
            <v>ASV15156</v>
          </cell>
          <cell r="H2862" t="str">
            <v>g__unclassified_c__Clostridia</v>
          </cell>
          <cell r="I2862" t="str">
            <v>s__unclassified_c__Clostridia</v>
          </cell>
        </row>
        <row r="2863">
          <cell r="G2863" t="str">
            <v>ASV5540</v>
          </cell>
          <cell r="H2863" t="str">
            <v>g__UCG-005</v>
          </cell>
          <cell r="I2863" t="str">
            <v>s__unclassified_g__UCG-005</v>
          </cell>
        </row>
        <row r="2864">
          <cell r="G2864" t="str">
            <v>ASV17133</v>
          </cell>
          <cell r="H2864" t="str">
            <v>g__Actinobacillus</v>
          </cell>
          <cell r="I2864" t="str">
            <v>s__Glaesserella_parasuis_SH0165</v>
          </cell>
        </row>
        <row r="2865">
          <cell r="G2865" t="str">
            <v>ASV18763</v>
          </cell>
          <cell r="H2865" t="str">
            <v>g__Yimella</v>
          </cell>
          <cell r="I2865" t="str">
            <v>s__unclassified_g__Yimella</v>
          </cell>
        </row>
        <row r="2866">
          <cell r="G2866" t="str">
            <v>ASV2850</v>
          </cell>
          <cell r="H2866" t="str">
            <v>g__Actinobacillus</v>
          </cell>
          <cell r="I2866" t="str">
            <v>s__unclassified_g__Actinobacillus</v>
          </cell>
        </row>
        <row r="2867">
          <cell r="G2867" t="str">
            <v>ASV1914</v>
          </cell>
          <cell r="H2867" t="str">
            <v>g__Clostridium_sensu_stricto_1</v>
          </cell>
          <cell r="I2867" t="str">
            <v>s__unclassified_g__Clostridium_sensu_stricto_1</v>
          </cell>
        </row>
        <row r="2868">
          <cell r="G2868" t="str">
            <v>ASV7008</v>
          </cell>
          <cell r="H2868" t="str">
            <v>g__Sutterella</v>
          </cell>
          <cell r="I2868" t="str">
            <v>s__Sutterella_stercoricanis</v>
          </cell>
        </row>
        <row r="2869">
          <cell r="G2869" t="str">
            <v>ASV3598</v>
          </cell>
          <cell r="H2869" t="str">
            <v>g__Moraxella</v>
          </cell>
          <cell r="I2869" t="str">
            <v>s__unclassified_g__Moraxella</v>
          </cell>
        </row>
        <row r="2870">
          <cell r="G2870" t="str">
            <v>ASV13902</v>
          </cell>
          <cell r="H2870" t="str">
            <v>g__unclassified_o__Bacteroidales</v>
          </cell>
          <cell r="I2870" t="str">
            <v>s__unclassified_o__Bacteroidales</v>
          </cell>
        </row>
        <row r="2871">
          <cell r="G2871" t="str">
            <v>ASV18488</v>
          </cell>
          <cell r="H2871" t="str">
            <v>g__Christensenellaceae_R-7_group</v>
          </cell>
          <cell r="I2871" t="str">
            <v>s__unclassified_g__Christensenellaceae_R-7_group</v>
          </cell>
        </row>
        <row r="2872">
          <cell r="G2872" t="str">
            <v>ASV11204</v>
          </cell>
          <cell r="H2872" t="str">
            <v>g__unclassified_o__Bacteroidales</v>
          </cell>
          <cell r="I2872" t="str">
            <v>s__unclassified_o__Bacteroidales</v>
          </cell>
        </row>
        <row r="2873">
          <cell r="G2873" t="str">
            <v>ASV17449</v>
          </cell>
          <cell r="H2873" t="str">
            <v>g__unclassified_f__Pasteurellaceae</v>
          </cell>
          <cell r="I2873" t="str">
            <v>s__unclassified_f__Pasteurellaceae</v>
          </cell>
        </row>
        <row r="2874">
          <cell r="G2874" t="str">
            <v>ASV12522</v>
          </cell>
          <cell r="H2874" t="str">
            <v>g__unclassified_f__Lachnospiraceae</v>
          </cell>
          <cell r="I2874" t="str">
            <v>s__unclassified_f__Lachnospiraceae</v>
          </cell>
        </row>
        <row r="2875">
          <cell r="G2875" t="str">
            <v>ASV3013</v>
          </cell>
          <cell r="H2875" t="str">
            <v>g__Clostridium_sensu_stricto_1</v>
          </cell>
          <cell r="I2875" t="str">
            <v>s__unclassified_g__Clostridium_sensu_stricto_1</v>
          </cell>
        </row>
        <row r="2876">
          <cell r="G2876" t="str">
            <v>ASV22906</v>
          </cell>
          <cell r="H2876" t="str">
            <v>g__Lactobacillus</v>
          </cell>
          <cell r="I2876" t="str">
            <v>s__unclassified_g__Lactobacillus</v>
          </cell>
        </row>
        <row r="2877">
          <cell r="G2877" t="str">
            <v>ASV17718</v>
          </cell>
          <cell r="H2877" t="str">
            <v>g__Oscillospira</v>
          </cell>
          <cell r="I2877" t="str">
            <v>s__uncultured_bacterium_g__Oscillospira</v>
          </cell>
        </row>
        <row r="2878">
          <cell r="G2878" t="str">
            <v>ASV16936</v>
          </cell>
          <cell r="H2878" t="str">
            <v>g__Anaerotruncus</v>
          </cell>
          <cell r="I2878" t="str">
            <v>s__uncultured_bacterium_g__Anaerotruncus</v>
          </cell>
        </row>
        <row r="2879">
          <cell r="G2879" t="str">
            <v>ASV21817</v>
          </cell>
          <cell r="H2879" t="str">
            <v>g__Clostridium_sensu_stricto_1</v>
          </cell>
          <cell r="I2879" t="str">
            <v>s__uncultured_bacterium_g__Clostridium_sensu_stricto_1</v>
          </cell>
        </row>
        <row r="2880">
          <cell r="G2880" t="str">
            <v>ASV4480</v>
          </cell>
          <cell r="H2880" t="str">
            <v>g__unclassified_p__Firmicutes</v>
          </cell>
          <cell r="I2880" t="str">
            <v>s__unclassified_p__Firmicutes</v>
          </cell>
        </row>
        <row r="2881">
          <cell r="G2881" t="str">
            <v>ASV3362</v>
          </cell>
          <cell r="H2881" t="str">
            <v>g__Brevundimonas</v>
          </cell>
          <cell r="I2881" t="str">
            <v>s__unclassified_g__Brevundimonas</v>
          </cell>
        </row>
        <row r="2882">
          <cell r="G2882" t="str">
            <v>ASV19243</v>
          </cell>
          <cell r="H2882" t="str">
            <v>g__Lactobacillus</v>
          </cell>
          <cell r="I2882" t="str">
            <v>s__unclassified_g__Lactobacillus</v>
          </cell>
        </row>
        <row r="2883">
          <cell r="G2883" t="str">
            <v>ASV1559</v>
          </cell>
          <cell r="H2883" t="str">
            <v>g__unclassified_f__Peptostreptococcaceae</v>
          </cell>
          <cell r="I2883" t="str">
            <v>s__unclassified_f__Peptostreptococcaceae</v>
          </cell>
        </row>
        <row r="2884">
          <cell r="G2884" t="str">
            <v>ASV13440</v>
          </cell>
          <cell r="H2884" t="str">
            <v>g__Sutterella</v>
          </cell>
          <cell r="I2884" t="str">
            <v>s__uncultured_bacterium_g__Sutterella</v>
          </cell>
        </row>
        <row r="2885">
          <cell r="G2885" t="str">
            <v>ASV1679</v>
          </cell>
          <cell r="H2885" t="str">
            <v>g__NK4A214_group</v>
          </cell>
          <cell r="I2885" t="str">
            <v>s__unclassified_g__NK4A214_group</v>
          </cell>
        </row>
        <row r="2886">
          <cell r="G2886" t="str">
            <v>ASV6535</v>
          </cell>
          <cell r="H2886" t="str">
            <v>g__Escherichia-Shigella</v>
          </cell>
          <cell r="I2886" t="str">
            <v>s__unclassified_g__Escherichia-Shigella</v>
          </cell>
        </row>
        <row r="2887">
          <cell r="G2887" t="str">
            <v>ASV15155</v>
          </cell>
          <cell r="H2887" t="str">
            <v>g__unclassified_c__Clostridia</v>
          </cell>
          <cell r="I2887" t="str">
            <v>s__unclassified_c__Clostridia</v>
          </cell>
        </row>
        <row r="2888">
          <cell r="G2888" t="str">
            <v>ASV12521</v>
          </cell>
          <cell r="H2888" t="str">
            <v>g__Parabacteroides</v>
          </cell>
          <cell r="I2888" t="str">
            <v>s__uncultured_bacterium_g__Parabacteroides</v>
          </cell>
        </row>
        <row r="2889">
          <cell r="G2889" t="str">
            <v>ASV20523</v>
          </cell>
          <cell r="H2889" t="str">
            <v>g__unclassified_p__Firmicutes</v>
          </cell>
          <cell r="I2889" t="str">
            <v>s__unclassified_p__Firmicutes</v>
          </cell>
        </row>
        <row r="2890">
          <cell r="G2890" t="str">
            <v>ASV13677</v>
          </cell>
          <cell r="H2890" t="str">
            <v>g__Lactobacillus</v>
          </cell>
          <cell r="I2890" t="str">
            <v>s__unclassified_g__Lactobacillus</v>
          </cell>
        </row>
        <row r="2891">
          <cell r="G2891" t="str">
            <v>ASV15013</v>
          </cell>
          <cell r="H2891" t="str">
            <v>g__unclassified_f__Micropepsaceae</v>
          </cell>
          <cell r="I2891" t="str">
            <v>s__unclassified_f__Micropepsaceae</v>
          </cell>
        </row>
        <row r="2892">
          <cell r="G2892" t="str">
            <v>ASV14927</v>
          </cell>
          <cell r="H2892" t="str">
            <v>g__Mageibacillus</v>
          </cell>
          <cell r="I2892" t="str">
            <v>s__Clostridiales_bacterium_canine_oral_taxon_216</v>
          </cell>
        </row>
        <row r="2893">
          <cell r="G2893" t="str">
            <v>ASV24072</v>
          </cell>
          <cell r="H2893" t="str">
            <v>g__unclassified_c__Clostridia</v>
          </cell>
          <cell r="I2893" t="str">
            <v>s__unclassified_c__Clostridia</v>
          </cell>
        </row>
        <row r="2894">
          <cell r="G2894" t="str">
            <v>ASV17722</v>
          </cell>
          <cell r="H2894" t="str">
            <v>g__Rikenellaceae_RC9_gut_group</v>
          </cell>
          <cell r="I2894" t="str">
            <v>s__uncultured_bacterium_g__Rikenellaceae_RC9_gut_group</v>
          </cell>
        </row>
        <row r="2895">
          <cell r="G2895" t="str">
            <v>ASV23811</v>
          </cell>
          <cell r="H2895" t="str">
            <v>g__unclassified_f__Lachnospiraceae</v>
          </cell>
          <cell r="I2895" t="str">
            <v>s__unclassified_f__Lachnospiraceae</v>
          </cell>
        </row>
        <row r="2896">
          <cell r="G2896" t="str">
            <v>ASV20524</v>
          </cell>
          <cell r="H2896" t="str">
            <v>g__unclassified_c__Clostridia</v>
          </cell>
          <cell r="I2896" t="str">
            <v>s__unclassified_c__Clostridia</v>
          </cell>
        </row>
        <row r="2897">
          <cell r="G2897" t="str">
            <v>ASV9150</v>
          </cell>
          <cell r="H2897" t="str">
            <v>g__Lactobacillus</v>
          </cell>
          <cell r="I2897" t="str">
            <v>s__unclassified_g__Lactobacillus</v>
          </cell>
        </row>
        <row r="2898">
          <cell r="G2898" t="str">
            <v>ASV18490</v>
          </cell>
          <cell r="H2898" t="str">
            <v>g__unclassified_p__Firmicutes</v>
          </cell>
          <cell r="I2898" t="str">
            <v>s__unclassified_p__Firmicutes</v>
          </cell>
        </row>
        <row r="2899">
          <cell r="G2899" t="str">
            <v>ASV21816</v>
          </cell>
          <cell r="H2899" t="str">
            <v>g__unclassified_c__Clostridia</v>
          </cell>
          <cell r="I2899" t="str">
            <v>s__unclassified_c__Clostridia</v>
          </cell>
        </row>
        <row r="2900">
          <cell r="G2900" t="str">
            <v>ASV20522</v>
          </cell>
          <cell r="H2900" t="str">
            <v>g__Enterococcus</v>
          </cell>
          <cell r="I2900" t="str">
            <v>s__unclassified_g__Enterococcus</v>
          </cell>
        </row>
        <row r="2901">
          <cell r="G2901" t="str">
            <v>ASV3055</v>
          </cell>
          <cell r="H2901" t="str">
            <v>g__Sphingobium</v>
          </cell>
          <cell r="I2901" t="str">
            <v>s__unclassified_g__Sphingobium</v>
          </cell>
        </row>
        <row r="2902">
          <cell r="G2902" t="str">
            <v>ASV23899</v>
          </cell>
          <cell r="H2902" t="str">
            <v>g__Escherichia-Shigella</v>
          </cell>
          <cell r="I2902" t="str">
            <v>s__unclassified_g__Escherichia-Shigella</v>
          </cell>
        </row>
        <row r="2903">
          <cell r="G2903" t="str">
            <v>ASV17720</v>
          </cell>
          <cell r="H2903" t="str">
            <v>g__Eubacterium_xylanophilum_group</v>
          </cell>
          <cell r="I2903" t="str">
            <v>s__uncultured_bacterium_g__Eubacterium_xylanophilum_group</v>
          </cell>
        </row>
        <row r="2904">
          <cell r="G2904" t="str">
            <v>ASV19245</v>
          </cell>
          <cell r="H2904" t="str">
            <v>g__unclassified_f__Lachnospiraceae</v>
          </cell>
          <cell r="I2904" t="str">
            <v>s__unclassified_f__Lachnospiraceae</v>
          </cell>
        </row>
        <row r="2905">
          <cell r="G2905" t="str">
            <v>ASV11181</v>
          </cell>
          <cell r="H2905" t="str">
            <v>g__Subdoligranulum</v>
          </cell>
          <cell r="I2905" t="str">
            <v>s__unclassified_g__Subdoligranulum</v>
          </cell>
        </row>
        <row r="2906">
          <cell r="G2906" t="str">
            <v>ASV10432</v>
          </cell>
          <cell r="H2906" t="str">
            <v>g__Christensenellaceae_R-7_group</v>
          </cell>
          <cell r="I2906" t="str">
            <v>s__unclassified_g__Christensenellaceae_R-7_group</v>
          </cell>
        </row>
        <row r="2907">
          <cell r="G2907" t="str">
            <v>ASV17719</v>
          </cell>
          <cell r="H2907" t="str">
            <v>g__unclassified_f__Lachnospiraceae</v>
          </cell>
          <cell r="I2907" t="str">
            <v>s__unclassified_f__Lachnospiraceae</v>
          </cell>
        </row>
        <row r="2908">
          <cell r="G2908" t="str">
            <v>ASV9943</v>
          </cell>
          <cell r="H2908" t="str">
            <v>g__Bacteroides</v>
          </cell>
          <cell r="I2908" t="str">
            <v>s__unclassified_g__Bacteroides</v>
          </cell>
        </row>
        <row r="2909">
          <cell r="G2909" t="str">
            <v>ASV13766</v>
          </cell>
          <cell r="H2909" t="str">
            <v>g__Escherichia-Shigella</v>
          </cell>
          <cell r="I2909" t="str">
            <v>s__unclassified_g__Escherichia-Shigella</v>
          </cell>
        </row>
        <row r="2910">
          <cell r="G2910" t="str">
            <v>ASV23738</v>
          </cell>
          <cell r="H2910" t="str">
            <v>g__Streptococcus</v>
          </cell>
          <cell r="I2910" t="str">
            <v>s__unclassified_g__Streptococcus</v>
          </cell>
        </row>
        <row r="2911">
          <cell r="G2911" t="str">
            <v>ASV4478</v>
          </cell>
          <cell r="H2911" t="str">
            <v>g__unclassified_f__Lachnospiraceae</v>
          </cell>
          <cell r="I2911" t="str">
            <v>s__unclassified_f__Lachnospiraceae</v>
          </cell>
        </row>
        <row r="2912">
          <cell r="G2912" t="str">
            <v>ASV13250</v>
          </cell>
          <cell r="H2912" t="str">
            <v>g__unclassified_c__Bacilli</v>
          </cell>
          <cell r="I2912" t="str">
            <v>s__unclassified_c__Bacilli</v>
          </cell>
        </row>
        <row r="2913">
          <cell r="G2913" t="str">
            <v>ASV249</v>
          </cell>
          <cell r="H2913" t="str">
            <v>g__norank_f__Muribaculaceae</v>
          </cell>
          <cell r="I2913" t="str">
            <v>s__uncultured_bacterium_g__norank_f__Muribaculaceae</v>
          </cell>
        </row>
        <row r="2914">
          <cell r="G2914" t="str">
            <v>ASV10404</v>
          </cell>
          <cell r="H2914" t="str">
            <v>g__unclassified_o__Lactobacillales</v>
          </cell>
          <cell r="I2914" t="str">
            <v>s__unclassified_o__Lactobacillales</v>
          </cell>
        </row>
        <row r="2915">
          <cell r="G2915" t="str">
            <v>ASV16225</v>
          </cell>
          <cell r="H2915" t="str">
            <v>g__unclassified_o__Bacteroidales</v>
          </cell>
          <cell r="I2915" t="str">
            <v>s__unclassified_o__Bacteroidales</v>
          </cell>
        </row>
        <row r="2916">
          <cell r="G2916" t="str">
            <v>ASV13901</v>
          </cell>
          <cell r="H2916" t="str">
            <v>g__Eubacterium_oxidoreducens_group</v>
          </cell>
          <cell r="I2916" t="str">
            <v>s__uncultured_bacterium_g__Eubacterium_oxidoreducens_group</v>
          </cell>
        </row>
        <row r="2917">
          <cell r="G2917" t="str">
            <v>ASV13249</v>
          </cell>
          <cell r="H2917" t="str">
            <v>g__unclassified_f__Lachnospiraceae</v>
          </cell>
          <cell r="I2917" t="str">
            <v>s__unclassified_f__Lachnospiraceae</v>
          </cell>
        </row>
        <row r="2918">
          <cell r="G2918" t="str">
            <v>ASV21702</v>
          </cell>
          <cell r="H2918" t="str">
            <v>g__Flavobacterium</v>
          </cell>
          <cell r="I2918" t="str">
            <v>s__unclassified_g__Flavobacterium</v>
          </cell>
        </row>
        <row r="2919">
          <cell r="G2919" t="str">
            <v>ASV2681</v>
          </cell>
          <cell r="H2919" t="str">
            <v>g__Clostridium_sensu_stricto_1</v>
          </cell>
          <cell r="I2919" t="str">
            <v>s__unclassified_g__Clostridium_sensu_stricto_1</v>
          </cell>
        </row>
        <row r="2920">
          <cell r="G2920" t="str">
            <v>ASV5365</v>
          </cell>
          <cell r="H2920" t="str">
            <v>g__norank_f__Ruminococcaceae</v>
          </cell>
          <cell r="I2920" t="str">
            <v>s__unclassified_g__norank_f__Ruminococcaceae</v>
          </cell>
        </row>
        <row r="2921">
          <cell r="G2921" t="str">
            <v>ASV13307</v>
          </cell>
          <cell r="H2921" t="str">
            <v>g__Butyricicoccus</v>
          </cell>
          <cell r="I2921" t="str">
            <v>s__unclassified_g__Butyricicoccus</v>
          </cell>
        </row>
        <row r="2922">
          <cell r="G2922" t="str">
            <v>ASV4479</v>
          </cell>
          <cell r="H2922" t="str">
            <v>g__Eubacterium_oxidoreducens_group</v>
          </cell>
          <cell r="I2922" t="str">
            <v>s__uncultured_bacterium_g__Eubacterium_oxidoreducens_group</v>
          </cell>
        </row>
        <row r="2923">
          <cell r="G2923" t="str">
            <v>ASV18791</v>
          </cell>
          <cell r="H2923" t="str">
            <v>g__unclassified_c__Clostridia</v>
          </cell>
          <cell r="I2923" t="str">
            <v>s__unclassified_c__Clostridia</v>
          </cell>
        </row>
        <row r="2924">
          <cell r="G2924" t="str">
            <v>ASV7468</v>
          </cell>
          <cell r="H2924" t="str">
            <v>g__Lactobacillus</v>
          </cell>
          <cell r="I2924" t="str">
            <v>s__unclassified_g__Lactobacillus</v>
          </cell>
        </row>
        <row r="2925">
          <cell r="G2925" t="str">
            <v>ASV19199</v>
          </cell>
          <cell r="H2925" t="str">
            <v>g__Ruminococcus_gnavus_group</v>
          </cell>
          <cell r="I2925" t="str">
            <v>s__unclassified_g__Ruminococcus_gnavus_group</v>
          </cell>
        </row>
        <row r="2926">
          <cell r="G2926" t="str">
            <v>ASV16803</v>
          </cell>
          <cell r="H2926" t="str">
            <v>g__unclassified_c__Bacilli</v>
          </cell>
          <cell r="I2926" t="str">
            <v>s__unclassified_c__Bacilli</v>
          </cell>
        </row>
        <row r="2927">
          <cell r="G2927" t="str">
            <v>ASV1915</v>
          </cell>
          <cell r="H2927" t="str">
            <v>g__unclassified_c__Clostridia</v>
          </cell>
          <cell r="I2927" t="str">
            <v>s__unclassified_c__Clostridia</v>
          </cell>
        </row>
        <row r="2928">
          <cell r="G2928" t="str">
            <v>ASV15012</v>
          </cell>
          <cell r="H2928" t="str">
            <v>g__Lachnospira</v>
          </cell>
          <cell r="I2928" t="str">
            <v>s__unclassified_g__Lachnospira</v>
          </cell>
        </row>
        <row r="2929">
          <cell r="G2929" t="str">
            <v>ASV15157</v>
          </cell>
          <cell r="H2929" t="str">
            <v>g__norank_f__Gracilibacteraceae</v>
          </cell>
          <cell r="I2929" t="str">
            <v>s__uncultured_bacterium_g__norank_f__Gracilibacteraceae</v>
          </cell>
        </row>
        <row r="2930">
          <cell r="G2930" t="str">
            <v>ASV8410</v>
          </cell>
          <cell r="H2930" t="str">
            <v>g__Megasphaera</v>
          </cell>
          <cell r="I2930" t="str">
            <v>s__unclassified_g__Megasphaera</v>
          </cell>
        </row>
        <row r="2931">
          <cell r="G2931" t="str">
            <v>ASV6481</v>
          </cell>
          <cell r="H2931" t="str">
            <v>g__Paraeggerthella</v>
          </cell>
          <cell r="I2931" t="str">
            <v>s__unclassified_g__Paraeggerthella</v>
          </cell>
        </row>
        <row r="2932">
          <cell r="G2932" t="str">
            <v>ASV16804</v>
          </cell>
          <cell r="H2932" t="str">
            <v>g__Escherichia-Shigella</v>
          </cell>
          <cell r="I2932" t="str">
            <v>s__unclassified_g__Escherichia-Shigella</v>
          </cell>
        </row>
        <row r="2933">
          <cell r="G2933" t="str">
            <v>ASV11180</v>
          </cell>
          <cell r="H2933" t="str">
            <v>g__unclassified_f__Oscillospiraceae</v>
          </cell>
          <cell r="I2933" t="str">
            <v>s__unclassified_f__Oscillospiraceae</v>
          </cell>
        </row>
        <row r="2934">
          <cell r="G2934" t="str">
            <v>ASV4477</v>
          </cell>
          <cell r="H2934" t="str">
            <v>g__Bacteroides</v>
          </cell>
          <cell r="I2934" t="str">
            <v>s__uncultured_bacterium_g__Bacteroides</v>
          </cell>
        </row>
        <row r="2935">
          <cell r="G2935" t="str">
            <v>ASV10145</v>
          </cell>
          <cell r="H2935" t="str">
            <v>g__Fusobacterium</v>
          </cell>
          <cell r="I2935" t="str">
            <v>s__unclassified_g__Fusobacterium</v>
          </cell>
        </row>
        <row r="2936">
          <cell r="G2936" t="str">
            <v>ASV3021</v>
          </cell>
          <cell r="H2936" t="str">
            <v>g__Lactonifactor</v>
          </cell>
          <cell r="I2936" t="str">
            <v>s__unclassified_g__Lactonifactor</v>
          </cell>
        </row>
        <row r="2937">
          <cell r="G2937" t="str">
            <v>ASV24073</v>
          </cell>
          <cell r="H2937" t="str">
            <v>g__unclassified_f__Lachnospiraceae</v>
          </cell>
          <cell r="I2937" t="str">
            <v>s__unclassified_f__Lachnospiraceae</v>
          </cell>
        </row>
        <row r="2938">
          <cell r="G2938" t="str">
            <v>ASV9151</v>
          </cell>
          <cell r="H2938" t="str">
            <v>g__unclassified_f__Lachnospiraceae</v>
          </cell>
          <cell r="I2938" t="str">
            <v>s__unclassified_f__Lachnospiraceae</v>
          </cell>
        </row>
        <row r="2939">
          <cell r="G2939" t="str">
            <v>ASV2597</v>
          </cell>
          <cell r="H2939" t="str">
            <v>g__Lactobacillus</v>
          </cell>
          <cell r="I2939" t="str">
            <v>s__Lactobacillus_agilis</v>
          </cell>
        </row>
        <row r="2940">
          <cell r="G2940" t="str">
            <v>ASV15011</v>
          </cell>
          <cell r="H2940" t="str">
            <v>g__Soonwooa</v>
          </cell>
          <cell r="I2940" t="str">
            <v>s__unclassified_g__Soonwooa</v>
          </cell>
        </row>
        <row r="2941">
          <cell r="G2941" t="str">
            <v>ASV4745</v>
          </cell>
          <cell r="H2941" t="str">
            <v>g__Prevotellaceae_NK3B31_group</v>
          </cell>
          <cell r="I2941" t="str">
            <v>s__uncultured_bacterium_g__Prevotellaceae_NK3B31_group</v>
          </cell>
        </row>
        <row r="2942">
          <cell r="G2942" t="str">
            <v>ASV21395</v>
          </cell>
          <cell r="H2942" t="str">
            <v>g__unclassified_c__Bacilli</v>
          </cell>
          <cell r="I2942" t="str">
            <v>s__unclassified_c__Bacilli</v>
          </cell>
        </row>
        <row r="2943">
          <cell r="G2943" t="str">
            <v>ASV10406</v>
          </cell>
          <cell r="H2943" t="str">
            <v>g__unclassified_p__Firmicutes</v>
          </cell>
          <cell r="I2943" t="str">
            <v>s__unclassified_p__Firmicutes</v>
          </cell>
        </row>
        <row r="2944">
          <cell r="G2944" t="str">
            <v>ASV23013</v>
          </cell>
          <cell r="H2944" t="str">
            <v>g__Cloacibacillus</v>
          </cell>
          <cell r="I2944" t="str">
            <v>s__unclassified_g__Cloacibacillus</v>
          </cell>
        </row>
        <row r="2945">
          <cell r="G2945" t="str">
            <v>ASV21820</v>
          </cell>
          <cell r="H2945" t="str">
            <v>g__norank_f__Eubacterium_coprostanoligenes_group</v>
          </cell>
          <cell r="I2945" t="str">
            <v>s__human_gut_metagenome_g__norank_f__Eubacterium_coprostanoligenes_group</v>
          </cell>
        </row>
        <row r="2946">
          <cell r="G2946" t="str">
            <v>ASV6536</v>
          </cell>
          <cell r="H2946" t="str">
            <v>g__Lachnoclostridium</v>
          </cell>
          <cell r="I2946" t="str">
            <v>s__unclassified_g__Lachnoclostridium</v>
          </cell>
        </row>
        <row r="2947">
          <cell r="G2947" t="str">
            <v>ASV255</v>
          </cell>
          <cell r="H2947" t="str">
            <v>g__unclassified_c__Clostridia</v>
          </cell>
          <cell r="I2947" t="str">
            <v>s__unclassified_c__Clostridia</v>
          </cell>
        </row>
        <row r="2948">
          <cell r="G2948" t="str">
            <v>ASV21818</v>
          </cell>
          <cell r="H2948" t="str">
            <v>g__unclassified_f__Oscillospiraceae</v>
          </cell>
          <cell r="I2948" t="str">
            <v>s__unclassified_f__Oscillospiraceae</v>
          </cell>
        </row>
        <row r="2949">
          <cell r="G2949" t="str">
            <v>ASV8411</v>
          </cell>
          <cell r="H2949" t="str">
            <v>g__unclassified_c__Gammaproteobacteria</v>
          </cell>
          <cell r="I2949" t="str">
            <v>s__unclassified_c__Gammaproteobacteria</v>
          </cell>
        </row>
        <row r="2950">
          <cell r="G2950" t="str">
            <v>ASV1561</v>
          </cell>
          <cell r="H2950" t="str">
            <v>g__unclassified_c__Clostridia</v>
          </cell>
          <cell r="I2950" t="str">
            <v>s__unclassified_c__Clostridia</v>
          </cell>
        </row>
        <row r="2951">
          <cell r="G2951" t="str">
            <v>ASV17262</v>
          </cell>
          <cell r="H2951" t="str">
            <v>g__Gemella</v>
          </cell>
          <cell r="I2951" t="str">
            <v>s__unclassified_g__Gemella</v>
          </cell>
        </row>
        <row r="2952">
          <cell r="G2952" t="str">
            <v>ASV19253</v>
          </cell>
          <cell r="H2952" t="str">
            <v>g__Lactobacillus</v>
          </cell>
          <cell r="I2952" t="str">
            <v>s__unclassified_g__Lactobacillus</v>
          </cell>
        </row>
        <row r="2953">
          <cell r="G2953" t="str">
            <v>ASV11188</v>
          </cell>
          <cell r="H2953" t="str">
            <v>g__Parabacteroides</v>
          </cell>
          <cell r="I2953" t="str">
            <v>s__Porphyromonadaceae_bacterium_DJF_B175</v>
          </cell>
        </row>
        <row r="2954">
          <cell r="G2954" t="str">
            <v>ASV9154</v>
          </cell>
          <cell r="H2954" t="str">
            <v>g__norank_f__norank_o__Clostridia_UCG-014</v>
          </cell>
          <cell r="I2954" t="str">
            <v>s__unclassified_g__norank_f__norank_o__Clostridia_UCG-014</v>
          </cell>
        </row>
        <row r="2955">
          <cell r="G2955" t="str">
            <v>ASV11201</v>
          </cell>
          <cell r="H2955" t="str">
            <v>g__unclassified_f__Peptostreptococcaceae</v>
          </cell>
          <cell r="I2955" t="str">
            <v>s__unclassified_f__Peptostreptococcaceae</v>
          </cell>
        </row>
        <row r="2956">
          <cell r="G2956" t="str">
            <v>ASV7484</v>
          </cell>
          <cell r="H2956" t="str">
            <v>g__unclassified_c__Clostridia</v>
          </cell>
          <cell r="I2956" t="str">
            <v>s__unclassified_c__Clostridia</v>
          </cell>
        </row>
        <row r="2957">
          <cell r="G2957" t="str">
            <v>ASV8343</v>
          </cell>
          <cell r="H2957" t="str">
            <v>g__unclassified_f__Lactobacillaceae</v>
          </cell>
          <cell r="I2957" t="str">
            <v>s__unclassified_f__Lactobacillaceae</v>
          </cell>
        </row>
        <row r="2958">
          <cell r="G2958" t="str">
            <v>ASV13679</v>
          </cell>
          <cell r="H2958" t="str">
            <v>g__Anaerovibrio</v>
          </cell>
          <cell r="I2958" t="str">
            <v>s__unclassified_g__Anaerovibrio</v>
          </cell>
        </row>
        <row r="2959">
          <cell r="G2959" t="str">
            <v>ASV7486</v>
          </cell>
          <cell r="H2959" t="str">
            <v>g__unclassified_f__Lachnospiraceae</v>
          </cell>
          <cell r="I2959" t="str">
            <v>s__unclassified_f__Lachnospiraceae</v>
          </cell>
        </row>
        <row r="2960">
          <cell r="G2960" t="str">
            <v>ASV16233</v>
          </cell>
          <cell r="H2960" t="str">
            <v>g__Bacteroides</v>
          </cell>
          <cell r="I2960" t="str">
            <v>s__unclassified_g__Bacteroides</v>
          </cell>
        </row>
        <row r="2961">
          <cell r="G2961" t="str">
            <v>ASV12529</v>
          </cell>
          <cell r="H2961" t="str">
            <v>g__unclassified_f__Lachnospiraceae</v>
          </cell>
          <cell r="I2961" t="str">
            <v>s__unclassified_f__Lachnospiraceae</v>
          </cell>
        </row>
        <row r="2962">
          <cell r="G2962" t="str">
            <v>ASV1925</v>
          </cell>
          <cell r="H2962" t="str">
            <v>g__Lactobacillus</v>
          </cell>
          <cell r="I2962" t="str">
            <v>s__unclassified_g__Lactobacillus</v>
          </cell>
        </row>
        <row r="2963">
          <cell r="G2963" t="str">
            <v>ASV20201</v>
          </cell>
          <cell r="H2963" t="str">
            <v>g__Lactobacillus</v>
          </cell>
          <cell r="I2963" t="str">
            <v>s__unclassified_g__Lactobacillus</v>
          </cell>
        </row>
        <row r="2964">
          <cell r="G2964" t="str">
            <v>ASV22907</v>
          </cell>
          <cell r="H2964" t="str">
            <v>g__Lactobacillus</v>
          </cell>
          <cell r="I2964" t="str">
            <v>s__unclassified_g__Lactobacillus</v>
          </cell>
        </row>
        <row r="2965">
          <cell r="G2965" t="str">
            <v>ASV1560</v>
          </cell>
          <cell r="H2965" t="str">
            <v>g__Clostridium_sensu_stricto_1</v>
          </cell>
          <cell r="I2965" t="str">
            <v>s__unclassified_g__Clostridium_sensu_stricto_1</v>
          </cell>
        </row>
        <row r="2966">
          <cell r="G2966" t="str">
            <v>ASV268</v>
          </cell>
          <cell r="H2966" t="str">
            <v>g__Clostridium_sensu_stricto_1</v>
          </cell>
          <cell r="I2966" t="str">
            <v>s__unclassified_g__Clostridium_sensu_stricto_1</v>
          </cell>
        </row>
        <row r="2967">
          <cell r="G2967" t="str">
            <v>ASV20525</v>
          </cell>
          <cell r="H2967" t="str">
            <v>g__unclassified_c__Clostridia</v>
          </cell>
          <cell r="I2967" t="str">
            <v>s__unclassified_c__Clostridia</v>
          </cell>
        </row>
        <row r="2968">
          <cell r="G2968" t="str">
            <v>ASV12528</v>
          </cell>
          <cell r="H2968" t="str">
            <v>g__unclassified_f__Lachnospiraceae</v>
          </cell>
          <cell r="I2968" t="str">
            <v>s__unclassified_f__Lachnospiraceae</v>
          </cell>
        </row>
        <row r="2969">
          <cell r="G2969" t="str">
            <v>ASV9850</v>
          </cell>
          <cell r="H2969" t="str">
            <v>g__Streptococcus</v>
          </cell>
          <cell r="I2969" t="str">
            <v>s__Streptococcus_sp._C5I1</v>
          </cell>
        </row>
        <row r="2970">
          <cell r="G2970" t="str">
            <v>ASV4377</v>
          </cell>
          <cell r="H2970" t="str">
            <v>g__Oscillibacter</v>
          </cell>
          <cell r="I2970" t="str">
            <v>s__human_gut_metagenome_g__Oscillibacter</v>
          </cell>
        </row>
        <row r="2971">
          <cell r="G2971" t="str">
            <v>ASV5546</v>
          </cell>
          <cell r="H2971" t="str">
            <v>g__Escherichia-Shigella</v>
          </cell>
          <cell r="I2971" t="str">
            <v>s__unclassified_g__Escherichia-Shigella</v>
          </cell>
        </row>
        <row r="2972">
          <cell r="G2972" t="str">
            <v>ASV17732</v>
          </cell>
          <cell r="H2972" t="str">
            <v>g__unclassified_f__Oscillospiraceae</v>
          </cell>
          <cell r="I2972" t="str">
            <v>s__unclassified_f__Oscillospiraceae</v>
          </cell>
        </row>
        <row r="2973">
          <cell r="G2973" t="str">
            <v>ASV15889</v>
          </cell>
          <cell r="H2973" t="str">
            <v>g__Collinsella</v>
          </cell>
          <cell r="I2973" t="str">
            <v>s__unclassified_g__Collinsella</v>
          </cell>
        </row>
        <row r="2974">
          <cell r="G2974" t="str">
            <v>ASV17134</v>
          </cell>
          <cell r="H2974" t="str">
            <v>g__Rhodocytophaga</v>
          </cell>
          <cell r="I2974" t="str">
            <v>s__unclassified_g__Rhodocytophaga</v>
          </cell>
        </row>
        <row r="2975">
          <cell r="G2975" t="str">
            <v>ASV21149</v>
          </cell>
          <cell r="H2975" t="str">
            <v>g__Blautia</v>
          </cell>
          <cell r="I2975" t="str">
            <v>s__unclassified_g__Blautia</v>
          </cell>
        </row>
        <row r="2976">
          <cell r="G2976" t="str">
            <v>ASV7476</v>
          </cell>
          <cell r="H2976" t="str">
            <v>g__unclassified_f__Lachnospiraceae</v>
          </cell>
          <cell r="I2976" t="str">
            <v>s__unclassified_f__Lachnospiraceae</v>
          </cell>
        </row>
        <row r="2977">
          <cell r="G2977" t="str">
            <v>ASV10410</v>
          </cell>
          <cell r="H2977" t="str">
            <v>g__norank_f__UCG-011</v>
          </cell>
          <cell r="I2977" t="str">
            <v>s__uncultured_bacterium_g__norank_f__UCG-011</v>
          </cell>
        </row>
        <row r="2978">
          <cell r="G2978" t="str">
            <v>ASV1926</v>
          </cell>
          <cell r="H2978" t="str">
            <v>g__Ruminococcus</v>
          </cell>
          <cell r="I2978" t="str">
            <v>s__unclassified_g__Ruminococcus</v>
          </cell>
        </row>
        <row r="2979">
          <cell r="G2979" t="str">
            <v>ASV19248</v>
          </cell>
          <cell r="H2979" t="str">
            <v>g__unclassified_f__Lachnospiraceae</v>
          </cell>
          <cell r="I2979" t="str">
            <v>s__unclassified_f__Lachnospiraceae</v>
          </cell>
        </row>
        <row r="2980">
          <cell r="G2980" t="str">
            <v>ASV21826</v>
          </cell>
          <cell r="H2980" t="str">
            <v>g__Christensenellaceae_R-7_group</v>
          </cell>
          <cell r="I2980" t="str">
            <v>s__unclassified_g__Christensenellaceae_R-7_group</v>
          </cell>
        </row>
        <row r="2981">
          <cell r="G2981" t="str">
            <v>ASV3104</v>
          </cell>
          <cell r="H2981" t="str">
            <v>g__unclassified_c__Clostridia</v>
          </cell>
          <cell r="I2981" t="str">
            <v>s__unclassified_c__Clostridia</v>
          </cell>
        </row>
        <row r="2982">
          <cell r="G2982" t="str">
            <v>ASV9945</v>
          </cell>
          <cell r="H2982" t="str">
            <v>g__Prevotellaceae_NK3B31_group</v>
          </cell>
          <cell r="I2982" t="str">
            <v>s__uncultured_bacterium_g__Prevotellaceae_NK3B31_group</v>
          </cell>
        </row>
        <row r="2983">
          <cell r="G2983" t="str">
            <v>ASV15888</v>
          </cell>
          <cell r="H2983" t="str">
            <v>g__Fusobacterium</v>
          </cell>
          <cell r="I2983" t="str">
            <v>s__Bacillus_bogoriensis_ATCC_BAA-922</v>
          </cell>
        </row>
        <row r="2984">
          <cell r="G2984" t="str">
            <v>ASV20202</v>
          </cell>
          <cell r="H2984" t="str">
            <v>g__Enterococcus</v>
          </cell>
          <cell r="I2984" t="str">
            <v>s__unclassified_g__Enterococcus</v>
          </cell>
        </row>
        <row r="2985">
          <cell r="G2985" t="str">
            <v>ASV12532</v>
          </cell>
          <cell r="H2985" t="str">
            <v>g__unclassified_f__Oscillospiraceae</v>
          </cell>
          <cell r="I2985" t="str">
            <v>s__unclassified_f__Oscillospiraceae</v>
          </cell>
        </row>
        <row r="2986">
          <cell r="G2986" t="str">
            <v>ASV8610</v>
          </cell>
          <cell r="H2986" t="str">
            <v>g__Blastococcus</v>
          </cell>
          <cell r="I2986" t="str">
            <v>s__unclassified_g__Blastococcus</v>
          </cell>
        </row>
        <row r="2987">
          <cell r="G2987" t="str">
            <v>ASV21147</v>
          </cell>
          <cell r="H2987" t="str">
            <v>g__Lactobacillus</v>
          </cell>
          <cell r="I2987" t="str">
            <v>s__unclassified_g__Lactobacillus</v>
          </cell>
        </row>
        <row r="2988">
          <cell r="G2988" t="str">
            <v>ASV8978</v>
          </cell>
          <cell r="H2988" t="str">
            <v>g__Christensenellaceae_R-7_group</v>
          </cell>
          <cell r="I2988" t="str">
            <v>s__unclassified_g__Christensenellaceae_R-7_group</v>
          </cell>
        </row>
        <row r="2989">
          <cell r="G2989" t="str">
            <v>ASV15017</v>
          </cell>
          <cell r="H2989" t="str">
            <v>g__unclassified_f__Ruminococcaceae</v>
          </cell>
          <cell r="I2989" t="str">
            <v>s__unclassified_f__Ruminococcaceae</v>
          </cell>
        </row>
        <row r="2990">
          <cell r="G2990" t="str">
            <v>ASV7481</v>
          </cell>
          <cell r="H2990" t="str">
            <v>g__unclassified_c__Clostridia</v>
          </cell>
          <cell r="I2990" t="str">
            <v>s__unclassified_c__Clostridia</v>
          </cell>
        </row>
        <row r="2991">
          <cell r="G2991" t="str">
            <v>ASV1594</v>
          </cell>
          <cell r="H2991" t="str">
            <v>g__Lactobacillus</v>
          </cell>
          <cell r="I2991" t="str">
            <v>s__unclassified_g__Lactobacillus</v>
          </cell>
        </row>
        <row r="2992">
          <cell r="G2992" t="str">
            <v>ASV11196</v>
          </cell>
          <cell r="H2992" t="str">
            <v>g__Prevotella</v>
          </cell>
          <cell r="I2992" t="str">
            <v>s__unclassified_g__Prevotella</v>
          </cell>
        </row>
        <row r="2993">
          <cell r="G2993" t="str">
            <v>ASV4491</v>
          </cell>
          <cell r="H2993" t="str">
            <v>g__unclassified_f__Peptostreptococcaceae</v>
          </cell>
          <cell r="I2993" t="str">
            <v>s__unclassified_f__Peptostreptococcaceae</v>
          </cell>
        </row>
        <row r="2994">
          <cell r="G2994" t="str">
            <v>ASV10011</v>
          </cell>
          <cell r="H2994" t="str">
            <v>g__unclassified_f__Oscillospiraceae</v>
          </cell>
          <cell r="I2994" t="str">
            <v>s__unclassified_f__Oscillospiraceae</v>
          </cell>
        </row>
        <row r="2995">
          <cell r="G2995" t="str">
            <v>ASV7256</v>
          </cell>
          <cell r="H2995" t="str">
            <v>g__Massilia</v>
          </cell>
          <cell r="I2995" t="str">
            <v>s__unclassified_g__Massilia</v>
          </cell>
        </row>
        <row r="2996">
          <cell r="G2996" t="str">
            <v>ASV23901</v>
          </cell>
          <cell r="H2996" t="str">
            <v>g__Lactobacillus</v>
          </cell>
          <cell r="I2996" t="str">
            <v>s__unclassified_g__Lactobacillus</v>
          </cell>
        </row>
        <row r="2997">
          <cell r="G2997" t="str">
            <v>ASV15159</v>
          </cell>
          <cell r="H2997" t="str">
            <v>g__norank_f__norank_o__Clostridia_vadinBB60_group</v>
          </cell>
          <cell r="I2997" t="str">
            <v>s__unclassified_g__norank_f__norank_o__Clostridia_vadinBB60_group</v>
          </cell>
        </row>
        <row r="2998">
          <cell r="G2998" t="str">
            <v>ASV18493</v>
          </cell>
          <cell r="H2998" t="str">
            <v>g__Roseburia</v>
          </cell>
          <cell r="I2998" t="str">
            <v>s__unclassified_g__Roseburia</v>
          </cell>
        </row>
        <row r="2999">
          <cell r="G2999" t="str">
            <v>ASV6542</v>
          </cell>
          <cell r="H2999" t="str">
            <v>g__unclassified_f__Peptostreptococcaceae</v>
          </cell>
          <cell r="I2999" t="str">
            <v>s__unclassified_f__Peptostreptococcaceae</v>
          </cell>
        </row>
        <row r="3000">
          <cell r="G3000" t="str">
            <v>ASV4496</v>
          </cell>
          <cell r="H3000" t="str">
            <v>g__unclassified_c__Clostridia</v>
          </cell>
          <cell r="I3000" t="str">
            <v>s__unclassified_c__Clostridia</v>
          </cell>
        </row>
        <row r="3001">
          <cell r="G3001" t="str">
            <v>ASV19249</v>
          </cell>
          <cell r="H3001" t="str">
            <v>g__unclassified_c__Clostridia</v>
          </cell>
          <cell r="I3001" t="str">
            <v>s__unclassified_c__Clostridia</v>
          </cell>
        </row>
        <row r="3002">
          <cell r="G3002" t="str">
            <v>ASV11199</v>
          </cell>
          <cell r="H3002" t="str">
            <v>g__norank_f__Oscillospiraceae</v>
          </cell>
          <cell r="I3002" t="str">
            <v>s__unclassified_g__norank_f__Oscillospiraceae</v>
          </cell>
        </row>
        <row r="3003">
          <cell r="G3003" t="str">
            <v>ASV17730</v>
          </cell>
          <cell r="H3003" t="str">
            <v>g__NK4A214_group</v>
          </cell>
          <cell r="I3003" t="str">
            <v>s__unclassified_g__NK4A214_group</v>
          </cell>
        </row>
        <row r="3004">
          <cell r="G3004" t="str">
            <v>ASV12527</v>
          </cell>
          <cell r="H3004" t="str">
            <v>g__unclassified_c__Clostridia</v>
          </cell>
          <cell r="I3004" t="str">
            <v>s__unclassified_c__Clostridia</v>
          </cell>
        </row>
        <row r="3005">
          <cell r="G3005" t="str">
            <v>ASV9160</v>
          </cell>
          <cell r="H3005" t="str">
            <v>g__Lactobacillus</v>
          </cell>
          <cell r="I3005" t="str">
            <v>s__unclassified_g__Lactobacillus</v>
          </cell>
        </row>
        <row r="3006">
          <cell r="G3006" t="str">
            <v>ASV21822</v>
          </cell>
          <cell r="H3006" t="str">
            <v>g__unclassified_f__Lachnospiraceae</v>
          </cell>
          <cell r="I3006" t="str">
            <v>s__unclassified_f__Lachnospiraceae</v>
          </cell>
        </row>
        <row r="3007">
          <cell r="G3007" t="str">
            <v>ASV18496</v>
          </cell>
          <cell r="H3007" t="str">
            <v>g__unclassified_o__Lactobacillales</v>
          </cell>
          <cell r="I3007" t="str">
            <v>s__unclassified_o__Lactobacillales</v>
          </cell>
        </row>
        <row r="3008">
          <cell r="G3008" t="str">
            <v>ASV5550</v>
          </cell>
          <cell r="H3008" t="str">
            <v>g__unclassified_f__Oscillospiraceae</v>
          </cell>
          <cell r="I3008" t="str">
            <v>s__unclassified_f__Oscillospiraceae</v>
          </cell>
        </row>
        <row r="3009">
          <cell r="G3009" t="str">
            <v>ASV2800</v>
          </cell>
          <cell r="H3009" t="str">
            <v>g__Ruminococcus</v>
          </cell>
          <cell r="I3009" t="str">
            <v>s__unclassified_g__Ruminococcus</v>
          </cell>
        </row>
        <row r="3010">
          <cell r="G3010" t="str">
            <v>ASV10273</v>
          </cell>
          <cell r="H3010" t="str">
            <v>g__unclassified_o__Lactobacillales</v>
          </cell>
          <cell r="I3010" t="str">
            <v>s__unclassified_o__Lactobacillales</v>
          </cell>
        </row>
        <row r="3011">
          <cell r="G3011" t="str">
            <v>ASV7474</v>
          </cell>
          <cell r="H3011" t="str">
            <v>g__norank_f__Muribaculaceae</v>
          </cell>
          <cell r="I3011" t="str">
            <v>s__uncultured_bacterium_g__norank_f__Muribaculaceae</v>
          </cell>
        </row>
        <row r="3012">
          <cell r="G3012" t="str">
            <v>ASV6543</v>
          </cell>
          <cell r="H3012" t="str">
            <v>g__Escherichia-Shigella</v>
          </cell>
          <cell r="I3012" t="str">
            <v>s__unclassified_g__Escherichia-Shigella</v>
          </cell>
        </row>
        <row r="3013">
          <cell r="G3013" t="str">
            <v>ASV5553</v>
          </cell>
          <cell r="H3013" t="str">
            <v>g__unclassified_c__Clostridia</v>
          </cell>
          <cell r="I3013" t="str">
            <v>s__unclassified_c__Clostridia</v>
          </cell>
        </row>
        <row r="3014">
          <cell r="G3014" t="str">
            <v>ASV10415</v>
          </cell>
          <cell r="H3014" t="str">
            <v>g__unclassified_f__Lachnospiraceae</v>
          </cell>
          <cell r="I3014" t="str">
            <v>s__unclassified_f__Lachnospiraceae</v>
          </cell>
        </row>
        <row r="3015">
          <cell r="G3015" t="str">
            <v>ASV15161</v>
          </cell>
          <cell r="H3015" t="str">
            <v>g__Christensenellaceae_R-7_group</v>
          </cell>
          <cell r="I3015" t="str">
            <v>s__unclassified_g__Christensenellaceae_R-7_group</v>
          </cell>
        </row>
        <row r="3016">
          <cell r="G3016" t="str">
            <v>ASV2743</v>
          </cell>
          <cell r="H3016" t="str">
            <v>g__unclassified_f__Lachnospiraceae</v>
          </cell>
          <cell r="I3016" t="str">
            <v>s__unclassified_f__Lachnospiraceae</v>
          </cell>
        </row>
        <row r="3017">
          <cell r="G3017" t="str">
            <v>ASV9957</v>
          </cell>
          <cell r="H3017" t="str">
            <v>g__Treponema</v>
          </cell>
          <cell r="I3017" t="str">
            <v>s__unclassified_g__Treponema</v>
          </cell>
        </row>
        <row r="3018">
          <cell r="G3018" t="str">
            <v>ASV7478</v>
          </cell>
          <cell r="H3018" t="str">
            <v>g__Terrisporobacter</v>
          </cell>
          <cell r="I3018" t="str">
            <v>s__unclassified_g__Terrisporobacter</v>
          </cell>
        </row>
        <row r="3019">
          <cell r="G3019" t="str">
            <v>ASV20385</v>
          </cell>
          <cell r="H3019" t="str">
            <v>g__Brevundimonas</v>
          </cell>
          <cell r="I3019" t="str">
            <v>s__unclassified_g__Brevundimonas</v>
          </cell>
        </row>
        <row r="3020">
          <cell r="G3020" t="str">
            <v>ASV7483</v>
          </cell>
          <cell r="H3020" t="str">
            <v>g__Collinsella</v>
          </cell>
          <cell r="I3020" t="str">
            <v>s__unclassified_g__Collinsella</v>
          </cell>
        </row>
        <row r="3021">
          <cell r="G3021" t="str">
            <v>ASV7485</v>
          </cell>
          <cell r="H3021" t="str">
            <v>g__Clostridium_sensu_stricto_1</v>
          </cell>
          <cell r="I3021" t="str">
            <v>s__uncultured_bacterium_g__Clostridium_sensu_stricto_1</v>
          </cell>
        </row>
        <row r="3022">
          <cell r="G3022" t="str">
            <v>ASV13909</v>
          </cell>
          <cell r="H3022" t="str">
            <v>g__unclassified_f__Lachnospiraceae</v>
          </cell>
          <cell r="I3022" t="str">
            <v>s__unclassified_f__Lachnospiraceae</v>
          </cell>
        </row>
        <row r="3023">
          <cell r="G3023" t="str">
            <v>ASV11194</v>
          </cell>
          <cell r="H3023" t="str">
            <v>g__Christensenellaceae_R-7_group</v>
          </cell>
          <cell r="I3023" t="str">
            <v>s__unclassified_g__Christensenellaceae_R-7_group</v>
          </cell>
        </row>
        <row r="3024">
          <cell r="G3024" t="str">
            <v>ASV20571</v>
          </cell>
          <cell r="H3024" t="str">
            <v>g__Bilophila</v>
          </cell>
          <cell r="I3024" t="str">
            <v>s__uncultured_delta_proteobacterium_g__Bilophila</v>
          </cell>
        </row>
        <row r="3025">
          <cell r="G3025" t="str">
            <v>ASV19252</v>
          </cell>
          <cell r="H3025" t="str">
            <v>g__unclassified_c__Clostridia</v>
          </cell>
          <cell r="I3025" t="str">
            <v>s__unclassified_c__Clostridia</v>
          </cell>
        </row>
        <row r="3026">
          <cell r="G3026" t="str">
            <v>ASV3276</v>
          </cell>
          <cell r="H3026" t="str">
            <v>g__norank_f__Muribaculaceae</v>
          </cell>
          <cell r="I3026" t="str">
            <v>s__uncultured_bacterium_g__norank_f__Muribaculaceae</v>
          </cell>
        </row>
        <row r="3027">
          <cell r="G3027" t="str">
            <v>ASV13302</v>
          </cell>
          <cell r="H3027" t="str">
            <v>g__Bacteroides</v>
          </cell>
          <cell r="I3027" t="str">
            <v>s__uncultured_bacterium_g__Bacteroides</v>
          </cell>
        </row>
        <row r="3028">
          <cell r="G3028" t="str">
            <v>ASV20203</v>
          </cell>
          <cell r="H3028" t="str">
            <v>g__Bacillus</v>
          </cell>
          <cell r="I3028" t="str">
            <v>s__Lactobacillus_vaginalis_g__Bacillus</v>
          </cell>
        </row>
        <row r="3029">
          <cell r="G3029" t="str">
            <v>ASV6539</v>
          </cell>
          <cell r="H3029" t="str">
            <v>g__norank_f__Eubacterium_coprostanoligenes_group</v>
          </cell>
          <cell r="I3029" t="str">
            <v>s__uncultured_bacterium_g__norank_f__Eubacterium_coprostanoligenes_group</v>
          </cell>
        </row>
        <row r="3030">
          <cell r="G3030" t="str">
            <v>ASV21396</v>
          </cell>
          <cell r="H3030" t="str">
            <v>g__Phascolarctobacterium</v>
          </cell>
          <cell r="I3030" t="str">
            <v>s__unclassified_g__Phascolarctobacterium</v>
          </cell>
        </row>
        <row r="3031">
          <cell r="G3031" t="str">
            <v>ASV13905</v>
          </cell>
          <cell r="H3031" t="str">
            <v>g__Subdoligranulum</v>
          </cell>
          <cell r="I3031" t="str">
            <v>s__uncultured_bacterium_g__Subdoligranulum</v>
          </cell>
        </row>
        <row r="3032">
          <cell r="G3032" t="str">
            <v>ASV17735</v>
          </cell>
          <cell r="H3032" t="str">
            <v>g__unclassified_o__Oscillospirales</v>
          </cell>
          <cell r="I3032" t="str">
            <v>s__unclassified_o__Oscillospirales</v>
          </cell>
        </row>
        <row r="3033">
          <cell r="G3033" t="str">
            <v>ASV11187</v>
          </cell>
          <cell r="H3033" t="str">
            <v>g__norank_f__norank_o__RF39</v>
          </cell>
          <cell r="I3033" t="str">
            <v>s__uncultured_bacterium_g__norank_f__norank_o__RF39</v>
          </cell>
        </row>
        <row r="3034">
          <cell r="G3034" t="str">
            <v>ASV9009</v>
          </cell>
          <cell r="H3034" t="str">
            <v>g__norank_f__Muribaculaceae</v>
          </cell>
          <cell r="I3034" t="str">
            <v>s__uncultured_bacterium_g__norank_f__Muribaculaceae</v>
          </cell>
        </row>
        <row r="3035">
          <cell r="G3035" t="str">
            <v>ASV265</v>
          </cell>
          <cell r="H3035" t="str">
            <v>g__unclassified_c__Bacilli</v>
          </cell>
          <cell r="I3035" t="str">
            <v>s__unclassified_c__Bacilli</v>
          </cell>
        </row>
        <row r="3036">
          <cell r="G3036" t="str">
            <v>ASV5555</v>
          </cell>
          <cell r="H3036" t="str">
            <v>g__Monoglobus</v>
          </cell>
          <cell r="I3036" t="str">
            <v>s__unclassified_g__Monoglobus</v>
          </cell>
        </row>
        <row r="3037">
          <cell r="G3037" t="str">
            <v>ASV10484</v>
          </cell>
          <cell r="H3037" t="str">
            <v>g__unclassified_f__Lachnospiraceae</v>
          </cell>
          <cell r="I3037" t="str">
            <v>s__unclassified_f__Lachnospiraceae</v>
          </cell>
        </row>
        <row r="3038">
          <cell r="G3038" t="str">
            <v>ASV21828</v>
          </cell>
          <cell r="H3038" t="str">
            <v>g__Ruminococcus</v>
          </cell>
          <cell r="I3038" t="str">
            <v>s__uncultured_bacterium_g__Ruminococcus</v>
          </cell>
        </row>
        <row r="3039">
          <cell r="G3039" t="str">
            <v>ASV10013</v>
          </cell>
          <cell r="H3039" t="str">
            <v>g__norank_f__Ruminococcaceae</v>
          </cell>
          <cell r="I3039" t="str">
            <v>s__uncultured_Clostridium_sp._g__norank_f__Ruminococcaceae</v>
          </cell>
        </row>
        <row r="3040">
          <cell r="G3040" t="str">
            <v>ASV11202</v>
          </cell>
          <cell r="H3040" t="str">
            <v>g__Turicibacter</v>
          </cell>
          <cell r="I3040" t="str">
            <v>s__uncultured_bacterium_g__Turicibacter</v>
          </cell>
        </row>
        <row r="3041">
          <cell r="G3041" t="str">
            <v>ASV11200</v>
          </cell>
          <cell r="H3041" t="str">
            <v>g__norank_f__Muribaculaceae</v>
          </cell>
          <cell r="I3041" t="str">
            <v>s__unclassified_g__norank_f__Muribaculaceae</v>
          </cell>
        </row>
        <row r="3042">
          <cell r="G3042" t="str">
            <v>ASV23902</v>
          </cell>
          <cell r="H3042" t="str">
            <v>g__Acidaminococcus</v>
          </cell>
          <cell r="I3042" t="str">
            <v>s__unclassified_g__Acidaminococcus</v>
          </cell>
        </row>
        <row r="3043">
          <cell r="G3043" t="str">
            <v>ASV17834</v>
          </cell>
          <cell r="H3043" t="str">
            <v>g__Christensenellaceae_R-7_group</v>
          </cell>
          <cell r="I3043" t="str">
            <v>s__uncultured_marine_bacterium_g__Christensenellaceae_R-7_group</v>
          </cell>
        </row>
        <row r="3044">
          <cell r="G3044" t="str">
            <v>ASV20382</v>
          </cell>
          <cell r="H3044" t="str">
            <v>g__Cellvibrio</v>
          </cell>
          <cell r="I3044" t="str">
            <v>s__unclassified_g__Cellvibrio</v>
          </cell>
        </row>
        <row r="3045">
          <cell r="G3045" t="str">
            <v>ASV21704</v>
          </cell>
          <cell r="H3045" t="str">
            <v>g__norank_f__norank_o__0319-6G20</v>
          </cell>
          <cell r="I3045" t="str">
            <v>s__unclassified_g__norank_f__norank_o__0319-6G20</v>
          </cell>
        </row>
        <row r="3046">
          <cell r="G3046" t="str">
            <v>ASV263</v>
          </cell>
          <cell r="H3046" t="str">
            <v>g__Lactobacillus</v>
          </cell>
          <cell r="I3046" t="str">
            <v>s__unclassified_g__Lactobacillus</v>
          </cell>
        </row>
        <row r="3047">
          <cell r="G3047" t="str">
            <v>ASV24075</v>
          </cell>
          <cell r="H3047" t="str">
            <v>g__Clostridium_sensu_stricto_1</v>
          </cell>
          <cell r="I3047" t="str">
            <v>s__unclassified_g__Clostridium_sensu_stricto_1</v>
          </cell>
        </row>
        <row r="3048">
          <cell r="G3048" t="str">
            <v>ASV21823</v>
          </cell>
          <cell r="H3048" t="str">
            <v>g__unclassified_p__Firmicutes</v>
          </cell>
          <cell r="I3048" t="str">
            <v>s__unclassified_p__Firmicutes</v>
          </cell>
        </row>
        <row r="3049">
          <cell r="G3049" t="str">
            <v>ASV1578</v>
          </cell>
          <cell r="H3049" t="str">
            <v>g__UCG-008</v>
          </cell>
          <cell r="I3049" t="str">
            <v>s__uncultured_bacterium_g__UCG-008</v>
          </cell>
        </row>
        <row r="3050">
          <cell r="G3050" t="str">
            <v>ASV16806</v>
          </cell>
          <cell r="H3050" t="str">
            <v>g__Prevotellaceae_NK3B31_group</v>
          </cell>
          <cell r="I3050" t="str">
            <v>s__uncultured_bacterium_g__Prevotellaceae_NK3B31_group</v>
          </cell>
        </row>
        <row r="3051">
          <cell r="G3051" t="str">
            <v>ASV5569</v>
          </cell>
          <cell r="H3051" t="str">
            <v>g__unclassified_f__Ruminococcaceae</v>
          </cell>
          <cell r="I3051" t="str">
            <v>s__unclassified_f__Ruminococcaceae</v>
          </cell>
        </row>
        <row r="3052">
          <cell r="G3052" t="str">
            <v>ASV11197</v>
          </cell>
          <cell r="H3052" t="str">
            <v>g__unclassified_f__Oscillospiraceae</v>
          </cell>
          <cell r="I3052" t="str">
            <v>s__unclassified_f__Oscillospiraceae</v>
          </cell>
        </row>
        <row r="3053">
          <cell r="G3053" t="str">
            <v>ASV15313</v>
          </cell>
          <cell r="H3053" t="str">
            <v>g__norank_f__Christensenellaceae</v>
          </cell>
          <cell r="I3053" t="str">
            <v>s__uncultured_bacterium_g__norank_f__Christensenellaceae</v>
          </cell>
        </row>
        <row r="3054">
          <cell r="G3054" t="str">
            <v>ASV20529</v>
          </cell>
          <cell r="H3054" t="str">
            <v>g__Enterococcus</v>
          </cell>
          <cell r="I3054" t="str">
            <v>s__unclassified_g__Enterococcus</v>
          </cell>
        </row>
        <row r="3055">
          <cell r="G3055" t="str">
            <v>ASV10838</v>
          </cell>
          <cell r="H3055" t="str">
            <v>g__norank_f__norank_o__WCHB1-41</v>
          </cell>
          <cell r="I3055" t="str">
            <v>s__uncultured_bacterium_g__norank_f__norank_o__WCHB1-41</v>
          </cell>
        </row>
        <row r="3056">
          <cell r="G3056" t="str">
            <v>ASV8771</v>
          </cell>
          <cell r="H3056" t="str">
            <v>g__Prevotella</v>
          </cell>
          <cell r="I3056" t="str">
            <v>s__human_gut_metagenome_g__Prevotella</v>
          </cell>
        </row>
        <row r="3057">
          <cell r="G3057" t="str">
            <v>ASV5554</v>
          </cell>
          <cell r="H3057" t="str">
            <v>g__unclassified_c__Clostridia</v>
          </cell>
          <cell r="I3057" t="str">
            <v>s__unclassified_c__Clostridia</v>
          </cell>
        </row>
        <row r="3058">
          <cell r="G3058" t="str">
            <v>ASV17734</v>
          </cell>
          <cell r="H3058" t="str">
            <v>g__norank_f__Ruminococcaceae</v>
          </cell>
          <cell r="I3058" t="str">
            <v>s__unclassified_g__norank_f__Ruminococcaceae</v>
          </cell>
        </row>
        <row r="3059">
          <cell r="G3059" t="str">
            <v>ASV15162</v>
          </cell>
          <cell r="H3059" t="str">
            <v>g__Christensenellaceae_R-7_group</v>
          </cell>
          <cell r="I3059" t="str">
            <v>s__bacterium_YE57</v>
          </cell>
        </row>
        <row r="3060">
          <cell r="G3060" t="str">
            <v>ASV8925</v>
          </cell>
          <cell r="H3060" t="str">
            <v>g__Lactobacillus</v>
          </cell>
          <cell r="I3060" t="str">
            <v>s__unclassified_g__Lactobacillus</v>
          </cell>
        </row>
        <row r="3061">
          <cell r="G3061" t="str">
            <v>ASV23903</v>
          </cell>
          <cell r="H3061" t="str">
            <v>g__Escherichia-Shigella</v>
          </cell>
          <cell r="I3061" t="str">
            <v>s__unclassified_g__Escherichia-Shigella</v>
          </cell>
        </row>
        <row r="3062">
          <cell r="G3062" t="str">
            <v>ASV271</v>
          </cell>
          <cell r="H3062" t="str">
            <v>g__Bacillus</v>
          </cell>
          <cell r="I3062" t="str">
            <v>s__Lactobacillus_vaginalis_g__Bacillus</v>
          </cell>
        </row>
        <row r="3063">
          <cell r="G3063" t="str">
            <v>ASV4493</v>
          </cell>
          <cell r="H3063" t="str">
            <v>g__unclassified_c__Clostridia</v>
          </cell>
          <cell r="I3063" t="str">
            <v>s__unclassified_c__Clostridia</v>
          </cell>
        </row>
        <row r="3064">
          <cell r="G3064" t="str">
            <v>ASV274</v>
          </cell>
          <cell r="H3064" t="str">
            <v>g__Turicibacter</v>
          </cell>
          <cell r="I3064" t="str">
            <v>s__uncultured_bacterium_g__Turicibacter</v>
          </cell>
        </row>
        <row r="3065">
          <cell r="G3065" t="str">
            <v>ASV9946</v>
          </cell>
          <cell r="H3065" t="str">
            <v>g__Rikenellaceae_RC9_gut_group</v>
          </cell>
          <cell r="I3065" t="str">
            <v>s__uncultured_bacterium_g__Rikenellaceae_RC9_gut_group</v>
          </cell>
        </row>
        <row r="3066">
          <cell r="G3066" t="str">
            <v>ASV17399</v>
          </cell>
          <cell r="H3066" t="str">
            <v>g__Streptococcus</v>
          </cell>
          <cell r="I3066" t="str">
            <v>s__unclassified_g__Streptococcus</v>
          </cell>
        </row>
        <row r="3067">
          <cell r="G3067" t="str">
            <v>ASV8415</v>
          </cell>
          <cell r="H3067" t="str">
            <v>g__Mitsuokella</v>
          </cell>
          <cell r="I3067" t="str">
            <v>s__unclassified_g__Mitsuokella</v>
          </cell>
        </row>
        <row r="3068">
          <cell r="G3068" t="str">
            <v>ASV7477</v>
          </cell>
          <cell r="H3068" t="str">
            <v>g__norank_f__Muribaculaceae</v>
          </cell>
          <cell r="I3068" t="str">
            <v>s__uncultured_Porphyromonadaceae_bacterium_g__norank_f__Muribaculaceae</v>
          </cell>
        </row>
        <row r="3069">
          <cell r="G3069" t="str">
            <v>ASV15774</v>
          </cell>
          <cell r="H3069" t="str">
            <v>g__Bacillus</v>
          </cell>
          <cell r="I3069" t="str">
            <v>s__Lactobacillus_vaginalis_g__Bacillus</v>
          </cell>
        </row>
        <row r="3070">
          <cell r="G3070" t="str">
            <v>ASV20384</v>
          </cell>
          <cell r="H3070" t="str">
            <v>g__Variovorax</v>
          </cell>
          <cell r="I3070" t="str">
            <v>s__unclassified_g__Variovorax</v>
          </cell>
        </row>
        <row r="3071">
          <cell r="G3071" t="str">
            <v>ASV15165</v>
          </cell>
          <cell r="H3071" t="str">
            <v>g__Christensenellaceae_R-7_group</v>
          </cell>
          <cell r="I3071" t="str">
            <v>s__unclassified_g__Christensenellaceae_R-7_group</v>
          </cell>
        </row>
        <row r="3072">
          <cell r="G3072" t="str">
            <v>ASV12681</v>
          </cell>
          <cell r="H3072" t="str">
            <v>g__unclassified_f__Lachnospiraceae</v>
          </cell>
          <cell r="I3072" t="str">
            <v>s__unclassified_f__Lachnospiraceae</v>
          </cell>
        </row>
        <row r="3073">
          <cell r="G3073" t="str">
            <v>ASV9159</v>
          </cell>
          <cell r="H3073" t="str">
            <v>g__unclassified_f__Oscillospiraceae</v>
          </cell>
          <cell r="I3073" t="str">
            <v>s__unclassified_f__Oscillospiraceae</v>
          </cell>
        </row>
        <row r="3074">
          <cell r="G3074" t="str">
            <v>ASV10413</v>
          </cell>
          <cell r="H3074" t="str">
            <v>g__Lactobacillus</v>
          </cell>
          <cell r="I3074" t="str">
            <v>s__unclassified_g__Lactobacillus</v>
          </cell>
        </row>
        <row r="3075">
          <cell r="G3075" t="str">
            <v>ASV11190</v>
          </cell>
          <cell r="H3075" t="str">
            <v>g__norank_f__norank_o__Clostridia_UCG-014</v>
          </cell>
          <cell r="I3075" t="str">
            <v>s__uncultured_bacterium_g__norank_f__norank_o__Clostridia_UCG-014</v>
          </cell>
        </row>
        <row r="3076">
          <cell r="G3076" t="str">
            <v>ASV16805</v>
          </cell>
          <cell r="H3076" t="str">
            <v>g__Alloprevotella</v>
          </cell>
          <cell r="I3076" t="str">
            <v>s__uncultured_bacterium_g__Alloprevotella</v>
          </cell>
        </row>
        <row r="3077">
          <cell r="G3077" t="str">
            <v>ASV1921</v>
          </cell>
          <cell r="H3077" t="str">
            <v>g__norank_f__norank_o__RF39</v>
          </cell>
          <cell r="I3077" t="str">
            <v>s__uncultured_bacterium_g__norank_f__norank_o__RF39</v>
          </cell>
        </row>
        <row r="3078">
          <cell r="G3078" t="str">
            <v>ASV16230</v>
          </cell>
          <cell r="H3078" t="str">
            <v>g__Rikenellaceae_RC9_gut_group</v>
          </cell>
          <cell r="I3078" t="str">
            <v>s__uncultured_bacterium_g__Rikenellaceae_RC9_gut_group</v>
          </cell>
        </row>
        <row r="3079">
          <cell r="G3079" t="str">
            <v>ASV9158</v>
          </cell>
          <cell r="H3079" t="str">
            <v>g__Escherichia-Shigella</v>
          </cell>
          <cell r="I3079" t="str">
            <v>s__unclassified_g__Escherichia-Shigella</v>
          </cell>
        </row>
        <row r="3080">
          <cell r="G3080" t="str">
            <v>ASV2735</v>
          </cell>
          <cell r="H3080" t="str">
            <v>g__norank_f__Erysipelotrichaceae</v>
          </cell>
          <cell r="I3080" t="str">
            <v>s__Erysipelotrichaceae_bacterium_canine_oral_taxon_317</v>
          </cell>
        </row>
        <row r="3081">
          <cell r="G3081" t="str">
            <v>ASV8621</v>
          </cell>
          <cell r="H3081" t="str">
            <v>g__norank_f__Caulobacteraceae</v>
          </cell>
          <cell r="I3081" t="str">
            <v>s__unclassified_g__norank_f__Caulobacteraceae</v>
          </cell>
        </row>
        <row r="3082">
          <cell r="G3082" t="str">
            <v>ASV1563</v>
          </cell>
          <cell r="H3082" t="str">
            <v>g__Clostridium_sensu_stricto_1</v>
          </cell>
          <cell r="I3082" t="str">
            <v>s__unclassified_g__Clostridium_sensu_stricto_1</v>
          </cell>
        </row>
        <row r="3083">
          <cell r="G3083" t="str">
            <v>ASV8879</v>
          </cell>
          <cell r="H3083" t="str">
            <v>g__Parabacteroides</v>
          </cell>
          <cell r="I3083" t="str">
            <v>s__uncultured_bacterium_g__Parabacteroides</v>
          </cell>
        </row>
        <row r="3084">
          <cell r="G3084" t="str">
            <v>ASV11195</v>
          </cell>
          <cell r="H3084" t="str">
            <v>g__unclassified_c__Clostridia</v>
          </cell>
          <cell r="I3084" t="str">
            <v>s__unclassified_c__Clostridia</v>
          </cell>
        </row>
        <row r="3085">
          <cell r="G3085" t="str">
            <v>ASV4495</v>
          </cell>
          <cell r="H3085" t="str">
            <v>g__Lactobacillus</v>
          </cell>
          <cell r="I3085" t="str">
            <v>s__unclassified_g__Lactobacillus</v>
          </cell>
        </row>
        <row r="3086">
          <cell r="G3086" t="str">
            <v>ASV266</v>
          </cell>
          <cell r="H3086" t="str">
            <v>g__Rikenellaceae_RC9_gut_group</v>
          </cell>
          <cell r="I3086" t="str">
            <v>s__uncultured_bacterium_g__Rikenellaceae_RC9_gut_group</v>
          </cell>
        </row>
        <row r="3087">
          <cell r="G3087" t="str">
            <v>ASV3015</v>
          </cell>
          <cell r="H3087" t="str">
            <v>g__norank_f__norank_o__PeM15</v>
          </cell>
          <cell r="I3087" t="str">
            <v>s__uncultured_marine_bacterium_g__norank_f__norank_o__PeM15</v>
          </cell>
        </row>
        <row r="3088">
          <cell r="G3088" t="str">
            <v>ASV13257</v>
          </cell>
          <cell r="H3088" t="str">
            <v>g__Clostridium_sensu_stricto_1</v>
          </cell>
          <cell r="I3088" t="str">
            <v>s__unclassified_g__Clostridium_sensu_stricto_1</v>
          </cell>
        </row>
        <row r="3089">
          <cell r="G3089" t="str">
            <v>ASV21400</v>
          </cell>
          <cell r="H3089" t="str">
            <v>g__Clostridium_sensu_stricto_1</v>
          </cell>
          <cell r="I3089" t="str">
            <v>s__unclassified_g__Clostridium_sensu_stricto_1</v>
          </cell>
        </row>
        <row r="3090">
          <cell r="G3090" t="str">
            <v>ASV9157</v>
          </cell>
          <cell r="H3090" t="str">
            <v>g__Lachnospiraceae_NC2004_group</v>
          </cell>
          <cell r="I3090" t="str">
            <v>s__uncultured_bacterium_g__Lachnospiraceae_NC2004_group</v>
          </cell>
        </row>
        <row r="3091">
          <cell r="G3091" t="str">
            <v>ASV13255</v>
          </cell>
          <cell r="H3091" t="str">
            <v>g__Lachnoclostridium</v>
          </cell>
          <cell r="I3091" t="str">
            <v>s__unclassified_g__Lachnoclostridium</v>
          </cell>
        </row>
        <row r="3092">
          <cell r="G3092" t="str">
            <v>ASV7012</v>
          </cell>
          <cell r="H3092" t="str">
            <v>g__Lactobacillus</v>
          </cell>
          <cell r="I3092" t="str">
            <v>s__unclassified_g__Lactobacillus</v>
          </cell>
        </row>
        <row r="3093">
          <cell r="G3093" t="str">
            <v>ASV1678</v>
          </cell>
          <cell r="H3093" t="str">
            <v>g__unclassified_f__Lachnospiraceae</v>
          </cell>
          <cell r="I3093" t="str">
            <v>s__unclassified_f__Lachnospiraceae</v>
          </cell>
        </row>
        <row r="3094">
          <cell r="G3094" t="str">
            <v>ASV21827</v>
          </cell>
          <cell r="H3094" t="str">
            <v>g__unclassified_f__Lachnospiraceae</v>
          </cell>
          <cell r="I3094" t="str">
            <v>s__unclassified_f__Lachnospiraceae</v>
          </cell>
        </row>
        <row r="3095">
          <cell r="G3095" t="str">
            <v>ASV15160</v>
          </cell>
          <cell r="H3095" t="str">
            <v>g__unclassified_f__Lachnospiraceae</v>
          </cell>
          <cell r="I3095" t="str">
            <v>s__unclassified_f__Lachnospiraceae</v>
          </cell>
        </row>
        <row r="3096">
          <cell r="G3096" t="str">
            <v>ASV20531</v>
          </cell>
          <cell r="H3096" t="str">
            <v>g__unclassified_c__Clostridia</v>
          </cell>
          <cell r="I3096" t="str">
            <v>s__unclassified_c__Clostridia</v>
          </cell>
        </row>
        <row r="3097">
          <cell r="G3097" t="str">
            <v>ASV10056</v>
          </cell>
          <cell r="H3097" t="str">
            <v>g__unclassified_f__Comamonadaceae</v>
          </cell>
          <cell r="I3097" t="str">
            <v>s__unclassified_f__Comamonadaceae</v>
          </cell>
        </row>
        <row r="3098">
          <cell r="G3098" t="str">
            <v>ASV6541</v>
          </cell>
          <cell r="H3098" t="str">
            <v>g__unclassified_c__Clostridia</v>
          </cell>
          <cell r="I3098" t="str">
            <v>s__unclassified_c__Clostridia</v>
          </cell>
        </row>
        <row r="3099">
          <cell r="G3099" t="str">
            <v>ASV3002</v>
          </cell>
          <cell r="H3099" t="str">
            <v>g__Dielma</v>
          </cell>
          <cell r="I3099" t="str">
            <v>s__uncultured_bacterium_g__Dielma</v>
          </cell>
        </row>
        <row r="3100">
          <cell r="G3100" t="str">
            <v>ASV11189</v>
          </cell>
          <cell r="H3100" t="str">
            <v>g__Megasphaera</v>
          </cell>
          <cell r="I3100" t="str">
            <v>s__unclassified_g__Megasphaera</v>
          </cell>
        </row>
        <row r="3101">
          <cell r="G3101" t="str">
            <v>ASV19250</v>
          </cell>
          <cell r="H3101" t="str">
            <v>g__unclassified_p__Firmicutes</v>
          </cell>
          <cell r="I3101" t="str">
            <v>s__unclassified_p__Firmicutes</v>
          </cell>
        </row>
        <row r="3102">
          <cell r="G3102" t="str">
            <v>ASV7475</v>
          </cell>
          <cell r="H3102" t="str">
            <v>g__Collinsella</v>
          </cell>
          <cell r="I3102" t="str">
            <v>s__unclassified_g__Collinsella</v>
          </cell>
        </row>
        <row r="3103">
          <cell r="G3103" t="str">
            <v>ASV13256</v>
          </cell>
          <cell r="H3103" t="str">
            <v>g__unclassified_f__Lachnospiraceae</v>
          </cell>
          <cell r="I3103" t="str">
            <v>s__unclassified_f__Lachnospiraceae</v>
          </cell>
        </row>
        <row r="3104">
          <cell r="G3104" t="str">
            <v>ASV24074</v>
          </cell>
          <cell r="H3104" t="str">
            <v>g__Anaerovibrio</v>
          </cell>
          <cell r="I3104" t="str">
            <v>s__uncultured_bacterium_g__Anaerovibrio</v>
          </cell>
        </row>
        <row r="3105">
          <cell r="G3105" t="str">
            <v>ASV3801</v>
          </cell>
          <cell r="H3105" t="str">
            <v>g__Alloprevotella</v>
          </cell>
          <cell r="I3105" t="str">
            <v>s__unclassified_g__Alloprevotella</v>
          </cell>
        </row>
        <row r="3106">
          <cell r="G3106" t="str">
            <v>ASV19151</v>
          </cell>
          <cell r="H3106" t="str">
            <v>g__Nocardioides</v>
          </cell>
          <cell r="I3106" t="str">
            <v>s__unclassified_g__Nocardioides</v>
          </cell>
        </row>
        <row r="3107">
          <cell r="G3107" t="str">
            <v>ASV15158</v>
          </cell>
          <cell r="H3107" t="str">
            <v>g__norank_f__Muribaculaceae</v>
          </cell>
          <cell r="I3107" t="str">
            <v>s__uncultured_bacterium_g__norank_f__Muribaculaceae</v>
          </cell>
        </row>
        <row r="3108">
          <cell r="G3108" t="str">
            <v>ASV267</v>
          </cell>
          <cell r="H3108" t="str">
            <v>g__Lactobacillus</v>
          </cell>
          <cell r="I3108" t="str">
            <v>s__unclassified_g__Lactobacillus</v>
          </cell>
        </row>
        <row r="3109">
          <cell r="G3109" t="str">
            <v>ASV8725</v>
          </cell>
          <cell r="H3109" t="str">
            <v>g__norank_f__norank_o__JGI_0000069-P22</v>
          </cell>
          <cell r="I3109" t="str">
            <v>s__uncultured_bacterium_g__norank_f__norank_o__JGI_0000069-P22</v>
          </cell>
        </row>
        <row r="3110">
          <cell r="G3110" t="str">
            <v>ASV16232</v>
          </cell>
          <cell r="H3110" t="str">
            <v>g__Clostridium_sensu_stricto_1</v>
          </cell>
          <cell r="I3110" t="str">
            <v>s__unclassified_g__Clostridium_sensu_stricto_1</v>
          </cell>
        </row>
        <row r="3111">
          <cell r="G3111" t="str">
            <v>ASV7153</v>
          </cell>
          <cell r="H3111" t="str">
            <v>g__Rothia</v>
          </cell>
          <cell r="I3111" t="str">
            <v>s__Rothia_aerolata</v>
          </cell>
        </row>
        <row r="3112">
          <cell r="G3112" t="str">
            <v>ASV7482</v>
          </cell>
          <cell r="H3112" t="str">
            <v>g__Christensenellaceae_R-7_group</v>
          </cell>
          <cell r="I3112" t="str">
            <v>s__unclassified_g__Christensenellaceae_R-7_group</v>
          </cell>
        </row>
        <row r="3113">
          <cell r="G3113" t="str">
            <v>ASV8414</v>
          </cell>
          <cell r="H3113" t="str">
            <v>g__unclassified_f__Veillonellaceae</v>
          </cell>
          <cell r="I3113" t="str">
            <v>s__unclassified_f__Veillonellaceae</v>
          </cell>
        </row>
        <row r="3114">
          <cell r="G3114" t="str">
            <v>ASV9854</v>
          </cell>
          <cell r="H3114" t="str">
            <v>g__Cellulosilyticum</v>
          </cell>
          <cell r="I3114" t="str">
            <v>s__uncultured_bacterium_g__Cellulosilyticum</v>
          </cell>
        </row>
        <row r="3115">
          <cell r="G3115" t="str">
            <v>ASV3806</v>
          </cell>
          <cell r="H3115" t="str">
            <v>g__Prevotellaceae_NK3B31_group</v>
          </cell>
          <cell r="I3115" t="str">
            <v>s__metagenome_g__Prevotellaceae_NK3B31_group</v>
          </cell>
        </row>
        <row r="3116">
          <cell r="G3116" t="str">
            <v>ASV20386</v>
          </cell>
          <cell r="H3116" t="str">
            <v>g__Prevotella</v>
          </cell>
          <cell r="I3116" t="str">
            <v>s__unclassified_g__Prevotella</v>
          </cell>
        </row>
        <row r="3117">
          <cell r="G3117" t="str">
            <v>ASV23019</v>
          </cell>
          <cell r="H3117" t="str">
            <v>g__Lactobacillus</v>
          </cell>
          <cell r="I3117" t="str">
            <v>s__unclassified_g__Lactobacillus</v>
          </cell>
        </row>
        <row r="3118">
          <cell r="G3118" t="str">
            <v>ASV9163</v>
          </cell>
          <cell r="H3118" t="str">
            <v>g__unclassified_f__Oscillospiraceae</v>
          </cell>
          <cell r="I3118" t="str">
            <v>s__unclassified_f__Oscillospiraceae</v>
          </cell>
        </row>
        <row r="3119">
          <cell r="G3119" t="str">
            <v>ASV10409</v>
          </cell>
          <cell r="H3119" t="str">
            <v>g__unclassified_o__Oscillospirales</v>
          </cell>
          <cell r="I3119" t="str">
            <v>s__unclassified_o__Oscillospirales</v>
          </cell>
        </row>
        <row r="3120">
          <cell r="G3120" t="str">
            <v>ASV20204</v>
          </cell>
          <cell r="H3120" t="str">
            <v>g__Lactobacillus</v>
          </cell>
          <cell r="I3120" t="str">
            <v>s__unclassified_g__Lactobacillus</v>
          </cell>
        </row>
        <row r="3121">
          <cell r="G3121" t="str">
            <v>ASV11198</v>
          </cell>
          <cell r="H3121" t="str">
            <v>g__unclassified_f__Peptostreptococcaceae</v>
          </cell>
          <cell r="I3121" t="str">
            <v>s__unclassified_f__Peptostreptococcaceae</v>
          </cell>
        </row>
        <row r="3122">
          <cell r="G3122" t="str">
            <v>ASV16231</v>
          </cell>
          <cell r="H3122" t="str">
            <v>g__unclassified_f__Peptostreptococcaceae</v>
          </cell>
          <cell r="I3122" t="str">
            <v>s__unclassified_f__Peptostreptococcaceae</v>
          </cell>
        </row>
        <row r="3123">
          <cell r="G3123" t="str">
            <v>ASV23021</v>
          </cell>
          <cell r="H3123" t="str">
            <v>g__UCG-005</v>
          </cell>
          <cell r="I3123" t="str">
            <v>s__human_gut_metagenome_g__UCG-005</v>
          </cell>
        </row>
        <row r="3124">
          <cell r="G3124" t="str">
            <v>ASV15018</v>
          </cell>
          <cell r="H3124" t="str">
            <v>g__Lachnospiraceae_UCG-010</v>
          </cell>
          <cell r="I3124" t="str">
            <v>s__uncultured_bacterium_g__Lachnospiraceae_UCG-010</v>
          </cell>
        </row>
        <row r="3125">
          <cell r="G3125" t="str">
            <v>ASV5549</v>
          </cell>
          <cell r="H3125" t="str">
            <v>g__Clostridium_sensu_stricto_1</v>
          </cell>
          <cell r="I3125" t="str">
            <v>s__unclassified_g__Clostridium_sensu_stricto_1</v>
          </cell>
        </row>
        <row r="3126">
          <cell r="G3126" t="str">
            <v>ASV23014</v>
          </cell>
          <cell r="H3126" t="str">
            <v>g__Christensenellaceae_R-7_group</v>
          </cell>
          <cell r="I3126" t="str">
            <v>s__unclassified_g__Christensenellaceae_R-7_group</v>
          </cell>
        </row>
        <row r="3127">
          <cell r="G3127" t="str">
            <v>ASV13908</v>
          </cell>
          <cell r="H3127" t="str">
            <v>g__unclassified_f__Lachnospiraceae</v>
          </cell>
          <cell r="I3127" t="str">
            <v>s__unclassified_f__Lachnospiraceae</v>
          </cell>
        </row>
        <row r="3128">
          <cell r="G3128" t="str">
            <v>ASV10412</v>
          </cell>
          <cell r="H3128" t="str">
            <v>g__Lactobacillus</v>
          </cell>
          <cell r="I3128" t="str">
            <v>s__unclassified_g__Lactobacillus</v>
          </cell>
        </row>
        <row r="3129">
          <cell r="G3129" t="str">
            <v>ASV1924</v>
          </cell>
          <cell r="H3129" t="str">
            <v>g__unclassified_f__Lachnospiraceae</v>
          </cell>
          <cell r="I3129" t="str">
            <v>s__unclassified_f__Lachnospiraceae</v>
          </cell>
        </row>
        <row r="3130">
          <cell r="G3130" t="str">
            <v>ASV20532</v>
          </cell>
          <cell r="H3130" t="str">
            <v>g__unclassified_f__Lachnospiraceae</v>
          </cell>
          <cell r="I3130" t="str">
            <v>s__unclassified_f__Lachnospiraceae</v>
          </cell>
        </row>
        <row r="3131">
          <cell r="G3131" t="str">
            <v>ASV16234</v>
          </cell>
          <cell r="H3131" t="str">
            <v>g__Christensenellaceae_R-7_group</v>
          </cell>
          <cell r="I3131" t="str">
            <v>s__unclassified_g__Christensenellaceae_R-7_group</v>
          </cell>
        </row>
        <row r="3132">
          <cell r="G3132" t="str">
            <v>ASV9161</v>
          </cell>
          <cell r="H3132" t="str">
            <v>g__unclassified_f__Lachnospiraceae</v>
          </cell>
          <cell r="I3132" t="str">
            <v>s__unclassified_f__Lachnospiraceae</v>
          </cell>
        </row>
        <row r="3133">
          <cell r="G3133" t="str">
            <v>ASV17169</v>
          </cell>
          <cell r="H3133" t="str">
            <v>g__Veillonella</v>
          </cell>
          <cell r="I3133" t="str">
            <v>s__unclassified_g__Veillonella</v>
          </cell>
        </row>
        <row r="3134">
          <cell r="G3134" t="str">
            <v>ASV23020</v>
          </cell>
          <cell r="H3134" t="str">
            <v>g__Lactobacillus</v>
          </cell>
          <cell r="I3134" t="str">
            <v>s__unclassified_g__Lactobacillus</v>
          </cell>
        </row>
        <row r="3135">
          <cell r="G3135" t="str">
            <v>ASV4492</v>
          </cell>
          <cell r="H3135" t="str">
            <v>g__Christensenellaceae_R-7_group</v>
          </cell>
          <cell r="I3135" t="str">
            <v>s__uncultured_bacterium_g__Christensenellaceae_R-7_group</v>
          </cell>
        </row>
        <row r="3136">
          <cell r="G3136" t="str">
            <v>ASV13906</v>
          </cell>
          <cell r="H3136" t="str">
            <v>g__Bacillus</v>
          </cell>
          <cell r="I3136" t="str">
            <v>s__Lactobacillus_vaginalis_g__Bacillus</v>
          </cell>
        </row>
        <row r="3137">
          <cell r="G3137" t="str">
            <v>ASV11193</v>
          </cell>
          <cell r="H3137" t="str">
            <v>g__unclassified_c__Clostridia</v>
          </cell>
          <cell r="I3137" t="str">
            <v>s__unclassified_c__Clostridia</v>
          </cell>
        </row>
        <row r="3138">
          <cell r="G3138" t="str">
            <v>ASV1923</v>
          </cell>
          <cell r="H3138" t="str">
            <v>g__unclassified_c__Clostridia</v>
          </cell>
          <cell r="I3138" t="str">
            <v>s__unclassified_c__Clostridia</v>
          </cell>
        </row>
        <row r="3139">
          <cell r="G3139" t="str">
            <v>ASV20379</v>
          </cell>
          <cell r="H3139" t="str">
            <v>g__norank_f__AB1</v>
          </cell>
          <cell r="I3139" t="str">
            <v>s__uncultured_bacterium_g__norank_f__AB1</v>
          </cell>
        </row>
        <row r="3140">
          <cell r="G3140" t="str">
            <v>ASV20528</v>
          </cell>
          <cell r="H3140" t="str">
            <v>g__Clostridium_sensu_stricto_1</v>
          </cell>
          <cell r="I3140" t="str">
            <v>s__Clostridium_colicanis</v>
          </cell>
        </row>
        <row r="3141">
          <cell r="G3141" t="str">
            <v>ASV8924</v>
          </cell>
          <cell r="H3141" t="str">
            <v>g__Capnocytophaga</v>
          </cell>
          <cell r="I3141" t="str">
            <v>s__unclassified_g__Capnocytophaga</v>
          </cell>
        </row>
        <row r="3142">
          <cell r="G3142" t="str">
            <v>ASV11327</v>
          </cell>
          <cell r="H3142" t="str">
            <v>g__Megasphaera</v>
          </cell>
          <cell r="I3142" t="str">
            <v>s__Megasphaera_hexanoica</v>
          </cell>
        </row>
        <row r="3143">
          <cell r="G3143" t="str">
            <v>ASV12526</v>
          </cell>
          <cell r="H3143" t="str">
            <v>g__Clostridium_sensu_stricto_1</v>
          </cell>
          <cell r="I3143" t="str">
            <v>s__unclassified_g__Clostridium_sensu_stricto_1</v>
          </cell>
        </row>
        <row r="3144">
          <cell r="G3144" t="str">
            <v>ASV2112</v>
          </cell>
          <cell r="H3144" t="str">
            <v>g__Desulfovibrio</v>
          </cell>
          <cell r="I3144" t="str">
            <v>s__unclassified_g__Desulfovibrio</v>
          </cell>
        </row>
        <row r="3145">
          <cell r="G3145" t="str">
            <v>ASV15775</v>
          </cell>
          <cell r="H3145" t="str">
            <v>g__unclassified_c__Bacilli</v>
          </cell>
          <cell r="I3145" t="str">
            <v>s__unclassified_c__Bacilli</v>
          </cell>
        </row>
        <row r="3146">
          <cell r="G3146" t="str">
            <v>ASV23015</v>
          </cell>
          <cell r="H3146" t="str">
            <v>g__Subdoligranulum</v>
          </cell>
          <cell r="I3146" t="str">
            <v>s__unclassified_g__Subdoligranulum</v>
          </cell>
        </row>
        <row r="3147">
          <cell r="G3147" t="str">
            <v>ASV17649</v>
          </cell>
          <cell r="H3147" t="str">
            <v>g__Lactobacillus</v>
          </cell>
          <cell r="I3147" t="str">
            <v>s__unclassified_g__Lactobacillus</v>
          </cell>
        </row>
        <row r="3148">
          <cell r="G3148" t="str">
            <v>ASV23016</v>
          </cell>
          <cell r="H3148" t="str">
            <v>g__Subdoligranulum</v>
          </cell>
          <cell r="I3148" t="str">
            <v>s__unclassified_g__Subdoligranulum</v>
          </cell>
        </row>
        <row r="3149">
          <cell r="G3149" t="str">
            <v>ASV3003</v>
          </cell>
          <cell r="H3149" t="str">
            <v>g__Staphylococcus</v>
          </cell>
          <cell r="I3149" t="str">
            <v>s__unclassified_g__Staphylococcus</v>
          </cell>
        </row>
        <row r="3150">
          <cell r="G3150" t="str">
            <v>ASV8413</v>
          </cell>
          <cell r="H3150" t="str">
            <v>g__unclassified_k__norank_d__Bacteria</v>
          </cell>
          <cell r="I3150" t="str">
            <v>s__unclassified_k__norank_d__Bacteria</v>
          </cell>
        </row>
        <row r="3151">
          <cell r="G3151" t="str">
            <v>ASV15038</v>
          </cell>
          <cell r="H3151" t="str">
            <v>g__Christensenellaceae_R-7_group</v>
          </cell>
          <cell r="I3151" t="str">
            <v>s__unclassified_g__Christensenellaceae_R-7_group</v>
          </cell>
        </row>
        <row r="3152">
          <cell r="G3152" t="str">
            <v>ASV20383</v>
          </cell>
          <cell r="H3152" t="str">
            <v>g__unclassified_f__Rhizobiaceae</v>
          </cell>
          <cell r="I3152" t="str">
            <v>s__unclassified_f__Rhizobiaceae</v>
          </cell>
        </row>
        <row r="3153">
          <cell r="G3153" t="str">
            <v>ASV21825</v>
          </cell>
          <cell r="H3153" t="str">
            <v>g__Phascolarctobacterium</v>
          </cell>
          <cell r="I3153" t="str">
            <v>s__uncultured_bacterium_g__Phascolarctobacterium</v>
          </cell>
        </row>
        <row r="3154">
          <cell r="G3154" t="str">
            <v>ASV15163</v>
          </cell>
          <cell r="H3154" t="str">
            <v>g__unclassified_c__Clostridia</v>
          </cell>
          <cell r="I3154" t="str">
            <v>s__unclassified_c__Clostridia</v>
          </cell>
        </row>
        <row r="3155">
          <cell r="G3155" t="str">
            <v>ASV9155</v>
          </cell>
          <cell r="H3155" t="str">
            <v>g__unclassified_p__Firmicutes</v>
          </cell>
          <cell r="I3155" t="str">
            <v>s__unclassified_p__Firmicutes</v>
          </cell>
        </row>
        <row r="3156">
          <cell r="G3156" t="str">
            <v>ASV3804</v>
          </cell>
          <cell r="H3156" t="str">
            <v>g__unclassified_k__norank_d__Bacteria</v>
          </cell>
          <cell r="I3156" t="str">
            <v>s__unclassified_k__norank_d__Bacteria</v>
          </cell>
        </row>
        <row r="3157">
          <cell r="G3157" t="str">
            <v>ASV5552</v>
          </cell>
          <cell r="H3157" t="str">
            <v>g__norank_f__Erysipelotrichaceae</v>
          </cell>
          <cell r="I3157" t="str">
            <v>s__uncultured_bacterium_g__norank_f__Erysipelotrichaceae</v>
          </cell>
        </row>
        <row r="3158">
          <cell r="G3158" t="str">
            <v>ASV23018</v>
          </cell>
          <cell r="H3158" t="str">
            <v>g__Lactobacillus</v>
          </cell>
          <cell r="I3158" t="str">
            <v>s__unclassified_g__Lactobacillus</v>
          </cell>
        </row>
        <row r="3159">
          <cell r="G3159" t="str">
            <v>ASV13768</v>
          </cell>
          <cell r="H3159" t="str">
            <v>g__Staphylococcus</v>
          </cell>
          <cell r="I3159" t="str">
            <v>s__unclassified_g__Staphylococcus</v>
          </cell>
        </row>
        <row r="3160">
          <cell r="G3160" t="str">
            <v>ASV21829</v>
          </cell>
          <cell r="H3160" t="str">
            <v>g__unclassified_o__Oscillospirales</v>
          </cell>
          <cell r="I3160" t="str">
            <v>s__unclassified_o__Oscillospirales</v>
          </cell>
        </row>
        <row r="3161">
          <cell r="G3161" t="str">
            <v>ASV13907</v>
          </cell>
          <cell r="H3161" t="str">
            <v>g__Lactobacillus</v>
          </cell>
          <cell r="I3161" t="str">
            <v>s__unclassified_g__Lactobacillus</v>
          </cell>
        </row>
        <row r="3162">
          <cell r="G3162" t="str">
            <v>ASV20380</v>
          </cell>
          <cell r="H3162" t="str">
            <v>g__Pedobacter</v>
          </cell>
          <cell r="I3162" t="str">
            <v>s__unclassified_g__Pedobacter</v>
          </cell>
        </row>
        <row r="3163">
          <cell r="G3163" t="str">
            <v>ASV21399</v>
          </cell>
          <cell r="H3163" t="str">
            <v>g__unclassified_c__Bacilli</v>
          </cell>
          <cell r="I3163" t="str">
            <v>s__unclassified_c__Bacilli</v>
          </cell>
        </row>
        <row r="3164">
          <cell r="G3164" t="str">
            <v>ASV15773</v>
          </cell>
          <cell r="H3164" t="str">
            <v>g__unclassified_f__Ruminococcaceae</v>
          </cell>
          <cell r="I3164" t="str">
            <v>s__unclassified_f__Ruminococcaceae</v>
          </cell>
        </row>
        <row r="3165">
          <cell r="G3165" t="str">
            <v>ASV5548</v>
          </cell>
          <cell r="H3165" t="str">
            <v>g__unclassified_f__Lachnospiraceae</v>
          </cell>
          <cell r="I3165" t="str">
            <v>s__unclassified_f__Lachnospiraceae</v>
          </cell>
        </row>
        <row r="3166">
          <cell r="G3166" t="str">
            <v>ASV20533</v>
          </cell>
          <cell r="H3166" t="str">
            <v>g__unclassified_c__Clostridia</v>
          </cell>
          <cell r="I3166" t="str">
            <v>s__unclassified_c__Clostridia</v>
          </cell>
        </row>
        <row r="3167">
          <cell r="G3167" t="str">
            <v>ASV3803</v>
          </cell>
          <cell r="H3167" t="str">
            <v>g__Cloacibacillus</v>
          </cell>
          <cell r="I3167" t="str">
            <v>s__unclassified_g__Cloacibacillus</v>
          </cell>
        </row>
        <row r="3168">
          <cell r="G3168" t="str">
            <v>ASV8008</v>
          </cell>
          <cell r="H3168" t="str">
            <v>g__norank_f__Peptococcaceae</v>
          </cell>
          <cell r="I3168" t="str">
            <v>s__uncultured_bacterium_g__norank_f__Peptococcaceae</v>
          </cell>
        </row>
        <row r="3169">
          <cell r="G3169" t="str">
            <v>ASV5557</v>
          </cell>
          <cell r="H3169" t="str">
            <v>g__Cloacibacillus</v>
          </cell>
          <cell r="I3169" t="str">
            <v>s__unclassified_g__Cloacibacillus</v>
          </cell>
        </row>
        <row r="3170">
          <cell r="G3170" t="str">
            <v>ASV7010</v>
          </cell>
          <cell r="H3170" t="str">
            <v>g__Fusobacterium</v>
          </cell>
          <cell r="I3170" t="str">
            <v>s__unclassified_g__Fusobacterium</v>
          </cell>
        </row>
        <row r="3171">
          <cell r="G3171" t="str">
            <v>ASV7479</v>
          </cell>
          <cell r="H3171" t="str">
            <v>g__unclassified_c__Clostridia</v>
          </cell>
          <cell r="I3171" t="str">
            <v>s__unclassified_c__Clostridia</v>
          </cell>
        </row>
        <row r="3172">
          <cell r="G3172" t="str">
            <v>ASV17120</v>
          </cell>
          <cell r="H3172" t="str">
            <v>g__Bacillus</v>
          </cell>
          <cell r="I3172" t="str">
            <v>s__Lactobacillus_vaginalis_g__Bacillus</v>
          </cell>
        </row>
        <row r="3173">
          <cell r="G3173" t="str">
            <v>ASV1928</v>
          </cell>
          <cell r="H3173" t="str">
            <v>g__Streptococcus</v>
          </cell>
          <cell r="I3173" t="str">
            <v>s__Streptococcus_sp._C5I1</v>
          </cell>
        </row>
        <row r="3174">
          <cell r="G3174" t="str">
            <v>ASV18792</v>
          </cell>
          <cell r="H3174" t="str">
            <v>g__Sutterella</v>
          </cell>
          <cell r="I3174" t="str">
            <v>s__Sutterella_stercoricanis</v>
          </cell>
        </row>
        <row r="3175">
          <cell r="G3175" t="str">
            <v>ASV20526</v>
          </cell>
          <cell r="H3175" t="str">
            <v>g__Romboutsia</v>
          </cell>
          <cell r="I3175" t="str">
            <v>s__unclassified_g__Romboutsia</v>
          </cell>
        </row>
        <row r="3176">
          <cell r="G3176" t="str">
            <v>ASV5551</v>
          </cell>
          <cell r="H3176" t="str">
            <v>g__Escherichia-Shigella</v>
          </cell>
          <cell r="I3176" t="str">
            <v>s__unclassified_g__Escherichia-Shigella</v>
          </cell>
        </row>
        <row r="3177">
          <cell r="G3177" t="str">
            <v>ASV19032</v>
          </cell>
          <cell r="H3177" t="str">
            <v>g__Lactobacillus</v>
          </cell>
          <cell r="I3177" t="str">
            <v>s__unclassified_g__Lactobacillus</v>
          </cell>
        </row>
        <row r="3178">
          <cell r="G3178" t="str">
            <v>ASV15019</v>
          </cell>
          <cell r="H3178" t="str">
            <v>g__Chryseobacterium</v>
          </cell>
          <cell r="I3178" t="str">
            <v>s__Chryseobacterium_piscium</v>
          </cell>
        </row>
        <row r="3179">
          <cell r="G3179" t="str">
            <v>ASV3602</v>
          </cell>
          <cell r="H3179" t="str">
            <v>g__Veillonella</v>
          </cell>
          <cell r="I3179" t="str">
            <v>s__unclassified_g__Veillonella</v>
          </cell>
        </row>
        <row r="3180">
          <cell r="G3180" t="str">
            <v>ASV7285</v>
          </cell>
          <cell r="H3180" t="str">
            <v>g__Sutterella</v>
          </cell>
          <cell r="I3180" t="str">
            <v>s__unclassified_g__Sutterella</v>
          </cell>
        </row>
        <row r="3181">
          <cell r="G3181" t="str">
            <v>ASV9156</v>
          </cell>
          <cell r="H3181" t="str">
            <v>g__norank_f__Erysipelotrichaceae</v>
          </cell>
          <cell r="I3181" t="str">
            <v>s__uncultured_bacterium_g__norank_f__Erysipelotrichaceae</v>
          </cell>
        </row>
        <row r="3182">
          <cell r="G3182" t="str">
            <v>ASV6492</v>
          </cell>
          <cell r="H3182" t="str">
            <v>g__Mitsuokella</v>
          </cell>
          <cell r="I3182" t="str">
            <v>s__uncultured_bacterium_g__Mitsuokella</v>
          </cell>
        </row>
        <row r="3183">
          <cell r="G3183" t="str">
            <v>ASV264</v>
          </cell>
          <cell r="H3183" t="str">
            <v>g__Prevotellaceae_UCG-003</v>
          </cell>
          <cell r="I3183" t="str">
            <v>s__uncultured_bacterium_g__Prevotellaceae_UCG-003</v>
          </cell>
        </row>
        <row r="3184">
          <cell r="G3184" t="str">
            <v>ASV11186</v>
          </cell>
          <cell r="H3184" t="str">
            <v>g__norank_f__norank_o__RF39</v>
          </cell>
          <cell r="I3184" t="str">
            <v>s__uncultured_bacterium_g__norank_f__norank_o__RF39</v>
          </cell>
        </row>
        <row r="3185">
          <cell r="G3185" t="str">
            <v>ASV9963</v>
          </cell>
          <cell r="H3185" t="str">
            <v>g__norank_f__norank_o__Clostridia_vadinBB60_group</v>
          </cell>
          <cell r="I3185" t="str">
            <v>s__uncultured_bacterium_g__norank_f__norank_o__Clostridia_vadinBB60_group</v>
          </cell>
        </row>
        <row r="3186">
          <cell r="G3186" t="str">
            <v>ASV6538</v>
          </cell>
          <cell r="H3186" t="str">
            <v>g__norank_f__Peptostreptococcaceae</v>
          </cell>
          <cell r="I3186" t="str">
            <v>s__uncultured_bacterium_g__norank_f__Peptostreptococcaceae</v>
          </cell>
        </row>
        <row r="3187">
          <cell r="G3187" t="str">
            <v>ASV21824</v>
          </cell>
          <cell r="H3187" t="str">
            <v>g__UCG-002</v>
          </cell>
          <cell r="I3187" t="str">
            <v>s__unclassified_g__UCG-002</v>
          </cell>
        </row>
        <row r="3188">
          <cell r="G3188" t="str">
            <v>ASV20527</v>
          </cell>
          <cell r="H3188" t="str">
            <v>g__Catenisphaera</v>
          </cell>
          <cell r="I3188" t="str">
            <v>s__uncultured_bacterium_g__Catenisphaera</v>
          </cell>
        </row>
        <row r="3189">
          <cell r="G3189" t="str">
            <v>ASV4498</v>
          </cell>
          <cell r="H3189" t="str">
            <v>g__Eubacterium_fissicatena_group</v>
          </cell>
          <cell r="I3189" t="str">
            <v>s__unclassified_g__Eubacterium_fissicatena_group</v>
          </cell>
        </row>
        <row r="3190">
          <cell r="G3190" t="str">
            <v>ASV3105</v>
          </cell>
          <cell r="H3190" t="str">
            <v>g__unclassified_f__Lachnospiraceae</v>
          </cell>
          <cell r="I3190" t="str">
            <v>s__unclassified_f__Lachnospiraceae</v>
          </cell>
        </row>
        <row r="3191">
          <cell r="G3191" t="str">
            <v>ASV9949</v>
          </cell>
          <cell r="H3191" t="str">
            <v>g__Prevotellaceae_UCG-003</v>
          </cell>
          <cell r="I3191" t="str">
            <v>s__unclassified_g__Prevotellaceae_UCG-003</v>
          </cell>
        </row>
        <row r="3192">
          <cell r="G3192" t="str">
            <v>ASV18495</v>
          </cell>
          <cell r="H3192" t="str">
            <v>g__unclassified_p__Firmicutes</v>
          </cell>
          <cell r="I3192" t="str">
            <v>s__unclassified_p__Firmicutes</v>
          </cell>
        </row>
        <row r="3193">
          <cell r="G3193" t="str">
            <v>ASV10271</v>
          </cell>
          <cell r="H3193" t="str">
            <v>g__Fusobacterium</v>
          </cell>
          <cell r="I3193" t="str">
            <v>s__unclassified_g__Fusobacterium</v>
          </cell>
        </row>
        <row r="3194">
          <cell r="G3194" t="str">
            <v>ASV15890</v>
          </cell>
          <cell r="H3194" t="str">
            <v>g__Fusobacterium</v>
          </cell>
          <cell r="I3194" t="str">
            <v>s__unclassified_g__Fusobacterium</v>
          </cell>
        </row>
        <row r="3195">
          <cell r="G3195" t="str">
            <v>ASV3426</v>
          </cell>
          <cell r="H3195" t="str">
            <v>g__unclassified_f__Pasteurellaceae</v>
          </cell>
          <cell r="I3195" t="str">
            <v>s__unclassified_f__Pasteurellaceae</v>
          </cell>
        </row>
        <row r="3196">
          <cell r="G3196" t="str">
            <v>ASV3425</v>
          </cell>
          <cell r="H3196" t="str">
            <v>g__Lactobacillus</v>
          </cell>
          <cell r="I3196" t="str">
            <v>s__unclassified_g__Lactobacillus</v>
          </cell>
        </row>
        <row r="3197">
          <cell r="G3197" t="str">
            <v>ASV7011</v>
          </cell>
          <cell r="H3197" t="str">
            <v>g__Collinsella</v>
          </cell>
          <cell r="I3197" t="str">
            <v>s__unclassified_g__Collinsella</v>
          </cell>
        </row>
        <row r="3198">
          <cell r="G3198" t="str">
            <v>ASV18793</v>
          </cell>
          <cell r="H3198" t="str">
            <v>g__Fusobacterium</v>
          </cell>
          <cell r="I3198" t="str">
            <v>s__unclassified_g__Fusobacterium</v>
          </cell>
        </row>
        <row r="3199">
          <cell r="G3199" t="str">
            <v>ASV9162</v>
          </cell>
          <cell r="H3199" t="str">
            <v>g__unclassified_f__Oscillospiraceae</v>
          </cell>
          <cell r="I3199" t="str">
            <v>s__unclassified_f__Oscillospiraceae</v>
          </cell>
        </row>
        <row r="3200">
          <cell r="G3200" t="str">
            <v>ASV8926</v>
          </cell>
          <cell r="H3200" t="str">
            <v>g__Moraxella</v>
          </cell>
          <cell r="I3200" t="str">
            <v>s__unclassified_g__Moraxella</v>
          </cell>
        </row>
        <row r="3201">
          <cell r="G3201" t="str">
            <v>ASV5556</v>
          </cell>
          <cell r="H3201" t="str">
            <v>g__unclassified_k__norank_d__Bacteria</v>
          </cell>
          <cell r="I3201" t="str">
            <v>s__unclassified_k__norank_d__Bacteria</v>
          </cell>
        </row>
        <row r="3202">
          <cell r="G3202" t="str">
            <v>ASV11191</v>
          </cell>
          <cell r="H3202" t="str">
            <v>g__unclassified_c__Clostridia</v>
          </cell>
          <cell r="I3202" t="str">
            <v>s__unclassified_c__Clostridia</v>
          </cell>
        </row>
        <row r="3203">
          <cell r="G3203" t="str">
            <v>ASV4490</v>
          </cell>
          <cell r="H3203" t="str">
            <v>g__Bacteroides</v>
          </cell>
          <cell r="I3203" t="str">
            <v>s__Bacteroides_sp._Marseille-P3166</v>
          </cell>
        </row>
        <row r="3204">
          <cell r="G3204" t="str">
            <v>ASV20530</v>
          </cell>
          <cell r="H3204" t="str">
            <v>g__unclassified_c__Clostridia</v>
          </cell>
          <cell r="I3204" t="str">
            <v>s__unclassified_c__Clostridia</v>
          </cell>
        </row>
        <row r="3205">
          <cell r="G3205" t="str">
            <v>ASV269</v>
          </cell>
          <cell r="H3205" t="str">
            <v>g__unclassified_c__Clostridia</v>
          </cell>
          <cell r="I3205" t="str">
            <v>s__unclassified_c__Clostridia</v>
          </cell>
        </row>
        <row r="3206">
          <cell r="G3206" t="str">
            <v>ASV20381</v>
          </cell>
          <cell r="H3206" t="str">
            <v>g__unclassified_f__Pasteurellaceae</v>
          </cell>
          <cell r="I3206" t="str">
            <v>s__unclassified_f__Pasteurellaceae</v>
          </cell>
        </row>
        <row r="3207">
          <cell r="G3207" t="str">
            <v>ASV10411</v>
          </cell>
          <cell r="H3207" t="str">
            <v>g__Lactobacillus</v>
          </cell>
          <cell r="I3207" t="str">
            <v>s__unclassified_g__Lactobacillus</v>
          </cell>
        </row>
        <row r="3208">
          <cell r="G3208" t="str">
            <v>ASV24076</v>
          </cell>
          <cell r="H3208" t="str">
            <v>g__unclassified_f__Ruminococcaceae</v>
          </cell>
          <cell r="I3208" t="str">
            <v>s__unclassified_f__Ruminococcaceae</v>
          </cell>
        </row>
        <row r="3209">
          <cell r="G3209" t="str">
            <v>ASV1927</v>
          </cell>
          <cell r="H3209" t="str">
            <v>g__Clostridium_sensu_stricto_1</v>
          </cell>
          <cell r="I3209" t="str">
            <v>s__unclassified_g__Clostridium_sensu_stricto_1</v>
          </cell>
        </row>
        <row r="3210">
          <cell r="G3210" t="str">
            <v>ASV2302</v>
          </cell>
          <cell r="H3210" t="str">
            <v>g__Monoglobus</v>
          </cell>
          <cell r="I3210" t="str">
            <v>s__uncultured_bacterium_g__Monoglobus</v>
          </cell>
        </row>
        <row r="3211">
          <cell r="G3211" t="str">
            <v>ASV7480</v>
          </cell>
          <cell r="H3211" t="str">
            <v>g__UCG-002</v>
          </cell>
          <cell r="I3211" t="str">
            <v>s__uncultured_bacterium_g__UCG-002</v>
          </cell>
        </row>
        <row r="3212">
          <cell r="G3212" t="str">
            <v>ASV18494</v>
          </cell>
          <cell r="H3212" t="str">
            <v>g__Escherichia-Shigella</v>
          </cell>
          <cell r="I3212" t="str">
            <v>s__unclassified_g__Escherichia-Shigella</v>
          </cell>
        </row>
        <row r="3213">
          <cell r="G3213" t="str">
            <v>ASV7205</v>
          </cell>
          <cell r="H3213" t="str">
            <v>g__unclassified_f__Dermacoccaceae</v>
          </cell>
          <cell r="I3213" t="str">
            <v>s__unclassified_f__Dermacoccaceae</v>
          </cell>
        </row>
        <row r="3214">
          <cell r="G3214" t="str">
            <v>ASV9950</v>
          </cell>
          <cell r="H3214" t="str">
            <v>g__norank_f__Oscillospiraceae</v>
          </cell>
          <cell r="I3214" t="str">
            <v>s__uncultured_rumen_bacterium_g__norank_f__Oscillospiraceae</v>
          </cell>
        </row>
        <row r="3215">
          <cell r="G3215" t="str">
            <v>ASV15887</v>
          </cell>
          <cell r="H3215" t="str">
            <v>g__Fusobacterium</v>
          </cell>
          <cell r="I3215" t="str">
            <v>s__unclassified_g__Fusobacterium</v>
          </cell>
        </row>
        <row r="3216">
          <cell r="G3216" t="str">
            <v>ASV23017</v>
          </cell>
          <cell r="H3216" t="str">
            <v>g__Lactobacillus</v>
          </cell>
          <cell r="I3216" t="str">
            <v>s__unclassified_g__Lactobacillus</v>
          </cell>
        </row>
        <row r="3217">
          <cell r="G3217" t="str">
            <v>ASV9947</v>
          </cell>
          <cell r="H3217" t="str">
            <v>g__norank_f__p-251-o5</v>
          </cell>
          <cell r="I3217" t="str">
            <v>s__uncultured_bacterium_g__norank_f__p-251-o5</v>
          </cell>
        </row>
        <row r="3218">
          <cell r="G3218" t="str">
            <v>ASV4226</v>
          </cell>
          <cell r="H3218" t="str">
            <v>g__Candidatus_Soleaferrea</v>
          </cell>
          <cell r="I3218" t="str">
            <v>s__Ruminococcaceae_bacterium_GD6</v>
          </cell>
        </row>
        <row r="3219">
          <cell r="G3219" t="str">
            <v>ASV273</v>
          </cell>
          <cell r="H3219" t="str">
            <v>g__Mitsuokella</v>
          </cell>
          <cell r="I3219" t="str">
            <v>s__unclassified_g__Mitsuokella</v>
          </cell>
        </row>
        <row r="3220">
          <cell r="G3220" t="str">
            <v>ASV20387</v>
          </cell>
          <cell r="H3220" t="str">
            <v>g__Actinobacillus</v>
          </cell>
          <cell r="I3220" t="str">
            <v>s__Glaesserella_parasuis_SH0165</v>
          </cell>
        </row>
        <row r="3221">
          <cell r="G3221" t="str">
            <v>ASV21397</v>
          </cell>
          <cell r="H3221" t="str">
            <v>g__Lactobacillus</v>
          </cell>
          <cell r="I3221" t="str">
            <v>s__unclassified_g__Lactobacillus</v>
          </cell>
        </row>
        <row r="3222">
          <cell r="G3222" t="str">
            <v>ASV12530</v>
          </cell>
          <cell r="H3222" t="str">
            <v>g__unclassified_c__Clostridia</v>
          </cell>
          <cell r="I3222" t="str">
            <v>s__unclassified_c__Clostridia</v>
          </cell>
        </row>
        <row r="3223">
          <cell r="G3223" t="str">
            <v>ASV10414</v>
          </cell>
          <cell r="H3223" t="str">
            <v>g__Lactobacillus</v>
          </cell>
          <cell r="I3223" t="str">
            <v>s__unclassified_g__Lactobacillus</v>
          </cell>
        </row>
        <row r="3224">
          <cell r="G3224" t="str">
            <v>ASV12531</v>
          </cell>
          <cell r="H3224" t="str">
            <v>g__unclassified_c__Clostridia</v>
          </cell>
          <cell r="I3224" t="str">
            <v>s__unclassified_c__Clostridia</v>
          </cell>
        </row>
        <row r="3225">
          <cell r="G3225" t="str">
            <v>ASV21398</v>
          </cell>
          <cell r="H3225" t="str">
            <v>g__Phascolarctobacterium</v>
          </cell>
          <cell r="I3225" t="str">
            <v>s__unclassified_g__Phascolarctobacterium</v>
          </cell>
        </row>
        <row r="3226">
          <cell r="G3226" t="str">
            <v>ASV15016</v>
          </cell>
          <cell r="H3226" t="str">
            <v>g__Terrabacter</v>
          </cell>
          <cell r="I3226" t="str">
            <v>s__unclassified_g__Terrabacter</v>
          </cell>
        </row>
        <row r="3227">
          <cell r="G3227" t="str">
            <v>ASV2856</v>
          </cell>
          <cell r="H3227" t="str">
            <v>g__Porphyromonas</v>
          </cell>
          <cell r="I3227" t="str">
            <v>s__unclassified_g__Porphyromonas</v>
          </cell>
        </row>
        <row r="3228">
          <cell r="G3228" t="str">
            <v>ASV3802</v>
          </cell>
          <cell r="H3228" t="str">
            <v>g__unclassified_c__Clostridia</v>
          </cell>
          <cell r="I3228" t="str">
            <v>s__unclassified_c__Clostridia</v>
          </cell>
        </row>
        <row r="3229">
          <cell r="G3229" t="str">
            <v>ASV19251</v>
          </cell>
          <cell r="H3229" t="str">
            <v>g__UCG-002</v>
          </cell>
          <cell r="I3229" t="str">
            <v>s__unclassified_g__UCG-002</v>
          </cell>
        </row>
        <row r="3230">
          <cell r="G3230" t="str">
            <v>ASV21148</v>
          </cell>
          <cell r="H3230" t="str">
            <v>g__Campylobacter</v>
          </cell>
          <cell r="I3230" t="str">
            <v>s__unclassified_g__Campylobacter</v>
          </cell>
        </row>
        <row r="3231">
          <cell r="G3231" t="str">
            <v>ASV17731</v>
          </cell>
          <cell r="H3231" t="str">
            <v>g__unclassified_c__Clostridia</v>
          </cell>
          <cell r="I3231" t="str">
            <v>s__unclassified_c__Clostridia</v>
          </cell>
        </row>
        <row r="3232">
          <cell r="G3232" t="str">
            <v>ASV3805</v>
          </cell>
          <cell r="H3232" t="str">
            <v>g__Cloacibacillus</v>
          </cell>
          <cell r="I3232" t="str">
            <v>s__unclassified_g__Cloacibacillus</v>
          </cell>
        </row>
        <row r="3233">
          <cell r="G3233" t="str">
            <v>ASV17733</v>
          </cell>
          <cell r="H3233" t="str">
            <v>g__unclassified_c__Clostridia</v>
          </cell>
          <cell r="I3233" t="str">
            <v>s__unclassified_c__Clostridia</v>
          </cell>
        </row>
        <row r="3234">
          <cell r="G3234" t="str">
            <v>ASV9071</v>
          </cell>
          <cell r="H3234" t="str">
            <v>g__Treponema</v>
          </cell>
          <cell r="I3234" t="str">
            <v>s__unclassified_g__Treponema</v>
          </cell>
        </row>
        <row r="3235">
          <cell r="G3235" t="str">
            <v>ASV19247</v>
          </cell>
          <cell r="H3235" t="str">
            <v>g__Oribacterium</v>
          </cell>
          <cell r="I3235" t="str">
            <v>s__uncultured_bacterium_g__Oribacterium</v>
          </cell>
        </row>
        <row r="3236">
          <cell r="G3236" t="str">
            <v>ASV11192</v>
          </cell>
          <cell r="H3236" t="str">
            <v>g__unclassified_c__Clostridia</v>
          </cell>
          <cell r="I3236" t="str">
            <v>s__unclassified_c__Clostridia</v>
          </cell>
        </row>
        <row r="3237">
          <cell r="G3237" t="str">
            <v>ASV8770</v>
          </cell>
          <cell r="H3237" t="str">
            <v>g__norank_f__norank_o__Clostridia_UCG-014</v>
          </cell>
          <cell r="I3237" t="str">
            <v>s__unclassified_g__norank_f__norank_o__Clostridia_UCG-014</v>
          </cell>
        </row>
        <row r="3238">
          <cell r="G3238" t="str">
            <v>ASV15226</v>
          </cell>
          <cell r="H3238" t="str">
            <v>g__unclassified_f__Lachnospiraceae</v>
          </cell>
          <cell r="I3238" t="str">
            <v>s__unclassified_f__Lachnospiraceae</v>
          </cell>
        </row>
        <row r="3239">
          <cell r="G3239" t="str">
            <v>ASV13910</v>
          </cell>
          <cell r="H3239" t="str">
            <v>g__Bacillus</v>
          </cell>
          <cell r="I3239" t="str">
            <v>s__Lactobacillus_vaginalis_g__Bacillus</v>
          </cell>
        </row>
        <row r="3240">
          <cell r="G3240" t="str">
            <v>ASV17736</v>
          </cell>
          <cell r="H3240" t="str">
            <v>g__norank_f__Ruminococcaceae</v>
          </cell>
          <cell r="I3240" t="str">
            <v>s__unclassified_g__norank_f__Ruminococcaceae</v>
          </cell>
        </row>
        <row r="3241">
          <cell r="G3241" t="str">
            <v>ASV8639</v>
          </cell>
          <cell r="H3241" t="str">
            <v>g__Sphingomonas</v>
          </cell>
          <cell r="I3241" t="str">
            <v>s__unclassified_g__Sphingomonas</v>
          </cell>
        </row>
        <row r="3242">
          <cell r="G3242" t="str">
            <v>ASV18794</v>
          </cell>
          <cell r="H3242" t="str">
            <v>g__unclassified_f__Lachnospiraceae</v>
          </cell>
          <cell r="I3242" t="str">
            <v>s__unclassified_f__Lachnospiraceae</v>
          </cell>
        </row>
        <row r="3243">
          <cell r="G3243" t="str">
            <v>ASV16171</v>
          </cell>
          <cell r="H3243" t="str">
            <v>g__Mogibacterium</v>
          </cell>
          <cell r="I3243" t="str">
            <v>s__uncultured_Enterococcus_sp._g__Mogibacterium</v>
          </cell>
        </row>
        <row r="3244">
          <cell r="G3244" t="str">
            <v>ASV6540</v>
          </cell>
          <cell r="H3244" t="str">
            <v>g__Lactobacillus</v>
          </cell>
          <cell r="I3244" t="str">
            <v>s__unclassified_g__Lactobacillus</v>
          </cell>
        </row>
        <row r="3245">
          <cell r="G3245" t="str">
            <v>ASV19200</v>
          </cell>
          <cell r="H3245" t="str">
            <v>g__CAG-352</v>
          </cell>
          <cell r="I3245" t="str">
            <v>s__uncultured_bacterium_g__CAG-352</v>
          </cell>
        </row>
        <row r="3246">
          <cell r="G3246" t="str">
            <v>ASV13769</v>
          </cell>
          <cell r="H3246" t="str">
            <v>g__Lachnoanaerobaculum</v>
          </cell>
          <cell r="I3246" t="str">
            <v>s__unclassified_g__Lachnoanaerobaculum</v>
          </cell>
        </row>
        <row r="3247">
          <cell r="G3247" t="str">
            <v>ASV12533</v>
          </cell>
          <cell r="H3247" t="str">
            <v>g__unclassified_k__norank_d__Bacteria</v>
          </cell>
          <cell r="I3247" t="str">
            <v>s__unclassified_k__norank_d__Bacteria</v>
          </cell>
        </row>
        <row r="3248">
          <cell r="G3248" t="str">
            <v>ASV9164</v>
          </cell>
          <cell r="H3248" t="str">
            <v>g__norank_f__Eubacterium_coprostanoligenes_group</v>
          </cell>
          <cell r="I3248" t="str">
            <v>s__Eubacterium_coprostanoligenes</v>
          </cell>
        </row>
        <row r="3249">
          <cell r="G3249" t="str">
            <v>ASV18499</v>
          </cell>
          <cell r="H3249" t="str">
            <v>g__Fusobacterium</v>
          </cell>
          <cell r="I3249" t="str">
            <v>s__unclassified_g__Fusobacterium</v>
          </cell>
        </row>
        <row r="3250">
          <cell r="G3250" t="str">
            <v>ASV15023</v>
          </cell>
          <cell r="H3250" t="str">
            <v>g__Oscillospira</v>
          </cell>
          <cell r="I3250" t="str">
            <v>s__uncultured_bacterium_g__Oscillospira</v>
          </cell>
        </row>
        <row r="3251">
          <cell r="G3251" t="str">
            <v>ASV19264</v>
          </cell>
          <cell r="H3251" t="str">
            <v>g__Lactobacillus</v>
          </cell>
          <cell r="I3251" t="str">
            <v>s__unclassified_g__Lactobacillus</v>
          </cell>
        </row>
        <row r="3252">
          <cell r="G3252" t="str">
            <v>ASV20421</v>
          </cell>
          <cell r="H3252" t="str">
            <v>g__Cloacibacterium</v>
          </cell>
          <cell r="I3252" t="str">
            <v>s__unclassified_g__Cloacibacterium</v>
          </cell>
        </row>
        <row r="3253">
          <cell r="G3253" t="str">
            <v>ASV16808</v>
          </cell>
          <cell r="H3253" t="str">
            <v>g__Prevotella</v>
          </cell>
          <cell r="I3253" t="str">
            <v>s__unclassified_g__Prevotella</v>
          </cell>
        </row>
        <row r="3254">
          <cell r="G3254" t="str">
            <v>ASV10149</v>
          </cell>
          <cell r="H3254" t="str">
            <v>g__Bacteroides</v>
          </cell>
          <cell r="I3254" t="str">
            <v>s__Bacteroides_coprophilus</v>
          </cell>
        </row>
        <row r="3255">
          <cell r="G3255" t="str">
            <v>ASV13919</v>
          </cell>
          <cell r="H3255" t="str">
            <v>g__UCG-002</v>
          </cell>
          <cell r="I3255" t="str">
            <v>s__unclassified_g__UCG-002</v>
          </cell>
        </row>
        <row r="3256">
          <cell r="G3256" t="str">
            <v>ASV11213</v>
          </cell>
          <cell r="H3256" t="str">
            <v>g__unclassified_c__Clostridia</v>
          </cell>
          <cell r="I3256" t="str">
            <v>s__unclassified_c__Clostridia</v>
          </cell>
        </row>
        <row r="3257">
          <cell r="G3257" t="str">
            <v>ASV19259</v>
          </cell>
          <cell r="H3257" t="str">
            <v>g__unclassified_f__Peptostreptococcaceae</v>
          </cell>
          <cell r="I3257" t="str">
            <v>s__unclassified_f__Peptostreptococcaceae</v>
          </cell>
        </row>
        <row r="3258">
          <cell r="G3258" t="str">
            <v>ASV1943</v>
          </cell>
          <cell r="H3258" t="str">
            <v>g__norank_f__Eubacterium_coprostanoligenes_group</v>
          </cell>
          <cell r="I3258" t="str">
            <v>s__Eubacterium_coprostanoligenes</v>
          </cell>
        </row>
        <row r="3259">
          <cell r="G3259" t="str">
            <v>ASV13916</v>
          </cell>
          <cell r="H3259" t="str">
            <v>g__unclassified_o__Oscillospirales</v>
          </cell>
          <cell r="I3259" t="str">
            <v>s__unclassified_o__Oscillospirales</v>
          </cell>
        </row>
        <row r="3260">
          <cell r="G3260" t="str">
            <v>ASV21843</v>
          </cell>
          <cell r="H3260" t="str">
            <v>g__Clostridium_sensu_stricto_1</v>
          </cell>
          <cell r="I3260" t="str">
            <v>s__unclassified_g__Clostridium_sensu_stricto_1</v>
          </cell>
        </row>
        <row r="3261">
          <cell r="G3261" t="str">
            <v>ASV13771</v>
          </cell>
          <cell r="H3261" t="str">
            <v>g__Enterococcus</v>
          </cell>
          <cell r="I3261" t="str">
            <v>s__unclassified_g__Enterococcus</v>
          </cell>
        </row>
        <row r="3262">
          <cell r="G3262" t="str">
            <v>ASV12538</v>
          </cell>
          <cell r="H3262" t="str">
            <v>g__Eubacterium_oxidoreducens_group</v>
          </cell>
          <cell r="I3262" t="str">
            <v>s__uncultured_bacterium_g__Eubacterium_oxidoreducens_group</v>
          </cell>
        </row>
        <row r="3263">
          <cell r="G3263" t="str">
            <v>ASV19209</v>
          </cell>
          <cell r="H3263" t="str">
            <v>g__Curtobacterium</v>
          </cell>
          <cell r="I3263" t="str">
            <v>s__unclassified_g__Curtobacterium</v>
          </cell>
        </row>
        <row r="3264">
          <cell r="G3264" t="str">
            <v>ASV9953</v>
          </cell>
          <cell r="H3264" t="str">
            <v>g__Rikenellaceae_RC9_gut_group</v>
          </cell>
          <cell r="I3264" t="str">
            <v>s__uncultured_bacterium_g__Rikenellaceae_RC9_gut_group</v>
          </cell>
        </row>
        <row r="3265">
          <cell r="G3265" t="str">
            <v>ASV17742</v>
          </cell>
          <cell r="H3265" t="str">
            <v>g__unclassified_c__Clostridia</v>
          </cell>
          <cell r="I3265" t="str">
            <v>s__unclassified_c__Clostridia</v>
          </cell>
        </row>
        <row r="3266">
          <cell r="G3266" t="str">
            <v>ASV7215</v>
          </cell>
          <cell r="H3266" t="str">
            <v>g__norank_f__Christensenellaceae</v>
          </cell>
          <cell r="I3266" t="str">
            <v>s__uncultured_bacterium_g__norank_f__Christensenellaceae</v>
          </cell>
        </row>
        <row r="3267">
          <cell r="G3267" t="str">
            <v>ASV22883</v>
          </cell>
          <cell r="H3267" t="str">
            <v>g__Rikenellaceae_RC9_gut_group</v>
          </cell>
          <cell r="I3267" t="str">
            <v>s__uncultured_bacterium_g__Rikenellaceae_RC9_gut_group</v>
          </cell>
        </row>
        <row r="3268">
          <cell r="G3268" t="str">
            <v>ASV7498</v>
          </cell>
          <cell r="H3268" t="str">
            <v>g__unclassified_o__Oscillospirales</v>
          </cell>
          <cell r="I3268" t="str">
            <v>s__unclassified_o__Oscillospirales</v>
          </cell>
        </row>
        <row r="3269">
          <cell r="G3269" t="str">
            <v>ASV15891</v>
          </cell>
          <cell r="H3269" t="str">
            <v>g__norank_f__Desulfovibrionaceae</v>
          </cell>
          <cell r="I3269" t="str">
            <v>s__uncultured_bacterium_g__norank_f__Desulfovibrionaceae</v>
          </cell>
        </row>
        <row r="3270">
          <cell r="G3270" t="str">
            <v>ASV16239</v>
          </cell>
          <cell r="H3270" t="str">
            <v>g__Christensenellaceae_R-7_group</v>
          </cell>
          <cell r="I3270" t="str">
            <v>s__uncultured_spirochete_g__Christensenellaceae_R-7_group</v>
          </cell>
        </row>
        <row r="3271">
          <cell r="G3271" t="str">
            <v>ASV17588</v>
          </cell>
          <cell r="H3271" t="str">
            <v>g__Prevotella</v>
          </cell>
          <cell r="I3271" t="str">
            <v>s__unclassified_g__Prevotella</v>
          </cell>
        </row>
        <row r="3272">
          <cell r="G3272" t="str">
            <v>ASV1935</v>
          </cell>
          <cell r="H3272" t="str">
            <v>g__Sharpea</v>
          </cell>
          <cell r="I3272" t="str">
            <v>s__unclassified_g__Sharpea</v>
          </cell>
        </row>
        <row r="3273">
          <cell r="G3273" t="str">
            <v>ASV17740</v>
          </cell>
          <cell r="H3273" t="str">
            <v>g__Clostridium_sensu_stricto_1</v>
          </cell>
          <cell r="I3273" t="str">
            <v>s__unclassified_g__Clostridium_sensu_stricto_1</v>
          </cell>
        </row>
        <row r="3274">
          <cell r="G3274" t="str">
            <v>ASV23023</v>
          </cell>
          <cell r="H3274" t="str">
            <v>g__Clostridium_sensu_stricto_1</v>
          </cell>
          <cell r="I3274" t="str">
            <v>s__unclassified_g__Clostridium_sensu_stricto_1</v>
          </cell>
        </row>
        <row r="3275">
          <cell r="G3275" t="str">
            <v>ASV17744</v>
          </cell>
          <cell r="H3275" t="str">
            <v>g__unclassified_o__Oscillospirales</v>
          </cell>
          <cell r="I3275" t="str">
            <v>s__unclassified_o__Oscillospirales</v>
          </cell>
        </row>
        <row r="3276">
          <cell r="G3276" t="str">
            <v>ASV21841</v>
          </cell>
          <cell r="H3276" t="str">
            <v>g__unclassified_f__Peptostreptococcaceae</v>
          </cell>
          <cell r="I3276" t="str">
            <v>s__unclassified_f__Peptostreptococcaceae</v>
          </cell>
        </row>
        <row r="3277">
          <cell r="G3277" t="str">
            <v>ASV21837</v>
          </cell>
          <cell r="H3277" t="str">
            <v>g__Eubacterium_oxidoreducens_group</v>
          </cell>
          <cell r="I3277" t="str">
            <v>s__uncultured_bacterium_g__Eubacterium_oxidoreducens_group</v>
          </cell>
        </row>
        <row r="3278">
          <cell r="G3278" t="str">
            <v>ASV5592</v>
          </cell>
          <cell r="H3278" t="str">
            <v>g__norank_f__norank_o__Oscillospirales</v>
          </cell>
          <cell r="I3278" t="str">
            <v>s__uncultured_bacterium_g__norank_f__norank_o__Oscillospirales</v>
          </cell>
        </row>
        <row r="3279">
          <cell r="G3279" t="str">
            <v>ASV8417</v>
          </cell>
          <cell r="H3279" t="str">
            <v>g__Prevotella</v>
          </cell>
          <cell r="I3279" t="str">
            <v>s__unclassified_g__Prevotella</v>
          </cell>
        </row>
        <row r="3280">
          <cell r="G3280" t="str">
            <v>ASV283</v>
          </cell>
          <cell r="H3280" t="str">
            <v>g__unclassified_c__Clostridia</v>
          </cell>
          <cell r="I3280" t="str">
            <v>s__unclassified_c__Clostridia</v>
          </cell>
        </row>
        <row r="3281">
          <cell r="G3281" t="str">
            <v>ASV22956</v>
          </cell>
          <cell r="H3281" t="str">
            <v>g__Allisonella</v>
          </cell>
          <cell r="I3281" t="str">
            <v>s__uncultured_bacterium_g__Allisonella</v>
          </cell>
        </row>
        <row r="3282">
          <cell r="G3282" t="str">
            <v>ASV2889</v>
          </cell>
          <cell r="H3282" t="str">
            <v>g__Cupriavidus</v>
          </cell>
          <cell r="I3282" t="str">
            <v>s__unclassified_g__Cupriavidus</v>
          </cell>
        </row>
        <row r="3283">
          <cell r="G3283" t="str">
            <v>ASV21706</v>
          </cell>
          <cell r="H3283" t="str">
            <v>g__unclassified_f__Sphingomonadaceae</v>
          </cell>
          <cell r="I3283" t="str">
            <v>s__unclassified_f__Sphingomonadaceae</v>
          </cell>
        </row>
        <row r="3284">
          <cell r="G3284" t="str">
            <v>ASV11218</v>
          </cell>
          <cell r="H3284" t="str">
            <v>g__Subdoligranulum</v>
          </cell>
          <cell r="I3284" t="str">
            <v>s__unclassified_g__Subdoligranulum</v>
          </cell>
        </row>
        <row r="3285">
          <cell r="G3285" t="str">
            <v>ASV16235</v>
          </cell>
          <cell r="H3285" t="str">
            <v>g__unclassified_c__Clostridia</v>
          </cell>
          <cell r="I3285" t="str">
            <v>s__unclassified_c__Clostridia</v>
          </cell>
        </row>
        <row r="3286">
          <cell r="G3286" t="str">
            <v>ASV7490</v>
          </cell>
          <cell r="H3286" t="str">
            <v>g__Subdoligranulum</v>
          </cell>
          <cell r="I3286" t="str">
            <v>s__unclassified_g__Subdoligranulum</v>
          </cell>
        </row>
        <row r="3287">
          <cell r="G3287" t="str">
            <v>ASV13261</v>
          </cell>
          <cell r="H3287" t="str">
            <v>g__unclassified_c__Bacilli</v>
          </cell>
          <cell r="I3287" t="str">
            <v>s__unclassified_c__Bacilli</v>
          </cell>
        </row>
        <row r="3288">
          <cell r="G3288" t="str">
            <v>ASV18796</v>
          </cell>
          <cell r="H3288" t="str">
            <v>g__Veillonella</v>
          </cell>
          <cell r="I3288" t="str">
            <v>s__unclassified_g__Veillonella</v>
          </cell>
        </row>
        <row r="3289">
          <cell r="G3289" t="str">
            <v>ASV13265</v>
          </cell>
          <cell r="H3289" t="str">
            <v>g__Christensenellaceae_R-7_group</v>
          </cell>
          <cell r="I3289" t="str">
            <v>s__unclassified_g__Christensenellaceae_R-7_group</v>
          </cell>
        </row>
        <row r="3290">
          <cell r="G3290" t="str">
            <v>ASV21830</v>
          </cell>
          <cell r="H3290" t="str">
            <v>g__unclassified_f__Lachnospiraceae</v>
          </cell>
          <cell r="I3290" t="str">
            <v>s__unclassified_f__Lachnospiraceae</v>
          </cell>
        </row>
        <row r="3291">
          <cell r="G3291" t="str">
            <v>ASV10498</v>
          </cell>
          <cell r="H3291" t="str">
            <v>g__Marvinbryantia</v>
          </cell>
          <cell r="I3291" t="str">
            <v>s__unclassified_g__Marvinbryantia</v>
          </cell>
        </row>
        <row r="3292">
          <cell r="G3292" t="str">
            <v>ASV20389</v>
          </cell>
          <cell r="H3292" t="str">
            <v>g__Caulobacter</v>
          </cell>
          <cell r="I3292" t="str">
            <v>s__unclassified_g__Caulobacter</v>
          </cell>
        </row>
        <row r="3293">
          <cell r="G3293" t="str">
            <v>ASV19262</v>
          </cell>
          <cell r="H3293" t="str">
            <v>g__norank_f__Eubacterium_coprostanoligenes_group</v>
          </cell>
          <cell r="I3293" t="str">
            <v>s__unclassified_g__norank_f__Eubacterium_coprostanoligenes_group</v>
          </cell>
        </row>
        <row r="3294">
          <cell r="G3294" t="str">
            <v>ASV8897</v>
          </cell>
          <cell r="H3294" t="str">
            <v>g__norank_f__Oscillospiraceae</v>
          </cell>
          <cell r="I3294" t="str">
            <v>s__Intestinimonas_sp._GM5</v>
          </cell>
        </row>
        <row r="3295">
          <cell r="G3295" t="str">
            <v>ASV19257</v>
          </cell>
          <cell r="H3295" t="str">
            <v>g__UCG-002</v>
          </cell>
          <cell r="I3295" t="str">
            <v>s__unclassified_g__UCG-002</v>
          </cell>
        </row>
        <row r="3296">
          <cell r="G3296" t="str">
            <v>ASV3108</v>
          </cell>
          <cell r="H3296" t="str">
            <v>g__Veillonella</v>
          </cell>
          <cell r="I3296" t="str">
            <v>s__unclassified_g__Veillonella</v>
          </cell>
        </row>
        <row r="3297">
          <cell r="G3297" t="str">
            <v>ASV15893</v>
          </cell>
          <cell r="H3297" t="str">
            <v>g__unclassified_f__Lachnospiraceae</v>
          </cell>
          <cell r="I3297" t="str">
            <v>s__unclassified_f__Lachnospiraceae</v>
          </cell>
        </row>
        <row r="3298">
          <cell r="G3298" t="str">
            <v>ASV7495</v>
          </cell>
          <cell r="H3298" t="str">
            <v>g__unclassified_f__Clostridiaceae</v>
          </cell>
          <cell r="I3298" t="str">
            <v>s__unclassified_f__Clostridiaceae</v>
          </cell>
        </row>
        <row r="3299">
          <cell r="G3299" t="str">
            <v>ASV22908</v>
          </cell>
          <cell r="H3299" t="str">
            <v>g__norank_f__norank_o__Chloroplast</v>
          </cell>
          <cell r="I3299" t="str">
            <v>s__Arachis_hypogaea_var._vulgaris</v>
          </cell>
        </row>
        <row r="3300">
          <cell r="G3300" t="str">
            <v>ASV13923</v>
          </cell>
          <cell r="H3300" t="str">
            <v>g__unclassified_o__Bacteroidales</v>
          </cell>
          <cell r="I3300" t="str">
            <v>s__unclassified_o__Bacteroidales</v>
          </cell>
        </row>
        <row r="3301">
          <cell r="G3301" t="str">
            <v>ASV1933</v>
          </cell>
          <cell r="H3301" t="str">
            <v>g__unclassified_f__Peptostreptococcaceae</v>
          </cell>
          <cell r="I3301" t="str">
            <v>s__unclassified_f__Peptostreptococcaceae</v>
          </cell>
        </row>
        <row r="3302">
          <cell r="G3302" t="str">
            <v>ASV13922</v>
          </cell>
          <cell r="H3302" t="str">
            <v>g__Colidextribacter</v>
          </cell>
          <cell r="I3302" t="str">
            <v>s__uncultured_bacterium_g__Colidextribacter</v>
          </cell>
        </row>
        <row r="3303">
          <cell r="G3303" t="str">
            <v>ASV7322</v>
          </cell>
          <cell r="H3303" t="str">
            <v>g__Collinsella</v>
          </cell>
          <cell r="I3303" t="str">
            <v>s__unclassified_g__Collinsella</v>
          </cell>
        </row>
        <row r="3304">
          <cell r="G3304" t="str">
            <v>ASV3429</v>
          </cell>
          <cell r="H3304" t="str">
            <v>g__unclassified_c__Bacilli</v>
          </cell>
          <cell r="I3304" t="str">
            <v>s__unclassified_c__Bacilli</v>
          </cell>
        </row>
        <row r="3305">
          <cell r="G3305" t="str">
            <v>ASV20537</v>
          </cell>
          <cell r="H3305" t="str">
            <v>g__unclassified_f__Peptostreptococcaceae</v>
          </cell>
          <cell r="I3305" t="str">
            <v>s__unclassified_f__Peptostreptococcaceae</v>
          </cell>
        </row>
        <row r="3306">
          <cell r="G3306" t="str">
            <v>ASV23029</v>
          </cell>
          <cell r="H3306" t="str">
            <v>g__Christensenellaceae_R-7_group</v>
          </cell>
          <cell r="I3306" t="str">
            <v>s__unclassified_g__Christensenellaceae_R-7_group</v>
          </cell>
        </row>
        <row r="3307">
          <cell r="G3307" t="str">
            <v>ASV19152</v>
          </cell>
          <cell r="H3307" t="str">
            <v>g__Alkanindiges</v>
          </cell>
          <cell r="I3307" t="str">
            <v>s__uncultured_bacterium_g__Alkanindiges</v>
          </cell>
        </row>
        <row r="3308">
          <cell r="G3308" t="str">
            <v>ASV18798</v>
          </cell>
          <cell r="H3308" t="str">
            <v>g__Fusobacterium</v>
          </cell>
          <cell r="I3308" t="str">
            <v>s__unclassified_g__Fusobacterium</v>
          </cell>
        </row>
        <row r="3309">
          <cell r="G3309" t="str">
            <v>ASV6493</v>
          </cell>
          <cell r="H3309" t="str">
            <v>g__Calothrix_PCC-6303</v>
          </cell>
          <cell r="I3309" t="str">
            <v>s__unclassified_g__Calothrix_PCC-6303</v>
          </cell>
        </row>
        <row r="3310">
          <cell r="G3310" t="str">
            <v>ASV7491</v>
          </cell>
          <cell r="H3310" t="str">
            <v>g__unclassified_f__Peptostreptococcaceae</v>
          </cell>
          <cell r="I3310" t="str">
            <v>s__unclassified_f__Peptostreptococcaceae</v>
          </cell>
        </row>
        <row r="3311">
          <cell r="G3311" t="str">
            <v>ASV22955</v>
          </cell>
          <cell r="H3311" t="str">
            <v>g__Lactobacillus</v>
          </cell>
          <cell r="I3311" t="str">
            <v>s__unclassified_g__Lactobacillus</v>
          </cell>
        </row>
        <row r="3312">
          <cell r="G3312" t="str">
            <v>ASV6545</v>
          </cell>
          <cell r="H3312" t="str">
            <v>g__NK4A214_group</v>
          </cell>
          <cell r="I3312" t="str">
            <v>s__unclassified_g__NK4A214_group</v>
          </cell>
        </row>
        <row r="3313">
          <cell r="G3313" t="str">
            <v>ASV13770</v>
          </cell>
          <cell r="H3313" t="str">
            <v>g__Staphylococcus</v>
          </cell>
          <cell r="I3313" t="str">
            <v>s__unclassified_g__Staphylococcus</v>
          </cell>
        </row>
        <row r="3314">
          <cell r="G3314" t="str">
            <v>ASV5563</v>
          </cell>
          <cell r="H3314" t="str">
            <v>g__unclassified_c__Clostridia</v>
          </cell>
          <cell r="I3314" t="str">
            <v>s__unclassified_c__Clostridia</v>
          </cell>
        </row>
        <row r="3315">
          <cell r="G3315" t="str">
            <v>ASV24078</v>
          </cell>
          <cell r="H3315" t="str">
            <v>g__Marvinbryantia</v>
          </cell>
          <cell r="I3315" t="str">
            <v>s__unclassified_g__Marvinbryantia</v>
          </cell>
        </row>
        <row r="3316">
          <cell r="G3316" t="str">
            <v>ASV8325</v>
          </cell>
          <cell r="H3316" t="str">
            <v>g__Enterococcus</v>
          </cell>
          <cell r="I3316" t="str">
            <v>s__unclassified_g__Enterococcus</v>
          </cell>
        </row>
        <row r="3317">
          <cell r="G3317" t="str">
            <v>ASV20541</v>
          </cell>
          <cell r="H3317" t="str">
            <v>g__UCG-002</v>
          </cell>
          <cell r="I3317" t="str">
            <v>s__unclassified_g__UCG-002</v>
          </cell>
        </row>
        <row r="3318">
          <cell r="G3318" t="str">
            <v>ASV13260</v>
          </cell>
          <cell r="H3318" t="str">
            <v>g__unclassified_c__Clostridia</v>
          </cell>
          <cell r="I3318" t="str">
            <v>s__unclassified_c__Clostridia</v>
          </cell>
        </row>
        <row r="3319">
          <cell r="G3319" t="str">
            <v>ASV15020</v>
          </cell>
          <cell r="H3319" t="str">
            <v>g__Rhodanobacter</v>
          </cell>
          <cell r="I3319" t="str">
            <v>s__unclassified_g__Rhodanobacter</v>
          </cell>
        </row>
        <row r="3320">
          <cell r="G3320" t="str">
            <v>ASV21833</v>
          </cell>
          <cell r="H3320" t="str">
            <v>g__Lactobacillus</v>
          </cell>
          <cell r="I3320" t="str">
            <v>s__unclassified_g__Lactobacillus</v>
          </cell>
        </row>
        <row r="3321">
          <cell r="G3321" t="str">
            <v>ASV10429</v>
          </cell>
          <cell r="H3321" t="str">
            <v>g__Ruminococcus</v>
          </cell>
          <cell r="I3321" t="str">
            <v>s__unclassified_g__Ruminococcus</v>
          </cell>
        </row>
        <row r="3322">
          <cell r="G3322" t="str">
            <v>ASV23027</v>
          </cell>
          <cell r="H3322" t="str">
            <v>g__norank_f__Ruminococcaceae</v>
          </cell>
          <cell r="I3322" t="str">
            <v>s__gut_metagenome_g__norank_f__Ruminococcaceae</v>
          </cell>
        </row>
        <row r="3323">
          <cell r="G3323" t="str">
            <v>ASV11208</v>
          </cell>
          <cell r="H3323" t="str">
            <v>g__norank_f__Muribaculaceae</v>
          </cell>
          <cell r="I3323" t="str">
            <v>s__uncultured_bacterium_g__norank_f__Muribaculaceae</v>
          </cell>
        </row>
        <row r="3324">
          <cell r="G3324" t="str">
            <v>ASV15174</v>
          </cell>
          <cell r="H3324" t="str">
            <v>g__unclassified_f__Lachnospiraceae</v>
          </cell>
          <cell r="I3324" t="str">
            <v>s__unclassified_f__Lachnospiraceae</v>
          </cell>
        </row>
        <row r="3325">
          <cell r="G3325" t="str">
            <v>ASV3810</v>
          </cell>
          <cell r="H3325" t="str">
            <v>g__Escherichia-Shigella</v>
          </cell>
          <cell r="I3325" t="str">
            <v>s__unclassified_g__Escherichia-Shigella</v>
          </cell>
        </row>
        <row r="3326">
          <cell r="G3326" t="str">
            <v>ASV16807</v>
          </cell>
          <cell r="H3326" t="str">
            <v>g__unclassified_o__Bacteroidales</v>
          </cell>
          <cell r="I3326" t="str">
            <v>s__unclassified_o__Bacteroidales</v>
          </cell>
        </row>
        <row r="3327">
          <cell r="G3327" t="str">
            <v>ASV20388</v>
          </cell>
          <cell r="H3327" t="str">
            <v>g__Polaromonas</v>
          </cell>
          <cell r="I3327" t="str">
            <v>s__unclassified_g__Polaromonas</v>
          </cell>
        </row>
        <row r="3328">
          <cell r="G3328" t="str">
            <v>ASV289</v>
          </cell>
          <cell r="H3328" t="str">
            <v>g__Lactobacillus</v>
          </cell>
          <cell r="I3328" t="str">
            <v>s__unclassified_g__Lactobacillus</v>
          </cell>
        </row>
        <row r="3329">
          <cell r="G3329" t="str">
            <v>ASV4509</v>
          </cell>
          <cell r="H3329" t="str">
            <v>g__Sharpea</v>
          </cell>
          <cell r="I3329" t="str">
            <v>s__unclassified_g__Sharpea</v>
          </cell>
        </row>
        <row r="3330">
          <cell r="G3330" t="str">
            <v>ASV23032</v>
          </cell>
          <cell r="H3330" t="str">
            <v>g__Bifidobacterium</v>
          </cell>
          <cell r="I3330" t="str">
            <v>s__unclassified_g__Bifidobacterium</v>
          </cell>
        </row>
        <row r="3331">
          <cell r="G3331" t="str">
            <v>ASV18497</v>
          </cell>
          <cell r="H3331" t="str">
            <v>g__unclassified_f__Oscillospiraceae</v>
          </cell>
          <cell r="I3331" t="str">
            <v>s__unclassified_f__Oscillospiraceae</v>
          </cell>
        </row>
        <row r="3332">
          <cell r="G3332" t="str">
            <v>ASV15171</v>
          </cell>
          <cell r="H3332" t="str">
            <v>g__unclassified_c__Clostridia</v>
          </cell>
          <cell r="I3332" t="str">
            <v>s__unclassified_c__Clostridia</v>
          </cell>
        </row>
        <row r="3333">
          <cell r="G3333" t="str">
            <v>ASV13918</v>
          </cell>
          <cell r="H3333" t="str">
            <v>g__norank_f__Muribaculaceae</v>
          </cell>
          <cell r="I3333" t="str">
            <v>s__uncultured_bacterium_g__norank_f__Muribaculaceae</v>
          </cell>
        </row>
        <row r="3334">
          <cell r="G3334" t="str">
            <v>ASV15351</v>
          </cell>
          <cell r="H3334" t="str">
            <v>g__unclassified_f__Lachnospiraceae</v>
          </cell>
          <cell r="I3334" t="str">
            <v>s__unclassified_f__Lachnospiraceae</v>
          </cell>
        </row>
        <row r="3335">
          <cell r="G3335" t="str">
            <v>ASV1792</v>
          </cell>
          <cell r="H3335" t="str">
            <v>g__Lachnospiraceae_FCS020_group</v>
          </cell>
          <cell r="I3335" t="str">
            <v>s__metagenome_g__Lachnospiraceae_FCS020_group</v>
          </cell>
        </row>
        <row r="3336">
          <cell r="G3336" t="str">
            <v>ASV7013</v>
          </cell>
          <cell r="H3336" t="str">
            <v>g__unclassified_f__Lachnospiraceae</v>
          </cell>
          <cell r="I3336" t="str">
            <v>s__unclassified_f__Lachnospiraceae</v>
          </cell>
        </row>
        <row r="3337">
          <cell r="G3337" t="str">
            <v>ASV17741</v>
          </cell>
          <cell r="H3337" t="str">
            <v>g__unclassified_f__Ruminococcaceae</v>
          </cell>
          <cell r="I3337" t="str">
            <v>s__unclassified_f__Ruminococcaceae</v>
          </cell>
        </row>
        <row r="3338">
          <cell r="G3338" t="str">
            <v>ASV20540</v>
          </cell>
          <cell r="H3338" t="str">
            <v>g__unclassified_f__Lachnospiraceae</v>
          </cell>
          <cell r="I3338" t="str">
            <v>s__unclassified_f__Lachnospiraceae</v>
          </cell>
        </row>
        <row r="3339">
          <cell r="G3339" t="str">
            <v>ASV278</v>
          </cell>
          <cell r="H3339" t="str">
            <v>g__CAG-873</v>
          </cell>
          <cell r="I3339" t="str">
            <v>s__unclassified_g__CAG-873</v>
          </cell>
        </row>
        <row r="3340">
          <cell r="G3340" t="str">
            <v>ASV11215</v>
          </cell>
          <cell r="H3340" t="str">
            <v>g__unclassified_f__Prevotellaceae</v>
          </cell>
          <cell r="I3340" t="str">
            <v>s__unclassified_f__Prevotellaceae</v>
          </cell>
        </row>
        <row r="3341">
          <cell r="G3341" t="str">
            <v>ASV17651</v>
          </cell>
          <cell r="H3341" t="str">
            <v>g__Lactobacillus</v>
          </cell>
          <cell r="I3341" t="str">
            <v>s__unclassified_g__Lactobacillus</v>
          </cell>
        </row>
        <row r="3342">
          <cell r="G3342" t="str">
            <v>ASV5559</v>
          </cell>
          <cell r="H3342" t="str">
            <v>g__unclassified_f__Ruminococcaceae</v>
          </cell>
          <cell r="I3342" t="str">
            <v>s__unclassified_f__Ruminococcaceae</v>
          </cell>
        </row>
        <row r="3343">
          <cell r="G3343" t="str">
            <v>ASV4501</v>
          </cell>
          <cell r="H3343" t="str">
            <v>g__unclassified_f__Lachnospiraceae</v>
          </cell>
          <cell r="I3343" t="str">
            <v>s__unclassified_f__Lachnospiraceae</v>
          </cell>
        </row>
        <row r="3344">
          <cell r="G3344" t="str">
            <v>ASV15894</v>
          </cell>
          <cell r="H3344" t="str">
            <v>g__Tyzzerella</v>
          </cell>
          <cell r="I3344" t="str">
            <v>s__Anaerotignum_lactatifermentans</v>
          </cell>
        </row>
        <row r="3345">
          <cell r="G3345" t="str">
            <v>ASV18500</v>
          </cell>
          <cell r="H3345" t="str">
            <v>g__unclassified_f__Lachnospiraceae</v>
          </cell>
          <cell r="I3345" t="str">
            <v>s__unclassified_f__Lachnospiraceae</v>
          </cell>
        </row>
        <row r="3346">
          <cell r="G3346" t="str">
            <v>ASV11212</v>
          </cell>
          <cell r="H3346" t="str">
            <v>g__unclassified_c__Clostridia</v>
          </cell>
          <cell r="I3346" t="str">
            <v>s__unclassified_c__Clostridia</v>
          </cell>
        </row>
        <row r="3347">
          <cell r="G3347" t="str">
            <v>ASV286</v>
          </cell>
          <cell r="H3347" t="str">
            <v>g__Streptococcus</v>
          </cell>
          <cell r="I3347" t="str">
            <v>s__unclassified_g__Streptococcus</v>
          </cell>
        </row>
        <row r="3348">
          <cell r="G3348" t="str">
            <v>ASV12537</v>
          </cell>
          <cell r="H3348" t="str">
            <v>g__Clostridium_sensu_stricto_1</v>
          </cell>
          <cell r="I3348" t="str">
            <v>s__uncultured_bacterium_g__Clostridium_sensu_stricto_1</v>
          </cell>
        </row>
        <row r="3349">
          <cell r="G3349" t="str">
            <v>ASV12545</v>
          </cell>
          <cell r="H3349" t="str">
            <v>g__unclassified_c__Clostridia</v>
          </cell>
          <cell r="I3349" t="str">
            <v>s__unclassified_c__Clostridia</v>
          </cell>
        </row>
        <row r="3350">
          <cell r="G3350" t="str">
            <v>ASV1755</v>
          </cell>
          <cell r="H3350" t="str">
            <v>g__unclassified_f__Ruminococcaceae</v>
          </cell>
          <cell r="I3350" t="str">
            <v>s__unclassified_f__Ruminococcaceae</v>
          </cell>
        </row>
        <row r="3351">
          <cell r="G3351" t="str">
            <v>ASV20205</v>
          </cell>
          <cell r="H3351" t="str">
            <v>g__Lactobacillus</v>
          </cell>
          <cell r="I3351" t="str">
            <v>s__unclassified_g__Lactobacillus</v>
          </cell>
        </row>
        <row r="3352">
          <cell r="G3352" t="str">
            <v>ASV5740</v>
          </cell>
          <cell r="H3352" t="str">
            <v>g__unclassified_f__Lachnospiraceae</v>
          </cell>
          <cell r="I3352" t="str">
            <v>s__unclassified_f__Lachnospiraceae</v>
          </cell>
        </row>
        <row r="3353">
          <cell r="G3353" t="str">
            <v>ASV19256</v>
          </cell>
          <cell r="H3353" t="str">
            <v>g__unclassified_p__Firmicutes</v>
          </cell>
          <cell r="I3353" t="str">
            <v>s__unclassified_p__Firmicutes</v>
          </cell>
        </row>
        <row r="3354">
          <cell r="G3354" t="str">
            <v>ASV10416</v>
          </cell>
          <cell r="H3354" t="str">
            <v>g__norank_f__Eubacterium_coprostanoligenes_group</v>
          </cell>
          <cell r="I3354" t="str">
            <v>s__unclassified_g__norank_f__Eubacterium_coprostanoligenes_group</v>
          </cell>
        </row>
        <row r="3355">
          <cell r="G3355" t="str">
            <v>ASV280</v>
          </cell>
          <cell r="H3355" t="str">
            <v>g__unclassified_c__Clostridia</v>
          </cell>
          <cell r="I3355" t="str">
            <v>s__unclassified_c__Clostridia</v>
          </cell>
        </row>
        <row r="3356">
          <cell r="G3356" t="str">
            <v>ASV23904</v>
          </cell>
          <cell r="H3356" t="str">
            <v>g__unclassified_c__Bacilli</v>
          </cell>
          <cell r="I3356" t="str">
            <v>s__unclassified_c__Bacilli</v>
          </cell>
        </row>
        <row r="3357">
          <cell r="G3357" t="str">
            <v>ASV23026</v>
          </cell>
          <cell r="H3357" t="str">
            <v>g__norank_f__Eubacterium_coprostanoligenes_group</v>
          </cell>
          <cell r="I3357" t="str">
            <v>s__human_gut_metagenome_g__norank_f__Eubacterium_coprostanoligenes_group</v>
          </cell>
        </row>
        <row r="3358">
          <cell r="G3358" t="str">
            <v>ASV8772</v>
          </cell>
          <cell r="H3358" t="str">
            <v>g__norank_f__Muribaculaceae</v>
          </cell>
          <cell r="I3358" t="str">
            <v>s__unclassified_g__norank_f__Muribaculaceae</v>
          </cell>
        </row>
        <row r="3359">
          <cell r="G3359" t="str">
            <v>ASV15172</v>
          </cell>
          <cell r="H3359" t="str">
            <v>g__Family_XIII_AD3011_group</v>
          </cell>
          <cell r="I3359" t="str">
            <v>s__uncultured_bacterium_g__Family_XIII_AD3011_group</v>
          </cell>
        </row>
        <row r="3360">
          <cell r="G3360" t="str">
            <v>ASV21150</v>
          </cell>
          <cell r="H3360" t="str">
            <v>g__unclassified_f__Lachnospiraceae</v>
          </cell>
          <cell r="I3360" t="str">
            <v>s__unclassified_f__Lachnospiraceae</v>
          </cell>
        </row>
        <row r="3361">
          <cell r="G3361" t="str">
            <v>ASV7323</v>
          </cell>
          <cell r="H3361" t="str">
            <v>g__Collinsella</v>
          </cell>
          <cell r="I3361" t="str">
            <v>s__unclassified_g__Collinsella</v>
          </cell>
        </row>
        <row r="3362">
          <cell r="G3362" t="str">
            <v>ASV11036</v>
          </cell>
          <cell r="H3362" t="str">
            <v>g__Lactobacillus</v>
          </cell>
          <cell r="I3362" t="str">
            <v>s__unclassified_g__Lactobacillus</v>
          </cell>
        </row>
        <row r="3363">
          <cell r="G3363" t="str">
            <v>ASV21707</v>
          </cell>
          <cell r="H3363" t="str">
            <v>g__Chryseobacterium</v>
          </cell>
          <cell r="I3363" t="str">
            <v>s__unclassified_g__Chryseobacterium</v>
          </cell>
        </row>
        <row r="3364">
          <cell r="G3364" t="str">
            <v>ASV23024</v>
          </cell>
          <cell r="H3364" t="str">
            <v>g__unclassified_f__Ruminococcaceae</v>
          </cell>
          <cell r="I3364" t="str">
            <v>s__unclassified_f__Ruminococcaceae</v>
          </cell>
        </row>
        <row r="3365">
          <cell r="G3365" t="str">
            <v>ASV15021</v>
          </cell>
          <cell r="H3365" t="str">
            <v>g__unclassified_f__Comamonadaceae</v>
          </cell>
          <cell r="I3365" t="str">
            <v>s__unclassified_f__Comamonadaceae</v>
          </cell>
        </row>
        <row r="3366">
          <cell r="G3366" t="str">
            <v>ASV19265</v>
          </cell>
          <cell r="H3366" t="str">
            <v>g__unclassified_c__Clostridia</v>
          </cell>
          <cell r="I3366" t="str">
            <v>s__unclassified_c__Clostridia</v>
          </cell>
        </row>
        <row r="3367">
          <cell r="G3367" t="str">
            <v>ASV15175</v>
          </cell>
          <cell r="H3367" t="str">
            <v>g__Clostridium_sensu_stricto_1</v>
          </cell>
          <cell r="I3367" t="str">
            <v>s__unclassified_g__Clostridium_sensu_stricto_1</v>
          </cell>
        </row>
        <row r="3368">
          <cell r="G3368" t="str">
            <v>ASV11205</v>
          </cell>
          <cell r="H3368" t="str">
            <v>g__Eubacterium_oxidoreducens_group</v>
          </cell>
          <cell r="I3368" t="str">
            <v>s__uncultured_bacterium_g__Eubacterium_oxidoreducens_group</v>
          </cell>
        </row>
        <row r="3369">
          <cell r="G3369" t="str">
            <v>ASV7494</v>
          </cell>
          <cell r="H3369" t="str">
            <v>g__norank_f__UCG-011</v>
          </cell>
          <cell r="I3369" t="str">
            <v>s__uncultured_bacterium_g__norank_f__UCG-011</v>
          </cell>
        </row>
        <row r="3370">
          <cell r="G3370" t="str">
            <v>ASV7271</v>
          </cell>
          <cell r="H3370" t="str">
            <v>g__Hymenobacter</v>
          </cell>
          <cell r="I3370" t="str">
            <v>s__unclassified_g__Hymenobacter</v>
          </cell>
        </row>
        <row r="3371">
          <cell r="G3371" t="str">
            <v>ASV12534</v>
          </cell>
          <cell r="H3371" t="str">
            <v>g__Bacteroides</v>
          </cell>
          <cell r="I3371" t="str">
            <v>s__uncultured_bacterium_g__Bacteroides</v>
          </cell>
        </row>
        <row r="3372">
          <cell r="G3372" t="str">
            <v>ASV7500</v>
          </cell>
          <cell r="H3372" t="str">
            <v>g__Lactobacillus</v>
          </cell>
          <cell r="I3372" t="str">
            <v>s__unclassified_g__Lactobacillus</v>
          </cell>
        </row>
        <row r="3373">
          <cell r="G3373" t="str">
            <v>ASV15026</v>
          </cell>
          <cell r="H3373" t="str">
            <v>g__Marvinbryantia</v>
          </cell>
          <cell r="I3373" t="str">
            <v>s__unclassified_g__Marvinbryantia</v>
          </cell>
        </row>
        <row r="3374">
          <cell r="G3374" t="str">
            <v>ASV3386</v>
          </cell>
          <cell r="H3374" t="str">
            <v>g__Blautia</v>
          </cell>
          <cell r="I3374" t="str">
            <v>s__unclassified_g__Blautia</v>
          </cell>
        </row>
        <row r="3375">
          <cell r="G3375" t="str">
            <v>ASV11206</v>
          </cell>
          <cell r="H3375" t="str">
            <v>g__norank_f__Prevotellaceae</v>
          </cell>
          <cell r="I3375" t="str">
            <v>s__uncultured_bacterium_g__norank_f__Prevotellaceae</v>
          </cell>
        </row>
        <row r="3376">
          <cell r="G3376" t="str">
            <v>ASV20536</v>
          </cell>
          <cell r="H3376" t="str">
            <v>g__Bacillus</v>
          </cell>
          <cell r="I3376" t="str">
            <v>s__Lactobacillus_vaginalis_g__Bacillus</v>
          </cell>
        </row>
        <row r="3377">
          <cell r="G3377" t="str">
            <v>ASV13925</v>
          </cell>
          <cell r="H3377" t="str">
            <v>g__Lactobacillus</v>
          </cell>
          <cell r="I3377" t="str">
            <v>s__unclassified_g__Lactobacillus</v>
          </cell>
        </row>
        <row r="3378">
          <cell r="G3378" t="str">
            <v>ASV4507</v>
          </cell>
          <cell r="H3378" t="str">
            <v>g__Treponema</v>
          </cell>
          <cell r="I3378" t="str">
            <v>s__uncultured_bacterium_g__Treponema</v>
          </cell>
        </row>
        <row r="3379">
          <cell r="G3379" t="str">
            <v>ASV13921</v>
          </cell>
          <cell r="H3379" t="str">
            <v>g__Christensenellaceae_R-7_group</v>
          </cell>
          <cell r="I3379" t="str">
            <v>s__unclassified_g__Christensenellaceae_R-7_group</v>
          </cell>
        </row>
        <row r="3380">
          <cell r="G3380" t="str">
            <v>ASV5567</v>
          </cell>
          <cell r="H3380" t="str">
            <v>g__UCG-005</v>
          </cell>
          <cell r="I3380" t="str">
            <v>s__unclassified_g__UCG-005</v>
          </cell>
        </row>
        <row r="3381">
          <cell r="G3381" t="str">
            <v>ASV10043</v>
          </cell>
          <cell r="H3381" t="str">
            <v>g__norank_f__Christensenellaceae</v>
          </cell>
          <cell r="I3381" t="str">
            <v>s__uncultured_rumen_bacterium_g__norank_f__Christensenellaceae</v>
          </cell>
        </row>
        <row r="3382">
          <cell r="G3382" t="str">
            <v>ASV12535</v>
          </cell>
          <cell r="H3382" t="str">
            <v>g__unclassified_f__Oscillospiraceae</v>
          </cell>
          <cell r="I3382" t="str">
            <v>s__unclassified_f__Oscillospiraceae</v>
          </cell>
        </row>
        <row r="3383">
          <cell r="G3383" t="str">
            <v>ASV17739</v>
          </cell>
          <cell r="H3383" t="str">
            <v>g__unclassified_c__Clostridia</v>
          </cell>
          <cell r="I3383" t="str">
            <v>s__unclassified_c__Clostridia</v>
          </cell>
        </row>
        <row r="3384">
          <cell r="G3384" t="str">
            <v>ASV13911</v>
          </cell>
          <cell r="H3384" t="str">
            <v>g__unclassified_o__Oscillospirales</v>
          </cell>
          <cell r="I3384" t="str">
            <v>s__unclassified_o__Oscillospirales</v>
          </cell>
        </row>
        <row r="3385">
          <cell r="G3385" t="str">
            <v>ASV3812</v>
          </cell>
          <cell r="H3385" t="str">
            <v>g__unclassified_f__Peptostreptococcaceae</v>
          </cell>
          <cell r="I3385" t="str">
            <v>s__unclassified_f__Peptostreptococcaceae</v>
          </cell>
        </row>
        <row r="3386">
          <cell r="G3386" t="str">
            <v>ASV11330</v>
          </cell>
          <cell r="H3386" t="str">
            <v>g__norank_f__UCG-010</v>
          </cell>
          <cell r="I3386" t="str">
            <v>s__uncultured_bacterium_g__norank_f__UCG-010</v>
          </cell>
        </row>
        <row r="3387">
          <cell r="G3387" t="str">
            <v>ASV20538</v>
          </cell>
          <cell r="H3387" t="str">
            <v>g__unclassified_o__Lactobacillales</v>
          </cell>
          <cell r="I3387" t="str">
            <v>s__unclassified_o__Lactobacillales</v>
          </cell>
        </row>
        <row r="3388">
          <cell r="G3388" t="str">
            <v>ASV16809</v>
          </cell>
          <cell r="H3388" t="str">
            <v>g__Campylobacter</v>
          </cell>
          <cell r="I3388" t="str">
            <v>s__unclassified_g__Campylobacter</v>
          </cell>
        </row>
        <row r="3389">
          <cell r="G3389" t="str">
            <v>ASV21832</v>
          </cell>
          <cell r="H3389" t="str">
            <v>g__unclassified_f__Oscillospiraceae</v>
          </cell>
          <cell r="I3389" t="str">
            <v>s__unclassified_f__Oscillospiraceae</v>
          </cell>
        </row>
        <row r="3390">
          <cell r="G3390" t="str">
            <v>ASV23034</v>
          </cell>
          <cell r="H3390" t="str">
            <v>g__Ruminococcus</v>
          </cell>
          <cell r="I3390" t="str">
            <v>s__bacterium_ic1277</v>
          </cell>
        </row>
        <row r="3391">
          <cell r="G3391" t="str">
            <v>ASV23036</v>
          </cell>
          <cell r="H3391" t="str">
            <v>g__Eubacterium_oxidoreducens_group</v>
          </cell>
          <cell r="I3391" t="str">
            <v>s__uncultured_bacterium_g__Eubacterium_oxidoreducens_group</v>
          </cell>
        </row>
        <row r="3392">
          <cell r="G3392" t="str">
            <v>ASV18762</v>
          </cell>
          <cell r="H3392" t="str">
            <v>g__Corynebacterium</v>
          </cell>
          <cell r="I3392" t="str">
            <v>s__Corynebacterium_suicordis</v>
          </cell>
        </row>
        <row r="3393">
          <cell r="G3393" t="str">
            <v>ASV1728</v>
          </cell>
          <cell r="H3393" t="str">
            <v>g__Lachnospiraceae_ND3007_group</v>
          </cell>
          <cell r="I3393" t="str">
            <v>s__uncultured_bacterium_g__Lachnospiraceae_ND3007_group</v>
          </cell>
        </row>
        <row r="3394">
          <cell r="G3394" t="str">
            <v>ASV5565</v>
          </cell>
          <cell r="H3394" t="str">
            <v>g__UCG-002</v>
          </cell>
          <cell r="I3394" t="str">
            <v>s__unclassified_g__UCG-002</v>
          </cell>
        </row>
        <row r="3395">
          <cell r="G3395" t="str">
            <v>ASV11216</v>
          </cell>
          <cell r="H3395" t="str">
            <v>g__Blautia</v>
          </cell>
          <cell r="I3395" t="str">
            <v>s__unclassified_g__Blautia</v>
          </cell>
        </row>
        <row r="3396">
          <cell r="G3396" t="str">
            <v>ASV2686</v>
          </cell>
          <cell r="H3396" t="str">
            <v>g__Clostridium_sensu_stricto_1</v>
          </cell>
          <cell r="I3396" t="str">
            <v>s__unclassified_g__Clostridium_sensu_stricto_1</v>
          </cell>
        </row>
        <row r="3397">
          <cell r="G3397" t="str">
            <v>ASV16237</v>
          </cell>
          <cell r="H3397" t="str">
            <v>g__unclassified_f__Eggerthellaceae</v>
          </cell>
          <cell r="I3397" t="str">
            <v>s__unclassified_f__Eggerthellaceae</v>
          </cell>
        </row>
        <row r="3398">
          <cell r="G3398" t="str">
            <v>ASV20206</v>
          </cell>
          <cell r="H3398" t="str">
            <v>g__Blautia</v>
          </cell>
          <cell r="I3398" t="str">
            <v>s__unclassified_g__Blautia</v>
          </cell>
        </row>
        <row r="3399">
          <cell r="G3399" t="str">
            <v>ASV3427</v>
          </cell>
          <cell r="H3399" t="str">
            <v>g__Veillonella</v>
          </cell>
          <cell r="I3399" t="str">
            <v>s__unclassified_g__Veillonella</v>
          </cell>
        </row>
        <row r="3400">
          <cell r="G3400" t="str">
            <v>ASV21840</v>
          </cell>
          <cell r="H3400" t="str">
            <v>g__UCG-005</v>
          </cell>
          <cell r="I3400" t="str">
            <v>s__unclassified_g__UCG-005</v>
          </cell>
        </row>
        <row r="3401">
          <cell r="G3401" t="str">
            <v>ASV23031</v>
          </cell>
          <cell r="H3401" t="str">
            <v>g__Christensenellaceae_R-7_group</v>
          </cell>
          <cell r="I3401" t="str">
            <v>s__unclassified_g__Christensenellaceae_R-7_group</v>
          </cell>
        </row>
        <row r="3402">
          <cell r="G3402" t="str">
            <v>ASV20391</v>
          </cell>
          <cell r="H3402" t="str">
            <v>g__Acidovorax</v>
          </cell>
          <cell r="I3402" t="str">
            <v>s__unclassified_g__Acidovorax</v>
          </cell>
        </row>
        <row r="3403">
          <cell r="G3403" t="str">
            <v>ASV19263</v>
          </cell>
          <cell r="H3403" t="str">
            <v>g__Phascolarctobacterium</v>
          </cell>
          <cell r="I3403" t="str">
            <v>s__uncultured_bacterium_g__Phascolarctobacterium</v>
          </cell>
        </row>
        <row r="3404">
          <cell r="G3404" t="str">
            <v>ASV1747</v>
          </cell>
          <cell r="H3404" t="str">
            <v>g__unclassified_k__norank_d__Bacteria</v>
          </cell>
          <cell r="I3404" t="str">
            <v>s__unclassified_k__norank_d__Bacteria</v>
          </cell>
        </row>
        <row r="3405">
          <cell r="G3405" t="str">
            <v>ASV1932</v>
          </cell>
          <cell r="H3405" t="str">
            <v>g__unclassified_c__Bacilli</v>
          </cell>
          <cell r="I3405" t="str">
            <v>s__unclassified_c__Bacilli</v>
          </cell>
        </row>
        <row r="3406">
          <cell r="G3406" t="str">
            <v>ASV16238</v>
          </cell>
          <cell r="H3406" t="str">
            <v>g__Terrisporobacter</v>
          </cell>
          <cell r="I3406" t="str">
            <v>s__unclassified_g__Terrisporobacter</v>
          </cell>
        </row>
        <row r="3407">
          <cell r="G3407" t="str">
            <v>ASV11217</v>
          </cell>
          <cell r="H3407" t="str">
            <v>g__unclassified_f__Oscillospiraceae</v>
          </cell>
          <cell r="I3407" t="str">
            <v>s__unclassified_f__Oscillospiraceae</v>
          </cell>
        </row>
        <row r="3408">
          <cell r="G3408" t="str">
            <v>ASV17650</v>
          </cell>
          <cell r="H3408" t="str">
            <v>g__Lactobacillus</v>
          </cell>
          <cell r="I3408" t="str">
            <v>s__uncultured_bacterium_g__Lactobacillus</v>
          </cell>
        </row>
        <row r="3409">
          <cell r="G3409" t="str">
            <v>ASV15777</v>
          </cell>
          <cell r="H3409" t="str">
            <v>g__unclassified_f__Lachnospiraceae</v>
          </cell>
          <cell r="I3409" t="str">
            <v>s__unclassified_f__Lachnospiraceae</v>
          </cell>
        </row>
        <row r="3410">
          <cell r="G3410" t="str">
            <v>ASV11209</v>
          </cell>
          <cell r="H3410" t="str">
            <v>g__unclassified_c__Clostridia</v>
          </cell>
          <cell r="I3410" t="str">
            <v>s__unclassified_c__Clostridia</v>
          </cell>
        </row>
        <row r="3411">
          <cell r="G3411" t="str">
            <v>ASV1939</v>
          </cell>
          <cell r="H3411" t="str">
            <v>g__unclassified_c__Bacilli</v>
          </cell>
          <cell r="I3411" t="str">
            <v>s__unclassified_c__Bacilli</v>
          </cell>
        </row>
        <row r="3412">
          <cell r="G3412" t="str">
            <v>ASV13266</v>
          </cell>
          <cell r="H3412" t="str">
            <v>g__unclassified_f__Lachnospiraceae</v>
          </cell>
          <cell r="I3412" t="str">
            <v>s__unclassified_f__Lachnospiraceae</v>
          </cell>
        </row>
        <row r="3413">
          <cell r="G3413" t="str">
            <v>ASV7497</v>
          </cell>
          <cell r="H3413" t="str">
            <v>g__norank_f__Erysipelotrichaceae</v>
          </cell>
          <cell r="I3413" t="str">
            <v>s__uncultured_bacterium_g__norank_f__Erysipelotrichaceae</v>
          </cell>
        </row>
        <row r="3414">
          <cell r="G3414" t="str">
            <v>ASV12542</v>
          </cell>
          <cell r="H3414" t="str">
            <v>g__norank_f__Eubacterium_coprostanoligenes_group</v>
          </cell>
          <cell r="I3414" t="str">
            <v>s__unclassified_g__norank_f__Eubacterium_coprostanoligenes_group</v>
          </cell>
        </row>
        <row r="3415">
          <cell r="G3415" t="str">
            <v>ASV12544</v>
          </cell>
          <cell r="H3415" t="str">
            <v>g__unclassified_o__Saccharimonadales</v>
          </cell>
          <cell r="I3415" t="str">
            <v>s__unclassified_o__Saccharimonadales</v>
          </cell>
        </row>
        <row r="3416">
          <cell r="G3416" t="str">
            <v>ASV13920</v>
          </cell>
          <cell r="H3416" t="str">
            <v>g__Lactobacillus</v>
          </cell>
          <cell r="I3416" t="str">
            <v>s__unclassified_g__Lactobacillus</v>
          </cell>
        </row>
        <row r="3417">
          <cell r="G3417" t="str">
            <v>ASV15176</v>
          </cell>
          <cell r="H3417" t="str">
            <v>g__unclassified_c__Clostridia</v>
          </cell>
          <cell r="I3417" t="str">
            <v>s__unclassified_c__Clostridia</v>
          </cell>
        </row>
        <row r="3418">
          <cell r="G3418" t="str">
            <v>ASV15167</v>
          </cell>
          <cell r="H3418" t="str">
            <v>g__Anaerovibrio</v>
          </cell>
          <cell r="I3418" t="str">
            <v>s__Anaerovibrio_sp._765</v>
          </cell>
        </row>
        <row r="3419">
          <cell r="G3419" t="str">
            <v>ASV16236</v>
          </cell>
          <cell r="H3419" t="str">
            <v>g__unclassified_o__Bacteroidales</v>
          </cell>
          <cell r="I3419" t="str">
            <v>s__unclassified_o__Bacteroidales</v>
          </cell>
        </row>
        <row r="3420">
          <cell r="G3420" t="str">
            <v>ASV288</v>
          </cell>
          <cell r="H3420" t="str">
            <v>g__unclassified_f__Oscillospiraceae</v>
          </cell>
          <cell r="I3420" t="str">
            <v>s__unclassified_f__Oscillospiraceae</v>
          </cell>
        </row>
        <row r="3421">
          <cell r="G3421" t="str">
            <v>ASV20539</v>
          </cell>
          <cell r="H3421" t="str">
            <v>g__Christensenellaceae_R-7_group</v>
          </cell>
          <cell r="I3421" t="str">
            <v>s__unclassified_g__Christensenellaceae_R-7_group</v>
          </cell>
        </row>
        <row r="3422">
          <cell r="G3422" t="str">
            <v>ASV18797</v>
          </cell>
          <cell r="H3422" t="str">
            <v>g__unclassified_f__Lachnospiraceae</v>
          </cell>
          <cell r="I3422" t="str">
            <v>s__unclassified_f__Lachnospiraceae</v>
          </cell>
        </row>
        <row r="3423">
          <cell r="G3423" t="str">
            <v>ASV7160</v>
          </cell>
          <cell r="H3423" t="str">
            <v>g__Corynebacterium</v>
          </cell>
          <cell r="I3423" t="str">
            <v>s__Corynebacterium_sp._C3</v>
          </cell>
        </row>
        <row r="3424">
          <cell r="G3424" t="str">
            <v>ASV16240</v>
          </cell>
          <cell r="H3424" t="str">
            <v>g__unclassified_k__norank_d__Bacteria</v>
          </cell>
          <cell r="I3424" t="str">
            <v>s__unclassified_k__norank_d__Bacteria</v>
          </cell>
        </row>
        <row r="3425">
          <cell r="G3425" t="str">
            <v>ASV7258</v>
          </cell>
          <cell r="H3425" t="str">
            <v>g__norank_f__norank_o__Saccharimonadales</v>
          </cell>
          <cell r="I3425" t="str">
            <v>s__TM7_phylum_sp._oral_clone_FR058</v>
          </cell>
        </row>
        <row r="3426">
          <cell r="G3426" t="str">
            <v>ASV292</v>
          </cell>
          <cell r="H3426" t="str">
            <v>g__unclassified_f__Lachnospiraceae</v>
          </cell>
          <cell r="I3426" t="str">
            <v>s__unclassified_f__Lachnospiraceae</v>
          </cell>
        </row>
        <row r="3427">
          <cell r="G3427" t="str">
            <v>ASV9172</v>
          </cell>
          <cell r="H3427" t="str">
            <v>g__unclassified_f__Oscillospiraceae</v>
          </cell>
          <cell r="I3427" t="str">
            <v>s__unclassified_f__Oscillospiraceae</v>
          </cell>
        </row>
        <row r="3428">
          <cell r="G3428" t="str">
            <v>ASV7496</v>
          </cell>
          <cell r="H3428" t="str">
            <v>g__unclassified_c__Clostridia</v>
          </cell>
          <cell r="I3428" t="str">
            <v>s__unclassified_c__Clostridia</v>
          </cell>
        </row>
        <row r="3429">
          <cell r="G3429" t="str">
            <v>ASV7492</v>
          </cell>
          <cell r="H3429" t="str">
            <v>g__unclassified_p__Firmicutes</v>
          </cell>
          <cell r="I3429" t="str">
            <v>s__unclassified_p__Firmicutes</v>
          </cell>
        </row>
        <row r="3430">
          <cell r="G3430" t="str">
            <v>ASV9169</v>
          </cell>
          <cell r="H3430" t="str">
            <v>g__Lactobacillus</v>
          </cell>
          <cell r="I3430" t="str">
            <v>s__unclassified_g__Lactobacillus</v>
          </cell>
        </row>
        <row r="3431">
          <cell r="G3431" t="str">
            <v>ASV21565</v>
          </cell>
          <cell r="H3431" t="str">
            <v>g__unclassified_f__Lachnospiraceae</v>
          </cell>
          <cell r="I3431" t="str">
            <v>s__unclassified_f__Lachnospiraceae</v>
          </cell>
        </row>
        <row r="3432">
          <cell r="G3432" t="str">
            <v>ASV11207</v>
          </cell>
          <cell r="H3432" t="str">
            <v>g__Parabacteroides</v>
          </cell>
          <cell r="I3432" t="str">
            <v>s__Porphyromonadaceae_bacterium_DJF_B175</v>
          </cell>
        </row>
        <row r="3433">
          <cell r="G3433" t="str">
            <v>ASV21842</v>
          </cell>
          <cell r="H3433" t="str">
            <v>g__Lactobacillus</v>
          </cell>
          <cell r="I3433" t="str">
            <v>s__unclassified_g__Lactobacillus</v>
          </cell>
        </row>
        <row r="3434">
          <cell r="G3434" t="str">
            <v>ASV13913</v>
          </cell>
          <cell r="H3434" t="str">
            <v>g__unclassified_c__Clostridia</v>
          </cell>
          <cell r="I3434" t="str">
            <v>s__unclassified_c__Clostridia</v>
          </cell>
        </row>
        <row r="3435">
          <cell r="G3435" t="str">
            <v>ASV17743</v>
          </cell>
          <cell r="H3435" t="str">
            <v>g__Eubacterium_oxidoreducens_group</v>
          </cell>
          <cell r="I3435" t="str">
            <v>s__uncultured_bacterium_g__Eubacterium_oxidoreducens_group</v>
          </cell>
        </row>
        <row r="3436">
          <cell r="G3436" t="str">
            <v>ASV15025</v>
          </cell>
          <cell r="H3436" t="str">
            <v>g__Sphaerochaeta</v>
          </cell>
          <cell r="I3436" t="str">
            <v>s__uncultured_prokaryote_g__Sphaerochaeta</v>
          </cell>
        </row>
        <row r="3437">
          <cell r="G3437" t="str">
            <v>ASV15168</v>
          </cell>
          <cell r="H3437" t="str">
            <v>g__Christensenellaceae_R-7_group</v>
          </cell>
          <cell r="I3437" t="str">
            <v>s__unclassified_g__Christensenellaceae_R-7_group</v>
          </cell>
        </row>
        <row r="3438">
          <cell r="G3438" t="str">
            <v>ASV20542</v>
          </cell>
          <cell r="H3438" t="str">
            <v>g__Christensenellaceae_R-7_group</v>
          </cell>
          <cell r="I3438" t="str">
            <v>s__unclassified_g__Christensenellaceae_R-7_group</v>
          </cell>
        </row>
        <row r="3439">
          <cell r="G3439" t="str">
            <v>ASV13267</v>
          </cell>
          <cell r="H3439" t="str">
            <v>g__Lactobacillus</v>
          </cell>
          <cell r="I3439" t="str">
            <v>s__unclassified_g__Lactobacillus</v>
          </cell>
        </row>
        <row r="3440">
          <cell r="G3440" t="str">
            <v>ASV13914</v>
          </cell>
          <cell r="H3440" t="str">
            <v>g__unclassified_f__Clostridiaceae</v>
          </cell>
          <cell r="I3440" t="str">
            <v>s__unclassified_f__Clostridiaceae</v>
          </cell>
        </row>
        <row r="3441">
          <cell r="G3441" t="str">
            <v>ASV17737</v>
          </cell>
          <cell r="H3441" t="str">
            <v>g__Eubacterium_siraeum_group</v>
          </cell>
          <cell r="I3441" t="str">
            <v>s__uncultured_bacterium_g__Eubacterium_siraeum_group</v>
          </cell>
        </row>
        <row r="3442">
          <cell r="G3442" t="str">
            <v>ASV16241</v>
          </cell>
          <cell r="H3442" t="str">
            <v>g__Clostridium_sensu_stricto_1</v>
          </cell>
          <cell r="I3442" t="str">
            <v>s__uncultured_bacterium_g__Clostridium_sensu_stricto_1</v>
          </cell>
        </row>
        <row r="3443">
          <cell r="G3443" t="str">
            <v>ASV6544</v>
          </cell>
          <cell r="H3443" t="str">
            <v>g__unclassified_c__Clostridia</v>
          </cell>
          <cell r="I3443" t="str">
            <v>s__unclassified_c__Clostridia</v>
          </cell>
        </row>
        <row r="3444">
          <cell r="G3444" t="str">
            <v>ASV11037</v>
          </cell>
          <cell r="H3444" t="str">
            <v>g__unclassified_p__Firmicutes</v>
          </cell>
          <cell r="I3444" t="str">
            <v>s__unclassified_p__Firmicutes</v>
          </cell>
        </row>
        <row r="3445">
          <cell r="G3445" t="str">
            <v>ASV13924</v>
          </cell>
          <cell r="H3445" t="str">
            <v>g__Bacteroides</v>
          </cell>
          <cell r="I3445" t="str">
            <v>s__unclassified_g__Bacteroides</v>
          </cell>
        </row>
        <row r="3446">
          <cell r="G3446" t="str">
            <v>ASV9167</v>
          </cell>
          <cell r="H3446" t="str">
            <v>g__unclassified_f__Lachnospiraceae</v>
          </cell>
          <cell r="I3446" t="str">
            <v>s__unclassified_f__Lachnospiraceae</v>
          </cell>
        </row>
        <row r="3447">
          <cell r="G3447" t="str">
            <v>ASV7499</v>
          </cell>
          <cell r="H3447" t="str">
            <v>g__unclassified_f__Lachnospiraceae</v>
          </cell>
          <cell r="I3447" t="str">
            <v>s__unclassified_f__Lachnospiraceae</v>
          </cell>
        </row>
        <row r="3448">
          <cell r="G3448" t="str">
            <v>ASV9981</v>
          </cell>
          <cell r="H3448" t="str">
            <v>g__Rikenellaceae_RC9_gut_group</v>
          </cell>
          <cell r="I3448" t="str">
            <v>s__uncultured_bacterium_g__Rikenellaceae_RC9_gut_group</v>
          </cell>
        </row>
        <row r="3449">
          <cell r="G3449" t="str">
            <v>ASV23028</v>
          </cell>
          <cell r="H3449" t="str">
            <v>g__Ruminococcus</v>
          </cell>
          <cell r="I3449" t="str">
            <v>s__unclassified_g__Ruminococcus</v>
          </cell>
        </row>
        <row r="3450">
          <cell r="G3450" t="str">
            <v>ASV19254</v>
          </cell>
          <cell r="H3450" t="str">
            <v>g__Lactobacillus</v>
          </cell>
          <cell r="I3450" t="str">
            <v>s__unclassified_g__Lactobacillus</v>
          </cell>
        </row>
        <row r="3451">
          <cell r="G3451" t="str">
            <v>ASV13915</v>
          </cell>
          <cell r="H3451" t="str">
            <v>g__Eisenbergiella</v>
          </cell>
          <cell r="I3451" t="str">
            <v>s__unclassified_g__Eisenbergiella</v>
          </cell>
        </row>
        <row r="3452">
          <cell r="G3452" t="str">
            <v>ASV17350</v>
          </cell>
          <cell r="H3452" t="str">
            <v>g__unclassified_k__norank_d__Bacteria</v>
          </cell>
          <cell r="I3452" t="str">
            <v>s__unclassified_k__norank_d__Bacteria</v>
          </cell>
        </row>
        <row r="3453">
          <cell r="G3453" t="str">
            <v>ASV15022</v>
          </cell>
          <cell r="H3453" t="str">
            <v>g__Achromobacter</v>
          </cell>
          <cell r="I3453" t="str">
            <v>s__unclassified_g__Achromobacter</v>
          </cell>
        </row>
        <row r="3454">
          <cell r="G3454" t="str">
            <v>ASV11210</v>
          </cell>
          <cell r="H3454" t="str">
            <v>g__norank_f__norank_o__Clostridia_UCG-014</v>
          </cell>
          <cell r="I3454" t="str">
            <v>s__unclassified_g__norank_f__norank_o__Clostridia_UCG-014</v>
          </cell>
        </row>
        <row r="3455">
          <cell r="G3455" t="str">
            <v>ASV15169</v>
          </cell>
          <cell r="H3455" t="str">
            <v>g__Cloacibacillus</v>
          </cell>
          <cell r="I3455" t="str">
            <v>s__unclassified_g__Cloacibacillus</v>
          </cell>
        </row>
        <row r="3456">
          <cell r="G3456" t="str">
            <v>ASV21401</v>
          </cell>
          <cell r="H3456" t="str">
            <v>g__Megasphaera</v>
          </cell>
          <cell r="I3456" t="str">
            <v>s__unclassified_g__Megasphaera</v>
          </cell>
        </row>
        <row r="3457">
          <cell r="G3457" t="str">
            <v>ASV1941</v>
          </cell>
          <cell r="H3457" t="str">
            <v>g__unclassified_f__Oscillospiraceae</v>
          </cell>
          <cell r="I3457" t="str">
            <v>s__unclassified_f__Oscillospiraceae</v>
          </cell>
        </row>
        <row r="3458">
          <cell r="G3458" t="str">
            <v>ASV7489</v>
          </cell>
          <cell r="H3458" t="str">
            <v>g__Megasphaera</v>
          </cell>
          <cell r="I3458" t="str">
            <v>s__unclassified_g__Megasphaera</v>
          </cell>
        </row>
        <row r="3459">
          <cell r="G3459" t="str">
            <v>ASV21844</v>
          </cell>
          <cell r="H3459" t="str">
            <v>g__unclassified_f__Lachnospiraceae</v>
          </cell>
          <cell r="I3459" t="str">
            <v>s__unclassified_f__Lachnospiraceae</v>
          </cell>
        </row>
        <row r="3460">
          <cell r="G3460" t="str">
            <v>ASV19205</v>
          </cell>
          <cell r="H3460" t="str">
            <v>g__Leptotrichia</v>
          </cell>
          <cell r="I3460" t="str">
            <v>s__unclassified_g__Leptotrichia</v>
          </cell>
        </row>
        <row r="3461">
          <cell r="G3461" t="str">
            <v>ASV3876</v>
          </cell>
          <cell r="H3461" t="str">
            <v>g__NK4A214_group</v>
          </cell>
          <cell r="I3461" t="str">
            <v>s__unclassified_g__NK4A214_group</v>
          </cell>
        </row>
        <row r="3462">
          <cell r="G3462" t="str">
            <v>ASV11203</v>
          </cell>
          <cell r="H3462" t="str">
            <v>g__norank_f__norank_o__WCHB1-41</v>
          </cell>
          <cell r="I3462" t="str">
            <v>s__unidentified_rumen_bacterium_RFP12</v>
          </cell>
        </row>
        <row r="3463">
          <cell r="G3463" t="str">
            <v>ASV23022</v>
          </cell>
          <cell r="H3463" t="str">
            <v>g__norank_f__Muribaculaceae</v>
          </cell>
          <cell r="I3463" t="str">
            <v>s__unclassified_g__norank_f__Muribaculaceae</v>
          </cell>
        </row>
        <row r="3464">
          <cell r="G3464" t="str">
            <v>ASV13912</v>
          </cell>
          <cell r="H3464" t="str">
            <v>g__Lachnospiraceae_NC2004_group</v>
          </cell>
          <cell r="I3464" t="str">
            <v>s__uncultured_bacterium_g__Lachnospiraceae_NC2004_group</v>
          </cell>
        </row>
        <row r="3465">
          <cell r="G3465" t="str">
            <v>ASV291</v>
          </cell>
          <cell r="H3465" t="str">
            <v>g__unclassified_f__Oscillospiraceae</v>
          </cell>
          <cell r="I3465" t="str">
            <v>s__unclassified_f__Oscillospiraceae</v>
          </cell>
        </row>
        <row r="3466">
          <cell r="G3466" t="str">
            <v>ASV7488</v>
          </cell>
          <cell r="H3466" t="str">
            <v>g__UCG-005</v>
          </cell>
          <cell r="I3466" t="str">
            <v>s__unclassified_g__UCG-005</v>
          </cell>
        </row>
        <row r="3467">
          <cell r="G3467" t="str">
            <v>ASV10417</v>
          </cell>
          <cell r="H3467" t="str">
            <v>g__unclassified_c__Clostridia</v>
          </cell>
          <cell r="I3467" t="str">
            <v>s__unclassified_c__Clostridia</v>
          </cell>
        </row>
        <row r="3468">
          <cell r="G3468" t="str">
            <v>ASV11214</v>
          </cell>
          <cell r="H3468" t="str">
            <v>g__unclassified_c__Clostridia</v>
          </cell>
          <cell r="I3468" t="str">
            <v>s__unclassified_c__Clostridia</v>
          </cell>
        </row>
        <row r="3469">
          <cell r="G3469" t="str">
            <v>ASV9166</v>
          </cell>
          <cell r="H3469" t="str">
            <v>g__unclassified_c__Clostridia</v>
          </cell>
          <cell r="I3469" t="str">
            <v>s__unclassified_c__Clostridia</v>
          </cell>
        </row>
        <row r="3470">
          <cell r="G3470" t="str">
            <v>ASV4502</v>
          </cell>
          <cell r="H3470" t="str">
            <v>g__Treponema</v>
          </cell>
          <cell r="I3470" t="str">
            <v>s__Treponema_berlinense</v>
          </cell>
        </row>
        <row r="3471">
          <cell r="G3471" t="str">
            <v>ASV5564</v>
          </cell>
          <cell r="H3471" t="str">
            <v>g__Eubacterium_oxidoreducens_group</v>
          </cell>
          <cell r="I3471" t="str">
            <v>s__uncultured_bacterium_g__Eubacterium_oxidoreducens_group</v>
          </cell>
        </row>
        <row r="3472">
          <cell r="G3472" t="str">
            <v>ASV12539</v>
          </cell>
          <cell r="H3472" t="str">
            <v>g__unclassified_f__Lachnospiraceae</v>
          </cell>
          <cell r="I3472" t="str">
            <v>s__unclassified_f__Lachnospiraceae</v>
          </cell>
        </row>
        <row r="3473">
          <cell r="G3473" t="str">
            <v>ASV9168</v>
          </cell>
          <cell r="H3473" t="str">
            <v>g__unclassified_f__Lachnospiraceae</v>
          </cell>
          <cell r="I3473" t="str">
            <v>s__unclassified_f__Lachnospiraceae</v>
          </cell>
        </row>
        <row r="3474">
          <cell r="G3474" t="str">
            <v>ASV24077</v>
          </cell>
          <cell r="H3474" t="str">
            <v>g__unclassified_c__Bacilli</v>
          </cell>
          <cell r="I3474" t="str">
            <v>s__unclassified_c__Bacilli</v>
          </cell>
        </row>
        <row r="3475">
          <cell r="G3475" t="str">
            <v>ASV21835</v>
          </cell>
          <cell r="H3475" t="str">
            <v>g__norank_f__Eubacterium_coprostanoligenes_group</v>
          </cell>
          <cell r="I3475" t="str">
            <v>s__uncultured_bacterium_g__norank_f__Eubacterium_coprostanoligenes_group</v>
          </cell>
        </row>
        <row r="3476">
          <cell r="G3476" t="str">
            <v>ASV19266</v>
          </cell>
          <cell r="H3476" t="str">
            <v>g__UCG-002</v>
          </cell>
          <cell r="I3476" t="str">
            <v>s__uncultured_bacterium_g__UCG-002</v>
          </cell>
        </row>
        <row r="3477">
          <cell r="G3477" t="str">
            <v>ASV9165</v>
          </cell>
          <cell r="H3477" t="str">
            <v>g__Mogibacterium</v>
          </cell>
          <cell r="I3477" t="str">
            <v>s__uncultured_bacterium_g__Mogibacterium</v>
          </cell>
        </row>
        <row r="3478">
          <cell r="G3478" t="str">
            <v>ASV8326</v>
          </cell>
          <cell r="H3478" t="str">
            <v>g__Weissella</v>
          </cell>
          <cell r="I3478" t="str">
            <v>s__unclassified_g__Weissella</v>
          </cell>
        </row>
        <row r="3479">
          <cell r="G3479" t="str">
            <v>ASV282</v>
          </cell>
          <cell r="H3479" t="str">
            <v>g__unclassified_f__Ruminococcaceae</v>
          </cell>
          <cell r="I3479" t="str">
            <v>s__unclassified_f__Ruminococcaceae</v>
          </cell>
        </row>
        <row r="3480">
          <cell r="G3480" t="str">
            <v>ASV18498</v>
          </cell>
          <cell r="H3480" t="str">
            <v>g__unclassified_f__Lachnospiraceae</v>
          </cell>
          <cell r="I3480" t="str">
            <v>s__unclassified_f__Lachnospiraceae</v>
          </cell>
        </row>
        <row r="3481">
          <cell r="G3481" t="str">
            <v>ASV13917</v>
          </cell>
          <cell r="H3481" t="str">
            <v>g__unclassified_c__Clostridia</v>
          </cell>
          <cell r="I3481" t="str">
            <v>s__unclassified_c__Clostridia</v>
          </cell>
        </row>
        <row r="3482">
          <cell r="G3482" t="str">
            <v>ASV23035</v>
          </cell>
          <cell r="H3482" t="str">
            <v>g__norank_f__Ruminococcaceae</v>
          </cell>
          <cell r="I3482" t="str">
            <v>s__unclassified_g__norank_f__Ruminococcaceae</v>
          </cell>
        </row>
        <row r="3483">
          <cell r="G3483" t="str">
            <v>ASV8773</v>
          </cell>
          <cell r="H3483" t="str">
            <v>g__Lactobacillus</v>
          </cell>
          <cell r="I3483" t="str">
            <v>s__unclassified_g__Lactobacillus</v>
          </cell>
        </row>
        <row r="3484">
          <cell r="G3484" t="str">
            <v>ASV1937</v>
          </cell>
          <cell r="H3484" t="str">
            <v>g__Clostridium_sensu_stricto_1</v>
          </cell>
          <cell r="I3484" t="str">
            <v>s__unclassified_g__Clostridium_sensu_stricto_1</v>
          </cell>
        </row>
        <row r="3485">
          <cell r="G3485" t="str">
            <v>ASV8701</v>
          </cell>
          <cell r="H3485" t="str">
            <v>g__Catonella</v>
          </cell>
          <cell r="I3485" t="str">
            <v>s__uncultured_bacterium_g__Catonella</v>
          </cell>
        </row>
        <row r="3486">
          <cell r="G3486" t="str">
            <v>ASV12536</v>
          </cell>
          <cell r="H3486" t="str">
            <v>g__unclassified_o__Lactobacillales</v>
          </cell>
          <cell r="I3486" t="str">
            <v>s__unclassified_o__Lactobacillales</v>
          </cell>
        </row>
        <row r="3487">
          <cell r="G3487" t="str">
            <v>ASV1942</v>
          </cell>
          <cell r="H3487" t="str">
            <v>g__Lactobacillus</v>
          </cell>
          <cell r="I3487" t="str">
            <v>s__unclassified_g__Lactobacillus</v>
          </cell>
        </row>
        <row r="3488">
          <cell r="G3488" t="str">
            <v>ASV20392</v>
          </cell>
          <cell r="H3488" t="str">
            <v>g__Acinetobacter</v>
          </cell>
          <cell r="I3488" t="str">
            <v>s__unclassified_g__Acinetobacter</v>
          </cell>
        </row>
        <row r="3489">
          <cell r="G3489" t="str">
            <v>ASV12540</v>
          </cell>
          <cell r="H3489" t="str">
            <v>g__Christensenellaceae_R-7_group</v>
          </cell>
          <cell r="I3489" t="str">
            <v>s__unclassified_g__Christensenellaceae_R-7_group</v>
          </cell>
        </row>
        <row r="3490">
          <cell r="G3490" t="str">
            <v>ASV9170</v>
          </cell>
          <cell r="H3490" t="str">
            <v>g__unclassified_f__Lachnospiraceae</v>
          </cell>
          <cell r="I3490" t="str">
            <v>s__unclassified_f__Lachnospiraceae</v>
          </cell>
        </row>
        <row r="3491">
          <cell r="G3491" t="str">
            <v>ASV5561</v>
          </cell>
          <cell r="H3491" t="str">
            <v>g__unclassified_f__Ruminococcaceae</v>
          </cell>
          <cell r="I3491" t="str">
            <v>s__unclassified_f__Ruminococcaceae</v>
          </cell>
        </row>
        <row r="3492">
          <cell r="G3492" t="str">
            <v>ASV21845</v>
          </cell>
          <cell r="H3492" t="str">
            <v>g__unclassified_f__Oscillospiraceae</v>
          </cell>
          <cell r="I3492" t="str">
            <v>s__unclassified_f__Oscillospiraceae</v>
          </cell>
        </row>
        <row r="3493">
          <cell r="G3493" t="str">
            <v>ASV12541</v>
          </cell>
          <cell r="H3493" t="str">
            <v>g__unclassified_c__Bacilli</v>
          </cell>
          <cell r="I3493" t="str">
            <v>s__unclassified_c__Bacilli</v>
          </cell>
        </row>
        <row r="3494">
          <cell r="G3494" t="str">
            <v>ASV24377</v>
          </cell>
          <cell r="H3494" t="str">
            <v>g__Lactobacillus</v>
          </cell>
          <cell r="I3494" t="str">
            <v>s__unclassified_g__Lactobacillus</v>
          </cell>
        </row>
        <row r="3495">
          <cell r="G3495" t="str">
            <v>ASV7493</v>
          </cell>
          <cell r="H3495" t="str">
            <v>g__Holdemanella</v>
          </cell>
          <cell r="I3495" t="str">
            <v>s__uncultured_bacterium_g__Holdemanella</v>
          </cell>
        </row>
        <row r="3496">
          <cell r="G3496" t="str">
            <v>ASV19255</v>
          </cell>
          <cell r="H3496" t="str">
            <v>g__Ruminococcus</v>
          </cell>
          <cell r="I3496" t="str">
            <v>s__unclassified_g__Ruminococcus</v>
          </cell>
        </row>
        <row r="3497">
          <cell r="G3497" t="str">
            <v>ASV4505</v>
          </cell>
          <cell r="H3497" t="str">
            <v>g__unclassified_c__Clostridia</v>
          </cell>
          <cell r="I3497" t="str">
            <v>s__unclassified_c__Clostridia</v>
          </cell>
        </row>
        <row r="3498">
          <cell r="G3498" t="str">
            <v>ASV21831</v>
          </cell>
          <cell r="H3498" t="str">
            <v>g__unclassified_c__Clostridia</v>
          </cell>
          <cell r="I3498" t="str">
            <v>s__unclassified_c__Clostridia</v>
          </cell>
        </row>
        <row r="3499">
          <cell r="G3499" t="str">
            <v>ASV8927</v>
          </cell>
          <cell r="H3499" t="str">
            <v>g__unclassified_f__Lachnospiraceae</v>
          </cell>
          <cell r="I3499" t="str">
            <v>s__unclassified_f__Lachnospiraceae</v>
          </cell>
        </row>
        <row r="3500">
          <cell r="G3500" t="str">
            <v>ASV17738</v>
          </cell>
          <cell r="H3500" t="str">
            <v>g__norank_f__Christensenellaceae</v>
          </cell>
          <cell r="I3500" t="str">
            <v>s__uncultured_bacterium_g__norank_f__Christensenellaceae</v>
          </cell>
        </row>
        <row r="3501">
          <cell r="G3501" t="str">
            <v>ASV5566</v>
          </cell>
          <cell r="H3501" t="str">
            <v>g__Terrisporobacter</v>
          </cell>
          <cell r="I3501" t="str">
            <v>s__uncultured_bacterium_g__Terrisporobacter</v>
          </cell>
        </row>
        <row r="3502">
          <cell r="G3502" t="str">
            <v>ASV21839</v>
          </cell>
          <cell r="H3502" t="str">
            <v>g__unclassified_f__Lachnospiraceae</v>
          </cell>
          <cell r="I3502" t="str">
            <v>s__unclassified_f__Lachnospiraceae</v>
          </cell>
        </row>
        <row r="3503">
          <cell r="G3503" t="str">
            <v>ASV13680</v>
          </cell>
          <cell r="H3503" t="str">
            <v>g__Lactobacillus</v>
          </cell>
          <cell r="I3503" t="str">
            <v>s__unclassified_g__Lactobacillus</v>
          </cell>
        </row>
        <row r="3504">
          <cell r="G3504" t="str">
            <v>ASV1938</v>
          </cell>
          <cell r="H3504" t="str">
            <v>g__unclassified_f__Clostridiaceae</v>
          </cell>
          <cell r="I3504" t="str">
            <v>s__unclassified_f__Clostridiaceae</v>
          </cell>
        </row>
        <row r="3505">
          <cell r="G3505" t="str">
            <v>ASV4506</v>
          </cell>
          <cell r="H3505" t="str">
            <v>g__unclassified_c__Clostridia</v>
          </cell>
          <cell r="I3505" t="str">
            <v>s__unclassified_c__Clostridia</v>
          </cell>
        </row>
        <row r="3506">
          <cell r="G3506" t="str">
            <v>ASV1936</v>
          </cell>
          <cell r="H3506" t="str">
            <v>g__unclassified_p__Firmicutes</v>
          </cell>
          <cell r="I3506" t="str">
            <v>s__unclassified_p__Firmicutes</v>
          </cell>
        </row>
        <row r="3507">
          <cell r="G3507" t="str">
            <v>ASV15024</v>
          </cell>
          <cell r="H3507" t="str">
            <v>g__Bacteroides</v>
          </cell>
          <cell r="I3507" t="str">
            <v>s__unclassified_g__Bacteroides</v>
          </cell>
        </row>
        <row r="3508">
          <cell r="G3508" t="str">
            <v>ASV21838</v>
          </cell>
          <cell r="H3508" t="str">
            <v>g__unclassified_f__Ruminococcaceae</v>
          </cell>
          <cell r="I3508" t="str">
            <v>s__unclassified_f__Ruminococcaceae</v>
          </cell>
        </row>
        <row r="3509">
          <cell r="G3509" t="str">
            <v>ASV23905</v>
          </cell>
          <cell r="H3509" t="str">
            <v>g__Acidaminococcus</v>
          </cell>
          <cell r="I3509" t="str">
            <v>s__Acidaminococcus_fermentans</v>
          </cell>
        </row>
        <row r="3510">
          <cell r="G3510" t="str">
            <v>ASV3813</v>
          </cell>
          <cell r="H3510" t="str">
            <v>g__Phascolarctobacterium</v>
          </cell>
          <cell r="I3510" t="str">
            <v>s__Ruminococcus_sp._N15.MGS-57_g__Phascolarctobacterium</v>
          </cell>
        </row>
        <row r="3511">
          <cell r="G3511" t="str">
            <v>ASV5842</v>
          </cell>
          <cell r="H3511" t="str">
            <v>g__unclassified_f__Ruminococcaceae</v>
          </cell>
          <cell r="I3511" t="str">
            <v>s__unclassified_f__Ruminococcaceae</v>
          </cell>
        </row>
        <row r="3512">
          <cell r="G3512" t="str">
            <v>ASV3006</v>
          </cell>
          <cell r="H3512" t="str">
            <v>g__norank_f__Selenomonadaceae</v>
          </cell>
          <cell r="I3512" t="str">
            <v>s__swine_fecal_bacterium_SD-Cel5</v>
          </cell>
        </row>
        <row r="3513">
          <cell r="G3513" t="str">
            <v>ASV3428</v>
          </cell>
          <cell r="H3513" t="str">
            <v>g__unclassified_f__Pasteurellaceae</v>
          </cell>
          <cell r="I3513" t="str">
            <v>s__unclassified_f__Pasteurellaceae</v>
          </cell>
        </row>
        <row r="3514">
          <cell r="G3514" t="str">
            <v>ASV23037</v>
          </cell>
          <cell r="H3514" t="str">
            <v>g__UCG-002</v>
          </cell>
          <cell r="I3514" t="str">
            <v>s__unclassified_g__UCG-002</v>
          </cell>
        </row>
        <row r="3515">
          <cell r="G3515" t="str">
            <v>ASV20534</v>
          </cell>
          <cell r="H3515" t="str">
            <v>g__Monoglobus</v>
          </cell>
          <cell r="I3515" t="str">
            <v>s__unclassified_g__Monoglobus</v>
          </cell>
        </row>
        <row r="3516">
          <cell r="G3516" t="str">
            <v>ASV3056</v>
          </cell>
          <cell r="H3516" t="str">
            <v>g__norank_f__Lachnospiraceae</v>
          </cell>
          <cell r="I3516" t="str">
            <v>s__unclassified_g__norank_f__Lachnospiraceae</v>
          </cell>
        </row>
        <row r="3517">
          <cell r="G3517" t="str">
            <v>ASV3809</v>
          </cell>
          <cell r="H3517" t="str">
            <v>g__Fusobacterium</v>
          </cell>
          <cell r="I3517" t="str">
            <v>s__unclassified_g__Fusobacterium</v>
          </cell>
        </row>
        <row r="3518">
          <cell r="G3518" t="str">
            <v>ASV19034</v>
          </cell>
          <cell r="H3518" t="str">
            <v>g__Phascolarctobacterium</v>
          </cell>
          <cell r="I3518" t="str">
            <v>s__unclassified_g__Phascolarctobacterium</v>
          </cell>
        </row>
        <row r="3519">
          <cell r="G3519" t="str">
            <v>ASV9955</v>
          </cell>
          <cell r="H3519" t="str">
            <v>g__unclassified_f__Lachnospiraceae</v>
          </cell>
          <cell r="I3519" t="str">
            <v>s__unclassified_f__Lachnospiraceae</v>
          </cell>
        </row>
        <row r="3520">
          <cell r="G3520" t="str">
            <v>ASV2684</v>
          </cell>
          <cell r="H3520" t="str">
            <v>g__Desulfovibrio</v>
          </cell>
          <cell r="I3520" t="str">
            <v>s__unclassified_g__Desulfovibrio</v>
          </cell>
        </row>
        <row r="3521">
          <cell r="G3521" t="str">
            <v>ASV21836</v>
          </cell>
          <cell r="H3521" t="str">
            <v>g__unclassified_p__Firmicutes</v>
          </cell>
          <cell r="I3521" t="str">
            <v>s__unclassified_p__Firmicutes</v>
          </cell>
        </row>
        <row r="3522">
          <cell r="G3522" t="str">
            <v>ASV6546</v>
          </cell>
          <cell r="H3522" t="str">
            <v>g__norank_f__Eubacterium_coprostanoligenes_group</v>
          </cell>
          <cell r="I3522" t="str">
            <v>s__uncultured_bacterium_g__norank_f__Eubacterium_coprostanoligenes_group</v>
          </cell>
        </row>
        <row r="3523">
          <cell r="G3523" t="str">
            <v>ASV23025</v>
          </cell>
          <cell r="H3523" t="str">
            <v>g__unclassified_c__Clostridia</v>
          </cell>
          <cell r="I3523" t="str">
            <v>s__unclassified_c__Clostridia</v>
          </cell>
        </row>
        <row r="3524">
          <cell r="G3524" t="str">
            <v>ASV15776</v>
          </cell>
          <cell r="H3524" t="str">
            <v>g__unclassified_f__Lachnospiraceae</v>
          </cell>
          <cell r="I3524" t="str">
            <v>s__unclassified_f__Lachnospiraceae</v>
          </cell>
        </row>
        <row r="3525">
          <cell r="G3525" t="str">
            <v>ASV4508</v>
          </cell>
          <cell r="H3525" t="str">
            <v>g__unclassified_f__Lachnospiraceae</v>
          </cell>
          <cell r="I3525" t="str">
            <v>s__unclassified_f__Lachnospiraceae</v>
          </cell>
        </row>
        <row r="3526">
          <cell r="G3526" t="str">
            <v>ASV5562</v>
          </cell>
          <cell r="H3526" t="str">
            <v>g__Clostridium_sensu_stricto_1</v>
          </cell>
          <cell r="I3526" t="str">
            <v>s__unclassified_g__Clostridium_sensu_stricto_1</v>
          </cell>
        </row>
        <row r="3527">
          <cell r="G3527" t="str">
            <v>ASV7257</v>
          </cell>
          <cell r="H3527" t="str">
            <v>g__Prevotella</v>
          </cell>
          <cell r="I3527" t="str">
            <v>s__Prevotella_sp._RS2</v>
          </cell>
        </row>
        <row r="3528">
          <cell r="G3528" t="str">
            <v>ASV21834</v>
          </cell>
          <cell r="H3528" t="str">
            <v>g__Christensenellaceae_R-7_group</v>
          </cell>
          <cell r="I3528" t="str">
            <v>s__unclassified_g__Christensenellaceae_R-7_group</v>
          </cell>
        </row>
        <row r="3529">
          <cell r="G3529" t="str">
            <v>ASV13264</v>
          </cell>
          <cell r="H3529" t="str">
            <v>g__Parabacteroides</v>
          </cell>
          <cell r="I3529" t="str">
            <v>s__Porphyromonadaceae_bacterium_DJF_B175</v>
          </cell>
        </row>
        <row r="3530">
          <cell r="G3530" t="str">
            <v>ASV15170</v>
          </cell>
          <cell r="H3530" t="str">
            <v>g__Christensenellaceae_R-7_group</v>
          </cell>
          <cell r="I3530" t="str">
            <v>s__unclassified_g__Christensenellaceae_R-7_group</v>
          </cell>
        </row>
        <row r="3531">
          <cell r="G3531" t="str">
            <v>ASV287</v>
          </cell>
          <cell r="H3531" t="str">
            <v>g__Prevotella</v>
          </cell>
          <cell r="I3531" t="str">
            <v>s__human_gut_metagenome_g__Prevotella</v>
          </cell>
        </row>
        <row r="3532">
          <cell r="G3532" t="str">
            <v>ASV20535</v>
          </cell>
          <cell r="H3532" t="str">
            <v>g__unclassified_f__Ruminococcaceae</v>
          </cell>
          <cell r="I3532" t="str">
            <v>s__unclassified_f__Ruminococcaceae</v>
          </cell>
        </row>
        <row r="3533">
          <cell r="G3533" t="str">
            <v>ASV20390</v>
          </cell>
          <cell r="H3533" t="str">
            <v>g__Fusobacterium</v>
          </cell>
          <cell r="I3533" t="str">
            <v>s__unclassified_g__Fusobacterium</v>
          </cell>
        </row>
        <row r="3534">
          <cell r="G3534" t="str">
            <v>ASV3603</v>
          </cell>
          <cell r="H3534" t="str">
            <v>g__Leptotrichia</v>
          </cell>
          <cell r="I3534" t="str">
            <v>s__uncultured_bacterium_g__Leptotrichia</v>
          </cell>
        </row>
        <row r="3535">
          <cell r="G3535" t="str">
            <v>ASV21566</v>
          </cell>
          <cell r="H3535" t="str">
            <v>g__Prevotella</v>
          </cell>
          <cell r="I3535" t="str">
            <v>s__unclassified_g__Prevotella</v>
          </cell>
        </row>
        <row r="3536">
          <cell r="G3536" t="str">
            <v>ASV1567</v>
          </cell>
          <cell r="H3536" t="str">
            <v>g__Lactobacillus</v>
          </cell>
          <cell r="I3536" t="str">
            <v>s__unclassified_g__Lactobacillus</v>
          </cell>
        </row>
        <row r="3537">
          <cell r="G3537" t="str">
            <v>ASV23030</v>
          </cell>
          <cell r="H3537" t="str">
            <v>g__Megasphaera</v>
          </cell>
          <cell r="I3537" t="str">
            <v>s__unclassified_g__Megasphaera</v>
          </cell>
        </row>
        <row r="3538">
          <cell r="G3538" t="str">
            <v>ASV8416</v>
          </cell>
          <cell r="H3538" t="str">
            <v>g__Prevotella</v>
          </cell>
          <cell r="I3538" t="str">
            <v>s__unclassified_g__Prevotella</v>
          </cell>
        </row>
        <row r="3539">
          <cell r="G3539" t="str">
            <v>ASV3811</v>
          </cell>
          <cell r="H3539" t="str">
            <v>g__unclassified_f__Synergistaceae</v>
          </cell>
          <cell r="I3539" t="str">
            <v>s__unclassified_f__Synergistaceae</v>
          </cell>
        </row>
        <row r="3540">
          <cell r="G3540" t="str">
            <v>ASV7014</v>
          </cell>
          <cell r="H3540" t="str">
            <v>g__unclassified_k__norank_d__Bacteria</v>
          </cell>
          <cell r="I3540" t="str">
            <v>s__unclassified_k__norank_d__Bacteria</v>
          </cell>
        </row>
        <row r="3541">
          <cell r="G3541" t="str">
            <v>ASV13263</v>
          </cell>
          <cell r="H3541" t="str">
            <v>g__Christensenellaceae_R-7_group</v>
          </cell>
          <cell r="I3541" t="str">
            <v>s__unclassified_g__Christensenellaceae_R-7_group</v>
          </cell>
        </row>
        <row r="3542">
          <cell r="G3542" t="str">
            <v>ASV9171</v>
          </cell>
          <cell r="H3542" t="str">
            <v>g__norank_f__Oscillospiraceae</v>
          </cell>
          <cell r="I3542" t="str">
            <v>s__metagenome_g__norank_f__Oscillospiraceae</v>
          </cell>
        </row>
        <row r="3543">
          <cell r="G3543" t="str">
            <v>ASV19260</v>
          </cell>
          <cell r="H3543" t="str">
            <v>g__unclassified_c__Clostridia</v>
          </cell>
          <cell r="I3543" t="str">
            <v>s__unclassified_c__Clostridia</v>
          </cell>
        </row>
        <row r="3544">
          <cell r="G3544" t="str">
            <v>ASV19258</v>
          </cell>
          <cell r="H3544" t="str">
            <v>g__norank_f__Eubacterium_coprostanoligenes_group</v>
          </cell>
          <cell r="I3544" t="str">
            <v>s__unclassified_g__norank_f__Eubacterium_coprostanoligenes_group</v>
          </cell>
        </row>
        <row r="3545">
          <cell r="G3545" t="str">
            <v>ASV19261</v>
          </cell>
          <cell r="H3545" t="str">
            <v>g__norank_f__Eubacterium_coprostanoligenes_group</v>
          </cell>
          <cell r="I3545" t="str">
            <v>s__unclassified_g__norank_f__Eubacterium_coprostanoligenes_group</v>
          </cell>
        </row>
        <row r="3546">
          <cell r="G3546" t="str">
            <v>ASV12543</v>
          </cell>
          <cell r="H3546" t="str">
            <v>g__unclassified_f__Lachnospiraceae</v>
          </cell>
          <cell r="I3546" t="str">
            <v>s__unclassified_f__Lachnospiraceae</v>
          </cell>
        </row>
        <row r="3547">
          <cell r="G3547" t="str">
            <v>ASV3605</v>
          </cell>
          <cell r="H3547" t="str">
            <v>g__Actinobacillus</v>
          </cell>
          <cell r="I3547" t="str">
            <v>s__Actinobacillus_porcinus</v>
          </cell>
        </row>
        <row r="3548">
          <cell r="G3548" t="str">
            <v>ASV4504</v>
          </cell>
          <cell r="H3548" t="str">
            <v>g__unclassified_p__Firmicutes</v>
          </cell>
          <cell r="I3548" t="str">
            <v>s__unclassified_p__Firmicutes</v>
          </cell>
        </row>
        <row r="3549">
          <cell r="G3549" t="str">
            <v>ASV281</v>
          </cell>
          <cell r="H3549" t="str">
            <v>g__UCG-002</v>
          </cell>
          <cell r="I3549" t="str">
            <v>s__uncultured_bacterium_g__UCG-002</v>
          </cell>
        </row>
        <row r="3550">
          <cell r="G3550" t="str">
            <v>ASV15892</v>
          </cell>
          <cell r="H3550" t="str">
            <v>g__unclassified_k__norank_d__Bacteria</v>
          </cell>
          <cell r="I3550" t="str">
            <v>s__unclassified_k__norank_d__Bacteria</v>
          </cell>
        </row>
        <row r="3551">
          <cell r="G3551" t="str">
            <v>ASV11211</v>
          </cell>
          <cell r="H3551" t="str">
            <v>g__Lachnospiraceae_NC2004_group</v>
          </cell>
          <cell r="I3551" t="str">
            <v>s__uncultured_bacterium_g__Lachnospiraceae_NC2004_group</v>
          </cell>
        </row>
        <row r="3552">
          <cell r="G3552" t="str">
            <v>ASV1940</v>
          </cell>
          <cell r="H3552" t="str">
            <v>g__unclassified_p__Firmicutes</v>
          </cell>
          <cell r="I3552" t="str">
            <v>s__unclassified_p__Firmicutes</v>
          </cell>
        </row>
        <row r="3553">
          <cell r="G3553" t="str">
            <v>ASV23033</v>
          </cell>
          <cell r="H3553" t="str">
            <v>g__Bacillus</v>
          </cell>
          <cell r="I3553" t="str">
            <v>s__Lactobacillus_vaginalis_g__Bacillus</v>
          </cell>
        </row>
        <row r="3554">
          <cell r="G3554" t="str">
            <v>ASV17754</v>
          </cell>
          <cell r="H3554" t="str">
            <v>g__Cloacibacillus</v>
          </cell>
          <cell r="I3554" t="str">
            <v>s__unclassified_g__Cloacibacillus</v>
          </cell>
        </row>
        <row r="3555">
          <cell r="G3555" t="str">
            <v>ASV8722</v>
          </cell>
          <cell r="H3555" t="str">
            <v>g__Proteocatella</v>
          </cell>
          <cell r="I3555" t="str">
            <v>s__unclassified_g__Proteocatella</v>
          </cell>
        </row>
        <row r="3556">
          <cell r="G3556" t="str">
            <v>ASV7015</v>
          </cell>
          <cell r="H3556" t="str">
            <v>g__Bacteroides</v>
          </cell>
          <cell r="I3556" t="str">
            <v>s__uncultured_bacterium_g__Bacteroides</v>
          </cell>
        </row>
        <row r="3557">
          <cell r="G3557" t="str">
            <v>ASV13926</v>
          </cell>
          <cell r="H3557" t="str">
            <v>g__unclassified_f__Ruminococcaceae</v>
          </cell>
          <cell r="I3557" t="str">
            <v>s__unclassified_f__Ruminococcaceae</v>
          </cell>
        </row>
        <row r="3558">
          <cell r="G3558" t="str">
            <v>ASV8424</v>
          </cell>
          <cell r="H3558" t="str">
            <v>g__unclassified_k__norank_d__Bacteria</v>
          </cell>
          <cell r="I3558" t="str">
            <v>s__unclassified_k__norank_d__Bacteria</v>
          </cell>
        </row>
        <row r="3559">
          <cell r="G3559" t="str">
            <v>ASV3020</v>
          </cell>
          <cell r="H3559" t="str">
            <v>g__Streptococcus</v>
          </cell>
          <cell r="I3559" t="str">
            <v>s__unclassified_g__Streptococcus</v>
          </cell>
        </row>
        <row r="3560">
          <cell r="G3560" t="str">
            <v>ASV19268</v>
          </cell>
          <cell r="H3560" t="str">
            <v>g__Prevotella</v>
          </cell>
          <cell r="I3560" t="str">
            <v>s__unclassified_g__Prevotella</v>
          </cell>
        </row>
        <row r="3561">
          <cell r="G3561" t="str">
            <v>ASV15178</v>
          </cell>
          <cell r="H3561" t="str">
            <v>g__unclassified_f__Ruminococcaceae</v>
          </cell>
          <cell r="I3561" t="str">
            <v>s__unclassified_f__Ruminococcaceae</v>
          </cell>
        </row>
        <row r="3562">
          <cell r="G3562" t="str">
            <v>ASV311</v>
          </cell>
          <cell r="H3562" t="str">
            <v>g__unclassified_p__Firmicutes</v>
          </cell>
          <cell r="I3562" t="str">
            <v>s__unclassified_p__Firmicutes</v>
          </cell>
        </row>
        <row r="3563">
          <cell r="G3563" t="str">
            <v>ASV1607</v>
          </cell>
          <cell r="H3563" t="str">
            <v>g__norank_f__Eggerthellaceae</v>
          </cell>
          <cell r="I3563" t="str">
            <v>s__uncultured_bacterium_g__norank_f__Eggerthellaceae</v>
          </cell>
        </row>
        <row r="3564">
          <cell r="G3564" t="str">
            <v>ASV17755</v>
          </cell>
          <cell r="H3564" t="str">
            <v>g__Phascolarctobacterium</v>
          </cell>
          <cell r="I3564" t="str">
            <v>s__Ruminococcus_sp._N15.MGS-57_g__Phascolarctobacterium</v>
          </cell>
        </row>
        <row r="3565">
          <cell r="G3565" t="str">
            <v>ASV18504</v>
          </cell>
          <cell r="H3565" t="str">
            <v>g__unclassified_c__Bacilli</v>
          </cell>
          <cell r="I3565" t="str">
            <v>s__unclassified_c__Bacilli</v>
          </cell>
        </row>
        <row r="3566">
          <cell r="G3566" t="str">
            <v>ASV4521</v>
          </cell>
          <cell r="H3566" t="str">
            <v>g__unclassified_f__Christensenellaceae</v>
          </cell>
          <cell r="I3566" t="str">
            <v>s__unclassified_f__Christensenellaceae</v>
          </cell>
        </row>
        <row r="3567">
          <cell r="G3567" t="str">
            <v>ASV6548</v>
          </cell>
          <cell r="H3567" t="str">
            <v>g__Cloacibacillus</v>
          </cell>
          <cell r="I3567" t="str">
            <v>s__unclassified_g__Cloacibacillus</v>
          </cell>
        </row>
        <row r="3568">
          <cell r="G3568" t="str">
            <v>ASV1572</v>
          </cell>
          <cell r="H3568" t="str">
            <v>g__Veillonella</v>
          </cell>
          <cell r="I3568" t="str">
            <v>s__bacterium_RA2114</v>
          </cell>
        </row>
        <row r="3569">
          <cell r="G3569" t="str">
            <v>ASV17170</v>
          </cell>
          <cell r="H3569" t="str">
            <v>g__unclassified_f__Peptostreptococcaceae</v>
          </cell>
          <cell r="I3569" t="str">
            <v>s__unclassified_f__Peptostreptococcaceae</v>
          </cell>
        </row>
        <row r="3570">
          <cell r="G3570" t="str">
            <v>ASV11231</v>
          </cell>
          <cell r="H3570" t="str">
            <v>g__norank_f__Muribaculaceae</v>
          </cell>
          <cell r="I3570" t="str">
            <v>s__uncultured_bacterium_g__norank_f__Muribaculaceae</v>
          </cell>
        </row>
        <row r="3571">
          <cell r="G3571" t="str">
            <v>ASV6551</v>
          </cell>
          <cell r="H3571" t="str">
            <v>g__Lachnoclostridium</v>
          </cell>
          <cell r="I3571" t="str">
            <v>s__unclassified_g__Lachnoclostridium</v>
          </cell>
        </row>
        <row r="3572">
          <cell r="G3572" t="str">
            <v>ASV7017</v>
          </cell>
          <cell r="H3572" t="str">
            <v>g__Lactobacillus</v>
          </cell>
          <cell r="I3572" t="str">
            <v>s__unclassified_g__Lactobacillus</v>
          </cell>
        </row>
        <row r="3573">
          <cell r="G3573" t="str">
            <v>ASV21151</v>
          </cell>
          <cell r="H3573" t="str">
            <v>g__unclassified_p__Firmicutes</v>
          </cell>
          <cell r="I3573" t="str">
            <v>s__unclassified_p__Firmicutes</v>
          </cell>
        </row>
        <row r="3574">
          <cell r="G3574" t="str">
            <v>ASV15027</v>
          </cell>
          <cell r="H3574" t="str">
            <v>g__unclassified_k__norank_d__Bacteria</v>
          </cell>
          <cell r="I3574" t="str">
            <v>s__unclassified_k__norank_d__Bacteria</v>
          </cell>
        </row>
        <row r="3575">
          <cell r="G3575" t="str">
            <v>ASV21858</v>
          </cell>
          <cell r="H3575" t="str">
            <v>g__Christensenellaceae_R-7_group</v>
          </cell>
          <cell r="I3575" t="str">
            <v>s__uncultured_prokaryote_g__Christensenellaceae_R-7_group</v>
          </cell>
        </row>
        <row r="3576">
          <cell r="G3576" t="str">
            <v>ASV21152</v>
          </cell>
          <cell r="H3576" t="str">
            <v>g__Fusobacterium</v>
          </cell>
          <cell r="I3576" t="str">
            <v>s__unclassified_g__Fusobacterium</v>
          </cell>
        </row>
        <row r="3577">
          <cell r="G3577" t="str">
            <v>ASV11222</v>
          </cell>
          <cell r="H3577" t="str">
            <v>g__unclassified_o__Oscillospirales</v>
          </cell>
          <cell r="I3577" t="str">
            <v>s__unclassified_o__Oscillospirales</v>
          </cell>
        </row>
        <row r="3578">
          <cell r="G3578" t="str">
            <v>ASV22911</v>
          </cell>
          <cell r="H3578" t="str">
            <v>g__norank_f__Peptostreptococcaceae</v>
          </cell>
          <cell r="I3578" t="str">
            <v>s__unclassified_g__norank_f__Peptostreptococcaceae</v>
          </cell>
        </row>
        <row r="3579">
          <cell r="G3579" t="str">
            <v>ASV7156</v>
          </cell>
          <cell r="H3579" t="str">
            <v>g__norank_f__norank_o__Absconditabacteriales_SR1</v>
          </cell>
          <cell r="I3579" t="str">
            <v>s__SR1_bacterium_canine_oral_taxon_369</v>
          </cell>
        </row>
        <row r="3580">
          <cell r="G3580" t="str">
            <v>ASV19276</v>
          </cell>
          <cell r="H3580" t="str">
            <v>g__norank_f__Muribaculaceae</v>
          </cell>
          <cell r="I3580" t="str">
            <v>s__unclassified_g__norank_f__Muribaculaceae</v>
          </cell>
        </row>
        <row r="3581">
          <cell r="G3581" t="str">
            <v>ASV15898</v>
          </cell>
          <cell r="H3581" t="str">
            <v>g__Campylobacter</v>
          </cell>
          <cell r="I3581" t="str">
            <v>s__unclassified_g__Campylobacter</v>
          </cell>
        </row>
        <row r="3582">
          <cell r="G3582" t="str">
            <v>ASV7016</v>
          </cell>
          <cell r="H3582" t="str">
            <v>g__Lactobacillus</v>
          </cell>
          <cell r="I3582" t="str">
            <v>s__unclassified_g__Lactobacillus</v>
          </cell>
        </row>
        <row r="3583">
          <cell r="G3583" t="str">
            <v>ASV17450</v>
          </cell>
          <cell r="H3583" t="str">
            <v>g__Mogibacterium</v>
          </cell>
          <cell r="I3583" t="str">
            <v>s__uncultured_bacterium_g__Mogibacterium</v>
          </cell>
        </row>
        <row r="3584">
          <cell r="G3584" t="str">
            <v>ASV15778</v>
          </cell>
          <cell r="H3584" t="str">
            <v>g__unclassified_f__Selenomonadaceae</v>
          </cell>
          <cell r="I3584" t="str">
            <v>s__unclassified_f__Selenomonadaceae</v>
          </cell>
        </row>
        <row r="3585">
          <cell r="G3585" t="str">
            <v>ASV20550</v>
          </cell>
          <cell r="H3585" t="str">
            <v>g__unclassified_c__Clostridia</v>
          </cell>
          <cell r="I3585" t="str">
            <v>s__unclassified_c__Clostridia</v>
          </cell>
        </row>
        <row r="3586">
          <cell r="G3586" t="str">
            <v>ASV11239</v>
          </cell>
          <cell r="H3586" t="str">
            <v>g__Ruminococcus</v>
          </cell>
          <cell r="I3586" t="str">
            <v>s__unclassified_g__Ruminococcus</v>
          </cell>
        </row>
        <row r="3587">
          <cell r="G3587" t="str">
            <v>ASV11227</v>
          </cell>
          <cell r="H3587" t="str">
            <v>g__unclassified_f__Lachnospiraceae</v>
          </cell>
          <cell r="I3587" t="str">
            <v>s__unclassified_f__Lachnospiraceae</v>
          </cell>
        </row>
        <row r="3588">
          <cell r="G3588" t="str">
            <v>ASV21765</v>
          </cell>
          <cell r="H3588" t="str">
            <v>g__Gemella</v>
          </cell>
          <cell r="I3588" t="str">
            <v>s__uncultured_bacterium_g__Gemella</v>
          </cell>
        </row>
        <row r="3589">
          <cell r="G3589" t="str">
            <v>ASV21846</v>
          </cell>
          <cell r="H3589" t="str">
            <v>g__norank_f__Muribaculaceae</v>
          </cell>
          <cell r="I3589" t="str">
            <v>s__uncultured_bacterium_g__norank_f__Muribaculaceae</v>
          </cell>
        </row>
        <row r="3590">
          <cell r="G3590" t="str">
            <v>ASV5076</v>
          </cell>
          <cell r="H3590" t="str">
            <v>g__Monoglobus</v>
          </cell>
          <cell r="I3590" t="str">
            <v>s__unclassified_g__Monoglobus</v>
          </cell>
        </row>
        <row r="3591">
          <cell r="G3591" t="str">
            <v>ASV19277</v>
          </cell>
          <cell r="H3591" t="str">
            <v>g__Megasphaera</v>
          </cell>
          <cell r="I3591" t="str">
            <v>s__unclassified_g__Megasphaera</v>
          </cell>
        </row>
        <row r="3592">
          <cell r="G3592" t="str">
            <v>ASV4520</v>
          </cell>
          <cell r="H3592" t="str">
            <v>g__unclassified_f__Lachnospiraceae</v>
          </cell>
          <cell r="I3592" t="str">
            <v>s__unclassified_f__Lachnospiraceae</v>
          </cell>
        </row>
        <row r="3593">
          <cell r="G3593" t="str">
            <v>ASV20551</v>
          </cell>
          <cell r="H3593" t="str">
            <v>g__Christensenellaceae_R-7_group</v>
          </cell>
          <cell r="I3593" t="str">
            <v>s__unclassified_g__Christensenellaceae_R-7_group</v>
          </cell>
        </row>
        <row r="3594">
          <cell r="G3594" t="str">
            <v>ASV21711</v>
          </cell>
          <cell r="H3594" t="str">
            <v>g__norank_f__norank_o__norank_c__Gracilibacteria</v>
          </cell>
          <cell r="I3594" t="str">
            <v>s__metagenome_g__norank_f__norank_o__norank_c__Gracilibacteria</v>
          </cell>
        </row>
        <row r="3595">
          <cell r="G3595" t="str">
            <v>ASV21870</v>
          </cell>
          <cell r="H3595" t="str">
            <v>g__unclassified_o__Oscillospirales</v>
          </cell>
          <cell r="I3595" t="str">
            <v>s__unclassified_o__Oscillospirales</v>
          </cell>
        </row>
        <row r="3596">
          <cell r="G3596" t="str">
            <v>ASV1952</v>
          </cell>
          <cell r="H3596" t="str">
            <v>g__unclassified_f__Lachnospiraceae</v>
          </cell>
          <cell r="I3596" t="str">
            <v>s__unclassified_f__Lachnospiraceae</v>
          </cell>
        </row>
        <row r="3597">
          <cell r="G3597" t="str">
            <v>ASV5586</v>
          </cell>
          <cell r="H3597" t="str">
            <v>g__unclassified_f__Peptostreptococcaceae</v>
          </cell>
          <cell r="I3597" t="str">
            <v>s__unclassified_f__Peptostreptococcaceae</v>
          </cell>
        </row>
        <row r="3598">
          <cell r="G3598" t="str">
            <v>ASV16246</v>
          </cell>
          <cell r="H3598" t="str">
            <v>g__norank_f__Muribaculaceae</v>
          </cell>
          <cell r="I3598" t="str">
            <v>s__unclassified_g__norank_f__Muribaculaceae</v>
          </cell>
        </row>
        <row r="3599">
          <cell r="G3599" t="str">
            <v>ASV7261</v>
          </cell>
          <cell r="H3599" t="str">
            <v>g__Lachnoclostridium</v>
          </cell>
          <cell r="I3599" t="str">
            <v>s__unclassified_g__Lachnoclostridium</v>
          </cell>
        </row>
        <row r="3600">
          <cell r="G3600" t="str">
            <v>ASV21867</v>
          </cell>
          <cell r="H3600" t="str">
            <v>g__Enterococcus</v>
          </cell>
          <cell r="I3600" t="str">
            <v>s__unclassified_g__Enterococcus</v>
          </cell>
        </row>
        <row r="3601">
          <cell r="G3601" t="str">
            <v>ASV16255</v>
          </cell>
          <cell r="H3601" t="str">
            <v>g__Bacteroides</v>
          </cell>
          <cell r="I3601" t="str">
            <v>s__unclassified_g__Bacteroides</v>
          </cell>
        </row>
        <row r="3602">
          <cell r="G3602" t="str">
            <v>ASV13268</v>
          </cell>
          <cell r="H3602" t="str">
            <v>g__Bacteroides</v>
          </cell>
          <cell r="I3602" t="str">
            <v>s__uncultured_bacterium_g__Bacteroides</v>
          </cell>
        </row>
        <row r="3603">
          <cell r="G3603" t="str">
            <v>ASV11223</v>
          </cell>
          <cell r="H3603" t="str">
            <v>g__Clostridium_sensu_stricto_1</v>
          </cell>
          <cell r="I3603" t="str">
            <v>s__unclassified_g__Clostridium_sensu_stricto_1</v>
          </cell>
        </row>
        <row r="3604">
          <cell r="G3604" t="str">
            <v>ASV13271</v>
          </cell>
          <cell r="H3604" t="str">
            <v>g__Lactobacillus</v>
          </cell>
          <cell r="I3604" t="str">
            <v>s__unclassified_g__Lactobacillus</v>
          </cell>
        </row>
        <row r="3605">
          <cell r="G3605" t="str">
            <v>ASV310</v>
          </cell>
          <cell r="H3605" t="str">
            <v>g__Eubacterium_oxidoreducens_group</v>
          </cell>
          <cell r="I3605" t="str">
            <v>s__uncultured_bacterium_g__Eubacterium_oxidoreducens_group</v>
          </cell>
        </row>
        <row r="3606">
          <cell r="G3606" t="str">
            <v>ASV21709</v>
          </cell>
          <cell r="H3606" t="str">
            <v>g__Ruminococcus</v>
          </cell>
          <cell r="I3606" t="str">
            <v>s__unclassified_g__Ruminococcus</v>
          </cell>
        </row>
        <row r="3607">
          <cell r="G3607" t="str">
            <v>ASV21847</v>
          </cell>
          <cell r="H3607" t="str">
            <v>g__Eubacterium_oxidoreducens_group</v>
          </cell>
          <cell r="I3607" t="str">
            <v>s__uncultured_bacterium_g__Eubacterium_oxidoreducens_group</v>
          </cell>
        </row>
        <row r="3608">
          <cell r="G3608" t="str">
            <v>ASV20394</v>
          </cell>
          <cell r="H3608" t="str">
            <v>g__norank_f__NS11-12_marine_group</v>
          </cell>
          <cell r="I3608" t="str">
            <v>s__uncultured_Cytophagales_bacterium_g__norank_f__NS11-12_marine_group</v>
          </cell>
        </row>
        <row r="3609">
          <cell r="G3609" t="str">
            <v>ASV5578</v>
          </cell>
          <cell r="H3609" t="str">
            <v>g__norank_f__UCG-010</v>
          </cell>
          <cell r="I3609" t="str">
            <v>s__uncultured_bacterium_g__norank_f__UCG-010</v>
          </cell>
        </row>
        <row r="3610">
          <cell r="G3610" t="str">
            <v>ASV23040</v>
          </cell>
          <cell r="H3610" t="str">
            <v>g__unclassified_p__Firmicutes</v>
          </cell>
          <cell r="I3610" t="str">
            <v>s__unclassified_p__Firmicutes</v>
          </cell>
        </row>
        <row r="3611">
          <cell r="G3611" t="str">
            <v>ASV308</v>
          </cell>
          <cell r="H3611" t="str">
            <v>g__norank_f__Muribaculaceae</v>
          </cell>
          <cell r="I3611" t="str">
            <v>s__uncultured_bacterium_g__norank_f__Muribaculaceae</v>
          </cell>
        </row>
        <row r="3612">
          <cell r="G3612" t="str">
            <v>ASV17750</v>
          </cell>
          <cell r="H3612" t="str">
            <v>g__unclassified_c__Clostridia</v>
          </cell>
          <cell r="I3612" t="str">
            <v>s__unclassified_c__Clostridia</v>
          </cell>
        </row>
        <row r="3613">
          <cell r="G3613" t="str">
            <v>ASV15177</v>
          </cell>
          <cell r="H3613" t="str">
            <v>g__unclassified_f__Clostridiaceae</v>
          </cell>
          <cell r="I3613" t="str">
            <v>s__unclassified_f__Clostridiaceae</v>
          </cell>
        </row>
        <row r="3614">
          <cell r="G3614" t="str">
            <v>ASV3432</v>
          </cell>
          <cell r="H3614" t="str">
            <v>g__Megasphaera</v>
          </cell>
          <cell r="I3614" t="str">
            <v>s__uncultured_bacterium_g__Megasphaera</v>
          </cell>
        </row>
        <row r="3615">
          <cell r="G3615" t="str">
            <v>ASV9187</v>
          </cell>
          <cell r="H3615" t="str">
            <v>g__unclassified_f__Peptostreptococcaceae</v>
          </cell>
          <cell r="I3615" t="str">
            <v>s__unclassified_f__Peptostreptococcaceae</v>
          </cell>
        </row>
        <row r="3616">
          <cell r="G3616" t="str">
            <v>ASV13928</v>
          </cell>
          <cell r="H3616" t="str">
            <v>g__unclassified_c__Clostridia</v>
          </cell>
          <cell r="I3616" t="str">
            <v>s__unclassified_c__Clostridia</v>
          </cell>
        </row>
        <row r="3617">
          <cell r="G3617" t="str">
            <v>ASV10147</v>
          </cell>
          <cell r="H3617" t="str">
            <v>g__unclassified_o__Lactobacillales</v>
          </cell>
          <cell r="I3617" t="str">
            <v>s__unclassified_o__Lactobacillales</v>
          </cell>
        </row>
        <row r="3618">
          <cell r="G3618" t="str">
            <v>ASV18505</v>
          </cell>
          <cell r="H3618" t="str">
            <v>g__Phascolarctobacterium</v>
          </cell>
          <cell r="I3618" t="str">
            <v>s__unclassified_g__Phascolarctobacterium</v>
          </cell>
        </row>
        <row r="3619">
          <cell r="G3619" t="str">
            <v>ASV11040</v>
          </cell>
          <cell r="H3619" t="str">
            <v>g__Clostridium_sensu_stricto_1</v>
          </cell>
          <cell r="I3619" t="str">
            <v>s__unclassified_g__Clostridium_sensu_stricto_1</v>
          </cell>
        </row>
        <row r="3620">
          <cell r="G3620" t="str">
            <v>ASV7265</v>
          </cell>
          <cell r="H3620" t="str">
            <v>g__Chryseobacterium</v>
          </cell>
          <cell r="I3620" t="str">
            <v>s__unclassified_g__Chryseobacterium</v>
          </cell>
        </row>
        <row r="3621">
          <cell r="G3621" t="str">
            <v>ASV19269</v>
          </cell>
          <cell r="H3621" t="str">
            <v>g__Ruminococcus</v>
          </cell>
          <cell r="I3621" t="str">
            <v>s__uncultured_bacterium_g__Ruminococcus</v>
          </cell>
        </row>
        <row r="3622">
          <cell r="G3622" t="str">
            <v>ASV298</v>
          </cell>
          <cell r="H3622" t="str">
            <v>g__Clostridium_sensu_stricto_1</v>
          </cell>
          <cell r="I3622" t="str">
            <v>s__unclassified_g__Clostridium_sensu_stricto_1</v>
          </cell>
        </row>
        <row r="3623">
          <cell r="G3623" t="str">
            <v>ASV16814</v>
          </cell>
          <cell r="H3623" t="str">
            <v>g__Lactobacillus</v>
          </cell>
          <cell r="I3623" t="str">
            <v>s__unclassified_g__Lactobacillus</v>
          </cell>
        </row>
        <row r="3624">
          <cell r="G3624" t="str">
            <v>ASV21567</v>
          </cell>
          <cell r="H3624" t="str">
            <v>g__unclassified_k__norank_d__Bacteria</v>
          </cell>
          <cell r="I3624" t="str">
            <v>s__unclassified_k__norank_d__Bacteria</v>
          </cell>
        </row>
        <row r="3625">
          <cell r="G3625" t="str">
            <v>ASV9898</v>
          </cell>
          <cell r="H3625" t="str">
            <v>g__unclassified_f__Enterobacteriaceae</v>
          </cell>
          <cell r="I3625" t="str">
            <v>s__unclassified_f__Enterobacteriaceae</v>
          </cell>
        </row>
        <row r="3626">
          <cell r="G3626" t="str">
            <v>ASV13277</v>
          </cell>
          <cell r="H3626" t="str">
            <v>g__unclassified_p__Firmicutes</v>
          </cell>
          <cell r="I3626" t="str">
            <v>s__unclassified_p__Firmicutes</v>
          </cell>
        </row>
        <row r="3627">
          <cell r="G3627" t="str">
            <v>ASV10277</v>
          </cell>
          <cell r="H3627" t="str">
            <v>g__Colidextribacter</v>
          </cell>
          <cell r="I3627" t="str">
            <v>s__unclassified_g__Colidextribacter</v>
          </cell>
        </row>
        <row r="3628">
          <cell r="G3628" t="str">
            <v>ASV22909</v>
          </cell>
          <cell r="H3628" t="str">
            <v>g__Tychonema_CCAP_1459-11B</v>
          </cell>
          <cell r="I3628" t="str">
            <v>s__unclassified_g__Tychonema_CCAP_1459-11B</v>
          </cell>
        </row>
        <row r="3629">
          <cell r="G3629" t="str">
            <v>ASV21865</v>
          </cell>
          <cell r="H3629" t="str">
            <v>g__Clostridium_sensu_stricto_1</v>
          </cell>
          <cell r="I3629" t="str">
            <v>s__unclassified_g__Clostridium_sensu_stricto_1</v>
          </cell>
        </row>
        <row r="3630">
          <cell r="G3630" t="str">
            <v>ASV18502</v>
          </cell>
          <cell r="H3630" t="str">
            <v>g__unclassified_p__Firmicutes</v>
          </cell>
          <cell r="I3630" t="str">
            <v>s__unclassified_p__Firmicutes</v>
          </cell>
        </row>
        <row r="3631">
          <cell r="G3631" t="str">
            <v>ASV9182</v>
          </cell>
          <cell r="H3631" t="str">
            <v>g__Lactobacillus</v>
          </cell>
          <cell r="I3631" t="str">
            <v>s__unclassified_g__Lactobacillus</v>
          </cell>
        </row>
        <row r="3632">
          <cell r="G3632" t="str">
            <v>ASV20543</v>
          </cell>
          <cell r="H3632" t="str">
            <v>g__unclassified_p__Firmicutes</v>
          </cell>
          <cell r="I3632" t="str">
            <v>s__unclassified_p__Firmicutes</v>
          </cell>
        </row>
        <row r="3633">
          <cell r="G3633" t="str">
            <v>ASV8693</v>
          </cell>
          <cell r="H3633" t="str">
            <v>g__Actinobacillus</v>
          </cell>
          <cell r="I3633" t="str">
            <v>s__Actinobacillus_indolicus</v>
          </cell>
        </row>
        <row r="3634">
          <cell r="G3634" t="str">
            <v>ASV13934</v>
          </cell>
          <cell r="H3634" t="str">
            <v>g__Eubacterium_oxidoreducens_group</v>
          </cell>
          <cell r="I3634" t="str">
            <v>s__uncultured_bacterium_g__Eubacterium_oxidoreducens_group</v>
          </cell>
        </row>
        <row r="3635">
          <cell r="G3635" t="str">
            <v>ASV17751</v>
          </cell>
          <cell r="H3635" t="str">
            <v>g__unclassified_f__Lachnospiraceae</v>
          </cell>
          <cell r="I3635" t="str">
            <v>s__unclassified_f__Lachnospiraceae</v>
          </cell>
        </row>
        <row r="3636">
          <cell r="G3636" t="str">
            <v>ASV4525</v>
          </cell>
          <cell r="H3636" t="str">
            <v>g__norank_f__Erysipelotrichaceae</v>
          </cell>
          <cell r="I3636" t="str">
            <v>s__uncultured_bacterium_g__norank_f__Erysipelotrichaceae</v>
          </cell>
        </row>
        <row r="3637">
          <cell r="G3637" t="str">
            <v>ASV3815</v>
          </cell>
          <cell r="H3637" t="str">
            <v>g__Escherichia-Shigella</v>
          </cell>
          <cell r="I3637" t="str">
            <v>s__unclassified_g__Escherichia-Shigella</v>
          </cell>
        </row>
        <row r="3638">
          <cell r="G3638" t="str">
            <v>ASV21568</v>
          </cell>
          <cell r="H3638" t="str">
            <v>g__Veillonella</v>
          </cell>
          <cell r="I3638" t="str">
            <v>s__unclassified_g__Veillonella</v>
          </cell>
        </row>
        <row r="3639">
          <cell r="G3639" t="str">
            <v>ASV11242</v>
          </cell>
          <cell r="H3639" t="str">
            <v>g__unclassified_f__Prevotellaceae</v>
          </cell>
          <cell r="I3639" t="str">
            <v>s__unclassified_f__Prevotellaceae</v>
          </cell>
        </row>
        <row r="3640">
          <cell r="G3640" t="str">
            <v>ASV17363</v>
          </cell>
          <cell r="H3640" t="str">
            <v>g__Christensenellaceae_R-7_group</v>
          </cell>
          <cell r="I3640" t="str">
            <v>s__unclassified_g__Christensenellaceae_R-7_group</v>
          </cell>
        </row>
        <row r="3641">
          <cell r="G3641" t="str">
            <v>ASV14928</v>
          </cell>
          <cell r="H3641" t="str">
            <v>g__Arcanobacterium</v>
          </cell>
          <cell r="I3641" t="str">
            <v>s__unclassified_g__Arcanobacterium</v>
          </cell>
        </row>
        <row r="3642">
          <cell r="G3642" t="str">
            <v>ASV8421</v>
          </cell>
          <cell r="H3642" t="str">
            <v>g__unclassified_o__Veillonellales-Selenomonadales</v>
          </cell>
          <cell r="I3642" t="str">
            <v>s__unclassified_o__Veillonellales-Selenomonadales</v>
          </cell>
        </row>
        <row r="3643">
          <cell r="G3643" t="str">
            <v>ASV9184</v>
          </cell>
          <cell r="H3643" t="str">
            <v>g__unclassified_f__Oscillospiraceae</v>
          </cell>
          <cell r="I3643" t="str">
            <v>s__unclassified_f__Oscillospiraceae</v>
          </cell>
        </row>
        <row r="3644">
          <cell r="G3644" t="str">
            <v>ASV15180</v>
          </cell>
          <cell r="H3644" t="str">
            <v>g__unclassified_c__Clostridia</v>
          </cell>
          <cell r="I3644" t="str">
            <v>s__unclassified_c__Clostridia</v>
          </cell>
        </row>
        <row r="3645">
          <cell r="G3645" t="str">
            <v>ASV7154</v>
          </cell>
          <cell r="H3645" t="str">
            <v>g__Veillonella</v>
          </cell>
          <cell r="I3645" t="str">
            <v>s__unclassified_g__Veillonella</v>
          </cell>
        </row>
        <row r="3646">
          <cell r="G3646" t="str">
            <v>ASV3430</v>
          </cell>
          <cell r="H3646" t="str">
            <v>g__Mitsuokella</v>
          </cell>
          <cell r="I3646" t="str">
            <v>s__uncultured_bacterium_g__Mitsuokella</v>
          </cell>
        </row>
        <row r="3647">
          <cell r="G3647" t="str">
            <v>ASV21854</v>
          </cell>
          <cell r="H3647" t="str">
            <v>g__Lachnospiraceae_NC2004_group</v>
          </cell>
          <cell r="I3647" t="str">
            <v>s__uncultured_bacterium_g__Lachnospiraceae_NC2004_group</v>
          </cell>
        </row>
        <row r="3648">
          <cell r="G3648" t="str">
            <v>ASV5585</v>
          </cell>
          <cell r="H3648" t="str">
            <v>g__unclassified_f__Peptostreptococcaceae</v>
          </cell>
          <cell r="I3648" t="str">
            <v>s__unclassified_f__Peptostreptococcaceae</v>
          </cell>
        </row>
        <row r="3649">
          <cell r="G3649" t="str">
            <v>ASV14119</v>
          </cell>
          <cell r="H3649" t="str">
            <v>g__Veillonella</v>
          </cell>
          <cell r="I3649" t="str">
            <v>s__unclassified_g__Veillonella</v>
          </cell>
        </row>
        <row r="3650">
          <cell r="G3650" t="str">
            <v>ASV21403</v>
          </cell>
          <cell r="H3650" t="str">
            <v>g__Megasphaera</v>
          </cell>
          <cell r="I3650" t="str">
            <v>s__unclassified_g__Megasphaera</v>
          </cell>
        </row>
        <row r="3651">
          <cell r="G3651" t="str">
            <v>ASV16249</v>
          </cell>
          <cell r="H3651" t="str">
            <v>g__Clostridium_sensu_stricto_1</v>
          </cell>
          <cell r="I3651" t="str">
            <v>s__unclassified_g__Clostridium_sensu_stricto_1</v>
          </cell>
        </row>
        <row r="3652">
          <cell r="G3652" t="str">
            <v>ASV7505</v>
          </cell>
          <cell r="H3652" t="str">
            <v>g__unclassified_f__Peptostreptococcaceae</v>
          </cell>
          <cell r="I3652" t="str">
            <v>s__unclassified_f__Peptostreptococcaceae</v>
          </cell>
        </row>
        <row r="3653">
          <cell r="G3653" t="str">
            <v>ASV7324</v>
          </cell>
          <cell r="H3653" t="str">
            <v>g__Veillonella</v>
          </cell>
          <cell r="I3653" t="str">
            <v>s__unclassified_g__Veillonella</v>
          </cell>
        </row>
        <row r="3654">
          <cell r="G3654" t="str">
            <v>ASV13772</v>
          </cell>
          <cell r="H3654" t="str">
            <v>g__unclassified_o__Lactobacillales</v>
          </cell>
          <cell r="I3654" t="str">
            <v>s__unclassified_o__Lactobacillales</v>
          </cell>
        </row>
        <row r="3655">
          <cell r="G3655" t="str">
            <v>ASV1571</v>
          </cell>
          <cell r="H3655" t="str">
            <v>g__Veillonella</v>
          </cell>
          <cell r="I3655" t="str">
            <v>s__unclassified_g__Veillonella</v>
          </cell>
        </row>
        <row r="3656">
          <cell r="G3656" t="str">
            <v>ASV309</v>
          </cell>
          <cell r="H3656" t="str">
            <v>g__Parabacteroides</v>
          </cell>
          <cell r="I3656" t="str">
            <v>s__Porphyromonadaceae_bacterium_DJF_B175</v>
          </cell>
        </row>
        <row r="3657">
          <cell r="G3657" t="str">
            <v>ASV4516</v>
          </cell>
          <cell r="H3657" t="str">
            <v>g__Collinsella</v>
          </cell>
          <cell r="I3657" t="str">
            <v>s__uncultured_bacterium_g__Collinsella</v>
          </cell>
        </row>
        <row r="3658">
          <cell r="G3658" t="str">
            <v>ASV3111</v>
          </cell>
          <cell r="H3658" t="str">
            <v>g__unclassified_f__Selenomonadaceae</v>
          </cell>
          <cell r="I3658" t="str">
            <v>s__unclassified_f__Selenomonadaceae</v>
          </cell>
        </row>
        <row r="3659">
          <cell r="G3659" t="str">
            <v>ASV10423</v>
          </cell>
          <cell r="H3659" t="str">
            <v>g__unclassified_c__Clostridia</v>
          </cell>
          <cell r="I3659" t="str">
            <v>s__unclassified_c__Clostridia</v>
          </cell>
        </row>
        <row r="3660">
          <cell r="G3660" t="str">
            <v>ASV10276</v>
          </cell>
          <cell r="H3660" t="str">
            <v>g__unclassified_o__Oscillospirales</v>
          </cell>
          <cell r="I3660" t="str">
            <v>s__unclassified_o__Oscillospirales</v>
          </cell>
        </row>
        <row r="3661">
          <cell r="G3661" t="str">
            <v>ASV7151</v>
          </cell>
          <cell r="H3661" t="str">
            <v>g__Leptotrichia</v>
          </cell>
          <cell r="I3661" t="str">
            <v>s__uncultured_bacterium_g__Leptotrichia</v>
          </cell>
        </row>
        <row r="3662">
          <cell r="G3662" t="str">
            <v>ASV20545</v>
          </cell>
          <cell r="H3662" t="str">
            <v>g__Christensenellaceae_R-7_group</v>
          </cell>
          <cell r="I3662" t="str">
            <v>s__unclassified_g__Christensenellaceae_R-7_group</v>
          </cell>
        </row>
        <row r="3663">
          <cell r="G3663" t="str">
            <v>ASV299</v>
          </cell>
          <cell r="H3663" t="str">
            <v>g__norank_f__Oscillospiraceae</v>
          </cell>
          <cell r="I3663" t="str">
            <v>s__uncultured_bacterium_g__norank_f__Oscillospiraceae</v>
          </cell>
        </row>
        <row r="3664">
          <cell r="G3664" t="str">
            <v>ASV10818</v>
          </cell>
          <cell r="H3664" t="str">
            <v>g__norank_f__Muribaculaceae</v>
          </cell>
          <cell r="I3664" t="str">
            <v>s__uncultured_bacterium_g__norank_f__Muribaculaceae</v>
          </cell>
        </row>
        <row r="3665">
          <cell r="G3665" t="str">
            <v>ASV4656</v>
          </cell>
          <cell r="H3665" t="str">
            <v>g__norank_f__UCG-010</v>
          </cell>
          <cell r="I3665" t="str">
            <v>s__unclassified_g__norank_f__UCG-010</v>
          </cell>
        </row>
        <row r="3666">
          <cell r="G3666" t="str">
            <v>ASV11240</v>
          </cell>
          <cell r="H3666" t="str">
            <v>g__Prevotella</v>
          </cell>
          <cell r="I3666" t="str">
            <v>s__unclassified_g__Prevotella</v>
          </cell>
        </row>
        <row r="3667">
          <cell r="G3667" t="str">
            <v>ASV294</v>
          </cell>
          <cell r="H3667" t="str">
            <v>g__Colidextribacter</v>
          </cell>
          <cell r="I3667" t="str">
            <v>s__unclassified_g__Colidextribacter</v>
          </cell>
        </row>
        <row r="3668">
          <cell r="G3668" t="str">
            <v>ASV6550</v>
          </cell>
          <cell r="H3668" t="str">
            <v>g__Lachnoclostridium</v>
          </cell>
          <cell r="I3668" t="str">
            <v>s__unclassified_g__Lachnoclostridium</v>
          </cell>
        </row>
        <row r="3669">
          <cell r="G3669" t="str">
            <v>ASV1953</v>
          </cell>
          <cell r="H3669" t="str">
            <v>g__unclassified_c__Clostridia</v>
          </cell>
          <cell r="I3669" t="str">
            <v>s__unclassified_c__Clostridia</v>
          </cell>
        </row>
        <row r="3670">
          <cell r="G3670" t="str">
            <v>ASV4518</v>
          </cell>
          <cell r="H3670" t="str">
            <v>g__unclassified_p__Firmicutes</v>
          </cell>
          <cell r="I3670" t="str">
            <v>s__unclassified_p__Firmicutes</v>
          </cell>
        </row>
        <row r="3671">
          <cell r="G3671" t="str">
            <v>ASV4528</v>
          </cell>
          <cell r="H3671" t="str">
            <v>g__NK4A214_group</v>
          </cell>
          <cell r="I3671" t="str">
            <v>s__unclassified_g__NK4A214_group</v>
          </cell>
        </row>
        <row r="3672">
          <cell r="G3672" t="str">
            <v>ASV17748</v>
          </cell>
          <cell r="H3672" t="str">
            <v>g__Christensenellaceae_R-7_group</v>
          </cell>
          <cell r="I3672" t="str">
            <v>s__unclassified_g__Christensenellaceae_R-7_group</v>
          </cell>
        </row>
        <row r="3673">
          <cell r="G3673" t="str">
            <v>ASV11245</v>
          </cell>
          <cell r="H3673" t="str">
            <v>g__norank_f__Oscillospiraceae</v>
          </cell>
          <cell r="I3673" t="str">
            <v>s__unclassified_g__norank_f__Oscillospiraceae</v>
          </cell>
        </row>
        <row r="3674">
          <cell r="G3674" t="str">
            <v>ASV17758</v>
          </cell>
          <cell r="H3674" t="str">
            <v>g__Lachnospiraceae_FCS020_group</v>
          </cell>
          <cell r="I3674" t="str">
            <v>s__unclassified_g__Lachnospiraceae_FCS020_group</v>
          </cell>
        </row>
        <row r="3675">
          <cell r="G3675" t="str">
            <v>ASV18507</v>
          </cell>
          <cell r="H3675" t="str">
            <v>g__Veillonella</v>
          </cell>
          <cell r="I3675" t="str">
            <v>s__unclassified_g__Veillonella</v>
          </cell>
        </row>
        <row r="3676">
          <cell r="G3676" t="str">
            <v>ASV13275</v>
          </cell>
          <cell r="H3676" t="str">
            <v>g__Lactobacillus</v>
          </cell>
          <cell r="I3676" t="str">
            <v>s__Lactobacillus_sp._KLDS_1.0716</v>
          </cell>
        </row>
        <row r="3677">
          <cell r="G3677" t="str">
            <v>ASV11235</v>
          </cell>
          <cell r="H3677" t="str">
            <v>g__Negativibacillus</v>
          </cell>
          <cell r="I3677" t="str">
            <v>s__uncultured_bacterium_g__Negativibacillus</v>
          </cell>
        </row>
        <row r="3678">
          <cell r="G3678" t="str">
            <v>ASV4512</v>
          </cell>
          <cell r="H3678" t="str">
            <v>g__unclassified_c__Clostridia</v>
          </cell>
          <cell r="I3678" t="str">
            <v>s__unclassified_c__Clostridia</v>
          </cell>
        </row>
        <row r="3679">
          <cell r="G3679" t="str">
            <v>ASV4515</v>
          </cell>
          <cell r="H3679" t="str">
            <v>g__Subdoligranulum</v>
          </cell>
          <cell r="I3679" t="str">
            <v>s__uncultured_bacterium_g__Subdoligranulum</v>
          </cell>
        </row>
        <row r="3680">
          <cell r="G3680" t="str">
            <v>ASV13930</v>
          </cell>
          <cell r="H3680" t="str">
            <v>g__Clostridium_sensu_stricto_1</v>
          </cell>
          <cell r="I3680" t="str">
            <v>s__unclassified_g__Clostridium_sensu_stricto_1</v>
          </cell>
        </row>
        <row r="3681">
          <cell r="G3681" t="str">
            <v>ASV5589</v>
          </cell>
          <cell r="H3681" t="str">
            <v>g__Christensenellaceae_R-7_group</v>
          </cell>
          <cell r="I3681" t="str">
            <v>s__unclassified_g__Christensenellaceae_R-7_group</v>
          </cell>
        </row>
        <row r="3682">
          <cell r="G3682" t="str">
            <v>ASV18744</v>
          </cell>
          <cell r="H3682" t="str">
            <v>g__unclassified_o__Saccharimonadales</v>
          </cell>
          <cell r="I3682" t="str">
            <v>s__unclassified_o__Saccharimonadales</v>
          </cell>
        </row>
        <row r="3683">
          <cell r="G3683" t="str">
            <v>ASV15182</v>
          </cell>
          <cell r="H3683" t="str">
            <v>g__unclassified_c__Clostridia</v>
          </cell>
          <cell r="I3683" t="str">
            <v>s__unclassified_c__Clostridia</v>
          </cell>
        </row>
        <row r="3684">
          <cell r="G3684" t="str">
            <v>ASV7262</v>
          </cell>
          <cell r="H3684" t="str">
            <v>g__Succinivibrio</v>
          </cell>
          <cell r="I3684" t="str">
            <v>s__metagenome_g__Succinivibrio</v>
          </cell>
        </row>
        <row r="3685">
          <cell r="G3685" t="str">
            <v>ASV15031</v>
          </cell>
          <cell r="H3685" t="str">
            <v>g__Chryseobacterium</v>
          </cell>
          <cell r="I3685" t="str">
            <v>s__unclassified_g__Chryseobacterium</v>
          </cell>
        </row>
        <row r="3686">
          <cell r="G3686" t="str">
            <v>ASV19275</v>
          </cell>
          <cell r="H3686" t="str">
            <v>g__norank_f__Muribaculaceae</v>
          </cell>
          <cell r="I3686" t="str">
            <v>s__unclassified_g__norank_f__Muribaculaceae</v>
          </cell>
        </row>
        <row r="3687">
          <cell r="G3687" t="str">
            <v>ASV10421</v>
          </cell>
          <cell r="H3687" t="str">
            <v>g__unclassified_f__Lachnospiraceae</v>
          </cell>
          <cell r="I3687" t="str">
            <v>s__unclassified_f__Lachnospiraceae</v>
          </cell>
        </row>
        <row r="3688">
          <cell r="G3688" t="str">
            <v>ASV21710</v>
          </cell>
          <cell r="H3688" t="str">
            <v>g__unclassified_f__Comamonadaceae</v>
          </cell>
          <cell r="I3688" t="str">
            <v>s__unclassified_f__Comamonadaceae</v>
          </cell>
        </row>
        <row r="3689">
          <cell r="G3689" t="str">
            <v>ASV8612</v>
          </cell>
          <cell r="H3689" t="str">
            <v>g__Actinobacillus</v>
          </cell>
          <cell r="I3689" t="str">
            <v>s__unclassified_g__Actinobacillus</v>
          </cell>
        </row>
        <row r="3690">
          <cell r="G3690" t="str">
            <v>ASV13681</v>
          </cell>
          <cell r="H3690" t="str">
            <v>g__Megasphaera</v>
          </cell>
          <cell r="I3690" t="str">
            <v>s__unclassified_g__Megasphaera</v>
          </cell>
        </row>
        <row r="3691">
          <cell r="G3691" t="str">
            <v>ASV8930</v>
          </cell>
          <cell r="H3691" t="str">
            <v>g__UCG-002</v>
          </cell>
          <cell r="I3691" t="str">
            <v>s__unclassified_g__UCG-002</v>
          </cell>
        </row>
        <row r="3692">
          <cell r="G3692" t="str">
            <v>ASV24079</v>
          </cell>
          <cell r="H3692" t="str">
            <v>g__Rikenellaceae_RC9_gut_group</v>
          </cell>
          <cell r="I3692" t="str">
            <v>s__uncultured_bacterium_g__Rikenellaceae_RC9_gut_group</v>
          </cell>
        </row>
        <row r="3693">
          <cell r="G3693" t="str">
            <v>ASV23041</v>
          </cell>
          <cell r="H3693" t="str">
            <v>g__Clostridium_sensu_stricto_1</v>
          </cell>
          <cell r="I3693" t="str">
            <v>s__unclassified_g__Clostridium_sensu_stricto_1</v>
          </cell>
        </row>
        <row r="3694">
          <cell r="G3694" t="str">
            <v>ASV18506</v>
          </cell>
          <cell r="H3694" t="str">
            <v>g__Lactobacillus</v>
          </cell>
          <cell r="I3694" t="str">
            <v>s__unclassified_g__Lactobacillus</v>
          </cell>
        </row>
        <row r="3695">
          <cell r="G3695" t="str">
            <v>ASV12549</v>
          </cell>
          <cell r="H3695" t="str">
            <v>g__Lachnospiraceae_NC2004_group</v>
          </cell>
          <cell r="I3695" t="str">
            <v>s__uncultured_bacterium_g__Lachnospiraceae_NC2004_group</v>
          </cell>
        </row>
        <row r="3696">
          <cell r="G3696" t="str">
            <v>ASV11232</v>
          </cell>
          <cell r="H3696" t="str">
            <v>g__unclassified_c__Clostridia</v>
          </cell>
          <cell r="I3696" t="str">
            <v>s__unclassified_c__Clostridia</v>
          </cell>
        </row>
        <row r="3697">
          <cell r="G3697" t="str">
            <v>ASV15179</v>
          </cell>
          <cell r="H3697" t="str">
            <v>g__unclassified_f__Ruminococcaceae</v>
          </cell>
          <cell r="I3697" t="str">
            <v>s__unclassified_f__Ruminococcaceae</v>
          </cell>
        </row>
        <row r="3698">
          <cell r="G3698" t="str">
            <v>ASV13933</v>
          </cell>
          <cell r="H3698" t="str">
            <v>g__UCG-005</v>
          </cell>
          <cell r="I3698" t="str">
            <v>s__unclassified_g__UCG-005</v>
          </cell>
        </row>
        <row r="3699">
          <cell r="G3699" t="str">
            <v>ASV10424</v>
          </cell>
          <cell r="H3699" t="str">
            <v>g__Clostridium_sensu_stricto_1</v>
          </cell>
          <cell r="I3699" t="str">
            <v>s__unclassified_g__Clostridium_sensu_stricto_1</v>
          </cell>
        </row>
        <row r="3700">
          <cell r="G3700" t="str">
            <v>ASV4524</v>
          </cell>
          <cell r="H3700" t="str">
            <v>g__unclassified_f__Lachnospiraceae</v>
          </cell>
          <cell r="I3700" t="str">
            <v>s__unclassified_f__Lachnospiraceae</v>
          </cell>
        </row>
        <row r="3701">
          <cell r="G3701" t="str">
            <v>ASV5579</v>
          </cell>
          <cell r="H3701" t="str">
            <v>g__norank_f__Ruminococcaceae</v>
          </cell>
          <cell r="I3701" t="str">
            <v>s__unclassified_g__norank_f__Ruminococcaceae</v>
          </cell>
        </row>
        <row r="3702">
          <cell r="G3702" t="str">
            <v>ASV21864</v>
          </cell>
          <cell r="H3702" t="str">
            <v>g__Colidextribacter</v>
          </cell>
          <cell r="I3702" t="str">
            <v>s__unclassified_g__Colidextribacter</v>
          </cell>
        </row>
        <row r="3703">
          <cell r="G3703" t="str">
            <v>ASV8934</v>
          </cell>
          <cell r="H3703" t="str">
            <v>g__unclassified_o__Bacteroidales</v>
          </cell>
          <cell r="I3703" t="str">
            <v>s__unclassified_o__Bacteroidales</v>
          </cell>
        </row>
        <row r="3704">
          <cell r="G3704" t="str">
            <v>ASV17454</v>
          </cell>
          <cell r="H3704" t="str">
            <v>g__Fusobacterium</v>
          </cell>
          <cell r="I3704" t="str">
            <v>s__unclassified_g__Fusobacterium</v>
          </cell>
        </row>
        <row r="3705">
          <cell r="G3705" t="str">
            <v>ASV4511</v>
          </cell>
          <cell r="H3705" t="str">
            <v>g__unclassified_c__Clostridia</v>
          </cell>
          <cell r="I3705" t="str">
            <v>s__unclassified_c__Clostridia</v>
          </cell>
        </row>
        <row r="3706">
          <cell r="G3706" t="str">
            <v>ASV18743</v>
          </cell>
          <cell r="H3706" t="str">
            <v>g__Ezakiella</v>
          </cell>
          <cell r="I3706" t="str">
            <v>s__unclassified_g__Ezakiella</v>
          </cell>
        </row>
        <row r="3707">
          <cell r="G3707" t="str">
            <v>ASV8344</v>
          </cell>
          <cell r="H3707" t="str">
            <v>g__Lactobacillus</v>
          </cell>
          <cell r="I3707" t="str">
            <v>s__unclassified_g__Lactobacillus</v>
          </cell>
        </row>
        <row r="3708">
          <cell r="G3708" t="str">
            <v>ASV6552</v>
          </cell>
          <cell r="H3708" t="str">
            <v>g__Cloacibacillus</v>
          </cell>
          <cell r="I3708" t="str">
            <v>s__unclassified_g__Cloacibacillus</v>
          </cell>
        </row>
        <row r="3709">
          <cell r="G3709" t="str">
            <v>ASV16568</v>
          </cell>
          <cell r="H3709" t="str">
            <v>g__Odoribacter</v>
          </cell>
          <cell r="I3709" t="str">
            <v>s__uncultured_bacterium_g__Odoribacter</v>
          </cell>
        </row>
        <row r="3710">
          <cell r="G3710" t="str">
            <v>ASV5580</v>
          </cell>
          <cell r="H3710" t="str">
            <v>g__Christensenellaceae_R-7_group</v>
          </cell>
          <cell r="I3710" t="str">
            <v>s__unclassified_g__Christensenellaceae_R-7_group</v>
          </cell>
        </row>
        <row r="3711">
          <cell r="G3711" t="str">
            <v>ASV13935</v>
          </cell>
          <cell r="H3711" t="str">
            <v>g__Lactobacillus</v>
          </cell>
          <cell r="I3711" t="str">
            <v>s__unclassified_g__Lactobacillus</v>
          </cell>
        </row>
        <row r="3712">
          <cell r="G3712" t="str">
            <v>ASV15780</v>
          </cell>
          <cell r="H3712" t="str">
            <v>g__Subdoligranulum</v>
          </cell>
          <cell r="I3712" t="str">
            <v>s__unclassified_g__Subdoligranulum</v>
          </cell>
        </row>
        <row r="3713">
          <cell r="G3713" t="str">
            <v>ASV15895</v>
          </cell>
          <cell r="H3713" t="str">
            <v>g__unclassified_f__Lachnospiraceae</v>
          </cell>
          <cell r="I3713" t="str">
            <v>s__unclassified_f__Lachnospiraceae</v>
          </cell>
        </row>
        <row r="3714">
          <cell r="G3714" t="str">
            <v>ASV3817</v>
          </cell>
          <cell r="H3714" t="str">
            <v>g__Oscillibacter</v>
          </cell>
          <cell r="I3714" t="str">
            <v>s__unclassified_g__Oscillibacter</v>
          </cell>
        </row>
        <row r="3715">
          <cell r="G3715" t="str">
            <v>ASV10422</v>
          </cell>
          <cell r="H3715" t="str">
            <v>g__Lactobacillus</v>
          </cell>
          <cell r="I3715" t="str">
            <v>s__unclassified_g__Lactobacillus</v>
          </cell>
        </row>
        <row r="3716">
          <cell r="G3716" t="str">
            <v>ASV7502</v>
          </cell>
          <cell r="H3716" t="str">
            <v>g__unclassified_c__Bacilli</v>
          </cell>
          <cell r="I3716" t="str">
            <v>s__unclassified_c__Bacilli</v>
          </cell>
        </row>
        <row r="3717">
          <cell r="G3717" t="str">
            <v>ASV296</v>
          </cell>
          <cell r="H3717" t="str">
            <v>g__unclassified_f__Lachnospiraceae</v>
          </cell>
          <cell r="I3717" t="str">
            <v>s__unclassified_f__Lachnospiraceae</v>
          </cell>
        </row>
        <row r="3718">
          <cell r="G3718" t="str">
            <v>ASV7503</v>
          </cell>
          <cell r="H3718" t="str">
            <v>g__Lactobacillus</v>
          </cell>
          <cell r="I3718" t="str">
            <v>s__Lactobacillus_sp._C30An8</v>
          </cell>
        </row>
        <row r="3719">
          <cell r="G3719" t="str">
            <v>ASV21852</v>
          </cell>
          <cell r="H3719" t="str">
            <v>g__unclassified_o__Oscillospirales</v>
          </cell>
          <cell r="I3719" t="str">
            <v>s__unclassified_o__Oscillospirales</v>
          </cell>
        </row>
        <row r="3720">
          <cell r="G3720" t="str">
            <v>ASV4526</v>
          </cell>
          <cell r="H3720" t="str">
            <v>g__Enterococcus</v>
          </cell>
          <cell r="I3720" t="str">
            <v>s__unclassified_g__Enterococcus</v>
          </cell>
        </row>
        <row r="3721">
          <cell r="G3721" t="str">
            <v>ASV9178</v>
          </cell>
          <cell r="H3721" t="str">
            <v>g__UCG-002</v>
          </cell>
          <cell r="I3721" t="str">
            <v>s__uncultured_bacterium_g__UCG-002</v>
          </cell>
        </row>
        <row r="3722">
          <cell r="G3722" t="str">
            <v>ASV17452</v>
          </cell>
          <cell r="H3722" t="str">
            <v>g__Prevotella</v>
          </cell>
          <cell r="I3722" t="str">
            <v>s__Prevotella_sp._RS2</v>
          </cell>
        </row>
        <row r="3723">
          <cell r="G3723" t="str">
            <v>ASV21850</v>
          </cell>
          <cell r="H3723" t="str">
            <v>g__Candidatus_Soleaferrea</v>
          </cell>
          <cell r="I3723" t="str">
            <v>s__uncultured_bacterium_g__Candidatus_Soleaferrea</v>
          </cell>
        </row>
        <row r="3724">
          <cell r="G3724" t="str">
            <v>ASV10427</v>
          </cell>
          <cell r="H3724" t="str">
            <v>g__Clostridium_sensu_stricto_1</v>
          </cell>
          <cell r="I3724" t="str">
            <v>s__unclassified_g__Clostridium_sensu_stricto_1</v>
          </cell>
        </row>
        <row r="3725">
          <cell r="G3725" t="str">
            <v>ASV13270</v>
          </cell>
          <cell r="H3725" t="str">
            <v>g__unclassified_c__Clostridia</v>
          </cell>
          <cell r="I3725" t="str">
            <v>s__unclassified_c__Clostridia</v>
          </cell>
        </row>
        <row r="3726">
          <cell r="G3726" t="str">
            <v>ASV17747</v>
          </cell>
          <cell r="H3726" t="str">
            <v>g__UCG-002</v>
          </cell>
          <cell r="I3726" t="str">
            <v>s__uncultured_bacterium_g__UCG-002</v>
          </cell>
        </row>
        <row r="3727">
          <cell r="G3727" t="str">
            <v>ASV3814</v>
          </cell>
          <cell r="H3727" t="str">
            <v>g__unclassified_c__Clostridia</v>
          </cell>
          <cell r="I3727" t="str">
            <v>s__unclassified_c__Clostridia</v>
          </cell>
        </row>
        <row r="3728">
          <cell r="G3728" t="str">
            <v>ASV11039</v>
          </cell>
          <cell r="H3728" t="str">
            <v>g__Escherichia-Shigella</v>
          </cell>
          <cell r="I3728" t="str">
            <v>s__unclassified_g__Escherichia-Shigella</v>
          </cell>
        </row>
        <row r="3729">
          <cell r="G3729" t="str">
            <v>ASV21855</v>
          </cell>
          <cell r="H3729" t="str">
            <v>g__unclassified_p__Firmicutes</v>
          </cell>
          <cell r="I3729" t="str">
            <v>s__unclassified_p__Firmicutes</v>
          </cell>
        </row>
        <row r="3730">
          <cell r="G3730" t="str">
            <v>ASV11233</v>
          </cell>
          <cell r="H3730" t="str">
            <v>g__unclassified_f__Lachnospiraceae</v>
          </cell>
          <cell r="I3730" t="str">
            <v>s__unclassified_f__Lachnospiraceae</v>
          </cell>
        </row>
        <row r="3731">
          <cell r="G3731" t="str">
            <v>ASV10420</v>
          </cell>
          <cell r="H3731" t="str">
            <v>g__unclassified_f__Lachnospiraceae</v>
          </cell>
          <cell r="I3731" t="str">
            <v>s__unclassified_f__Lachnospiraceae</v>
          </cell>
        </row>
        <row r="3732">
          <cell r="G3732" t="str">
            <v>ASV16811</v>
          </cell>
          <cell r="H3732" t="str">
            <v>g__Alloprevotella</v>
          </cell>
          <cell r="I3732" t="str">
            <v>s__uncultured_bacterium_g__Alloprevotella</v>
          </cell>
        </row>
        <row r="3733">
          <cell r="G3733" t="str">
            <v>ASV23813</v>
          </cell>
          <cell r="H3733" t="str">
            <v>g__unclassified_f__Lachnospiraceae</v>
          </cell>
          <cell r="I3733" t="str">
            <v>s__unclassified_f__Lachnospiraceae</v>
          </cell>
        </row>
        <row r="3734">
          <cell r="G3734" t="str">
            <v>ASV7266</v>
          </cell>
          <cell r="H3734" t="str">
            <v>g__Alloprevotella</v>
          </cell>
          <cell r="I3734" t="str">
            <v>s__uncultured_bacterium_g__Alloprevotella</v>
          </cell>
        </row>
        <row r="3735">
          <cell r="G3735" t="str">
            <v>ASV305</v>
          </cell>
          <cell r="H3735" t="str">
            <v>g__Candidatus_Soleaferrea</v>
          </cell>
          <cell r="I3735" t="str">
            <v>s__uncultured_bacterium_g__Candidatus_Soleaferrea</v>
          </cell>
        </row>
        <row r="3736">
          <cell r="G3736" t="str">
            <v>ASV20208</v>
          </cell>
          <cell r="H3736" t="str">
            <v>g__Streptococcus</v>
          </cell>
          <cell r="I3736" t="str">
            <v>s__unclassified_g__Streptococcus</v>
          </cell>
        </row>
        <row r="3737">
          <cell r="G3737" t="str">
            <v>ASV15028</v>
          </cell>
          <cell r="H3737" t="str">
            <v>g__Peptoniphilus</v>
          </cell>
          <cell r="I3737" t="str">
            <v>s__unclassified_g__Peptoniphilus</v>
          </cell>
        </row>
        <row r="3738">
          <cell r="G3738" t="str">
            <v>ASV3816</v>
          </cell>
          <cell r="H3738" t="str">
            <v>g__Colidextribacter</v>
          </cell>
          <cell r="I3738" t="str">
            <v>s__unclassified_g__Colidextribacter</v>
          </cell>
        </row>
        <row r="3739">
          <cell r="G3739" t="str">
            <v>ASV5581</v>
          </cell>
          <cell r="H3739" t="str">
            <v>g__unclassified_c__Clostridia</v>
          </cell>
          <cell r="I3739" t="str">
            <v>s__unclassified_c__Clostridia</v>
          </cell>
        </row>
        <row r="3740">
          <cell r="G3740" t="str">
            <v>ASV7508</v>
          </cell>
          <cell r="H3740" t="str">
            <v>g__Peptococcus</v>
          </cell>
          <cell r="I3740" t="str">
            <v>s__uncultured_bacterium_g__Peptococcus</v>
          </cell>
        </row>
        <row r="3741">
          <cell r="G3741" t="str">
            <v>ASV9177</v>
          </cell>
          <cell r="H3741" t="str">
            <v>g__unclassified_f__Lachnospiraceae</v>
          </cell>
          <cell r="I3741" t="str">
            <v>s__unclassified_f__Lachnospiraceae</v>
          </cell>
        </row>
        <row r="3742">
          <cell r="G3742" t="str">
            <v>ASV11225</v>
          </cell>
          <cell r="H3742" t="str">
            <v>g__Sharpea</v>
          </cell>
          <cell r="I3742" t="str">
            <v>s__unclassified_g__Sharpea</v>
          </cell>
        </row>
        <row r="3743">
          <cell r="G3743" t="str">
            <v>ASV21848</v>
          </cell>
          <cell r="H3743" t="str">
            <v>g__unclassified_f__Lachnospiraceae</v>
          </cell>
          <cell r="I3743" t="str">
            <v>s__unclassified_f__Lachnospiraceae</v>
          </cell>
        </row>
        <row r="3744">
          <cell r="G3744" t="str">
            <v>ASV17759</v>
          </cell>
          <cell r="H3744" t="str">
            <v>g__unclassified_f__Lachnospiraceae</v>
          </cell>
          <cell r="I3744" t="str">
            <v>s__unclassified_f__Lachnospiraceae</v>
          </cell>
        </row>
        <row r="3745">
          <cell r="G3745" t="str">
            <v>ASV5572</v>
          </cell>
          <cell r="H3745" t="str">
            <v>g__unclassified_f__Ruminococcaceae</v>
          </cell>
          <cell r="I3745" t="str">
            <v>s__unclassified_f__Ruminococcaceae</v>
          </cell>
        </row>
        <row r="3746">
          <cell r="G3746" t="str">
            <v>ASV307</v>
          </cell>
          <cell r="H3746" t="str">
            <v>g__unclassified_o__Oscillospirales</v>
          </cell>
          <cell r="I3746" t="str">
            <v>s__unclassified_o__Oscillospirales</v>
          </cell>
        </row>
        <row r="3747">
          <cell r="G3747" t="str">
            <v>ASV15032</v>
          </cell>
          <cell r="H3747" t="str">
            <v>g__Butyricimonas</v>
          </cell>
          <cell r="I3747" t="str">
            <v>s__unclassified_g__Butyricimonas</v>
          </cell>
        </row>
        <row r="3748">
          <cell r="G3748" t="str">
            <v>ASV20397</v>
          </cell>
          <cell r="H3748" t="str">
            <v>g__Pseudoxanthomonas</v>
          </cell>
          <cell r="I3748" t="str">
            <v>s__unclassified_g__Pseudoxanthomonas</v>
          </cell>
        </row>
        <row r="3749">
          <cell r="G3749" t="str">
            <v>ASV3112</v>
          </cell>
          <cell r="H3749" t="str">
            <v>g__Tyzzerella</v>
          </cell>
          <cell r="I3749" t="str">
            <v>s__unclassified_g__Tyzzerella</v>
          </cell>
        </row>
        <row r="3750">
          <cell r="G3750" t="str">
            <v>ASV21869</v>
          </cell>
          <cell r="H3750" t="str">
            <v>g__unclassified_f__Lachnospiraceae</v>
          </cell>
          <cell r="I3750" t="str">
            <v>s__unclassified_f__Lachnospiraceae</v>
          </cell>
        </row>
        <row r="3751">
          <cell r="G3751" t="str">
            <v>ASV3113</v>
          </cell>
          <cell r="H3751" t="str">
            <v>g__unclassified_c__Clostridia</v>
          </cell>
          <cell r="I3751" t="str">
            <v>s__unclassified_c__Clostridia</v>
          </cell>
        </row>
        <row r="3752">
          <cell r="G3752" t="str">
            <v>ASV5588</v>
          </cell>
          <cell r="H3752" t="str">
            <v>g__UCG-002</v>
          </cell>
          <cell r="I3752" t="str">
            <v>s__uncultured_bacterium_g__UCG-002</v>
          </cell>
        </row>
        <row r="3753">
          <cell r="G3753" t="str">
            <v>ASV23042</v>
          </cell>
          <cell r="H3753" t="str">
            <v>g__unclassified_f__Lachnospiraceae</v>
          </cell>
          <cell r="I3753" t="str">
            <v>s__unclassified_f__Lachnospiraceae</v>
          </cell>
        </row>
        <row r="3754">
          <cell r="G3754" t="str">
            <v>ASV1947</v>
          </cell>
          <cell r="H3754" t="str">
            <v>g__unclassified_c__Clostridia</v>
          </cell>
          <cell r="I3754" t="str">
            <v>s__unclassified_c__Clostridia</v>
          </cell>
        </row>
        <row r="3755">
          <cell r="G3755" t="str">
            <v>ASV5573</v>
          </cell>
          <cell r="H3755" t="str">
            <v>g__Family_XIII_AD3011_group</v>
          </cell>
          <cell r="I3755" t="str">
            <v>s__unclassified_g__Family_XIII_AD3011_group</v>
          </cell>
        </row>
        <row r="3756">
          <cell r="G3756" t="str">
            <v>ASV10714</v>
          </cell>
          <cell r="H3756" t="str">
            <v>g__norank_f__Eubacterium_coprostanoligenes_group</v>
          </cell>
          <cell r="I3756" t="str">
            <v>s__unclassified_g__norank_f__Eubacterium_coprostanoligenes_group</v>
          </cell>
        </row>
        <row r="3757">
          <cell r="G3757" t="str">
            <v>ASV21851</v>
          </cell>
          <cell r="H3757" t="str">
            <v>g__Christensenellaceae_R-7_group</v>
          </cell>
          <cell r="I3757" t="str">
            <v>s__unclassified_g__Christensenellaceae_R-7_group</v>
          </cell>
        </row>
        <row r="3758">
          <cell r="G3758" t="str">
            <v>ASV24081</v>
          </cell>
          <cell r="H3758" t="str">
            <v>g__unclassified_f__Lachnospiraceae</v>
          </cell>
          <cell r="I3758" t="str">
            <v>s__unclassified_f__Lachnospiraceae</v>
          </cell>
        </row>
        <row r="3759">
          <cell r="G3759" t="str">
            <v>ASV11228</v>
          </cell>
          <cell r="H3759" t="str">
            <v>g__unclassified_p__Firmicutes</v>
          </cell>
          <cell r="I3759" t="str">
            <v>s__unclassified_p__Firmicutes</v>
          </cell>
        </row>
        <row r="3760">
          <cell r="G3760" t="str">
            <v>ASV10426</v>
          </cell>
          <cell r="H3760" t="str">
            <v>g__unclassified_o__Oscillospirales</v>
          </cell>
          <cell r="I3760" t="str">
            <v>s__unclassified_o__Oscillospirales</v>
          </cell>
        </row>
        <row r="3761">
          <cell r="G3761" t="str">
            <v>ASV20396</v>
          </cell>
          <cell r="H3761" t="str">
            <v>g__Massilia</v>
          </cell>
          <cell r="I3761" t="str">
            <v>s__unclassified_g__Massilia</v>
          </cell>
        </row>
        <row r="3762">
          <cell r="G3762" t="str">
            <v>ASV20549</v>
          </cell>
          <cell r="H3762" t="str">
            <v>g__unclassified_f__Lachnospiraceae</v>
          </cell>
          <cell r="I3762" t="str">
            <v>s__unclassified_f__Lachnospiraceae</v>
          </cell>
        </row>
        <row r="3763">
          <cell r="G3763" t="str">
            <v>ASV10024</v>
          </cell>
          <cell r="H3763" t="str">
            <v>g__Succinivibrio</v>
          </cell>
          <cell r="I3763" t="str">
            <v>s__uncultured_Succinivibrio_sp.</v>
          </cell>
        </row>
        <row r="3764">
          <cell r="G3764" t="str">
            <v>ASV11237</v>
          </cell>
          <cell r="H3764" t="str">
            <v>g__norank_f__norank_o__Clostridia_UCG-014</v>
          </cell>
          <cell r="I3764" t="str">
            <v>s__unclassified_g__norank_f__norank_o__Clostridia_UCG-014</v>
          </cell>
        </row>
        <row r="3765">
          <cell r="G3765" t="str">
            <v>ASV6553</v>
          </cell>
          <cell r="H3765" t="str">
            <v>g__unclassified_f__Peptostreptococcaceae</v>
          </cell>
          <cell r="I3765" t="str">
            <v>s__unclassified_f__Peptostreptococcaceae</v>
          </cell>
        </row>
        <row r="3766">
          <cell r="G3766" t="str">
            <v>ASV11234</v>
          </cell>
          <cell r="H3766" t="str">
            <v>g__unclassified_f__Oscillospiraceae</v>
          </cell>
          <cell r="I3766" t="str">
            <v>s__unclassified_f__Oscillospiraceae</v>
          </cell>
        </row>
        <row r="3767">
          <cell r="G3767" t="str">
            <v>ASV10085</v>
          </cell>
          <cell r="H3767" t="str">
            <v>g__Butyricicoccus</v>
          </cell>
          <cell r="I3767" t="str">
            <v>s__unclassified_g__Butyricicoccus</v>
          </cell>
        </row>
        <row r="3768">
          <cell r="G3768" t="str">
            <v>ASV13682</v>
          </cell>
          <cell r="H3768" t="str">
            <v>g__norank_f__Selenomonadaceae</v>
          </cell>
          <cell r="I3768" t="str">
            <v>s__unclassified_g__norank_f__Selenomonadaceae</v>
          </cell>
        </row>
        <row r="3769">
          <cell r="G3769" t="str">
            <v>ASV19274</v>
          </cell>
          <cell r="H3769" t="str">
            <v>g__unclassified_f__Lachnospiraceae</v>
          </cell>
          <cell r="I3769" t="str">
            <v>s__unclassified_f__Lachnospiraceae</v>
          </cell>
        </row>
        <row r="3770">
          <cell r="G3770" t="str">
            <v>ASV9174</v>
          </cell>
          <cell r="H3770" t="str">
            <v>g__Parabacteroides</v>
          </cell>
          <cell r="I3770" t="str">
            <v>s__uncultured_bacterium_g__Parabacteroides</v>
          </cell>
        </row>
        <row r="3771">
          <cell r="G3771" t="str">
            <v>ASV1984</v>
          </cell>
          <cell r="H3771" t="str">
            <v>g__Eubacterium_xylanophilum_group</v>
          </cell>
          <cell r="I3771" t="str">
            <v>s__unclassified_g__Eubacterium_xylanophilum_group</v>
          </cell>
        </row>
        <row r="3772">
          <cell r="G3772" t="str">
            <v>ASV17749</v>
          </cell>
          <cell r="H3772" t="str">
            <v>g__Phascolarctobacterium</v>
          </cell>
          <cell r="I3772" t="str">
            <v>s__unclassified_g__Phascolarctobacterium</v>
          </cell>
        </row>
        <row r="3773">
          <cell r="G3773" t="str">
            <v>ASV8775</v>
          </cell>
          <cell r="H3773" t="str">
            <v>g__norank_f__Eubacterium_coprostanoligenes_group</v>
          </cell>
          <cell r="I3773" t="str">
            <v>s__Eubacterium_coprostanoligenes</v>
          </cell>
        </row>
        <row r="3774">
          <cell r="G3774" t="str">
            <v>ASV23043</v>
          </cell>
          <cell r="H3774" t="str">
            <v>g__norank_f__Erysipelotrichaceae</v>
          </cell>
          <cell r="I3774" t="str">
            <v>s__uncultured_bacterium_g__norank_f__Erysipelotrichaceae</v>
          </cell>
        </row>
        <row r="3775">
          <cell r="G3775" t="str">
            <v>ASV9186</v>
          </cell>
          <cell r="H3775" t="str">
            <v>g__Lactobacillus</v>
          </cell>
          <cell r="I3775" t="str">
            <v>s__unclassified_g__Lactobacillus</v>
          </cell>
        </row>
        <row r="3776">
          <cell r="G3776" t="str">
            <v>ASV13932</v>
          </cell>
          <cell r="H3776" t="str">
            <v>g__Lachnospiraceae_UCG-004</v>
          </cell>
          <cell r="I3776" t="str">
            <v>s__unclassified_g__Lachnospiraceae_UCG-004</v>
          </cell>
        </row>
        <row r="3777">
          <cell r="G3777" t="str">
            <v>ASV18503</v>
          </cell>
          <cell r="H3777" t="str">
            <v>g__Lactobacillus</v>
          </cell>
          <cell r="I3777" t="str">
            <v>s__unclassified_g__Lactobacillus</v>
          </cell>
        </row>
        <row r="3778">
          <cell r="G3778" t="str">
            <v>ASV16250</v>
          </cell>
          <cell r="H3778" t="str">
            <v>g__Bacteroides</v>
          </cell>
          <cell r="I3778" t="str">
            <v>s__unclassified_g__Bacteroides</v>
          </cell>
        </row>
        <row r="3779">
          <cell r="G3779" t="str">
            <v>ASV17760</v>
          </cell>
          <cell r="H3779" t="str">
            <v>g__unclassified_c__Clostridia</v>
          </cell>
          <cell r="I3779" t="str">
            <v>s__unclassified_c__Clostridia</v>
          </cell>
        </row>
        <row r="3780">
          <cell r="G3780" t="str">
            <v>ASV10419</v>
          </cell>
          <cell r="H3780" t="str">
            <v>g__norank_f__Peptostreptococcaceae</v>
          </cell>
          <cell r="I3780" t="str">
            <v>s__unclassified_g__norank_f__Peptostreptococcaceae</v>
          </cell>
        </row>
        <row r="3781">
          <cell r="G3781" t="str">
            <v>ASV2807</v>
          </cell>
          <cell r="H3781" t="str">
            <v>g__unclassified_f__Lachnospiraceae</v>
          </cell>
          <cell r="I3781" t="str">
            <v>s__unclassified_f__Lachnospiraceae</v>
          </cell>
        </row>
        <row r="3782">
          <cell r="G3782" t="str">
            <v>ASV306</v>
          </cell>
          <cell r="H3782" t="str">
            <v>g__unclassified_p__Firmicutes</v>
          </cell>
          <cell r="I3782" t="str">
            <v>s__unclassified_p__Firmicutes</v>
          </cell>
        </row>
        <row r="3783">
          <cell r="G3783" t="str">
            <v>ASV7509</v>
          </cell>
          <cell r="H3783" t="str">
            <v>g__unclassified_c__Clostridia</v>
          </cell>
          <cell r="I3783" t="str">
            <v>s__unclassified_c__Clostridia</v>
          </cell>
        </row>
        <row r="3784">
          <cell r="G3784" t="str">
            <v>ASV7220</v>
          </cell>
          <cell r="H3784" t="str">
            <v>g__TM7a</v>
          </cell>
          <cell r="I3784" t="str">
            <v>s__uncultured_bacterium_g__TM7a</v>
          </cell>
        </row>
        <row r="3785">
          <cell r="G3785" t="str">
            <v>ASV6547</v>
          </cell>
          <cell r="H3785" t="str">
            <v>g__unclassified_f__Peptostreptococcaceae</v>
          </cell>
          <cell r="I3785" t="str">
            <v>s__unclassified_f__Peptostreptococcaceae</v>
          </cell>
        </row>
        <row r="3786">
          <cell r="G3786" t="str">
            <v>ASV9175</v>
          </cell>
          <cell r="H3786" t="str">
            <v>g__unclassified_p__Firmicutes</v>
          </cell>
          <cell r="I3786" t="str">
            <v>s__unclassified_p__Firmicutes</v>
          </cell>
        </row>
        <row r="3787">
          <cell r="G3787" t="str">
            <v>ASV16251</v>
          </cell>
          <cell r="H3787" t="str">
            <v>g__dgA-11_gut_group</v>
          </cell>
          <cell r="I3787" t="str">
            <v>s__uncultured_Bacteroidales_bacterium_g__dgA-11_gut_group</v>
          </cell>
        </row>
        <row r="3788">
          <cell r="G3788" t="str">
            <v>ASV19201</v>
          </cell>
          <cell r="H3788" t="str">
            <v>g__unclassified_f__Prevotellaceae</v>
          </cell>
          <cell r="I3788" t="str">
            <v>s__unclassified_f__Prevotellaceae</v>
          </cell>
        </row>
        <row r="3789">
          <cell r="G3789" t="str">
            <v>ASV11038</v>
          </cell>
          <cell r="H3789" t="str">
            <v>g__Lactobacillus</v>
          </cell>
          <cell r="I3789" t="str">
            <v>s__unclassified_g__Lactobacillus</v>
          </cell>
        </row>
        <row r="3790">
          <cell r="G3790" t="str">
            <v>ASV1573</v>
          </cell>
          <cell r="H3790" t="str">
            <v>g__Lactobacillus</v>
          </cell>
          <cell r="I3790" t="str">
            <v>s__unclassified_g__Lactobacillus</v>
          </cell>
        </row>
        <row r="3791">
          <cell r="G3791" t="str">
            <v>ASV20395</v>
          </cell>
          <cell r="H3791" t="str">
            <v>g__Arcicella</v>
          </cell>
          <cell r="I3791" t="str">
            <v>s__Arcicella_rigui</v>
          </cell>
        </row>
        <row r="3792">
          <cell r="G3792" t="str">
            <v>ASV21849</v>
          </cell>
          <cell r="H3792" t="str">
            <v>g__unclassified_f__Oscillospiraceae</v>
          </cell>
          <cell r="I3792" t="str">
            <v>s__unclassified_f__Oscillospiraceae</v>
          </cell>
        </row>
        <row r="3793">
          <cell r="G3793" t="str">
            <v>ASV17756</v>
          </cell>
          <cell r="H3793" t="str">
            <v>g__unclassified_c__Clostridia</v>
          </cell>
          <cell r="I3793" t="str">
            <v>s__unclassified_c__Clostridia</v>
          </cell>
        </row>
        <row r="3794">
          <cell r="G3794" t="str">
            <v>ASV18501</v>
          </cell>
          <cell r="H3794" t="str">
            <v>g__unclassified_f__Lachnospiraceae</v>
          </cell>
          <cell r="I3794" t="str">
            <v>s__unclassified_f__Lachnospiraceae</v>
          </cell>
        </row>
        <row r="3795">
          <cell r="G3795" t="str">
            <v>ASV1949</v>
          </cell>
          <cell r="H3795" t="str">
            <v>g__unclassified_c__Bacilli</v>
          </cell>
          <cell r="I3795" t="str">
            <v>s__unclassified_c__Bacilli</v>
          </cell>
        </row>
        <row r="3796">
          <cell r="G3796" t="str">
            <v>ASV19271</v>
          </cell>
          <cell r="H3796" t="str">
            <v>g__unclassified_f__Lachnospiraceae</v>
          </cell>
          <cell r="I3796" t="str">
            <v>s__unclassified_f__Lachnospiraceae</v>
          </cell>
        </row>
        <row r="3797">
          <cell r="G3797" t="str">
            <v>ASV15899</v>
          </cell>
          <cell r="H3797" t="str">
            <v>g__Campylobacter</v>
          </cell>
          <cell r="I3797" t="str">
            <v>s__unclassified_g__Campylobacter</v>
          </cell>
        </row>
        <row r="3798">
          <cell r="G3798" t="str">
            <v>ASV15029</v>
          </cell>
          <cell r="H3798" t="str">
            <v>g__Porphyromonas</v>
          </cell>
          <cell r="I3798" t="str">
            <v>s__Porphyromonas_somerae</v>
          </cell>
        </row>
        <row r="3799">
          <cell r="G3799" t="str">
            <v>ASV8418</v>
          </cell>
          <cell r="H3799" t="str">
            <v>g__Escherichia-Shigella</v>
          </cell>
          <cell r="I3799" t="str">
            <v>s__unclassified_g__Escherichia-Shigella</v>
          </cell>
        </row>
        <row r="3800">
          <cell r="G3800" t="str">
            <v>ASV15181</v>
          </cell>
          <cell r="H3800" t="str">
            <v>g__unclassified_f__Lachnospiraceae</v>
          </cell>
          <cell r="I3800" t="str">
            <v>s__unclassified_f__Lachnospiraceae</v>
          </cell>
        </row>
        <row r="3801">
          <cell r="G3801" t="str">
            <v>ASV21857</v>
          </cell>
          <cell r="H3801" t="str">
            <v>g__Blautia</v>
          </cell>
          <cell r="I3801" t="str">
            <v>s__unclassified_g__Blautia</v>
          </cell>
        </row>
        <row r="3802">
          <cell r="G3802" t="str">
            <v>ASV16813</v>
          </cell>
          <cell r="H3802" t="str">
            <v>g__Lactobacillus</v>
          </cell>
          <cell r="I3802" t="str">
            <v>s__unclassified_g__Lactobacillus</v>
          </cell>
        </row>
        <row r="3803">
          <cell r="G3803" t="str">
            <v>ASV13929</v>
          </cell>
          <cell r="H3803" t="str">
            <v>g__Prevotella</v>
          </cell>
          <cell r="I3803" t="str">
            <v>s__unclassified_g__Prevotella</v>
          </cell>
        </row>
        <row r="3804">
          <cell r="G3804" t="str">
            <v>ASV21153</v>
          </cell>
          <cell r="H3804" t="str">
            <v>g__unclassified_f__Lachnospiraceae</v>
          </cell>
          <cell r="I3804" t="str">
            <v>s__unclassified_f__Lachnospiraceae</v>
          </cell>
        </row>
        <row r="3805">
          <cell r="G3805" t="str">
            <v>ASV19041</v>
          </cell>
          <cell r="H3805" t="str">
            <v>g__UBA1819</v>
          </cell>
          <cell r="I3805" t="str">
            <v>s__unclassified_g__UBA1819</v>
          </cell>
        </row>
        <row r="3806">
          <cell r="G3806" t="str">
            <v>ASV20544</v>
          </cell>
          <cell r="H3806" t="str">
            <v>g__Christensenellaceae_R-7_group</v>
          </cell>
          <cell r="I3806" t="str">
            <v>s__unclassified_g__Christensenellaceae_R-7_group</v>
          </cell>
        </row>
        <row r="3807">
          <cell r="G3807" t="str">
            <v>ASV4510</v>
          </cell>
          <cell r="H3807" t="str">
            <v>g__unclassified_p__Firmicutes</v>
          </cell>
          <cell r="I3807" t="str">
            <v>s__unclassified_p__Firmicutes</v>
          </cell>
        </row>
        <row r="3808">
          <cell r="G3808" t="str">
            <v>ASV16245</v>
          </cell>
          <cell r="H3808" t="str">
            <v>g__Clostridium_sensu_stricto_1</v>
          </cell>
          <cell r="I3808" t="str">
            <v>s__unclassified_g__Clostridium_sensu_stricto_1</v>
          </cell>
        </row>
        <row r="3809">
          <cell r="G3809" t="str">
            <v>ASV8425</v>
          </cell>
          <cell r="H3809" t="str">
            <v>g__unclassified_k__norank_d__Bacteria</v>
          </cell>
          <cell r="I3809" t="str">
            <v>s__unclassified_k__norank_d__Bacteria</v>
          </cell>
        </row>
        <row r="3810">
          <cell r="G3810" t="str">
            <v>ASV20210</v>
          </cell>
          <cell r="H3810" t="str">
            <v>g__Blautia</v>
          </cell>
          <cell r="I3810" t="str">
            <v>s__unclassified_g__Blautia</v>
          </cell>
        </row>
        <row r="3811">
          <cell r="G3811" t="str">
            <v>ASV8328</v>
          </cell>
          <cell r="H3811" t="str">
            <v>g__norank_f__UBA12409</v>
          </cell>
          <cell r="I3811" t="str">
            <v>s__unclassified_g__norank_f__UBA12409</v>
          </cell>
        </row>
        <row r="3812">
          <cell r="G3812" t="str">
            <v>ASV5583</v>
          </cell>
          <cell r="H3812" t="str">
            <v>g__Turicibacter</v>
          </cell>
          <cell r="I3812" t="str">
            <v>s__uncultured_bacterium_g__Turicibacter</v>
          </cell>
        </row>
        <row r="3813">
          <cell r="G3813" t="str">
            <v>ASV19267</v>
          </cell>
          <cell r="H3813" t="str">
            <v>g__Prevotellaceae_NK3B31_group</v>
          </cell>
          <cell r="I3813" t="str">
            <v>s__metagenome_g__Prevotellaceae_NK3B31_group</v>
          </cell>
        </row>
        <row r="3814">
          <cell r="G3814" t="str">
            <v>ASV18799</v>
          </cell>
          <cell r="H3814" t="str">
            <v>g__Fusobacterium</v>
          </cell>
          <cell r="I3814" t="str">
            <v>s__unclassified_g__Fusobacterium</v>
          </cell>
        </row>
        <row r="3815">
          <cell r="G3815" t="str">
            <v>ASV13774</v>
          </cell>
          <cell r="H3815" t="str">
            <v>g__unclassified_f__Lachnospiraceae</v>
          </cell>
          <cell r="I3815" t="str">
            <v>s__unclassified_f__Lachnospiraceae</v>
          </cell>
        </row>
        <row r="3816">
          <cell r="G3816" t="str">
            <v>ASV10275</v>
          </cell>
          <cell r="H3816" t="str">
            <v>g__Lactobacillus</v>
          </cell>
          <cell r="I3816" t="str">
            <v>s__unclassified_g__Lactobacillus</v>
          </cell>
        </row>
        <row r="3817">
          <cell r="G3817" t="str">
            <v>ASV3026</v>
          </cell>
          <cell r="H3817" t="str">
            <v>g__norank_f__norank_o__Absconditabacteriales_SR1</v>
          </cell>
          <cell r="I3817" t="str">
            <v>s__unclassified_g__norank_f__norank_o__Absconditabacteriales_SR1</v>
          </cell>
        </row>
        <row r="3818">
          <cell r="G3818" t="str">
            <v>ASV16244</v>
          </cell>
          <cell r="H3818" t="str">
            <v>g__Bacteroides</v>
          </cell>
          <cell r="I3818" t="str">
            <v>s__uncultured_bacterium_g__Bacteroides</v>
          </cell>
        </row>
        <row r="3819">
          <cell r="G3819" t="str">
            <v>ASV20601</v>
          </cell>
          <cell r="H3819" t="str">
            <v>g__norank_f__Ruminococcaceae</v>
          </cell>
          <cell r="I3819" t="str">
            <v>s__uncultured_bacterium_g__norank_f__Ruminococcaceae</v>
          </cell>
        </row>
        <row r="3820">
          <cell r="G3820" t="str">
            <v>ASV15033</v>
          </cell>
          <cell r="H3820" t="str">
            <v>g__Pseudochrobactrum</v>
          </cell>
          <cell r="I3820" t="str">
            <v>s__unclassified_g__Pseudochrobactrum</v>
          </cell>
        </row>
        <row r="3821">
          <cell r="G3821" t="str">
            <v>ASV312</v>
          </cell>
          <cell r="H3821" t="str">
            <v>g__Ruminococcus</v>
          </cell>
          <cell r="I3821" t="str">
            <v>s__bacterium_ic1277</v>
          </cell>
        </row>
        <row r="3822">
          <cell r="G3822" t="str">
            <v>ASV21402</v>
          </cell>
          <cell r="H3822" t="str">
            <v>g__unclassified_p__Firmicutes</v>
          </cell>
          <cell r="I3822" t="str">
            <v>s__unclassified_p__Firmicutes</v>
          </cell>
        </row>
        <row r="3823">
          <cell r="G3823" t="str">
            <v>ASV8327</v>
          </cell>
          <cell r="H3823" t="str">
            <v>g__Aquabacterium</v>
          </cell>
          <cell r="I3823" t="str">
            <v>s__unclassified_g__Aquabacterium</v>
          </cell>
        </row>
        <row r="3824">
          <cell r="G3824" t="str">
            <v>ASV8419</v>
          </cell>
          <cell r="H3824" t="str">
            <v>g__Prevotella</v>
          </cell>
          <cell r="I3824" t="str">
            <v>s__unclassified_g__Prevotella</v>
          </cell>
        </row>
        <row r="3825">
          <cell r="G3825" t="str">
            <v>ASV300</v>
          </cell>
          <cell r="H3825" t="str">
            <v>g__Christensenellaceae_R-7_group</v>
          </cell>
          <cell r="I3825" t="str">
            <v>s__unclassified_g__Christensenellaceae_R-7_group</v>
          </cell>
        </row>
        <row r="3826">
          <cell r="G3826" t="str">
            <v>ASV15897</v>
          </cell>
          <cell r="H3826" t="str">
            <v>g__Streptococcus</v>
          </cell>
          <cell r="I3826" t="str">
            <v>s__unclassified_g__Streptococcus</v>
          </cell>
        </row>
        <row r="3827">
          <cell r="G3827" t="str">
            <v>ASV13276</v>
          </cell>
          <cell r="H3827" t="str">
            <v>g__Christensenellaceae_R-7_group</v>
          </cell>
          <cell r="I3827" t="str">
            <v>s__unclassified_g__Christensenellaceae_R-7_group</v>
          </cell>
        </row>
        <row r="3828">
          <cell r="G3828" t="str">
            <v>ASV21866</v>
          </cell>
          <cell r="H3828" t="str">
            <v>g__unclassified_c__Clostridia</v>
          </cell>
          <cell r="I3828" t="str">
            <v>s__unclassified_c__Clostridia</v>
          </cell>
        </row>
        <row r="3829">
          <cell r="G3829" t="str">
            <v>ASV2793</v>
          </cell>
          <cell r="H3829" t="str">
            <v>g__Clostridium_sensu_stricto_13</v>
          </cell>
          <cell r="I3829" t="str">
            <v>s__unclassified_g__Clostridium_sensu_stricto_13</v>
          </cell>
        </row>
        <row r="3830">
          <cell r="G3830" t="str">
            <v>ASV295</v>
          </cell>
          <cell r="H3830" t="str">
            <v>g__UCG-002</v>
          </cell>
          <cell r="I3830" t="str">
            <v>s__unclassified_g__UCG-002</v>
          </cell>
        </row>
        <row r="3831">
          <cell r="G3831" t="str">
            <v>ASV9185</v>
          </cell>
          <cell r="H3831" t="str">
            <v>g__unclassified_p__Firmicutes</v>
          </cell>
          <cell r="I3831" t="str">
            <v>s__unclassified_p__Firmicutes</v>
          </cell>
        </row>
        <row r="3832">
          <cell r="G3832" t="str">
            <v>ASV21853</v>
          </cell>
          <cell r="H3832" t="str">
            <v>g__unclassified_p__Firmicutes</v>
          </cell>
          <cell r="I3832" t="str">
            <v>s__unclassified_p__Firmicutes</v>
          </cell>
        </row>
        <row r="3833">
          <cell r="G3833" t="str">
            <v>ASV23812</v>
          </cell>
          <cell r="H3833" t="str">
            <v>g__unclassified_f__Veillonellaceae</v>
          </cell>
          <cell r="I3833" t="str">
            <v>s__unclassified_f__Veillonellaceae</v>
          </cell>
        </row>
        <row r="3834">
          <cell r="G3834" t="str">
            <v>ASV8935</v>
          </cell>
          <cell r="H3834" t="str">
            <v>g__Lactobacillus</v>
          </cell>
          <cell r="I3834" t="str">
            <v>s__unclassified_g__Lactobacillus</v>
          </cell>
        </row>
        <row r="3835">
          <cell r="G3835" t="str">
            <v>ASV316</v>
          </cell>
          <cell r="H3835" t="str">
            <v>g__Lactobacillus</v>
          </cell>
          <cell r="I3835" t="str">
            <v>s__unclassified_g__Lactobacillus</v>
          </cell>
        </row>
        <row r="3836">
          <cell r="G3836" t="str">
            <v>ASV20211</v>
          </cell>
          <cell r="H3836" t="str">
            <v>g__Lactobacillus</v>
          </cell>
          <cell r="I3836" t="str">
            <v>s__unclassified_g__Lactobacillus</v>
          </cell>
        </row>
        <row r="3837">
          <cell r="G3837" t="str">
            <v>ASV11221</v>
          </cell>
          <cell r="H3837" t="str">
            <v>g__Prevotella</v>
          </cell>
          <cell r="I3837" t="str">
            <v>s__unclassified_g__Prevotella</v>
          </cell>
        </row>
        <row r="3838">
          <cell r="G3838" t="str">
            <v>ASV11226</v>
          </cell>
          <cell r="H3838" t="str">
            <v>g__unclassified_f__Lachnospiraceae</v>
          </cell>
          <cell r="I3838" t="str">
            <v>s__unclassified_f__Lachnospiraceae</v>
          </cell>
        </row>
        <row r="3839">
          <cell r="G3839" t="str">
            <v>ASV16810</v>
          </cell>
          <cell r="H3839" t="str">
            <v>g__Prevotellaceae_NK3B31_group</v>
          </cell>
          <cell r="I3839" t="str">
            <v>s__uncultured_bacterium_g__Prevotellaceae_NK3B31_group</v>
          </cell>
        </row>
        <row r="3840">
          <cell r="G3840" t="str">
            <v>ASV13773</v>
          </cell>
          <cell r="H3840" t="str">
            <v>g__Romboutsia</v>
          </cell>
          <cell r="I3840" t="str">
            <v>s__unclassified_g__Romboutsia</v>
          </cell>
        </row>
        <row r="3841">
          <cell r="G3841" t="str">
            <v>ASV21712</v>
          </cell>
          <cell r="H3841" t="str">
            <v>g__Pseudomonas</v>
          </cell>
          <cell r="I3841" t="str">
            <v>s__unclassified_g__Pseudomonas</v>
          </cell>
        </row>
        <row r="3842">
          <cell r="G3842" t="str">
            <v>ASV13927</v>
          </cell>
          <cell r="H3842" t="str">
            <v>g__norank_f__Muribaculaceae</v>
          </cell>
          <cell r="I3842" t="str">
            <v>s__uncultured_bacterium_g__norank_f__Muribaculaceae</v>
          </cell>
        </row>
        <row r="3843">
          <cell r="G3843" t="str">
            <v>ASV18508</v>
          </cell>
          <cell r="H3843" t="str">
            <v>g__unclassified_p__Firmicutes</v>
          </cell>
          <cell r="I3843" t="str">
            <v>s__unclassified_p__Firmicutes</v>
          </cell>
        </row>
        <row r="3844">
          <cell r="G3844" t="str">
            <v>ASV302</v>
          </cell>
          <cell r="H3844" t="str">
            <v>g__unclassified_o__Oscillospirales</v>
          </cell>
          <cell r="I3844" t="str">
            <v>s__unclassified_o__Oscillospirales</v>
          </cell>
        </row>
        <row r="3845">
          <cell r="G3845" t="str">
            <v>ASV4513</v>
          </cell>
          <cell r="H3845" t="str">
            <v>g__Enterococcus</v>
          </cell>
          <cell r="I3845" t="str">
            <v>s__unclassified_g__Enterococcus</v>
          </cell>
        </row>
        <row r="3846">
          <cell r="G3846" t="str">
            <v>ASV9180</v>
          </cell>
          <cell r="H3846" t="str">
            <v>g__UCG-002</v>
          </cell>
          <cell r="I3846" t="str">
            <v>s__uncultured_bacterium_g__UCG-002</v>
          </cell>
        </row>
        <row r="3847">
          <cell r="G3847" t="str">
            <v>ASV7504</v>
          </cell>
          <cell r="H3847" t="str">
            <v>g__unclassified_f__Lachnospiraceae</v>
          </cell>
          <cell r="I3847" t="str">
            <v>s__unclassified_f__Lachnospiraceae</v>
          </cell>
        </row>
        <row r="3848">
          <cell r="G3848" t="str">
            <v>ASV19270</v>
          </cell>
          <cell r="H3848" t="str">
            <v>g__norank_f__Eubacterium_coprostanoligenes_group</v>
          </cell>
          <cell r="I3848" t="str">
            <v>s__Eubacterium_coprostanoligenes</v>
          </cell>
        </row>
        <row r="3849">
          <cell r="G3849" t="str">
            <v>ASV1570</v>
          </cell>
          <cell r="H3849" t="str">
            <v>g__Streptococcus</v>
          </cell>
          <cell r="I3849" t="str">
            <v>s__unclassified_g__Streptococcus</v>
          </cell>
        </row>
        <row r="3850">
          <cell r="G3850" t="str">
            <v>ASV15779</v>
          </cell>
          <cell r="H3850" t="str">
            <v>g__unclassified_f__Lachnospiraceae</v>
          </cell>
          <cell r="I3850" t="str">
            <v>s__unclassified_f__Lachnospiraceae</v>
          </cell>
        </row>
        <row r="3851">
          <cell r="G3851" t="str">
            <v>ASV21863</v>
          </cell>
          <cell r="H3851" t="str">
            <v>g__unclassified_f__Acidaminococcaceae</v>
          </cell>
          <cell r="I3851" t="str">
            <v>s__unclassified_f__Acidaminococcaceae</v>
          </cell>
        </row>
        <row r="3852">
          <cell r="G3852" t="str">
            <v>ASV5576</v>
          </cell>
          <cell r="H3852" t="str">
            <v>g__Escherichia-Shigella</v>
          </cell>
          <cell r="I3852" t="str">
            <v>s__unclassified_g__Escherichia-Shigella</v>
          </cell>
        </row>
        <row r="3853">
          <cell r="G3853" t="str">
            <v>ASV17453</v>
          </cell>
          <cell r="H3853" t="str">
            <v>g__Tyzzerella</v>
          </cell>
          <cell r="I3853" t="str">
            <v>s__uncultured_organism_g__Tyzzerella</v>
          </cell>
        </row>
        <row r="3854">
          <cell r="G3854" t="str">
            <v>ASV21856</v>
          </cell>
          <cell r="H3854" t="str">
            <v>g__Eubacterium_oxidoreducens_group</v>
          </cell>
          <cell r="I3854" t="str">
            <v>s__uncultured_bacterium_g__Eubacterium_oxidoreducens_group</v>
          </cell>
        </row>
        <row r="3855">
          <cell r="G3855" t="str">
            <v>ASV20548</v>
          </cell>
          <cell r="H3855" t="str">
            <v>g__UCG-005</v>
          </cell>
          <cell r="I3855" t="str">
            <v>s__unclassified_g__UCG-005</v>
          </cell>
        </row>
        <row r="3856">
          <cell r="G3856" t="str">
            <v>ASV315</v>
          </cell>
          <cell r="H3856" t="str">
            <v>g__Colidextribacter</v>
          </cell>
          <cell r="I3856" t="str">
            <v>s__unclassified_g__Colidextribacter</v>
          </cell>
        </row>
        <row r="3857">
          <cell r="G3857" t="str">
            <v>ASV6549</v>
          </cell>
          <cell r="H3857" t="str">
            <v>g__Peptococcus</v>
          </cell>
          <cell r="I3857" t="str">
            <v>s__uncultured_bacterium_g__Peptococcus</v>
          </cell>
        </row>
        <row r="3858">
          <cell r="G3858" t="str">
            <v>ASV17791</v>
          </cell>
          <cell r="H3858" t="str">
            <v>g__unclassified_f__Ruminococcaceae</v>
          </cell>
          <cell r="I3858" t="str">
            <v>s__unclassified_f__Ruminococcaceae</v>
          </cell>
        </row>
        <row r="3859">
          <cell r="G3859" t="str">
            <v>ASV20552</v>
          </cell>
          <cell r="H3859" t="str">
            <v>g__unclassified_c__Clostridia</v>
          </cell>
          <cell r="I3859" t="str">
            <v>s__unclassified_c__Clostridia</v>
          </cell>
        </row>
        <row r="3860">
          <cell r="G3860" t="str">
            <v>ASV8932</v>
          </cell>
          <cell r="H3860" t="str">
            <v>g__Bacillus</v>
          </cell>
          <cell r="I3860" t="str">
            <v>s__Lactobacillus_vaginalis_g__Bacillus</v>
          </cell>
        </row>
        <row r="3861">
          <cell r="G3861" t="str">
            <v>ASV5582</v>
          </cell>
          <cell r="H3861" t="str">
            <v>g__Cloacibacillus</v>
          </cell>
          <cell r="I3861" t="str">
            <v>s__unclassified_g__Cloacibacillus</v>
          </cell>
        </row>
        <row r="3862">
          <cell r="G3862" t="str">
            <v>ASV20207</v>
          </cell>
          <cell r="H3862" t="str">
            <v>g__Lactobacillus</v>
          </cell>
          <cell r="I3862" t="str">
            <v>s__unclassified_g__Lactobacillus</v>
          </cell>
        </row>
        <row r="3863">
          <cell r="G3863" t="str">
            <v>ASV17746</v>
          </cell>
          <cell r="H3863" t="str">
            <v>g__unclassified_c__Clostridia</v>
          </cell>
          <cell r="I3863" t="str">
            <v>s__unclassified_c__Clostridia</v>
          </cell>
        </row>
        <row r="3864">
          <cell r="G3864" t="str">
            <v>ASV7507</v>
          </cell>
          <cell r="H3864" t="str">
            <v>g__Bacillus</v>
          </cell>
          <cell r="I3864" t="str">
            <v>s__Lactobacillus_vaginalis_g__Bacillus</v>
          </cell>
        </row>
        <row r="3865">
          <cell r="G3865" t="str">
            <v>ASV13273</v>
          </cell>
          <cell r="H3865" t="str">
            <v>g__unclassified_c__Clostridia</v>
          </cell>
          <cell r="I3865" t="str">
            <v>s__unclassified_c__Clostridia</v>
          </cell>
        </row>
        <row r="3866">
          <cell r="G3866" t="str">
            <v>ASV17752</v>
          </cell>
          <cell r="H3866" t="str">
            <v>g__unclassified_o__Oscillospirales</v>
          </cell>
          <cell r="I3866" t="str">
            <v>s__unclassified_o__Oscillospirales</v>
          </cell>
        </row>
        <row r="3867">
          <cell r="G3867" t="str">
            <v>ASV7506</v>
          </cell>
          <cell r="H3867" t="str">
            <v>g__Lactobacillus</v>
          </cell>
          <cell r="I3867" t="str">
            <v>s__unclassified_g__Lactobacillus</v>
          </cell>
        </row>
        <row r="3868">
          <cell r="G3868" t="str">
            <v>ASV20546</v>
          </cell>
          <cell r="H3868" t="str">
            <v>g__unclassified_c__Clostridia</v>
          </cell>
          <cell r="I3868" t="str">
            <v>s__unclassified_c__Clostridia</v>
          </cell>
        </row>
        <row r="3869">
          <cell r="G3869" t="str">
            <v>ASV5568</v>
          </cell>
          <cell r="H3869" t="str">
            <v>g__unclassified_f__Lachnospiraceae</v>
          </cell>
          <cell r="I3869" t="str">
            <v>s__unclassified_f__Lachnospiraceae</v>
          </cell>
        </row>
        <row r="3870">
          <cell r="G3870" t="str">
            <v>ASV23038</v>
          </cell>
          <cell r="H3870" t="str">
            <v>g__Lactobacillus</v>
          </cell>
          <cell r="I3870" t="str">
            <v>s__unclassified_g__Lactobacillus</v>
          </cell>
        </row>
        <row r="3871">
          <cell r="G3871" t="str">
            <v>ASV17565</v>
          </cell>
          <cell r="H3871" t="str">
            <v>g__Alloprevotella</v>
          </cell>
          <cell r="I3871" t="str">
            <v>s__uncultured_bacterium_g__Alloprevotella</v>
          </cell>
        </row>
        <row r="3872">
          <cell r="G3872" t="str">
            <v>ASV21861</v>
          </cell>
          <cell r="H3872" t="str">
            <v>g__unclassified_f__Lachnospiraceae</v>
          </cell>
          <cell r="I3872" t="str">
            <v>s__unclassified_f__Lachnospiraceae</v>
          </cell>
        </row>
        <row r="3873">
          <cell r="G3873" t="str">
            <v>ASV17753</v>
          </cell>
          <cell r="H3873" t="str">
            <v>g__unclassified_f__Oscillospiraceae</v>
          </cell>
          <cell r="I3873" t="str">
            <v>s__unclassified_f__Oscillospiraceae</v>
          </cell>
        </row>
        <row r="3874">
          <cell r="G3874" t="str">
            <v>ASV3363</v>
          </cell>
          <cell r="H3874" t="str">
            <v>g__Clostridium_sensu_stricto_1</v>
          </cell>
          <cell r="I3874" t="str">
            <v>s__unclassified_g__Clostridium_sensu_stricto_1</v>
          </cell>
        </row>
        <row r="3875">
          <cell r="G3875" t="str">
            <v>ASV16242</v>
          </cell>
          <cell r="H3875" t="str">
            <v>g__Campylobacter</v>
          </cell>
          <cell r="I3875" t="str">
            <v>s__unclassified_g__Campylobacter</v>
          </cell>
        </row>
        <row r="3876">
          <cell r="G3876" t="str">
            <v>ASV21404</v>
          </cell>
          <cell r="H3876" t="str">
            <v>g__Megasphaera</v>
          </cell>
          <cell r="I3876" t="str">
            <v>s__unclassified_g__Megasphaera</v>
          </cell>
        </row>
        <row r="3877">
          <cell r="G3877" t="str">
            <v>ASV15896</v>
          </cell>
          <cell r="H3877" t="str">
            <v>g__Fusobacterium</v>
          </cell>
          <cell r="I3877" t="str">
            <v>s__unclassified_g__Fusobacterium</v>
          </cell>
        </row>
        <row r="3878">
          <cell r="G3878" t="str">
            <v>ASV21405</v>
          </cell>
          <cell r="H3878" t="str">
            <v>g__Lactobacillus</v>
          </cell>
          <cell r="I3878" t="str">
            <v>s__unclassified_g__Lactobacillus</v>
          </cell>
        </row>
        <row r="3879">
          <cell r="G3879" t="str">
            <v>ASV9176</v>
          </cell>
          <cell r="H3879" t="str">
            <v>g__unclassified_p__Firmicutes</v>
          </cell>
          <cell r="I3879" t="str">
            <v>s__unclassified_p__Firmicutes</v>
          </cell>
        </row>
        <row r="3880">
          <cell r="G3880" t="str">
            <v>ASV4522</v>
          </cell>
          <cell r="H3880" t="str">
            <v>g__unclassified_c__Clostridia</v>
          </cell>
          <cell r="I3880" t="str">
            <v>s__unclassified_c__Clostridia</v>
          </cell>
        </row>
        <row r="3881">
          <cell r="G3881" t="str">
            <v>ASV13936</v>
          </cell>
          <cell r="H3881" t="str">
            <v>g__Lactobacillus</v>
          </cell>
          <cell r="I3881" t="str">
            <v>s__unclassified_g__Lactobacillus</v>
          </cell>
        </row>
        <row r="3882">
          <cell r="G3882" t="str">
            <v>ASV20547</v>
          </cell>
          <cell r="H3882" t="str">
            <v>g__Christensenellaceae_R-7_group</v>
          </cell>
          <cell r="I3882" t="str">
            <v>s__uncultured_prokaryote_g__Christensenellaceae_R-7_group</v>
          </cell>
        </row>
        <row r="3883">
          <cell r="G3883" t="str">
            <v>ASV17757</v>
          </cell>
          <cell r="H3883" t="str">
            <v>g__Phascolarctobacterium</v>
          </cell>
          <cell r="I3883" t="str">
            <v>s__Ruminococcus_sp._N15.MGS-57_g__Phascolarctobacterium</v>
          </cell>
        </row>
        <row r="3884">
          <cell r="G3884" t="str">
            <v>ASV9181</v>
          </cell>
          <cell r="H3884" t="str">
            <v>g__Lactobacillus</v>
          </cell>
          <cell r="I3884" t="str">
            <v>s__unclassified_g__Lactobacillus</v>
          </cell>
        </row>
        <row r="3885">
          <cell r="G3885" t="str">
            <v>ASV16252</v>
          </cell>
          <cell r="H3885" t="str">
            <v>g__unclassified_o__Oscillospirales</v>
          </cell>
          <cell r="I3885" t="str">
            <v>s__unclassified_o__Oscillospirales</v>
          </cell>
        </row>
        <row r="3886">
          <cell r="G3886" t="str">
            <v>ASV21406</v>
          </cell>
          <cell r="H3886" t="str">
            <v>g__Allisonella</v>
          </cell>
          <cell r="I3886" t="str">
            <v>s__unclassified_g__Allisonella</v>
          </cell>
        </row>
        <row r="3887">
          <cell r="G3887" t="str">
            <v>ASV10428</v>
          </cell>
          <cell r="H3887" t="str">
            <v>g__Bacillus</v>
          </cell>
          <cell r="I3887" t="str">
            <v>s__Lactobacillus_vaginalis_g__Bacillus</v>
          </cell>
        </row>
        <row r="3888">
          <cell r="G3888" t="str">
            <v>ASV20393</v>
          </cell>
          <cell r="H3888" t="str">
            <v>g__Flavobacterium</v>
          </cell>
          <cell r="I3888" t="str">
            <v>s__unclassified_g__Flavobacterium</v>
          </cell>
        </row>
        <row r="3889">
          <cell r="G3889" t="str">
            <v>ASV21859</v>
          </cell>
          <cell r="H3889" t="str">
            <v>g__unclassified_f__Oscillospiraceae</v>
          </cell>
          <cell r="I3889" t="str">
            <v>s__unclassified_f__Oscillospiraceae</v>
          </cell>
        </row>
        <row r="3890">
          <cell r="G3890" t="str">
            <v>ASV12551</v>
          </cell>
          <cell r="H3890" t="str">
            <v>g__Christensenellaceae_R-7_group</v>
          </cell>
          <cell r="I3890" t="str">
            <v>s__unclassified_g__Christensenellaceae_R-7_group</v>
          </cell>
        </row>
        <row r="3891">
          <cell r="G3891" t="str">
            <v>ASV8933</v>
          </cell>
          <cell r="H3891" t="str">
            <v>g__Lactobacillus</v>
          </cell>
          <cell r="I3891" t="str">
            <v>s__unclassified_g__Lactobacillus</v>
          </cell>
        </row>
        <row r="3892">
          <cell r="G3892" t="str">
            <v>ASV11229</v>
          </cell>
          <cell r="H3892" t="str">
            <v>g__Megasphaera</v>
          </cell>
          <cell r="I3892" t="str">
            <v>s__unclassified_g__Megasphaera</v>
          </cell>
        </row>
        <row r="3893">
          <cell r="G3893" t="str">
            <v>ASV8422</v>
          </cell>
          <cell r="H3893" t="str">
            <v>g__Escherichia-Shigella</v>
          </cell>
          <cell r="I3893" t="str">
            <v>s__unclassified_g__Escherichia-Shigella</v>
          </cell>
        </row>
        <row r="3894">
          <cell r="G3894" t="str">
            <v>ASV3819</v>
          </cell>
          <cell r="H3894" t="str">
            <v>g__unclassified_f__Lachnospiraceae</v>
          </cell>
          <cell r="I3894" t="str">
            <v>s__unclassified_f__Lachnospiraceae</v>
          </cell>
        </row>
        <row r="3895">
          <cell r="G3895" t="str">
            <v>ASV9173</v>
          </cell>
          <cell r="H3895" t="str">
            <v>g__Prevotellaceae_NK3B31_group</v>
          </cell>
          <cell r="I3895" t="str">
            <v>s__metagenome_g__Prevotellaceae_NK3B31_group</v>
          </cell>
        </row>
        <row r="3896">
          <cell r="G3896" t="str">
            <v>ASV8928</v>
          </cell>
          <cell r="H3896" t="str">
            <v>g__unclassified_f__Lachnospiraceae</v>
          </cell>
          <cell r="I3896" t="str">
            <v>s__unclassified_f__Lachnospiraceae</v>
          </cell>
        </row>
        <row r="3897">
          <cell r="G3897" t="str">
            <v>ASV24080</v>
          </cell>
          <cell r="H3897" t="str">
            <v>g__unclassified_c__Coriobacteriia</v>
          </cell>
          <cell r="I3897" t="str">
            <v>s__unclassified_c__Coriobacteriia</v>
          </cell>
        </row>
        <row r="3898">
          <cell r="G3898" t="str">
            <v>ASV8423</v>
          </cell>
          <cell r="H3898" t="str">
            <v>g__Bacillus</v>
          </cell>
          <cell r="I3898" t="str">
            <v>s__Lactobacillus_vaginalis_g__Bacillus</v>
          </cell>
        </row>
        <row r="3899">
          <cell r="G3899" t="str">
            <v>ASV11224</v>
          </cell>
          <cell r="H3899" t="str">
            <v>g__Clostridium_sensu_stricto_1</v>
          </cell>
          <cell r="I3899" t="str">
            <v>s__unclassified_g__Clostridium_sensu_stricto_1</v>
          </cell>
        </row>
        <row r="3900">
          <cell r="G3900" t="str">
            <v>ASV13269</v>
          </cell>
          <cell r="H3900" t="str">
            <v>g__Parabacteroides</v>
          </cell>
          <cell r="I3900" t="str">
            <v>s__uncultured_bacterium_g__Parabacteroides</v>
          </cell>
        </row>
        <row r="3901">
          <cell r="G3901" t="str">
            <v>ASV5574</v>
          </cell>
          <cell r="H3901" t="str">
            <v>g__Escherichia-Shigella</v>
          </cell>
          <cell r="I3901" t="str">
            <v>s__unclassified_g__Escherichia-Shigella</v>
          </cell>
        </row>
        <row r="3902">
          <cell r="G3902" t="str">
            <v>ASV11238</v>
          </cell>
          <cell r="H3902" t="str">
            <v>g__norank_f__Muribaculaceae</v>
          </cell>
          <cell r="I3902" t="str">
            <v>s__uncultured_bacterium_g__norank_f__Muribaculaceae</v>
          </cell>
        </row>
        <row r="3903">
          <cell r="G3903" t="str">
            <v>ASV20553</v>
          </cell>
          <cell r="H3903" t="str">
            <v>g__Christensenellaceae_R-7_group</v>
          </cell>
          <cell r="I3903" t="str">
            <v>s__unclassified_g__Christensenellaceae_R-7_group</v>
          </cell>
        </row>
        <row r="3904">
          <cell r="G3904" t="str">
            <v>ASV16254</v>
          </cell>
          <cell r="H3904" t="str">
            <v>g__UCG-002</v>
          </cell>
          <cell r="I3904" t="str">
            <v>s__uncultured_bacterium_g__UCG-002</v>
          </cell>
        </row>
        <row r="3905">
          <cell r="G3905" t="str">
            <v>ASV16812</v>
          </cell>
          <cell r="H3905" t="str">
            <v>g__Lactobacillus</v>
          </cell>
          <cell r="I3905" t="str">
            <v>s__unclassified_g__Lactobacillus</v>
          </cell>
        </row>
        <row r="3906">
          <cell r="G3906" t="str">
            <v>ASV8929</v>
          </cell>
          <cell r="H3906" t="str">
            <v>g__Oscillospira</v>
          </cell>
          <cell r="I3906" t="str">
            <v>s__uncultured_bacterium_g__Oscillospira</v>
          </cell>
        </row>
        <row r="3907">
          <cell r="G3907" t="str">
            <v>ASV19272</v>
          </cell>
          <cell r="H3907" t="str">
            <v>g__Lactobacillus</v>
          </cell>
          <cell r="I3907" t="str">
            <v>s__unclassified_g__Lactobacillus</v>
          </cell>
        </row>
        <row r="3908">
          <cell r="G3908" t="str">
            <v>ASV5587</v>
          </cell>
          <cell r="H3908" t="str">
            <v>g__norank_f__Ruminococcaceae</v>
          </cell>
          <cell r="I3908" t="str">
            <v>s__gut_metagenome_g__norank_f__Ruminococcaceae</v>
          </cell>
        </row>
        <row r="3909">
          <cell r="G3909" t="str">
            <v>ASV16243</v>
          </cell>
          <cell r="H3909" t="str">
            <v>g__Cloacibacillus</v>
          </cell>
          <cell r="I3909" t="str">
            <v>s__unclassified_g__Cloacibacillus</v>
          </cell>
        </row>
        <row r="3910">
          <cell r="G3910" t="str">
            <v>ASV23814</v>
          </cell>
          <cell r="H3910" t="str">
            <v>g__Sharpea</v>
          </cell>
          <cell r="I3910" t="str">
            <v>s__unclassified_g__Sharpea</v>
          </cell>
        </row>
        <row r="3911">
          <cell r="G3911" t="str">
            <v>ASV3110</v>
          </cell>
          <cell r="H3911" t="str">
            <v>g__unclassified_f__Lachnospiraceae</v>
          </cell>
          <cell r="I3911" t="str">
            <v>s__unclassified_f__Lachnospiraceae</v>
          </cell>
        </row>
        <row r="3912">
          <cell r="G3912" t="str">
            <v>ASV21708</v>
          </cell>
          <cell r="H3912" t="str">
            <v>g__Trueperella</v>
          </cell>
          <cell r="I3912" t="str">
            <v>s__unclassified_g__Trueperella</v>
          </cell>
        </row>
        <row r="3913">
          <cell r="G3913" t="str">
            <v>ASV4519</v>
          </cell>
          <cell r="H3913" t="str">
            <v>g__NK4A214_group</v>
          </cell>
          <cell r="I3913" t="str">
            <v>s__uncultured_bacterium_g__NK4A214_group</v>
          </cell>
        </row>
        <row r="3914">
          <cell r="G3914" t="str">
            <v>ASV5575</v>
          </cell>
          <cell r="H3914" t="str">
            <v>g__norank_f__Erysipelotrichaceae</v>
          </cell>
          <cell r="I3914" t="str">
            <v>s__uncultured_bacterium_g__norank_f__Erysipelotrichaceae</v>
          </cell>
        </row>
        <row r="3915">
          <cell r="G3915" t="str">
            <v>ASV313</v>
          </cell>
          <cell r="H3915" t="str">
            <v>g__Parabacteroides</v>
          </cell>
          <cell r="I3915" t="str">
            <v>s__Porphyromonadaceae_bacterium_DJF_B175</v>
          </cell>
        </row>
        <row r="3916">
          <cell r="G3916" t="str">
            <v>ASV9959</v>
          </cell>
          <cell r="H3916" t="str">
            <v>g__UBA1819</v>
          </cell>
          <cell r="I3916" t="str">
            <v>s__unclassified_g__UBA1819</v>
          </cell>
        </row>
        <row r="3917">
          <cell r="G3917" t="str">
            <v>ASV23815</v>
          </cell>
          <cell r="H3917" t="str">
            <v>g__unclassified_p__Firmicutes</v>
          </cell>
          <cell r="I3917" t="str">
            <v>s__unclassified_p__Firmicutes</v>
          </cell>
        </row>
        <row r="3918">
          <cell r="G3918" t="str">
            <v>ASV303</v>
          </cell>
          <cell r="H3918" t="str">
            <v>g__unclassified_o__Oscillospirales</v>
          </cell>
          <cell r="I3918" t="str">
            <v>s__unclassified_o__Oscillospirales</v>
          </cell>
        </row>
        <row r="3919">
          <cell r="G3919" t="str">
            <v>ASV11230</v>
          </cell>
          <cell r="H3919" t="str">
            <v>g__norank_f__norank_o__Clostridia_UCG-014</v>
          </cell>
          <cell r="I3919" t="str">
            <v>s__uncultured_bacterium_g__norank_f__norank_o__Clostridia_UCG-014</v>
          </cell>
        </row>
        <row r="3920">
          <cell r="G3920" t="str">
            <v>ASV17451</v>
          </cell>
          <cell r="H3920" t="str">
            <v>g__Lactobacillus</v>
          </cell>
          <cell r="I3920" t="str">
            <v>s__unclassified_g__Lactobacillus</v>
          </cell>
        </row>
        <row r="3921">
          <cell r="G3921" t="str">
            <v>ASV5577</v>
          </cell>
          <cell r="H3921" t="str">
            <v>g__unclassified_f__Lachnospiraceae</v>
          </cell>
          <cell r="I3921" t="str">
            <v>s__unclassified_f__Lachnospiraceae</v>
          </cell>
        </row>
        <row r="3922">
          <cell r="G3922" t="str">
            <v>ASV11244</v>
          </cell>
          <cell r="H3922" t="str">
            <v>g__norank_f__Muribaculaceae</v>
          </cell>
          <cell r="I3922" t="str">
            <v>s__uncultured_bacterium_g__norank_f__Muribaculaceae</v>
          </cell>
        </row>
        <row r="3923">
          <cell r="G3923" t="str">
            <v>ASV23039</v>
          </cell>
          <cell r="H3923" t="str">
            <v>g__Sharpea</v>
          </cell>
          <cell r="I3923" t="str">
            <v>s__unclassified_g__Sharpea</v>
          </cell>
        </row>
        <row r="3924">
          <cell r="G3924" t="str">
            <v>ASV20209</v>
          </cell>
          <cell r="H3924" t="str">
            <v>g__Bacteroides</v>
          </cell>
          <cell r="I3924" t="str">
            <v>s__unclassified_g__Bacteroides</v>
          </cell>
        </row>
        <row r="3925">
          <cell r="G3925" t="str">
            <v>ASV8420</v>
          </cell>
          <cell r="H3925" t="str">
            <v>g__Sharpea</v>
          </cell>
          <cell r="I3925" t="str">
            <v>s__unclassified_g__Sharpea</v>
          </cell>
        </row>
        <row r="3926">
          <cell r="G3926" t="str">
            <v>ASV21868</v>
          </cell>
          <cell r="H3926" t="str">
            <v>g__norank_f__UCG-011</v>
          </cell>
          <cell r="I3926" t="str">
            <v>s__uncultured_bacterium_g__norank_f__UCG-011</v>
          </cell>
        </row>
        <row r="3927">
          <cell r="G3927" t="str">
            <v>ASV10148</v>
          </cell>
          <cell r="H3927" t="str">
            <v>g__Escherichia-Shigella</v>
          </cell>
          <cell r="I3927" t="str">
            <v>s__unclassified_g__Escherichia-Shigella</v>
          </cell>
        </row>
        <row r="3928">
          <cell r="G3928" t="str">
            <v>ASV11243</v>
          </cell>
          <cell r="H3928" t="str">
            <v>g__norank_f__norank_o__Clostridia_UCG-014</v>
          </cell>
          <cell r="I3928" t="str">
            <v>s__unclassified_g__norank_f__norank_o__Clostridia_UCG-014</v>
          </cell>
        </row>
        <row r="3929">
          <cell r="G3929" t="str">
            <v>ASV5584</v>
          </cell>
          <cell r="H3929" t="str">
            <v>g__unclassified_f__Eggerthellaceae</v>
          </cell>
          <cell r="I3929" t="str">
            <v>s__unclassified_f__Eggerthellaceae</v>
          </cell>
        </row>
        <row r="3930">
          <cell r="G3930" t="str">
            <v>ASV21154</v>
          </cell>
          <cell r="H3930" t="str">
            <v>g__Streptococcus</v>
          </cell>
          <cell r="I3930" t="str">
            <v>s__Streptococcus_porcorum</v>
          </cell>
        </row>
        <row r="3931">
          <cell r="G3931" t="str">
            <v>ASV13931</v>
          </cell>
          <cell r="H3931" t="str">
            <v>g__unclassified_c__Clostridia</v>
          </cell>
          <cell r="I3931" t="str">
            <v>s__unclassified_c__Clostridia</v>
          </cell>
        </row>
        <row r="3932">
          <cell r="G3932" t="str">
            <v>ASV21860</v>
          </cell>
          <cell r="H3932" t="str">
            <v>g__unclassified_p__Firmicutes</v>
          </cell>
          <cell r="I3932" t="str">
            <v>s__unclassified_p__Firmicutes</v>
          </cell>
        </row>
        <row r="3933">
          <cell r="G3933" t="str">
            <v>ASV9183</v>
          </cell>
          <cell r="H3933" t="str">
            <v>g__Eubacterium_oxidoreducens_group</v>
          </cell>
          <cell r="I3933" t="str">
            <v>s__uncultured_bacterium_g__Eubacterium_oxidoreducens_group</v>
          </cell>
        </row>
        <row r="3934">
          <cell r="G3934" t="str">
            <v>ASV7152</v>
          </cell>
          <cell r="H3934" t="str">
            <v>g__unclassified_o__Lactobacillales</v>
          </cell>
          <cell r="I3934" t="str">
            <v>s__unclassified_o__Lactobacillales</v>
          </cell>
        </row>
        <row r="3935">
          <cell r="G3935" t="str">
            <v>ASV4961</v>
          </cell>
          <cell r="H3935" t="str">
            <v>g__unclassified_o__Bacteroidales</v>
          </cell>
          <cell r="I3935" t="str">
            <v>s__unclassified_o__Bacteroidales</v>
          </cell>
        </row>
        <row r="3936">
          <cell r="G3936" t="str">
            <v>ASV22910</v>
          </cell>
          <cell r="H3936" t="str">
            <v>g__Lactobacillus</v>
          </cell>
          <cell r="I3936" t="str">
            <v>s__unclassified_g__Lactobacillus</v>
          </cell>
        </row>
        <row r="3937">
          <cell r="G3937" t="str">
            <v>ASV15030</v>
          </cell>
          <cell r="H3937" t="str">
            <v>g__Pedobacter</v>
          </cell>
          <cell r="I3937" t="str">
            <v>s__unclassified_g__Pedobacter</v>
          </cell>
        </row>
        <row r="3938">
          <cell r="G3938" t="str">
            <v>ASV9179</v>
          </cell>
          <cell r="H3938" t="str">
            <v>g__unclassified_p__Firmicutes</v>
          </cell>
          <cell r="I3938" t="str">
            <v>s__unclassified_p__Firmicutes</v>
          </cell>
        </row>
        <row r="3939">
          <cell r="G3939" t="str">
            <v>ASV16253</v>
          </cell>
          <cell r="H3939" t="str">
            <v>g__unclassified_k__norank_d__Bacteria</v>
          </cell>
          <cell r="I3939" t="str">
            <v>s__unclassified_k__norank_d__Bacteria</v>
          </cell>
        </row>
        <row r="3940">
          <cell r="G3940" t="str">
            <v>ASV3431</v>
          </cell>
          <cell r="H3940" t="str">
            <v>g__unclassified_c__Bacilli</v>
          </cell>
          <cell r="I3940" t="str">
            <v>s__unclassified_c__Bacilli</v>
          </cell>
        </row>
        <row r="3941">
          <cell r="G3941" t="str">
            <v>ASV13274</v>
          </cell>
          <cell r="H3941" t="str">
            <v>g__Lactobacillus</v>
          </cell>
          <cell r="I3941" t="str">
            <v>s__unclassified_g__Lactobacillus</v>
          </cell>
        </row>
        <row r="3942">
          <cell r="G3942" t="str">
            <v>ASV8692</v>
          </cell>
          <cell r="H3942" t="str">
            <v>g__norank_f__norank_o__Clostridia_UCG-014</v>
          </cell>
          <cell r="I3942" t="str">
            <v>s__unclassified_g__norank_f__norank_o__Clostridia_UCG-014</v>
          </cell>
        </row>
        <row r="3943">
          <cell r="G3943" t="str">
            <v>ASV19273</v>
          </cell>
          <cell r="H3943" t="str">
            <v>g__Lactobacillus</v>
          </cell>
          <cell r="I3943" t="str">
            <v>s__unclassified_g__Lactobacillus</v>
          </cell>
        </row>
        <row r="3944">
          <cell r="G3944" t="str">
            <v>ASV4523</v>
          </cell>
          <cell r="H3944" t="str">
            <v>g__unclassified_c__Clostridia</v>
          </cell>
          <cell r="I3944" t="str">
            <v>s__unclassified_c__Clostridia</v>
          </cell>
        </row>
        <row r="3945">
          <cell r="G3945" t="str">
            <v>ASV8695</v>
          </cell>
          <cell r="H3945" t="str">
            <v>g__unclassified_c__Actinobacteria</v>
          </cell>
          <cell r="I3945" t="str">
            <v>s__unclassified_c__Actinobacteria</v>
          </cell>
        </row>
        <row r="3946">
          <cell r="G3946" t="str">
            <v>ASV13272</v>
          </cell>
          <cell r="H3946" t="str">
            <v>g__unclassified_c__Clostridia</v>
          </cell>
          <cell r="I3946" t="str">
            <v>s__unclassified_c__Clostridia</v>
          </cell>
        </row>
        <row r="3947">
          <cell r="G3947" t="str">
            <v>ASV21862</v>
          </cell>
          <cell r="H3947" t="str">
            <v>g__unclassified_c__Clostridia</v>
          </cell>
          <cell r="I3947" t="str">
            <v>s__unclassified_c__Clostridia</v>
          </cell>
        </row>
        <row r="3948">
          <cell r="G3948" t="str">
            <v>ASV12550</v>
          </cell>
          <cell r="H3948" t="str">
            <v>g__Collinsella</v>
          </cell>
          <cell r="I3948" t="str">
            <v>s__unclassified_g__Collinsella</v>
          </cell>
        </row>
        <row r="3949">
          <cell r="G3949" t="str">
            <v>ASV11241</v>
          </cell>
          <cell r="H3949" t="str">
            <v>g__Prevotella</v>
          </cell>
          <cell r="I3949" t="str">
            <v>s__unclassified_g__Prevotella</v>
          </cell>
        </row>
        <row r="3950">
          <cell r="G3950" t="str">
            <v>ASV17745</v>
          </cell>
          <cell r="H3950" t="str">
            <v>g__Butyricimonas</v>
          </cell>
          <cell r="I3950" t="str">
            <v>s__unclassified_g__Butyricimonas</v>
          </cell>
        </row>
        <row r="3951">
          <cell r="G3951" t="str">
            <v>ASV11236</v>
          </cell>
          <cell r="H3951" t="str">
            <v>g__Family_XIII_UCG-001</v>
          </cell>
          <cell r="I3951" t="str">
            <v>s__uncultured_bacterium_g__Family_XIII_UCG-001</v>
          </cell>
        </row>
        <row r="3952">
          <cell r="G3952" t="str">
            <v>ASV16247</v>
          </cell>
          <cell r="H3952" t="str">
            <v>g__Clostridium_sensu_stricto_1</v>
          </cell>
          <cell r="I3952" t="str">
            <v>s__unclassified_g__Clostridium_sensu_stricto_1</v>
          </cell>
        </row>
        <row r="3953">
          <cell r="G3953" t="str">
            <v>ASV10433</v>
          </cell>
          <cell r="H3953" t="str">
            <v>g__unclassified_c__Bacilli</v>
          </cell>
          <cell r="I3953" t="str">
            <v>s__unclassified_c__Bacilli</v>
          </cell>
        </row>
        <row r="3954">
          <cell r="G3954" t="str">
            <v>ASV7529</v>
          </cell>
          <cell r="H3954" t="str">
            <v>g__Peptococcus</v>
          </cell>
          <cell r="I3954" t="str">
            <v>s__uncultured_bacterium_g__Peptococcus</v>
          </cell>
        </row>
        <row r="3955">
          <cell r="G3955" t="str">
            <v>ASV3196</v>
          </cell>
          <cell r="H3955" t="str">
            <v>g__Lactobacillus</v>
          </cell>
          <cell r="I3955" t="str">
            <v>s__unclassified_g__Lactobacillus</v>
          </cell>
        </row>
        <row r="3956">
          <cell r="G3956" t="str">
            <v>ASV17778</v>
          </cell>
          <cell r="H3956" t="str">
            <v>g__unclassified_o__Oscillospirales</v>
          </cell>
          <cell r="I3956" t="str">
            <v>s__unclassified_o__Oscillospirales</v>
          </cell>
        </row>
        <row r="3957">
          <cell r="G3957" t="str">
            <v>ASV12555</v>
          </cell>
          <cell r="H3957" t="str">
            <v>g__Lactobacillus</v>
          </cell>
          <cell r="I3957" t="str">
            <v>s__unclassified_g__Lactobacillus</v>
          </cell>
        </row>
        <row r="3958">
          <cell r="G3958" t="str">
            <v>ASV347</v>
          </cell>
          <cell r="H3958" t="str">
            <v>g__Lactobacillus</v>
          </cell>
          <cell r="I3958" t="str">
            <v>s__unclassified_g__Lactobacillus</v>
          </cell>
        </row>
        <row r="3959">
          <cell r="G3959" t="str">
            <v>ASV9197</v>
          </cell>
          <cell r="H3959" t="str">
            <v>g__unclassified_c__Clostridia</v>
          </cell>
          <cell r="I3959" t="str">
            <v>s__unclassified_c__Clostridia</v>
          </cell>
        </row>
        <row r="3960">
          <cell r="G3960" t="str">
            <v>ASV6566</v>
          </cell>
          <cell r="H3960" t="str">
            <v>g__Escherichia-Shigella</v>
          </cell>
          <cell r="I3960" t="str">
            <v>s__unclassified_g__Escherichia-Shigella</v>
          </cell>
        </row>
        <row r="3961">
          <cell r="G3961" t="str">
            <v>ASV18515</v>
          </cell>
          <cell r="H3961" t="str">
            <v>g__Lactobacillus</v>
          </cell>
          <cell r="I3961" t="str">
            <v>s__unclassified_g__Lactobacillus</v>
          </cell>
        </row>
        <row r="3962">
          <cell r="G3962" t="str">
            <v>ASV8428</v>
          </cell>
          <cell r="H3962" t="str">
            <v>g__Escherichia-Shigella</v>
          </cell>
          <cell r="I3962" t="str">
            <v>s__unclassified_g__Escherichia-Shigella</v>
          </cell>
        </row>
        <row r="3963">
          <cell r="G3963" t="str">
            <v>ASV11269</v>
          </cell>
          <cell r="H3963" t="str">
            <v>g__unclassified_f__Peptostreptococcaceae</v>
          </cell>
          <cell r="I3963" t="str">
            <v>s__unclassified_f__Peptostreptococcaceae</v>
          </cell>
        </row>
        <row r="3964">
          <cell r="G3964" t="str">
            <v>ASV21409</v>
          </cell>
          <cell r="H3964" t="str">
            <v>g__Bacillus</v>
          </cell>
          <cell r="I3964" t="str">
            <v>s__Lactobacillus_vaginalis_g__Bacillus</v>
          </cell>
        </row>
        <row r="3965">
          <cell r="G3965" t="str">
            <v>ASV2771</v>
          </cell>
          <cell r="H3965" t="str">
            <v>g__Methylocella</v>
          </cell>
          <cell r="I3965" t="str">
            <v>s__uncultured_bacterium_g__Methylocella</v>
          </cell>
        </row>
        <row r="3966">
          <cell r="G3966" t="str">
            <v>ASV10442</v>
          </cell>
          <cell r="H3966" t="str">
            <v>g__unclassified_c__Clostridia</v>
          </cell>
          <cell r="I3966" t="str">
            <v>s__unclassified_c__Clostridia</v>
          </cell>
        </row>
        <row r="3967">
          <cell r="G3967" t="str">
            <v>ASV17769</v>
          </cell>
          <cell r="H3967" t="str">
            <v>g__unclassified_c__Clostridia</v>
          </cell>
          <cell r="I3967" t="str">
            <v>s__unclassified_c__Clostridia</v>
          </cell>
        </row>
        <row r="3968">
          <cell r="G3968" t="str">
            <v>ASV3435</v>
          </cell>
          <cell r="H3968" t="str">
            <v>g__Lactobacillus</v>
          </cell>
          <cell r="I3968" t="str">
            <v>s__unclassified_g__Lactobacillus</v>
          </cell>
        </row>
        <row r="3969">
          <cell r="G3969" t="str">
            <v>ASV17457</v>
          </cell>
          <cell r="H3969" t="str">
            <v>g__unclassified_k__norank_d__Bacteria</v>
          </cell>
          <cell r="I3969" t="str">
            <v>s__unclassified_k__norank_d__Bacteria</v>
          </cell>
        </row>
        <row r="3970">
          <cell r="G3970" t="str">
            <v>ASV10686</v>
          </cell>
          <cell r="H3970" t="str">
            <v>g__norank_f__norank_o__Clostridia_vadinBB60_group</v>
          </cell>
          <cell r="I3970" t="str">
            <v>s__unclassified_g__norank_f__norank_o__Clostridia_vadinBB60_group</v>
          </cell>
        </row>
        <row r="3971">
          <cell r="G3971" t="str">
            <v>ASV8613</v>
          </cell>
          <cell r="H3971" t="str">
            <v>g__Staphylococcus</v>
          </cell>
          <cell r="I3971" t="str">
            <v>s__unclassified_g__Staphylococcus</v>
          </cell>
        </row>
        <row r="3972">
          <cell r="G3972" t="str">
            <v>ASV4545</v>
          </cell>
          <cell r="H3972" t="str">
            <v>g__norank_f__Eubacterium_coprostanoligenes_group</v>
          </cell>
          <cell r="I3972" t="str">
            <v>s__unclassified_g__norank_f__Eubacterium_coprostanoligenes_group</v>
          </cell>
        </row>
        <row r="3973">
          <cell r="G3973" t="str">
            <v>ASV15197</v>
          </cell>
          <cell r="H3973" t="str">
            <v>g__unclassified_c__Clostridia</v>
          </cell>
          <cell r="I3973" t="str">
            <v>s__unclassified_c__Clostridia</v>
          </cell>
        </row>
        <row r="3974">
          <cell r="G3974" t="str">
            <v>ASV3433</v>
          </cell>
          <cell r="H3974" t="str">
            <v>g__Clostridium_sensu_stricto_1</v>
          </cell>
          <cell r="I3974" t="str">
            <v>s__swine_fecal_bacterium_SD-Pec10</v>
          </cell>
        </row>
        <row r="3975">
          <cell r="G3975" t="str">
            <v>ASV17762</v>
          </cell>
          <cell r="H3975" t="str">
            <v>g__norank_f__Eubacterium_coprostanoligenes_group</v>
          </cell>
          <cell r="I3975" t="str">
            <v>s__uncultured_bacterium_g__norank_f__Eubacterium_coprostanoligenes_group</v>
          </cell>
        </row>
        <row r="3976">
          <cell r="G3976" t="str">
            <v>ASV21882</v>
          </cell>
          <cell r="H3976" t="str">
            <v>g__Turicibacter</v>
          </cell>
          <cell r="I3976" t="str">
            <v>s__uncultured_bacterium_g__Turicibacter</v>
          </cell>
        </row>
        <row r="3977">
          <cell r="G3977" t="str">
            <v>ASV12562</v>
          </cell>
          <cell r="H3977" t="str">
            <v>g__Coprococcus</v>
          </cell>
          <cell r="I3977" t="str">
            <v>s__unclassified_g__Coprococcus</v>
          </cell>
        </row>
        <row r="3978">
          <cell r="G3978" t="str">
            <v>ASV10450</v>
          </cell>
          <cell r="H3978" t="str">
            <v>g__Collinsella</v>
          </cell>
          <cell r="I3978" t="str">
            <v>s__unclassified_g__Collinsella</v>
          </cell>
        </row>
        <row r="3979">
          <cell r="G3979" t="str">
            <v>ASV13286</v>
          </cell>
          <cell r="H3979" t="str">
            <v>g__Ruminococcus</v>
          </cell>
          <cell r="I3979" t="str">
            <v>s__unclassified_g__Ruminococcus</v>
          </cell>
        </row>
        <row r="3980">
          <cell r="G3980" t="str">
            <v>ASV21883</v>
          </cell>
          <cell r="H3980" t="str">
            <v>g__unclassified_c__Clostridia</v>
          </cell>
          <cell r="I3980" t="str">
            <v>s__unclassified_c__Clostridia</v>
          </cell>
        </row>
        <row r="3981">
          <cell r="G3981" t="str">
            <v>ASV1958</v>
          </cell>
          <cell r="H3981" t="str">
            <v>g__unclassified_p__Firmicutes</v>
          </cell>
          <cell r="I3981" t="str">
            <v>s__unclassified_p__Firmicutes</v>
          </cell>
        </row>
        <row r="3982">
          <cell r="G3982" t="str">
            <v>ASV20398</v>
          </cell>
          <cell r="H3982" t="str">
            <v>g__Sphingomonas</v>
          </cell>
          <cell r="I3982" t="str">
            <v>s__unclassified_g__Sphingomonas</v>
          </cell>
        </row>
        <row r="3983">
          <cell r="G3983" t="str">
            <v>ASV15200</v>
          </cell>
          <cell r="H3983" t="str">
            <v>g__unclassified_f__Anaerovoracaceae</v>
          </cell>
          <cell r="I3983" t="str">
            <v>s__unclassified_f__Anaerovoracaceae</v>
          </cell>
        </row>
        <row r="3984">
          <cell r="G3984" t="str">
            <v>ASV13939</v>
          </cell>
          <cell r="H3984" t="str">
            <v>g__Prevotella</v>
          </cell>
          <cell r="I3984" t="str">
            <v>s__unclassified_g__Prevotella</v>
          </cell>
        </row>
        <row r="3985">
          <cell r="G3985" t="str">
            <v>ASV20563</v>
          </cell>
          <cell r="H3985" t="str">
            <v>g__unclassified_f__Lachnospiraceae</v>
          </cell>
          <cell r="I3985" t="str">
            <v>s__unclassified_f__Lachnospiraceae</v>
          </cell>
        </row>
        <row r="3986">
          <cell r="G3986" t="str">
            <v>ASV4551</v>
          </cell>
          <cell r="H3986" t="str">
            <v>g__Bacteroides</v>
          </cell>
          <cell r="I3986" t="str">
            <v>s__unclassified_g__Bacteroides</v>
          </cell>
        </row>
        <row r="3987">
          <cell r="G3987" t="str">
            <v>ASV8777</v>
          </cell>
          <cell r="H3987" t="str">
            <v>g__norank_f__Peptococcaceae</v>
          </cell>
          <cell r="I3987" t="str">
            <v>s__uncultured_bacterium_g__norank_f__Peptococcaceae</v>
          </cell>
        </row>
        <row r="3988">
          <cell r="G3988" t="str">
            <v>ASV3831</v>
          </cell>
          <cell r="H3988" t="str">
            <v>g__unclassified_k__norank_d__Bacteria</v>
          </cell>
          <cell r="I3988" t="str">
            <v>s__unclassified_k__norank_d__Bacteria</v>
          </cell>
        </row>
        <row r="3989">
          <cell r="G3989" t="str">
            <v>ASV12557</v>
          </cell>
          <cell r="H3989" t="str">
            <v>g__unclassified_f__Lachnospiraceae</v>
          </cell>
          <cell r="I3989" t="str">
            <v>s__unclassified_f__Lachnospiraceae</v>
          </cell>
        </row>
        <row r="3990">
          <cell r="G3990" t="str">
            <v>ASV10278</v>
          </cell>
          <cell r="H3990" t="str">
            <v>g__unclassified_f__Lachnospiraceae</v>
          </cell>
          <cell r="I3990" t="str">
            <v>s__unclassified_f__Lachnospiraceae</v>
          </cell>
        </row>
        <row r="3991">
          <cell r="G3991" t="str">
            <v>ASV3830</v>
          </cell>
          <cell r="H3991" t="str">
            <v>g__unclassified_p__Firmicutes</v>
          </cell>
          <cell r="I3991" t="str">
            <v>s__unclassified_p__Firmicutes</v>
          </cell>
        </row>
        <row r="3992">
          <cell r="G3992" t="str">
            <v>ASV21569</v>
          </cell>
          <cell r="H3992" t="str">
            <v>g__unclassified_p__Firmicutes</v>
          </cell>
          <cell r="I3992" t="str">
            <v>s__unclassified_p__Firmicutes</v>
          </cell>
        </row>
        <row r="3993">
          <cell r="G3993" t="str">
            <v>ASV7429</v>
          </cell>
          <cell r="H3993" t="str">
            <v>g__unclassified_f__Lachnospiraceae</v>
          </cell>
          <cell r="I3993" t="str">
            <v>s__unclassified_f__Lachnospiraceae</v>
          </cell>
        </row>
        <row r="3994">
          <cell r="G3994" t="str">
            <v>ASV7522</v>
          </cell>
          <cell r="H3994" t="str">
            <v>g__unclassified_o__Bacillales</v>
          </cell>
          <cell r="I3994" t="str">
            <v>s__unclassified_o__Bacillales</v>
          </cell>
        </row>
        <row r="3995">
          <cell r="G3995" t="str">
            <v>ASV18801</v>
          </cell>
          <cell r="H3995" t="str">
            <v>g__Sharpea</v>
          </cell>
          <cell r="I3995" t="str">
            <v>s__unclassified_g__Sharpea</v>
          </cell>
        </row>
        <row r="3996">
          <cell r="G3996" t="str">
            <v>ASV20567</v>
          </cell>
          <cell r="H3996" t="str">
            <v>g__Enterococcus</v>
          </cell>
          <cell r="I3996" t="str">
            <v>s__unclassified_g__Enterococcus</v>
          </cell>
        </row>
        <row r="3997">
          <cell r="G3997" t="str">
            <v>ASV15193</v>
          </cell>
          <cell r="H3997" t="str">
            <v>g__Christensenellaceae_R-7_group</v>
          </cell>
          <cell r="I3997" t="str">
            <v>s__unclassified_g__Christensenellaceae_R-7_group</v>
          </cell>
        </row>
        <row r="3998">
          <cell r="G3998" t="str">
            <v>ASV5591</v>
          </cell>
          <cell r="H3998" t="str">
            <v>g__unclassified_f__Lachnospiraceae</v>
          </cell>
          <cell r="I3998" t="str">
            <v>s__unclassified_f__Lachnospiraceae</v>
          </cell>
        </row>
        <row r="3999">
          <cell r="G3999" t="str">
            <v>ASV21892</v>
          </cell>
          <cell r="H3999" t="str">
            <v>g__UCG-005</v>
          </cell>
          <cell r="I3999" t="str">
            <v>s__unclassified_g__UCG-005</v>
          </cell>
        </row>
        <row r="4000">
          <cell r="G4000" t="str">
            <v>ASV9201</v>
          </cell>
          <cell r="H4000" t="str">
            <v>g__Faecalibacterium</v>
          </cell>
          <cell r="I4000" t="str">
            <v>s__uncultured_bacterium_g__Faecalibacterium</v>
          </cell>
        </row>
        <row r="4001">
          <cell r="G4001" t="str">
            <v>ASV6563</v>
          </cell>
          <cell r="H4001" t="str">
            <v>g__Enterococcus</v>
          </cell>
          <cell r="I4001" t="str">
            <v>s__unclassified_g__Enterococcus</v>
          </cell>
        </row>
        <row r="4002">
          <cell r="G4002" t="str">
            <v>ASV331</v>
          </cell>
          <cell r="H4002" t="str">
            <v>g__unclassified_k__norank_d__Bacteria</v>
          </cell>
          <cell r="I4002" t="str">
            <v>s__unclassified_k__norank_d__Bacteria</v>
          </cell>
        </row>
        <row r="4003">
          <cell r="G4003" t="str">
            <v>ASV18517</v>
          </cell>
          <cell r="H4003" t="str">
            <v>g__unclassified_f__Lachnospiraceae</v>
          </cell>
          <cell r="I4003" t="str">
            <v>s__unclassified_f__Lachnospiraceae</v>
          </cell>
        </row>
        <row r="4004">
          <cell r="G4004" t="str">
            <v>ASV20401</v>
          </cell>
          <cell r="H4004" t="str">
            <v>g__Pedobacter</v>
          </cell>
          <cell r="I4004" t="str">
            <v>s__unclassified_g__Pedobacter</v>
          </cell>
        </row>
        <row r="4005">
          <cell r="G4005" t="str">
            <v>ASV21886</v>
          </cell>
          <cell r="H4005" t="str">
            <v>g__Holdemanella</v>
          </cell>
          <cell r="I4005" t="str">
            <v>s__uncultured_bacterium_g__Holdemanella</v>
          </cell>
        </row>
        <row r="4006">
          <cell r="G4006" t="str">
            <v>ASV21716</v>
          </cell>
          <cell r="H4006" t="str">
            <v>g__Corynebacterium</v>
          </cell>
          <cell r="I4006" t="str">
            <v>s__unclassified_g__Corynebacterium</v>
          </cell>
        </row>
        <row r="4007">
          <cell r="G4007" t="str">
            <v>ASV4553</v>
          </cell>
          <cell r="H4007" t="str">
            <v>g__Collinsella</v>
          </cell>
          <cell r="I4007" t="str">
            <v>s__unclassified_g__Collinsella</v>
          </cell>
        </row>
        <row r="4008">
          <cell r="G4008" t="str">
            <v>ASV8268</v>
          </cell>
          <cell r="H4008" t="str">
            <v>g__Olsenella</v>
          </cell>
          <cell r="I4008" t="str">
            <v>s__unclassified_g__Olsenella</v>
          </cell>
        </row>
        <row r="4009">
          <cell r="G4009" t="str">
            <v>ASV9194</v>
          </cell>
          <cell r="H4009" t="str">
            <v>g__Blautia</v>
          </cell>
          <cell r="I4009" t="str">
            <v>s__unclassified_g__Blautia</v>
          </cell>
        </row>
        <row r="4010">
          <cell r="G4010" t="str">
            <v>ASV23906</v>
          </cell>
          <cell r="H4010" t="str">
            <v>g__Lactobacillus</v>
          </cell>
          <cell r="I4010" t="str">
            <v>s__unclassified_g__Lactobacillus</v>
          </cell>
        </row>
        <row r="4011">
          <cell r="G4011" t="str">
            <v>ASV17774</v>
          </cell>
          <cell r="H4011" t="str">
            <v>g__UCG-005</v>
          </cell>
          <cell r="I4011" t="str">
            <v>s__unclassified_g__UCG-005</v>
          </cell>
        </row>
        <row r="4012">
          <cell r="G4012" t="str">
            <v>ASV1745</v>
          </cell>
          <cell r="H4012" t="str">
            <v>g__unclassified_k__norank_d__Bacteria</v>
          </cell>
          <cell r="I4012" t="str">
            <v>s__unclassified_k__norank_d__Bacteria</v>
          </cell>
        </row>
        <row r="4013">
          <cell r="G4013" t="str">
            <v>ASV13775</v>
          </cell>
          <cell r="H4013" t="str">
            <v>g__unclassified_f__Peptostreptococcaceae</v>
          </cell>
          <cell r="I4013" t="str">
            <v>s__unclassified_f__Peptostreptococcaceae</v>
          </cell>
        </row>
        <row r="4014">
          <cell r="G4014" t="str">
            <v>ASV23908</v>
          </cell>
          <cell r="H4014" t="str">
            <v>g__Phascolarctobacterium</v>
          </cell>
          <cell r="I4014" t="str">
            <v>s__uncultured_bacterium_g__Phascolarctobacterium</v>
          </cell>
        </row>
        <row r="4015">
          <cell r="G4015" t="str">
            <v>ASV15189</v>
          </cell>
          <cell r="H4015" t="str">
            <v>g__Clostridium_sensu_stricto_1</v>
          </cell>
          <cell r="I4015" t="str">
            <v>s__unclassified_g__Clostridium_sensu_stricto_1</v>
          </cell>
        </row>
        <row r="4016">
          <cell r="G4016" t="str">
            <v>ASV7020</v>
          </cell>
          <cell r="H4016" t="str">
            <v>g__unclassified_c__Bacilli</v>
          </cell>
          <cell r="I4016" t="str">
            <v>s__unclassified_c__Bacilli</v>
          </cell>
        </row>
        <row r="4017">
          <cell r="G4017" t="str">
            <v>ASV19282</v>
          </cell>
          <cell r="H4017" t="str">
            <v>g__Colidextribacter</v>
          </cell>
          <cell r="I4017" t="str">
            <v>s__unclassified_g__Colidextribacter</v>
          </cell>
        </row>
        <row r="4018">
          <cell r="G4018" t="str">
            <v>ASV18518</v>
          </cell>
          <cell r="H4018" t="str">
            <v>g__Lactobacillus</v>
          </cell>
          <cell r="I4018" t="str">
            <v>s__unclassified_g__Lactobacillus</v>
          </cell>
        </row>
        <row r="4019">
          <cell r="G4019" t="str">
            <v>ASV16260</v>
          </cell>
          <cell r="H4019" t="str">
            <v>g__unclassified_f__Lachnospiraceae</v>
          </cell>
          <cell r="I4019" t="str">
            <v>s__unclassified_f__Lachnospiraceae</v>
          </cell>
        </row>
        <row r="4020">
          <cell r="G4020" t="str">
            <v>ASV7268</v>
          </cell>
          <cell r="H4020" t="str">
            <v>g__Sanguibacteroides</v>
          </cell>
          <cell r="I4020" t="str">
            <v>s__Sanguibacteroides_justesenii</v>
          </cell>
        </row>
        <row r="4021">
          <cell r="G4021" t="str">
            <v>ASV21872</v>
          </cell>
          <cell r="H4021" t="str">
            <v>g__Succiniclasticum</v>
          </cell>
          <cell r="I4021" t="str">
            <v>s__uncultured_bacterium_g__Succiniclasticum</v>
          </cell>
        </row>
        <row r="4022">
          <cell r="G4022" t="str">
            <v>ASV21885</v>
          </cell>
          <cell r="H4022" t="str">
            <v>g__unclassified_f__Lachnospiraceae</v>
          </cell>
          <cell r="I4022" t="str">
            <v>s__unclassified_f__Lachnospiraceae</v>
          </cell>
        </row>
        <row r="4023">
          <cell r="G4023" t="str">
            <v>ASV8429</v>
          </cell>
          <cell r="H4023" t="str">
            <v>g__Acidaminococcus</v>
          </cell>
          <cell r="I4023" t="str">
            <v>s__unclassified_g__Acidaminococcus</v>
          </cell>
        </row>
        <row r="4024">
          <cell r="G4024" t="str">
            <v>ASV13963</v>
          </cell>
          <cell r="H4024" t="str">
            <v>g__Intestinimonas</v>
          </cell>
          <cell r="I4024" t="str">
            <v>s__uncultured_bacterium_g__Intestinimonas</v>
          </cell>
        </row>
        <row r="4025">
          <cell r="G4025" t="str">
            <v>ASV9202</v>
          </cell>
          <cell r="H4025" t="str">
            <v>g__unclassified_c__Clostridia</v>
          </cell>
          <cell r="I4025" t="str">
            <v>s__unclassified_c__Clostridia</v>
          </cell>
        </row>
        <row r="4026">
          <cell r="G4026" t="str">
            <v>ASV5596</v>
          </cell>
          <cell r="H4026" t="str">
            <v>g__unclassified_c__Clostridia</v>
          </cell>
          <cell r="I4026" t="str">
            <v>s__unclassified_c__Clostridia</v>
          </cell>
        </row>
        <row r="4027">
          <cell r="G4027" t="str">
            <v>ASV11268</v>
          </cell>
          <cell r="H4027" t="str">
            <v>g__unclassified_f__Lachnospiraceae</v>
          </cell>
          <cell r="I4027" t="str">
            <v>s__unclassified_f__Lachnospiraceae</v>
          </cell>
        </row>
        <row r="4028">
          <cell r="G4028" t="str">
            <v>ASV7524</v>
          </cell>
          <cell r="H4028" t="str">
            <v>g__Candidatus_Soleaferrea</v>
          </cell>
          <cell r="I4028" t="str">
            <v>s__uncultured_bacterium_g__Candidatus_Soleaferrea</v>
          </cell>
        </row>
        <row r="4029">
          <cell r="G4029" t="str">
            <v>ASV13280</v>
          </cell>
          <cell r="H4029" t="str">
            <v>g__unclassified_f__Peptostreptococcaceae</v>
          </cell>
          <cell r="I4029" t="str">
            <v>s__unclassified_f__Peptostreptococcaceae</v>
          </cell>
        </row>
        <row r="4030">
          <cell r="G4030" t="str">
            <v>ASV18511</v>
          </cell>
          <cell r="H4030" t="str">
            <v>g__Bacillus</v>
          </cell>
          <cell r="I4030" t="str">
            <v>s__Lactobacillus_vaginalis_g__Bacillus</v>
          </cell>
        </row>
        <row r="4031">
          <cell r="G4031" t="str">
            <v>ASV18512</v>
          </cell>
          <cell r="H4031" t="str">
            <v>g__Lactobacillus</v>
          </cell>
          <cell r="I4031" t="str">
            <v>s__unclassified_g__Lactobacillus</v>
          </cell>
        </row>
        <row r="4032">
          <cell r="G4032" t="str">
            <v>ASV15195</v>
          </cell>
          <cell r="H4032" t="str">
            <v>g__unclassified_f__Lachnospiraceae</v>
          </cell>
          <cell r="I4032" t="str">
            <v>s__unclassified_f__Lachnospiraceae</v>
          </cell>
        </row>
        <row r="4033">
          <cell r="G4033" t="str">
            <v>ASV16257</v>
          </cell>
          <cell r="H4033" t="str">
            <v>g__unclassified_o__Bacteroidales</v>
          </cell>
          <cell r="I4033" t="str">
            <v>s__unclassified_o__Bacteroidales</v>
          </cell>
        </row>
        <row r="4034">
          <cell r="G4034" t="str">
            <v>ASV1962</v>
          </cell>
          <cell r="H4034" t="str">
            <v>g__norank_f__Eubacterium_coprostanoligenes_group</v>
          </cell>
          <cell r="I4034" t="str">
            <v>s__unclassified_g__norank_f__Eubacterium_coprostanoligenes_group</v>
          </cell>
        </row>
        <row r="4035">
          <cell r="G4035" t="str">
            <v>ASV21890</v>
          </cell>
          <cell r="H4035" t="str">
            <v>g__unclassified_p__Firmicutes</v>
          </cell>
          <cell r="I4035" t="str">
            <v>s__unclassified_p__Firmicutes</v>
          </cell>
        </row>
        <row r="4036">
          <cell r="G4036" t="str">
            <v>ASV343</v>
          </cell>
          <cell r="H4036" t="str">
            <v>g__unclassified_c__Clostridia</v>
          </cell>
          <cell r="I4036" t="str">
            <v>s__unclassified_c__Clostridia</v>
          </cell>
        </row>
        <row r="4037">
          <cell r="G4037" t="str">
            <v>ASV329</v>
          </cell>
          <cell r="H4037" t="str">
            <v>g__Lactobacillus</v>
          </cell>
          <cell r="I4037" t="str">
            <v>s__unclassified_g__Lactobacillus</v>
          </cell>
        </row>
        <row r="4038">
          <cell r="G4038" t="str">
            <v>ASV4549</v>
          </cell>
          <cell r="H4038" t="str">
            <v>g__Mitsuokella</v>
          </cell>
          <cell r="I4038" t="str">
            <v>s__unclassified_g__Mitsuokella</v>
          </cell>
        </row>
        <row r="4039">
          <cell r="G4039" t="str">
            <v>ASV6560</v>
          </cell>
          <cell r="H4039" t="str">
            <v>g__unclassified_f__Lachnospiraceae</v>
          </cell>
          <cell r="I4039" t="str">
            <v>s__unclassified_f__Lachnospiraceae</v>
          </cell>
        </row>
        <row r="4040">
          <cell r="G4040" t="str">
            <v>ASV11249</v>
          </cell>
          <cell r="H4040" t="str">
            <v>g__Clostridium_sensu_stricto_1</v>
          </cell>
          <cell r="I4040" t="str">
            <v>s__unclassified_g__Clostridium_sensu_stricto_1</v>
          </cell>
        </row>
        <row r="4041">
          <cell r="G4041" t="str">
            <v>ASV12561</v>
          </cell>
          <cell r="H4041" t="str">
            <v>g__unclassified_c__Bacilli</v>
          </cell>
          <cell r="I4041" t="str">
            <v>s__unclassified_c__Bacilli</v>
          </cell>
        </row>
        <row r="4042">
          <cell r="G4042" t="str">
            <v>ASV24086</v>
          </cell>
          <cell r="H4042" t="str">
            <v>g__Lactobacillus</v>
          </cell>
          <cell r="I4042" t="str">
            <v>s__unclassified_g__Lactobacillus</v>
          </cell>
        </row>
        <row r="4043">
          <cell r="G4043" t="str">
            <v>ASV19287</v>
          </cell>
          <cell r="H4043" t="str">
            <v>g__unclassified_o__Oscillospirales</v>
          </cell>
          <cell r="I4043" t="str">
            <v>s__unclassified_o__Oscillospirales</v>
          </cell>
        </row>
        <row r="4044">
          <cell r="G4044" t="str">
            <v>ASV8426</v>
          </cell>
          <cell r="H4044" t="str">
            <v>g__unclassified_f__Veillonellaceae</v>
          </cell>
          <cell r="I4044" t="str">
            <v>s__unclassified_f__Veillonellaceae</v>
          </cell>
        </row>
        <row r="4045">
          <cell r="G4045" t="str">
            <v>ASV18746</v>
          </cell>
          <cell r="H4045" t="str">
            <v>g__Macrococcus</v>
          </cell>
          <cell r="I4045" t="str">
            <v>s__unclassified_g__Macrococcus</v>
          </cell>
        </row>
        <row r="4046">
          <cell r="G4046" t="str">
            <v>ASV18012</v>
          </cell>
          <cell r="H4046" t="str">
            <v>g__unclassified_f__Ruminococcaceae</v>
          </cell>
          <cell r="I4046" t="str">
            <v>s__unclassified_f__Ruminococcaceae</v>
          </cell>
        </row>
        <row r="4047">
          <cell r="G4047" t="str">
            <v>ASV18803</v>
          </cell>
          <cell r="H4047" t="str">
            <v>g__Collinsella</v>
          </cell>
          <cell r="I4047" t="str">
            <v>s__uncultured_bacterium_g__Collinsella</v>
          </cell>
        </row>
        <row r="4048">
          <cell r="G4048" t="str">
            <v>ASV341</v>
          </cell>
          <cell r="H4048" t="str">
            <v>g__unclassified_f__Lachnospiraceae</v>
          </cell>
          <cell r="I4048" t="str">
            <v>s__unclassified_f__Lachnospiraceae</v>
          </cell>
        </row>
        <row r="4049">
          <cell r="G4049" t="str">
            <v>ASV7326</v>
          </cell>
          <cell r="H4049" t="str">
            <v>g__Olsenella</v>
          </cell>
          <cell r="I4049" t="str">
            <v>s__unclassified_g__Olsenella</v>
          </cell>
        </row>
        <row r="4050">
          <cell r="G4050" t="str">
            <v>ASV19285</v>
          </cell>
          <cell r="H4050" t="str">
            <v>g__unclassified_p__Firmicutes</v>
          </cell>
          <cell r="I4050" t="str">
            <v>s__unclassified_p__Firmicutes</v>
          </cell>
        </row>
        <row r="4051">
          <cell r="G4051" t="str">
            <v>ASV20555</v>
          </cell>
          <cell r="H4051" t="str">
            <v>g__Christensenellaceae_R-7_group</v>
          </cell>
          <cell r="I4051" t="str">
            <v>s__unclassified_g__Christensenellaceae_R-7_group</v>
          </cell>
        </row>
        <row r="4052">
          <cell r="G4052" t="str">
            <v>ASV3827</v>
          </cell>
          <cell r="H4052" t="str">
            <v>g__Escherichia-Shigella</v>
          </cell>
          <cell r="I4052" t="str">
            <v>s__unclassified_g__Escherichia-Shigella</v>
          </cell>
        </row>
        <row r="4053">
          <cell r="G4053" t="str">
            <v>ASV2697</v>
          </cell>
          <cell r="H4053" t="str">
            <v>g__norank_f__Peptostreptococcaceae</v>
          </cell>
          <cell r="I4053" t="str">
            <v>s__unclassified_g__norank_f__Peptostreptococcaceae</v>
          </cell>
        </row>
        <row r="4054">
          <cell r="G4054" t="str">
            <v>ASV12570</v>
          </cell>
          <cell r="H4054" t="str">
            <v>g__unclassified_c__Clostridia</v>
          </cell>
          <cell r="I4054" t="str">
            <v>s__unclassified_c__Clostridia</v>
          </cell>
        </row>
        <row r="4055">
          <cell r="G4055" t="str">
            <v>ASV12564</v>
          </cell>
          <cell r="H4055" t="str">
            <v>g__Collinsella</v>
          </cell>
          <cell r="I4055" t="str">
            <v>s__unclassified_g__Collinsella</v>
          </cell>
        </row>
        <row r="4056">
          <cell r="G4056" t="str">
            <v>ASV11253</v>
          </cell>
          <cell r="H4056" t="str">
            <v>g__Subdoligranulum</v>
          </cell>
          <cell r="I4056" t="str">
            <v>s__uncultured_bacterium_g__Subdoligranulum</v>
          </cell>
        </row>
        <row r="4057">
          <cell r="G4057" t="str">
            <v>ASV19036</v>
          </cell>
          <cell r="H4057" t="str">
            <v>g__unclassified_f__Lachnospiraceae</v>
          </cell>
          <cell r="I4057" t="str">
            <v>s__unclassified_f__Lachnospiraceae</v>
          </cell>
        </row>
        <row r="4058">
          <cell r="G4058" t="str">
            <v>ASV23052</v>
          </cell>
          <cell r="H4058" t="str">
            <v>g__unclassified_f__Ruminococcaceae</v>
          </cell>
          <cell r="I4058" t="str">
            <v>s__unclassified_f__Ruminococcaceae</v>
          </cell>
        </row>
        <row r="4059">
          <cell r="G4059" t="str">
            <v>ASV16822</v>
          </cell>
          <cell r="H4059" t="str">
            <v>g__norank_f__Eubacterium_coprostanoligenes_group</v>
          </cell>
          <cell r="I4059" t="str">
            <v>s__unclassified_g__norank_f__Eubacterium_coprostanoligenes_group</v>
          </cell>
        </row>
        <row r="4060">
          <cell r="G4060" t="str">
            <v>ASV3608</v>
          </cell>
          <cell r="H4060" t="str">
            <v>g__unclassified_c__Bacilli</v>
          </cell>
          <cell r="I4060" t="str">
            <v>s__unclassified_c__Bacilli</v>
          </cell>
        </row>
        <row r="4061">
          <cell r="G4061" t="str">
            <v>ASV4555</v>
          </cell>
          <cell r="H4061" t="str">
            <v>g__unclassified_c__Clostridia</v>
          </cell>
          <cell r="I4061" t="str">
            <v>s__unclassified_c__Clostridia</v>
          </cell>
        </row>
        <row r="4062">
          <cell r="G4062" t="str">
            <v>ASV7512</v>
          </cell>
          <cell r="H4062" t="str">
            <v>g__unclassified_c__Clostridia</v>
          </cell>
          <cell r="I4062" t="str">
            <v>s__unclassified_c__Clostridia</v>
          </cell>
        </row>
        <row r="4063">
          <cell r="G4063" t="str">
            <v>ASV21160</v>
          </cell>
          <cell r="H4063" t="str">
            <v>g__Lactobacillus</v>
          </cell>
          <cell r="I4063" t="str">
            <v>s__unclassified_g__Lactobacillus</v>
          </cell>
        </row>
        <row r="4064">
          <cell r="G4064" t="str">
            <v>ASV10038</v>
          </cell>
          <cell r="H4064" t="str">
            <v>g__Oscillibacter</v>
          </cell>
          <cell r="I4064" t="str">
            <v>s__uncultured_bacterium_g__Oscillibacter</v>
          </cell>
        </row>
        <row r="4065">
          <cell r="G4065" t="str">
            <v>ASV7267</v>
          </cell>
          <cell r="H4065" t="str">
            <v>g__Exiguobacterium</v>
          </cell>
          <cell r="I4065" t="str">
            <v>s__unclassified_g__Exiguobacterium</v>
          </cell>
        </row>
        <row r="4066">
          <cell r="G4066" t="str">
            <v>ASV1959</v>
          </cell>
          <cell r="H4066" t="str">
            <v>g__norank_f__Eubacterium_coprostanoligenes_group</v>
          </cell>
          <cell r="I4066" t="str">
            <v>s__unclassified_g__norank_f__Eubacterium_coprostanoligenes_group</v>
          </cell>
        </row>
        <row r="4067">
          <cell r="G4067" t="str">
            <v>ASV13684</v>
          </cell>
          <cell r="H4067" t="str">
            <v>g__unclassified_o__Veillonellales-Selenomonadales</v>
          </cell>
          <cell r="I4067" t="str">
            <v>s__unclassified_o__Veillonellales-Selenomonadales</v>
          </cell>
        </row>
        <row r="4068">
          <cell r="G4068" t="str">
            <v>ASV15185</v>
          </cell>
          <cell r="H4068" t="str">
            <v>g__Cloacibacillus</v>
          </cell>
          <cell r="I4068" t="str">
            <v>s__unclassified_g__Cloacibacillus</v>
          </cell>
        </row>
        <row r="4069">
          <cell r="G4069" t="str">
            <v>ASV17764</v>
          </cell>
          <cell r="H4069" t="str">
            <v>g__CAG-873</v>
          </cell>
          <cell r="I4069" t="str">
            <v>s__Bacteroidales_bacterium_H4</v>
          </cell>
        </row>
        <row r="4070">
          <cell r="G4070" t="str">
            <v>ASV6557</v>
          </cell>
          <cell r="H4070" t="str">
            <v>g__unclassified_c__Clostridia</v>
          </cell>
          <cell r="I4070" t="str">
            <v>s__unclassified_c__Clostridia</v>
          </cell>
        </row>
        <row r="4071">
          <cell r="G4071" t="str">
            <v>ASV24082</v>
          </cell>
          <cell r="H4071" t="str">
            <v>g__Christensenellaceae_R-7_group</v>
          </cell>
          <cell r="I4071" t="str">
            <v>s__unclassified_g__Christensenellaceae_R-7_group</v>
          </cell>
        </row>
        <row r="4072">
          <cell r="G4072" t="str">
            <v>ASV19291</v>
          </cell>
          <cell r="H4072" t="str">
            <v>g__unclassified_f__Lachnospiraceae</v>
          </cell>
          <cell r="I4072" t="str">
            <v>s__unclassified_f__Lachnospiraceae</v>
          </cell>
        </row>
        <row r="4073">
          <cell r="G4073" t="str">
            <v>ASV6565</v>
          </cell>
          <cell r="H4073" t="str">
            <v>g__Escherichia-Shigella</v>
          </cell>
          <cell r="I4073" t="str">
            <v>s__unclassified_g__Escherichia-Shigella</v>
          </cell>
        </row>
        <row r="4074">
          <cell r="G4074" t="str">
            <v>ASV12604</v>
          </cell>
          <cell r="H4074" t="str">
            <v>g__Eubacterium_siraeum_group</v>
          </cell>
          <cell r="I4074" t="str">
            <v>s__unclassified_g__Eubacterium_siraeum_group</v>
          </cell>
        </row>
        <row r="4075">
          <cell r="G4075" t="str">
            <v>ASV20400</v>
          </cell>
          <cell r="H4075" t="str">
            <v>g__Acidovorax</v>
          </cell>
          <cell r="I4075" t="str">
            <v>s__unclassified_g__Acidovorax</v>
          </cell>
        </row>
        <row r="4076">
          <cell r="G4076" t="str">
            <v>ASV4558</v>
          </cell>
          <cell r="H4076" t="str">
            <v>g__unclassified_f__Lachnospiraceae</v>
          </cell>
          <cell r="I4076" t="str">
            <v>s__unclassified_f__Lachnospiraceae</v>
          </cell>
        </row>
        <row r="4077">
          <cell r="G4077" t="str">
            <v>ASV17766</v>
          </cell>
          <cell r="H4077" t="str">
            <v>g__Prevotellaceae_NK3B31_group</v>
          </cell>
          <cell r="I4077" t="str">
            <v>s__unclassified_g__Prevotellaceae_NK3B31_group</v>
          </cell>
        </row>
        <row r="4078">
          <cell r="G4078" t="str">
            <v>ASV12558</v>
          </cell>
          <cell r="H4078" t="str">
            <v>g__Lachnospiraceae_NC2004_group</v>
          </cell>
          <cell r="I4078" t="str">
            <v>s__uncultured_bacterium_g__Lachnospiraceae_NC2004_group</v>
          </cell>
        </row>
        <row r="4079">
          <cell r="G4079" t="str">
            <v>ASV7528</v>
          </cell>
          <cell r="H4079" t="str">
            <v>g__unclassified_f__Christensenellaceae</v>
          </cell>
          <cell r="I4079" t="str">
            <v>s__unclassified_f__Christensenellaceae</v>
          </cell>
        </row>
        <row r="4080">
          <cell r="G4080" t="str">
            <v>ASV1968</v>
          </cell>
          <cell r="H4080" t="str">
            <v>g__norank_f__Eubacterium_coprostanoligenes_group</v>
          </cell>
          <cell r="I4080" t="str">
            <v>s__uncultured_bacterium_g__norank_f__Eubacterium_coprostanoligenes_group</v>
          </cell>
        </row>
        <row r="4081">
          <cell r="G4081" t="str">
            <v>ASV5615</v>
          </cell>
          <cell r="H4081" t="str">
            <v>g__Bacteroides</v>
          </cell>
          <cell r="I4081" t="str">
            <v>s__unclassified_g__Bacteroides</v>
          </cell>
        </row>
        <row r="4082">
          <cell r="G4082" t="str">
            <v>ASV20554</v>
          </cell>
          <cell r="H4082" t="str">
            <v>g__Parabacteroides</v>
          </cell>
          <cell r="I4082" t="str">
            <v>s__unclassified_g__Parabacteroides</v>
          </cell>
        </row>
        <row r="4083">
          <cell r="G4083" t="str">
            <v>ASV344</v>
          </cell>
          <cell r="H4083" t="str">
            <v>g__unclassified_c__Clostridia</v>
          </cell>
          <cell r="I4083" t="str">
            <v>s__unclassified_c__Clostridia</v>
          </cell>
        </row>
        <row r="4084">
          <cell r="G4084" t="str">
            <v>ASV16258</v>
          </cell>
          <cell r="H4084" t="str">
            <v>g__unclassified_o__Bacteroidales</v>
          </cell>
          <cell r="I4084" t="str">
            <v>s__unclassified_o__Bacteroidales</v>
          </cell>
        </row>
        <row r="4085">
          <cell r="G4085" t="str">
            <v>ASV324</v>
          </cell>
          <cell r="H4085" t="str">
            <v>g__unclassified_p__Firmicutes</v>
          </cell>
          <cell r="I4085" t="str">
            <v>s__unclassified_p__Firmicutes</v>
          </cell>
        </row>
        <row r="4086">
          <cell r="G4086" t="str">
            <v>ASV323</v>
          </cell>
          <cell r="H4086" t="str">
            <v>g__NK4A214_group</v>
          </cell>
          <cell r="I4086" t="str">
            <v>s__unclassified_g__NK4A214_group</v>
          </cell>
        </row>
        <row r="4087">
          <cell r="G4087" t="str">
            <v>ASV4554</v>
          </cell>
          <cell r="H4087" t="str">
            <v>g__Lactobacillus</v>
          </cell>
          <cell r="I4087" t="str">
            <v>s__unclassified_g__Lactobacillus</v>
          </cell>
        </row>
        <row r="4088">
          <cell r="G4088" t="str">
            <v>ASV21893</v>
          </cell>
          <cell r="H4088" t="str">
            <v>g__unclassified_f__Oscillospiraceae</v>
          </cell>
          <cell r="I4088" t="str">
            <v>s__unclassified_f__Oscillospiraceae</v>
          </cell>
        </row>
        <row r="4089">
          <cell r="G4089" t="str">
            <v>ASV19286</v>
          </cell>
          <cell r="H4089" t="str">
            <v>g__norank_f__Eubacterium_coprostanoligenes_group</v>
          </cell>
          <cell r="I4089" t="str">
            <v>s__unclassified_g__norank_f__Eubacterium_coprostanoligenes_group</v>
          </cell>
        </row>
        <row r="4090">
          <cell r="G4090" t="str">
            <v>ASV8427</v>
          </cell>
          <cell r="H4090" t="str">
            <v>g__Megasphaera</v>
          </cell>
          <cell r="I4090" t="str">
            <v>s__unclassified_g__Megasphaera</v>
          </cell>
        </row>
        <row r="4091">
          <cell r="G4091" t="str">
            <v>ASV3634</v>
          </cell>
          <cell r="H4091" t="str">
            <v>g__Porphyromonas</v>
          </cell>
          <cell r="I4091" t="str">
            <v>s__Porphyromonas_loveana</v>
          </cell>
        </row>
        <row r="4092">
          <cell r="G4092" t="str">
            <v>ASV23907</v>
          </cell>
          <cell r="H4092" t="str">
            <v>g__Fusobacterium</v>
          </cell>
          <cell r="I4092" t="str">
            <v>s__unclassified_g__Fusobacterium</v>
          </cell>
        </row>
        <row r="4093">
          <cell r="G4093" t="str">
            <v>ASV6559</v>
          </cell>
          <cell r="H4093" t="str">
            <v>g__Christensenellaceae_R-7_group</v>
          </cell>
          <cell r="I4093" t="str">
            <v>s__unclassified_g__Christensenellaceae_R-7_group</v>
          </cell>
        </row>
        <row r="4094">
          <cell r="G4094" t="str">
            <v>ASV13776</v>
          </cell>
          <cell r="H4094" t="str">
            <v>g__Enterococcus</v>
          </cell>
          <cell r="I4094" t="str">
            <v>s__unclassified_g__Enterococcus</v>
          </cell>
        </row>
        <row r="4095">
          <cell r="G4095" t="str">
            <v>ASV15070</v>
          </cell>
          <cell r="H4095" t="str">
            <v>g__Paracoccus</v>
          </cell>
          <cell r="I4095" t="str">
            <v>s__unclassified_g__Paracoccus</v>
          </cell>
        </row>
        <row r="4096">
          <cell r="G4096" t="str">
            <v>ASV1966</v>
          </cell>
          <cell r="H4096" t="str">
            <v>g__unclassified_c__Clostridia</v>
          </cell>
          <cell r="I4096" t="str">
            <v>s__unclassified_c__Clostridia</v>
          </cell>
        </row>
        <row r="4097">
          <cell r="G4097" t="str">
            <v>ASV4546</v>
          </cell>
          <cell r="H4097" t="str">
            <v>g__unclassified_f__Lachnospiraceae</v>
          </cell>
          <cell r="I4097" t="str">
            <v>s__unclassified_f__Lachnospiraceae</v>
          </cell>
        </row>
        <row r="4098">
          <cell r="G4098" t="str">
            <v>ASV17761</v>
          </cell>
          <cell r="H4098" t="str">
            <v>g__norank_f__Peptococcaceae</v>
          </cell>
          <cell r="I4098" t="str">
            <v>s__unclassified_g__norank_f__Peptococcaceae</v>
          </cell>
        </row>
        <row r="4099">
          <cell r="G4099" t="str">
            <v>ASV1969</v>
          </cell>
          <cell r="H4099" t="str">
            <v>g__unclassified_c__Clostridia</v>
          </cell>
          <cell r="I4099" t="str">
            <v>s__unclassified_c__Clostridia</v>
          </cell>
        </row>
        <row r="4100">
          <cell r="G4100" t="str">
            <v>ASV10067</v>
          </cell>
          <cell r="H4100" t="str">
            <v>g__Bacillus</v>
          </cell>
          <cell r="I4100" t="str">
            <v>s__Lactobacillus_vaginalis_g__Bacillus</v>
          </cell>
        </row>
        <row r="4101">
          <cell r="G4101" t="str">
            <v>ASV3832</v>
          </cell>
          <cell r="H4101" t="str">
            <v>g__norank_f__Desulfovibrionaceae</v>
          </cell>
          <cell r="I4101" t="str">
            <v>s__uncultured_delta_proteobacterium_g__norank_f__Desulfovibrionaceae</v>
          </cell>
        </row>
        <row r="4102">
          <cell r="G4102" t="str">
            <v>ASV17768</v>
          </cell>
          <cell r="H4102" t="str">
            <v>g__unclassified_c__Clostridia</v>
          </cell>
          <cell r="I4102" t="str">
            <v>s__unclassified_c__Clostridia</v>
          </cell>
        </row>
        <row r="4103">
          <cell r="G4103" t="str">
            <v>ASV12563</v>
          </cell>
          <cell r="H4103" t="str">
            <v>g__Collinsella</v>
          </cell>
          <cell r="I4103" t="str">
            <v>s__uncultured_bacterium_g__Collinsella</v>
          </cell>
        </row>
        <row r="4104">
          <cell r="G4104" t="str">
            <v>ASV342</v>
          </cell>
          <cell r="H4104" t="str">
            <v>g__Colidextribacter</v>
          </cell>
          <cell r="I4104" t="str">
            <v>s__uncultured_bacterium_g__Colidextribacter</v>
          </cell>
        </row>
        <row r="4105">
          <cell r="G4105" t="str">
            <v>ASV9205</v>
          </cell>
          <cell r="H4105" t="str">
            <v>g__Eubacterium_oxidoreducens_group</v>
          </cell>
          <cell r="I4105" t="str">
            <v>s__uncultured_bacterium_g__Eubacterium_oxidoreducens_group</v>
          </cell>
        </row>
        <row r="4106">
          <cell r="G4106" t="str">
            <v>ASV19288</v>
          </cell>
          <cell r="H4106" t="str">
            <v>g__unclassified_p__Firmicutes</v>
          </cell>
          <cell r="I4106" t="str">
            <v>s__unclassified_p__Firmicutes</v>
          </cell>
        </row>
        <row r="4107">
          <cell r="G4107" t="str">
            <v>ASV16172</v>
          </cell>
          <cell r="H4107" t="str">
            <v>g__Lactobacillus</v>
          </cell>
          <cell r="I4107" t="str">
            <v>s__unclassified_g__Lactobacillus</v>
          </cell>
        </row>
        <row r="4108">
          <cell r="G4108" t="str">
            <v>ASV21879</v>
          </cell>
          <cell r="H4108" t="str">
            <v>g__Butyricicoccus</v>
          </cell>
          <cell r="I4108" t="str">
            <v>s__unclassified_g__Butyricicoccus</v>
          </cell>
        </row>
        <row r="4109">
          <cell r="G4109" t="str">
            <v>ASV13283</v>
          </cell>
          <cell r="H4109" t="str">
            <v>g__unclassified_c__Bacilli</v>
          </cell>
          <cell r="I4109" t="str">
            <v>s__unclassified_c__Bacilli</v>
          </cell>
        </row>
        <row r="4110">
          <cell r="G4110" t="str">
            <v>ASV8938</v>
          </cell>
          <cell r="H4110" t="str">
            <v>g__Bacillus</v>
          </cell>
          <cell r="I4110" t="str">
            <v>s__Lactobacillus_vaginalis_g__Bacillus</v>
          </cell>
        </row>
        <row r="4111">
          <cell r="G4111" t="str">
            <v>ASV23047</v>
          </cell>
          <cell r="H4111" t="str">
            <v>g__Lactobacillus</v>
          </cell>
          <cell r="I4111" t="str">
            <v>s__unclassified_g__Lactobacillus</v>
          </cell>
        </row>
        <row r="4112">
          <cell r="G4112" t="str">
            <v>ASV15196</v>
          </cell>
          <cell r="H4112" t="str">
            <v>g__norank_f__norank_o__Clostridia_vadinBB60_group</v>
          </cell>
          <cell r="I4112" t="str">
            <v>s__unclassified_g__norank_f__norank_o__Clostridia_vadinBB60_group</v>
          </cell>
        </row>
        <row r="4113">
          <cell r="G4113" t="str">
            <v>ASV1967</v>
          </cell>
          <cell r="H4113" t="str">
            <v>g__Clostridium_sensu_stricto_1</v>
          </cell>
          <cell r="I4113" t="str">
            <v>s__unclassified_g__Clostridium_sensu_stricto_1</v>
          </cell>
        </row>
        <row r="4114">
          <cell r="G4114" t="str">
            <v>ASV17780</v>
          </cell>
          <cell r="H4114" t="str">
            <v>g__unclassified_o__Oscillospirales</v>
          </cell>
          <cell r="I4114" t="str">
            <v>s__unclassified_o__Oscillospirales</v>
          </cell>
        </row>
        <row r="4115">
          <cell r="G4115" t="str">
            <v>ASV21159</v>
          </cell>
          <cell r="H4115" t="str">
            <v>g__norank_f__Muribaculaceae</v>
          </cell>
          <cell r="I4115" t="str">
            <v>s__uncultured_bacterium_g__norank_f__Muribaculaceae</v>
          </cell>
        </row>
        <row r="4116">
          <cell r="G4116" t="str">
            <v>ASV17777</v>
          </cell>
          <cell r="H4116" t="str">
            <v>g__unclassified_o__Oscillospirales</v>
          </cell>
          <cell r="I4116" t="str">
            <v>s__unclassified_o__Oscillospirales</v>
          </cell>
        </row>
        <row r="4117">
          <cell r="G4117" t="str">
            <v>ASV11264</v>
          </cell>
          <cell r="H4117" t="str">
            <v>g__Subdoligranulum</v>
          </cell>
          <cell r="I4117" t="str">
            <v>s__uncultured_bacterium_g__Subdoligranulum</v>
          </cell>
        </row>
        <row r="4118">
          <cell r="G4118" t="str">
            <v>ASV12629</v>
          </cell>
          <cell r="H4118" t="str">
            <v>g__Acetanaerobacterium</v>
          </cell>
          <cell r="I4118" t="str">
            <v>s__uncultured_rumen_bacterium_g__Acetanaerobacterium</v>
          </cell>
        </row>
        <row r="4119">
          <cell r="G4119" t="str">
            <v>ASV1961</v>
          </cell>
          <cell r="H4119" t="str">
            <v>g__unclassified_f__Lachnospiraceae</v>
          </cell>
          <cell r="I4119" t="str">
            <v>s__unclassified_f__Lachnospiraceae</v>
          </cell>
        </row>
        <row r="4120">
          <cell r="G4120" t="str">
            <v>ASV15035</v>
          </cell>
          <cell r="H4120" t="str">
            <v>g__norank_f__Christensenellaceae</v>
          </cell>
          <cell r="I4120" t="str">
            <v>s__unclassified_g__norank_f__Christensenellaceae</v>
          </cell>
        </row>
        <row r="4121">
          <cell r="G4121" t="str">
            <v>ASV16823</v>
          </cell>
          <cell r="H4121" t="str">
            <v>g__Anaerovibrio</v>
          </cell>
          <cell r="I4121" t="str">
            <v>s__unclassified_g__Anaerovibrio</v>
          </cell>
        </row>
        <row r="4122">
          <cell r="G4122" t="str">
            <v>ASV15192</v>
          </cell>
          <cell r="H4122" t="str">
            <v>g__unclassified_f__Oscillospiraceae</v>
          </cell>
          <cell r="I4122" t="str">
            <v>s__unclassified_f__Oscillospiraceae</v>
          </cell>
        </row>
        <row r="4123">
          <cell r="G4123" t="str">
            <v>ASV7272</v>
          </cell>
          <cell r="H4123" t="str">
            <v>g__norank_f__Muribaculaceae</v>
          </cell>
          <cell r="I4123" t="str">
            <v>s__uncultured_bacterium_g__norank_f__Muribaculaceae</v>
          </cell>
        </row>
        <row r="4124">
          <cell r="G4124" t="str">
            <v>ASV21887</v>
          </cell>
          <cell r="H4124" t="str">
            <v>g__unclassified_f__Lachnospiraceae</v>
          </cell>
          <cell r="I4124" t="str">
            <v>s__unclassified_f__Lachnospiraceae</v>
          </cell>
        </row>
        <row r="4125">
          <cell r="G4125" t="str">
            <v>ASV8267</v>
          </cell>
          <cell r="H4125" t="str">
            <v>g__Clostridium_sensu_stricto_1</v>
          </cell>
          <cell r="I4125" t="str">
            <v>s__unclassified_g__Clostridium_sensu_stricto_1</v>
          </cell>
        </row>
        <row r="4126">
          <cell r="G4126" t="str">
            <v>ASV23046</v>
          </cell>
          <cell r="H4126" t="str">
            <v>g__unclassified_f__Oscillospiraceae</v>
          </cell>
          <cell r="I4126" t="str">
            <v>s__unclassified_f__Oscillospiraceae</v>
          </cell>
        </row>
        <row r="4127">
          <cell r="G4127" t="str">
            <v>ASV335</v>
          </cell>
          <cell r="H4127" t="str">
            <v>g__norank_f__Oscillospiraceae</v>
          </cell>
          <cell r="I4127" t="str">
            <v>s__uncultured_rumen_bacterium_g__norank_f__Oscillospiraceae</v>
          </cell>
        </row>
        <row r="4128">
          <cell r="G4128" t="str">
            <v>ASV21717</v>
          </cell>
          <cell r="H4128" t="str">
            <v>g__Propioniciclava</v>
          </cell>
          <cell r="I4128" t="str">
            <v>s__metagenome_g__Propioniciclava</v>
          </cell>
        </row>
        <row r="4129">
          <cell r="G4129" t="str">
            <v>ASV346</v>
          </cell>
          <cell r="H4129" t="str">
            <v>g__Clostridium_sensu_stricto_1</v>
          </cell>
          <cell r="I4129" t="str">
            <v>s__unclassified_g__Clostridium_sensu_stricto_1</v>
          </cell>
        </row>
        <row r="4130">
          <cell r="G4130" t="str">
            <v>ASV7514</v>
          </cell>
          <cell r="H4130" t="str">
            <v>g__Clostridium_sensu_stricto_1</v>
          </cell>
          <cell r="I4130" t="str">
            <v>s__unclassified_g__Clostridium_sensu_stricto_1</v>
          </cell>
        </row>
        <row r="4131">
          <cell r="G4131" t="str">
            <v>ASV12568</v>
          </cell>
          <cell r="H4131" t="str">
            <v>g__unclassified_o__Oscillospirales</v>
          </cell>
          <cell r="I4131" t="str">
            <v>s__unclassified_o__Oscillospirales</v>
          </cell>
        </row>
        <row r="4132">
          <cell r="G4132" t="str">
            <v>ASV7521</v>
          </cell>
          <cell r="H4132" t="str">
            <v>g__norank_f__UCG-011</v>
          </cell>
          <cell r="I4132" t="str">
            <v>s__uncultured_bacterium_g__norank_f__UCG-011</v>
          </cell>
        </row>
        <row r="4133">
          <cell r="G4133" t="str">
            <v>ASV3117</v>
          </cell>
          <cell r="H4133" t="str">
            <v>g__Lactobacillus</v>
          </cell>
          <cell r="I4133" t="str">
            <v>s__unclassified_g__Lactobacillus</v>
          </cell>
        </row>
        <row r="4134">
          <cell r="G4134" t="str">
            <v>ASV7513</v>
          </cell>
          <cell r="H4134" t="str">
            <v>g__Escherichia-Shigella</v>
          </cell>
          <cell r="I4134" t="str">
            <v>s__unclassified_g__Escherichia-Shigella</v>
          </cell>
        </row>
        <row r="4135">
          <cell r="G4135" t="str">
            <v>ASV10445</v>
          </cell>
          <cell r="H4135" t="str">
            <v>g__unclassified_c__Clostridia</v>
          </cell>
          <cell r="I4135" t="str">
            <v>s__unclassified_c__Clostridia</v>
          </cell>
        </row>
        <row r="4136">
          <cell r="G4136" t="str">
            <v>ASV13947</v>
          </cell>
          <cell r="H4136" t="str">
            <v>g__Lachnoclostridium</v>
          </cell>
          <cell r="I4136" t="str">
            <v>s__unclassified_g__Lachnoclostridium</v>
          </cell>
        </row>
        <row r="4137">
          <cell r="G4137" t="str">
            <v>ASV9198</v>
          </cell>
          <cell r="H4137" t="str">
            <v>g__unclassified_p__Firmicutes</v>
          </cell>
          <cell r="I4137" t="str">
            <v>s__unclassified_p__Firmicutes</v>
          </cell>
        </row>
        <row r="4138">
          <cell r="G4138" t="str">
            <v>ASV16819</v>
          </cell>
          <cell r="H4138" t="str">
            <v>g__UCG-002</v>
          </cell>
          <cell r="I4138" t="str">
            <v>s__uncultured_bacterium_g__UCG-002</v>
          </cell>
        </row>
        <row r="4139">
          <cell r="G4139" t="str">
            <v>ASV17771</v>
          </cell>
          <cell r="H4139" t="str">
            <v>g__Eubacterium_oxidoreducens_group</v>
          </cell>
          <cell r="I4139" t="str">
            <v>s__uncultured_bacterium_g__Eubacterium_oxidoreducens_group</v>
          </cell>
        </row>
        <row r="4140">
          <cell r="G4140" t="str">
            <v>ASV23057</v>
          </cell>
          <cell r="H4140" t="str">
            <v>g__Subdoligranulum</v>
          </cell>
          <cell r="I4140" t="str">
            <v>s__unclassified_g__Subdoligranulum</v>
          </cell>
        </row>
        <row r="4141">
          <cell r="G4141" t="str">
            <v>ASV10440</v>
          </cell>
          <cell r="H4141" t="str">
            <v>g__unclassified_f__Peptostreptococcaceae</v>
          </cell>
          <cell r="I4141" t="str">
            <v>s__unclassified_f__Peptostreptococcaceae</v>
          </cell>
        </row>
        <row r="4142">
          <cell r="G4142" t="str">
            <v>ASV11260</v>
          </cell>
          <cell r="H4142" t="str">
            <v>g__unclassified_f__Oscillospiraceae</v>
          </cell>
          <cell r="I4142" t="str">
            <v>s__unclassified_f__Oscillospiraceae</v>
          </cell>
        </row>
        <row r="4143">
          <cell r="G4143" t="str">
            <v>ASV21878</v>
          </cell>
          <cell r="H4143" t="str">
            <v>g__unclassified_f__Christensenellaceae</v>
          </cell>
          <cell r="I4143" t="str">
            <v>s__unclassified_f__Christensenellaceae</v>
          </cell>
        </row>
        <row r="4144">
          <cell r="G4144" t="str">
            <v>ASV345</v>
          </cell>
          <cell r="H4144" t="str">
            <v>g__unclassified_f__Anaerovoracaceae</v>
          </cell>
          <cell r="I4144" t="str">
            <v>s__unclassified_f__Anaerovoracaceae</v>
          </cell>
        </row>
        <row r="4145">
          <cell r="G4145" t="str">
            <v>ASV15184</v>
          </cell>
          <cell r="H4145" t="str">
            <v>g__UCG-009</v>
          </cell>
          <cell r="I4145" t="str">
            <v>s__uncultured_bacterium_g__UCG-009</v>
          </cell>
        </row>
        <row r="4146">
          <cell r="G4146" t="str">
            <v>ASV5608</v>
          </cell>
          <cell r="H4146" t="str">
            <v>g__UCG-002</v>
          </cell>
          <cell r="I4146" t="str">
            <v>s__unclassified_g__UCG-002</v>
          </cell>
        </row>
        <row r="4147">
          <cell r="G4147" t="str">
            <v>ASV20212</v>
          </cell>
          <cell r="H4147" t="str">
            <v>g__unclassified_f__Lachnospiraceae</v>
          </cell>
          <cell r="I4147" t="str">
            <v>s__unclassified_f__Lachnospiraceae</v>
          </cell>
        </row>
        <row r="4148">
          <cell r="G4148" t="str">
            <v>ASV18513</v>
          </cell>
          <cell r="H4148" t="str">
            <v>g__Lachnoclostridium</v>
          </cell>
          <cell r="I4148" t="str">
            <v>s__unclassified_g__Lachnoclostridium</v>
          </cell>
        </row>
        <row r="4149">
          <cell r="G4149" t="str">
            <v>ASV15201</v>
          </cell>
          <cell r="H4149" t="str">
            <v>g__norank_f__Eubacterium_coprostanoligenes_group</v>
          </cell>
          <cell r="I4149" t="str">
            <v>s__uncultured_bacterium_g__norank_f__Eubacterium_coprostanoligenes_group</v>
          </cell>
        </row>
        <row r="4150">
          <cell r="G4150" t="str">
            <v>ASV3824</v>
          </cell>
          <cell r="H4150" t="str">
            <v>g__unclassified_c__Clostridia</v>
          </cell>
          <cell r="I4150" t="str">
            <v>s__unclassified_c__Clostridia</v>
          </cell>
        </row>
        <row r="4151">
          <cell r="G4151" t="str">
            <v>ASV11250</v>
          </cell>
          <cell r="H4151" t="str">
            <v>g__unclassified_f__Ruminococcaceae</v>
          </cell>
          <cell r="I4151" t="str">
            <v>s__unclassified_f__Ruminococcaceae</v>
          </cell>
        </row>
        <row r="4152">
          <cell r="G4152" t="str">
            <v>ASV3829</v>
          </cell>
          <cell r="H4152" t="str">
            <v>g__Bacteroides</v>
          </cell>
          <cell r="I4152" t="str">
            <v>s__unclassified_g__Bacteroides</v>
          </cell>
        </row>
        <row r="4153">
          <cell r="G4153" t="str">
            <v>ASV8432</v>
          </cell>
          <cell r="H4153" t="str">
            <v>g__Veillonella</v>
          </cell>
          <cell r="I4153" t="str">
            <v>s__bacterium_RA2114</v>
          </cell>
        </row>
        <row r="4154">
          <cell r="G4154" t="str">
            <v>ASV5600</v>
          </cell>
          <cell r="H4154" t="str">
            <v>g__norank_f__Peptostreptococcaceae</v>
          </cell>
          <cell r="I4154" t="str">
            <v>s__unclassified_g__norank_f__Peptostreptococcaceae</v>
          </cell>
        </row>
        <row r="4155">
          <cell r="G4155" t="str">
            <v>ASV9966</v>
          </cell>
          <cell r="H4155" t="str">
            <v>g__unclassified_f__Lachnospiraceae</v>
          </cell>
          <cell r="I4155" t="str">
            <v>s__unclassified_f__Lachnospiraceae</v>
          </cell>
        </row>
        <row r="4156">
          <cell r="G4156" t="str">
            <v>ASV9969</v>
          </cell>
          <cell r="H4156" t="str">
            <v>g__unclassified_f__Prevotellaceae</v>
          </cell>
          <cell r="I4156" t="str">
            <v>s__unclassified_f__Prevotellaceae</v>
          </cell>
        </row>
        <row r="4157">
          <cell r="G4157" t="str">
            <v>ASV23058</v>
          </cell>
          <cell r="H4157" t="str">
            <v>g__unclassified_p__Firmicutes</v>
          </cell>
          <cell r="I4157" t="str">
            <v>s__unclassified_p__Firmicutes</v>
          </cell>
        </row>
        <row r="4158">
          <cell r="G4158" t="str">
            <v>ASV10280</v>
          </cell>
          <cell r="H4158" t="str">
            <v>g__Clostridium_sensu_stricto_1</v>
          </cell>
          <cell r="I4158" t="str">
            <v>s__unclassified_g__Clostridium_sensu_stricto_1</v>
          </cell>
        </row>
        <row r="4159">
          <cell r="G4159" t="str">
            <v>ASV13961</v>
          </cell>
          <cell r="H4159" t="str">
            <v>g__NK4A214_group</v>
          </cell>
          <cell r="I4159" t="str">
            <v>s__unclassified_g__NK4A214_group</v>
          </cell>
        </row>
        <row r="4160">
          <cell r="G4160" t="str">
            <v>ASV3120</v>
          </cell>
          <cell r="H4160" t="str">
            <v>g__Streptococcus</v>
          </cell>
          <cell r="I4160" t="str">
            <v>s__unclassified_g__Streptococcus</v>
          </cell>
        </row>
        <row r="4161">
          <cell r="G4161" t="str">
            <v>ASV16820</v>
          </cell>
          <cell r="H4161" t="str">
            <v>g__Lactobacillus</v>
          </cell>
          <cell r="I4161" t="str">
            <v>s__unclassified_g__Lactobacillus</v>
          </cell>
        </row>
        <row r="4162">
          <cell r="G4162" t="str">
            <v>ASV20402</v>
          </cell>
          <cell r="H4162" t="str">
            <v>g__Acidovorax</v>
          </cell>
          <cell r="I4162" t="str">
            <v>s__unclassified_g__Acidovorax</v>
          </cell>
        </row>
        <row r="4163">
          <cell r="G4163" t="str">
            <v>ASV6554</v>
          </cell>
          <cell r="H4163" t="str">
            <v>g__norank_f__norank_o__Oscillospirales</v>
          </cell>
          <cell r="I4163" t="str">
            <v>s__uncultured_bacterium_g__norank_f__norank_o__Oscillospirales</v>
          </cell>
        </row>
        <row r="4164">
          <cell r="G4164" t="str">
            <v>ASV10281</v>
          </cell>
          <cell r="H4164" t="str">
            <v>g__Phascolarctobacterium</v>
          </cell>
          <cell r="I4164" t="str">
            <v>s__unclassified_g__Phascolarctobacterium</v>
          </cell>
        </row>
        <row r="4165">
          <cell r="G4165" t="str">
            <v>ASV9200</v>
          </cell>
          <cell r="H4165" t="str">
            <v>g__Lactobacillus</v>
          </cell>
          <cell r="I4165" t="str">
            <v>s__unclassified_g__Lactobacillus</v>
          </cell>
        </row>
        <row r="4166">
          <cell r="G4166" t="str">
            <v>ASV13960</v>
          </cell>
          <cell r="H4166" t="str">
            <v>g__unclassified_o__Lactobacillales</v>
          </cell>
          <cell r="I4166" t="str">
            <v>s__unclassified_o__Lactobacillales</v>
          </cell>
        </row>
        <row r="4167">
          <cell r="G4167" t="str">
            <v>ASV4557</v>
          </cell>
          <cell r="H4167" t="str">
            <v>g__Lactobacillus</v>
          </cell>
          <cell r="I4167" t="str">
            <v>s__unclassified_g__Lactobacillus</v>
          </cell>
        </row>
        <row r="4168">
          <cell r="G4168" t="str">
            <v>ASV23045</v>
          </cell>
          <cell r="H4168" t="str">
            <v>g__unclassified_f__Peptostreptococcaceae</v>
          </cell>
          <cell r="I4168" t="str">
            <v>s__unclassified_f__Peptostreptococcaceae</v>
          </cell>
        </row>
        <row r="4169">
          <cell r="G4169" t="str">
            <v>ASV19284</v>
          </cell>
          <cell r="H4169" t="str">
            <v>g__Alloprevotella</v>
          </cell>
          <cell r="I4169" t="str">
            <v>s__uncultured_bacterium_g__Alloprevotella</v>
          </cell>
        </row>
        <row r="4170">
          <cell r="G4170" t="str">
            <v>ASV8696</v>
          </cell>
          <cell r="H4170" t="str">
            <v>g__Lactobacillus</v>
          </cell>
          <cell r="I4170" t="str">
            <v>s__unclassified_g__Lactobacillus</v>
          </cell>
        </row>
        <row r="4171">
          <cell r="G4171" t="str">
            <v>ASV23049</v>
          </cell>
          <cell r="H4171" t="str">
            <v>g__Escherichia-Shigella</v>
          </cell>
          <cell r="I4171" t="str">
            <v>s__unclassified_g__Escherichia-Shigella</v>
          </cell>
        </row>
        <row r="4172">
          <cell r="G4172" t="str">
            <v>ASV21871</v>
          </cell>
          <cell r="H4172" t="str">
            <v>g__norank_f__norank_o__Gastranaerophilales</v>
          </cell>
          <cell r="I4172" t="str">
            <v>s__uncultured_bacterium_g__norank_f__norank_o__Gastranaerophilales</v>
          </cell>
        </row>
        <row r="4173">
          <cell r="G4173" t="str">
            <v>ASV6495</v>
          </cell>
          <cell r="H4173" t="str">
            <v>g__Veillonella</v>
          </cell>
          <cell r="I4173" t="str">
            <v>s__bacterium_RA2114</v>
          </cell>
        </row>
        <row r="4174">
          <cell r="G4174" t="str">
            <v>ASV13811</v>
          </cell>
          <cell r="H4174" t="str">
            <v>g__Helcococcus</v>
          </cell>
          <cell r="I4174" t="str">
            <v>s__uncultured_bacterium_g__Helcococcus</v>
          </cell>
        </row>
        <row r="4175">
          <cell r="G4175" t="str">
            <v>ASV18514</v>
          </cell>
          <cell r="H4175" t="str">
            <v>g__Lactobacillus</v>
          </cell>
          <cell r="I4175" t="str">
            <v>s__unclassified_g__Lactobacillus</v>
          </cell>
        </row>
        <row r="4176">
          <cell r="G4176" t="str">
            <v>ASV20569</v>
          </cell>
          <cell r="H4176" t="str">
            <v>g__unclassified_c__Clostridia</v>
          </cell>
          <cell r="I4176" t="str">
            <v>s__unclassified_c__Clostridia</v>
          </cell>
        </row>
        <row r="4177">
          <cell r="G4177" t="str">
            <v>ASV20559</v>
          </cell>
          <cell r="H4177" t="str">
            <v>g__Rikenellaceae_RC9_gut_group</v>
          </cell>
          <cell r="I4177" t="str">
            <v>s__uncultured_bacterium_g__Rikenellaceae_RC9_gut_group</v>
          </cell>
        </row>
        <row r="4178">
          <cell r="G4178" t="str">
            <v>ASV21158</v>
          </cell>
          <cell r="H4178" t="str">
            <v>g__Prevotella</v>
          </cell>
          <cell r="I4178" t="str">
            <v>s__unclassified_g__Prevotella</v>
          </cell>
        </row>
        <row r="4179">
          <cell r="G4179" t="str">
            <v>ASV4535</v>
          </cell>
          <cell r="H4179" t="str">
            <v>g__Bacteroides</v>
          </cell>
          <cell r="I4179" t="str">
            <v>s__uncultured_bacterium_g__Bacteroides</v>
          </cell>
        </row>
        <row r="4180">
          <cell r="G4180" t="str">
            <v>ASV4552</v>
          </cell>
          <cell r="H4180" t="str">
            <v>g__norank_f__Muribaculaceae</v>
          </cell>
          <cell r="I4180" t="str">
            <v>s__unclassified_g__norank_f__Muribaculaceae</v>
          </cell>
        </row>
        <row r="4181">
          <cell r="G4181" t="str">
            <v>ASV21875</v>
          </cell>
          <cell r="H4181" t="str">
            <v>g__Holdemanella</v>
          </cell>
          <cell r="I4181" t="str">
            <v>s__uncultured_bacterium_g__Holdemanella</v>
          </cell>
        </row>
        <row r="4182">
          <cell r="G4182" t="str">
            <v>ASV1583</v>
          </cell>
          <cell r="H4182" t="str">
            <v>g__Lactobacillus</v>
          </cell>
          <cell r="I4182" t="str">
            <v>s__Lactobacillus_sp._KC45b</v>
          </cell>
        </row>
        <row r="4183">
          <cell r="G4183" t="str">
            <v>ASV23050</v>
          </cell>
          <cell r="H4183" t="str">
            <v>g__unclassified_f__Ruminococcaceae</v>
          </cell>
          <cell r="I4183" t="str">
            <v>s__unclassified_f__Ruminococcaceae</v>
          </cell>
        </row>
        <row r="4184">
          <cell r="G4184" t="str">
            <v>ASV10069</v>
          </cell>
          <cell r="H4184" t="str">
            <v>g__Lactobacillus</v>
          </cell>
          <cell r="I4184" t="str">
            <v>s__unclassified_g__Lactobacillus</v>
          </cell>
        </row>
        <row r="4185">
          <cell r="G4185" t="str">
            <v>ASV19290</v>
          </cell>
          <cell r="H4185" t="str">
            <v>g__unclassified_f__Ruminococcaceae</v>
          </cell>
          <cell r="I4185" t="str">
            <v>s__unclassified_f__Ruminococcaceae</v>
          </cell>
        </row>
        <row r="4186">
          <cell r="G4186" t="str">
            <v>ASV13948</v>
          </cell>
          <cell r="H4186" t="str">
            <v>g__unclassified_c__Clostridia</v>
          </cell>
          <cell r="I4186" t="str">
            <v>s__unclassified_c__Clostridia</v>
          </cell>
        </row>
        <row r="4187">
          <cell r="G4187" t="str">
            <v>ASV9188</v>
          </cell>
          <cell r="H4187" t="str">
            <v>g__norank_f__UCG-011</v>
          </cell>
          <cell r="I4187" t="str">
            <v>s__uncultured_bacterium_g__norank_f__UCG-011</v>
          </cell>
        </row>
        <row r="4188">
          <cell r="G4188" t="str">
            <v>ASV13944</v>
          </cell>
          <cell r="H4188" t="str">
            <v>g__unclassified_f__Lachnospiraceae</v>
          </cell>
          <cell r="I4188" t="str">
            <v>s__unclassified_f__Lachnospiraceae</v>
          </cell>
        </row>
        <row r="4189">
          <cell r="G4189" t="str">
            <v>ASV4540</v>
          </cell>
          <cell r="H4189" t="str">
            <v>g__Subdoligranulum</v>
          </cell>
          <cell r="I4189" t="str">
            <v>s__uncultured_bacterium_g__Subdoligranulum</v>
          </cell>
        </row>
        <row r="4190">
          <cell r="G4190" t="str">
            <v>ASV10447</v>
          </cell>
          <cell r="H4190" t="str">
            <v>g__UCG-005</v>
          </cell>
          <cell r="I4190" t="str">
            <v>s__unclassified_g__UCG-005</v>
          </cell>
        </row>
        <row r="4191">
          <cell r="G4191" t="str">
            <v>ASV9992</v>
          </cell>
          <cell r="H4191" t="str">
            <v>g__horsej-a03</v>
          </cell>
          <cell r="I4191" t="str">
            <v>s__uncultured_bacterium_g__horsej-a03</v>
          </cell>
        </row>
        <row r="4192">
          <cell r="G4192" t="str">
            <v>ASV17173</v>
          </cell>
          <cell r="H4192" t="str">
            <v>g__unclassified_p__Firmicutes</v>
          </cell>
          <cell r="I4192" t="str">
            <v>s__unclassified_p__Firmicutes</v>
          </cell>
        </row>
        <row r="4193">
          <cell r="G4193" t="str">
            <v>ASV17455</v>
          </cell>
          <cell r="H4193" t="str">
            <v>g__Collinsella</v>
          </cell>
          <cell r="I4193" t="str">
            <v>s__unclassified_g__Collinsella</v>
          </cell>
        </row>
        <row r="4194">
          <cell r="G4194" t="str">
            <v>ASV3118</v>
          </cell>
          <cell r="H4194" t="str">
            <v>g__unclassified_p__Firmicutes</v>
          </cell>
          <cell r="I4194" t="str">
            <v>s__unclassified_p__Firmicutes</v>
          </cell>
        </row>
        <row r="4195">
          <cell r="G4195" t="str">
            <v>ASV17773</v>
          </cell>
          <cell r="H4195" t="str">
            <v>g__Clostridium_sensu_stricto_1</v>
          </cell>
          <cell r="I4195" t="str">
            <v>s__unclassified_g__Clostridium_sensu_stricto_1</v>
          </cell>
        </row>
        <row r="4196">
          <cell r="G4196" t="str">
            <v>ASV16263</v>
          </cell>
          <cell r="H4196" t="str">
            <v>g__dgA-11_gut_group</v>
          </cell>
          <cell r="I4196" t="str">
            <v>s__uncultured_Bacteroidales_bacterium_g__dgA-11_gut_group</v>
          </cell>
        </row>
        <row r="4197">
          <cell r="G4197" t="str">
            <v>ASV19278</v>
          </cell>
          <cell r="H4197" t="str">
            <v>g__unclassified_c__Clostridia</v>
          </cell>
          <cell r="I4197" t="str">
            <v>s__unclassified_c__Clostridia</v>
          </cell>
        </row>
        <row r="4198">
          <cell r="G4198" t="str">
            <v>ASV21881</v>
          </cell>
          <cell r="H4198" t="str">
            <v>g__Lactobacillus</v>
          </cell>
          <cell r="I4198" t="str">
            <v>s__unclassified_g__Lactobacillus</v>
          </cell>
        </row>
        <row r="4199">
          <cell r="G4199" t="str">
            <v>ASV9193</v>
          </cell>
          <cell r="H4199" t="str">
            <v>g__norank_f__Erysipelotrichaceae</v>
          </cell>
          <cell r="I4199" t="str">
            <v>s__uncultured_bacterium_g__norank_f__Erysipelotrichaceae</v>
          </cell>
        </row>
        <row r="4200">
          <cell r="G4200" t="str">
            <v>ASV6555</v>
          </cell>
          <cell r="H4200" t="str">
            <v>g__unclassified_f__Lachnospiraceae</v>
          </cell>
          <cell r="I4200" t="str">
            <v>s__unclassified_f__Lachnospiraceae</v>
          </cell>
        </row>
        <row r="4201">
          <cell r="G4201" t="str">
            <v>ASV1970</v>
          </cell>
          <cell r="H4201" t="str">
            <v>g__unclassified_f__Lachnospiraceae</v>
          </cell>
          <cell r="I4201" t="str">
            <v>s__unclassified_f__Lachnospiraceae</v>
          </cell>
        </row>
        <row r="4202">
          <cell r="G4202" t="str">
            <v>ASV20562</v>
          </cell>
          <cell r="H4202" t="str">
            <v>g__unclassified_c__Clostridia</v>
          </cell>
          <cell r="I4202" t="str">
            <v>s__unclassified_c__Clostridia</v>
          </cell>
        </row>
        <row r="4203">
          <cell r="G4203" t="str">
            <v>ASV11254</v>
          </cell>
          <cell r="H4203" t="str">
            <v>g__norank_f__UCG-011</v>
          </cell>
          <cell r="I4203" t="str">
            <v>s__uncultured_bacterium_g__norank_f__UCG-011</v>
          </cell>
        </row>
        <row r="4204">
          <cell r="G4204" t="str">
            <v>ASV7019</v>
          </cell>
          <cell r="H4204" t="str">
            <v>g__Clostridium_sensu_stricto_1</v>
          </cell>
          <cell r="I4204" t="str">
            <v>s__unclassified_g__Clostridium_sensu_stricto_1</v>
          </cell>
        </row>
        <row r="4205">
          <cell r="G4205" t="str">
            <v>ASV21713</v>
          </cell>
          <cell r="H4205" t="str">
            <v>g__Angelakisella</v>
          </cell>
          <cell r="I4205" t="str">
            <v>s__uncultured_bacterium_g__Angelakisella</v>
          </cell>
        </row>
        <row r="4206">
          <cell r="G4206" t="str">
            <v>ASV16256</v>
          </cell>
          <cell r="H4206" t="str">
            <v>g__Bacteroides</v>
          </cell>
          <cell r="I4206" t="str">
            <v>s__unclassified_g__Bacteroides</v>
          </cell>
        </row>
        <row r="4207">
          <cell r="G4207" t="str">
            <v>ASV15040</v>
          </cell>
          <cell r="H4207" t="str">
            <v>g__Sphingomonas</v>
          </cell>
          <cell r="I4207" t="str">
            <v>s__unclassified_g__Sphingomonas</v>
          </cell>
        </row>
        <row r="4208">
          <cell r="G4208" t="str">
            <v>ASV8269</v>
          </cell>
          <cell r="H4208" t="str">
            <v>g__unclassified_o__Lactobacillales</v>
          </cell>
          <cell r="I4208" t="str">
            <v>s__unclassified_o__Lactobacillales</v>
          </cell>
        </row>
        <row r="4209">
          <cell r="G4209" t="str">
            <v>ASV13959</v>
          </cell>
          <cell r="H4209" t="str">
            <v>g__norank_f__Oscillospiraceae</v>
          </cell>
          <cell r="I4209" t="str">
            <v>s__Pseudoflavonifractor_sp._Marseille-P3106</v>
          </cell>
        </row>
        <row r="4210">
          <cell r="G4210" t="str">
            <v>ASV337</v>
          </cell>
          <cell r="H4210" t="str">
            <v>g__unclassified_f__Lachnospiraceae</v>
          </cell>
          <cell r="I4210" t="str">
            <v>s__unclassified_f__Lachnospiraceae</v>
          </cell>
        </row>
        <row r="4211">
          <cell r="G4211" t="str">
            <v>ASV10152</v>
          </cell>
          <cell r="H4211" t="str">
            <v>g__unclassified_f__Lachnospiraceae</v>
          </cell>
          <cell r="I4211" t="str">
            <v>s__unclassified_f__Lachnospiraceae</v>
          </cell>
        </row>
        <row r="4212">
          <cell r="G4212" t="str">
            <v>ASV13955</v>
          </cell>
          <cell r="H4212" t="str">
            <v>g__unclassified_p__Firmicutes</v>
          </cell>
          <cell r="I4212" t="str">
            <v>s__unclassified_p__Firmicutes</v>
          </cell>
        </row>
        <row r="4213">
          <cell r="G4213" t="str">
            <v>ASV16261</v>
          </cell>
          <cell r="H4213" t="str">
            <v>g__unclassified_f__Ruminococcaceae</v>
          </cell>
          <cell r="I4213" t="str">
            <v>s__unclassified_f__Ruminococcaceae</v>
          </cell>
        </row>
        <row r="4214">
          <cell r="G4214" t="str">
            <v>ASV10453</v>
          </cell>
          <cell r="H4214" t="str">
            <v>g__unclassified_c__Clostridia</v>
          </cell>
          <cell r="I4214" t="str">
            <v>s__unclassified_c__Clostridia</v>
          </cell>
        </row>
        <row r="4215">
          <cell r="G4215" t="str">
            <v>ASV16265</v>
          </cell>
          <cell r="H4215" t="str">
            <v>g__Sphaerochaeta</v>
          </cell>
          <cell r="I4215" t="str">
            <v>s__unclassified_g__Sphaerochaeta</v>
          </cell>
        </row>
        <row r="4216">
          <cell r="G4216" t="str">
            <v>ASV18800</v>
          </cell>
          <cell r="H4216" t="str">
            <v>g__Veillonella</v>
          </cell>
          <cell r="I4216" t="str">
            <v>s__unclassified_g__Veillonella</v>
          </cell>
        </row>
        <row r="4217">
          <cell r="G4217" t="str">
            <v>ASV21876</v>
          </cell>
          <cell r="H4217" t="str">
            <v>g__unclassified_f__Lachnospiraceae</v>
          </cell>
          <cell r="I4217" t="str">
            <v>s__unclassified_f__Lachnospiraceae</v>
          </cell>
        </row>
        <row r="4218">
          <cell r="G4218" t="str">
            <v>ASV3609</v>
          </cell>
          <cell r="H4218" t="str">
            <v>g__Anaerococcus</v>
          </cell>
          <cell r="I4218" t="str">
            <v>s__unclassified_g__Anaerococcus</v>
          </cell>
        </row>
        <row r="4219">
          <cell r="G4219" t="str">
            <v>ASV24085</v>
          </cell>
          <cell r="H4219" t="str">
            <v>g__unclassified_f__Lachnospiraceae</v>
          </cell>
          <cell r="I4219" t="str">
            <v>s__unclassified_f__Lachnospiraceae</v>
          </cell>
        </row>
        <row r="4220">
          <cell r="G4220" t="str">
            <v>ASV15900</v>
          </cell>
          <cell r="H4220" t="str">
            <v>g__unclassified_o__Lactobacillales</v>
          </cell>
          <cell r="I4220" t="str">
            <v>s__unclassified_o__Lactobacillales</v>
          </cell>
        </row>
        <row r="4221">
          <cell r="G4221" t="str">
            <v>ASV3122</v>
          </cell>
          <cell r="H4221" t="str">
            <v>g__Escherichia-Shigella</v>
          </cell>
          <cell r="I4221" t="str">
            <v>s__unclassified_g__Escherichia-Shigella</v>
          </cell>
        </row>
        <row r="4222">
          <cell r="G4222" t="str">
            <v>ASV17787</v>
          </cell>
          <cell r="H4222" t="str">
            <v>g__unclassified_c__Clostridia</v>
          </cell>
          <cell r="I4222" t="str">
            <v>s__unclassified_c__Clostridia</v>
          </cell>
        </row>
        <row r="4223">
          <cell r="G4223" t="str">
            <v>ASV16266</v>
          </cell>
          <cell r="H4223" t="str">
            <v>g__Ruminococcus</v>
          </cell>
          <cell r="I4223" t="str">
            <v>s__unclassified_g__Ruminococcus</v>
          </cell>
        </row>
        <row r="4224">
          <cell r="G4224" t="str">
            <v>ASV9199</v>
          </cell>
          <cell r="H4224" t="str">
            <v>g__unclassified_f__Lachnospiraceae</v>
          </cell>
          <cell r="I4224" t="str">
            <v>s__unclassified_f__Lachnospiraceae</v>
          </cell>
        </row>
        <row r="4225">
          <cell r="G4225" t="str">
            <v>ASV8346</v>
          </cell>
          <cell r="H4225" t="str">
            <v>g__Streptococcus</v>
          </cell>
          <cell r="I4225" t="str">
            <v>s__unclassified_g__Streptococcus</v>
          </cell>
        </row>
        <row r="4226">
          <cell r="G4226" t="str">
            <v>ASV8936</v>
          </cell>
          <cell r="H4226" t="str">
            <v>g__Capnocytophaga</v>
          </cell>
          <cell r="I4226" t="str">
            <v>s__uncultured_bacterium_g__Capnocytophaga</v>
          </cell>
        </row>
        <row r="4227">
          <cell r="G4227" t="str">
            <v>ASV5691</v>
          </cell>
          <cell r="H4227" t="str">
            <v>g__Monoglobus</v>
          </cell>
          <cell r="I4227" t="str">
            <v>s__uncultured_bacterium_g__Monoglobus</v>
          </cell>
        </row>
        <row r="4228">
          <cell r="G4228" t="str">
            <v>ASV13942</v>
          </cell>
          <cell r="H4228" t="str">
            <v>g__Prevotella</v>
          </cell>
          <cell r="I4228" t="str">
            <v>s__unclassified_g__Prevotella</v>
          </cell>
        </row>
        <row r="4229">
          <cell r="G4229" t="str">
            <v>ASV11259</v>
          </cell>
          <cell r="H4229" t="str">
            <v>g__unclassified_f__Oscillospiraceae</v>
          </cell>
          <cell r="I4229" t="str">
            <v>s__unclassified_f__Oscillospiraceae</v>
          </cell>
        </row>
        <row r="4230">
          <cell r="G4230" t="str">
            <v>ASV20560</v>
          </cell>
          <cell r="H4230" t="str">
            <v>g__Parabacteroides</v>
          </cell>
          <cell r="I4230" t="str">
            <v>s__Porphyromonadaceae_bacterium_DJF_B175</v>
          </cell>
        </row>
        <row r="4231">
          <cell r="G4231" t="str">
            <v>ASV13288</v>
          </cell>
          <cell r="H4231" t="str">
            <v>g__Lactobacillus</v>
          </cell>
          <cell r="I4231" t="str">
            <v>s__unclassified_g__Lactobacillus</v>
          </cell>
        </row>
        <row r="4232">
          <cell r="G4232" t="str">
            <v>ASV8434</v>
          </cell>
          <cell r="H4232" t="str">
            <v>g__Allisonella</v>
          </cell>
          <cell r="I4232" t="str">
            <v>s__unclassified_g__Allisonella</v>
          </cell>
        </row>
        <row r="4233">
          <cell r="G4233" t="str">
            <v>ASV9192</v>
          </cell>
          <cell r="H4233" t="str">
            <v>g__unclassified_f__Lachnospiraceae</v>
          </cell>
          <cell r="I4233" t="str">
            <v>s__unclassified_f__Lachnospiraceae</v>
          </cell>
        </row>
        <row r="4234">
          <cell r="G4234" t="str">
            <v>ASV9195</v>
          </cell>
          <cell r="H4234" t="str">
            <v>g__unclassified_f__Lachnospiraceae</v>
          </cell>
          <cell r="I4234" t="str">
            <v>s__unclassified_f__Lachnospiraceae</v>
          </cell>
        </row>
        <row r="4235">
          <cell r="G4235" t="str">
            <v>ASV16818</v>
          </cell>
          <cell r="H4235" t="str">
            <v>g__Mitsuokella</v>
          </cell>
          <cell r="I4235" t="str">
            <v>s__unclassified_g__Mitsuokella</v>
          </cell>
        </row>
        <row r="4236">
          <cell r="G4236" t="str">
            <v>ASV20557</v>
          </cell>
          <cell r="H4236" t="str">
            <v>g__unclassified_f__Lachnospiraceae</v>
          </cell>
          <cell r="I4236" t="str">
            <v>s__unclassified_f__Lachnospiraceae</v>
          </cell>
        </row>
        <row r="4237">
          <cell r="G4237" t="str">
            <v>ASV12566</v>
          </cell>
          <cell r="H4237" t="str">
            <v>g__Christensenellaceae_R-7_group</v>
          </cell>
          <cell r="I4237" t="str">
            <v>s__unclassified_g__Christensenellaceae_R-7_group</v>
          </cell>
        </row>
        <row r="4238">
          <cell r="G4238" t="str">
            <v>ASV21877</v>
          </cell>
          <cell r="H4238" t="str">
            <v>g__unclassified_f__Lachnospiraceae</v>
          </cell>
          <cell r="I4238" t="str">
            <v>s__unclassified_f__Lachnospiraceae</v>
          </cell>
        </row>
        <row r="4239">
          <cell r="G4239" t="str">
            <v>ASV10435</v>
          </cell>
          <cell r="H4239" t="str">
            <v>g__unclassified_f__Lachnospiraceae</v>
          </cell>
          <cell r="I4239" t="str">
            <v>s__unclassified_f__Lachnospiraceae</v>
          </cell>
        </row>
        <row r="4240">
          <cell r="G4240" t="str">
            <v>ASV11270</v>
          </cell>
          <cell r="H4240" t="str">
            <v>g__Clostridium_sensu_stricto_1</v>
          </cell>
          <cell r="I4240" t="str">
            <v>s__unclassified_g__Clostridium_sensu_stricto_1</v>
          </cell>
        </row>
        <row r="4241">
          <cell r="G4241" t="str">
            <v>ASV12554</v>
          </cell>
          <cell r="H4241" t="str">
            <v>g__norank_f__UCG-011</v>
          </cell>
          <cell r="I4241" t="str">
            <v>s__uncultured_bacterium_g__norank_f__UCG-011</v>
          </cell>
        </row>
        <row r="4242">
          <cell r="G4242" t="str">
            <v>ASV12556</v>
          </cell>
          <cell r="H4242" t="str">
            <v>g__unclassified_f__Peptostreptococcaceae</v>
          </cell>
          <cell r="I4242" t="str">
            <v>s__unclassified_f__Peptostreptococcaceae</v>
          </cell>
        </row>
        <row r="4243">
          <cell r="G4243" t="str">
            <v>ASV3828</v>
          </cell>
          <cell r="H4243" t="str">
            <v>g__unclassified_k__norank_d__Bacteria</v>
          </cell>
          <cell r="I4243" t="str">
            <v>s__unclassified_k__norank_d__Bacteria</v>
          </cell>
        </row>
        <row r="4244">
          <cell r="G4244" t="str">
            <v>ASV13289</v>
          </cell>
          <cell r="H4244" t="str">
            <v>g__Christensenellaceae_R-7_group</v>
          </cell>
          <cell r="I4244" t="str">
            <v>s__unclassified_g__Christensenellaceae_R-7_group</v>
          </cell>
        </row>
        <row r="4245">
          <cell r="G4245" t="str">
            <v>ASV23051</v>
          </cell>
          <cell r="H4245" t="str">
            <v>g__Bacillus</v>
          </cell>
          <cell r="I4245" t="str">
            <v>s__Lactobacillus_vaginalis_g__Bacillus</v>
          </cell>
        </row>
        <row r="4246">
          <cell r="G4246" t="str">
            <v>ASV23048</v>
          </cell>
          <cell r="H4246" t="str">
            <v>g__UCG-002</v>
          </cell>
          <cell r="I4246" t="str">
            <v>s__uncultured_bacterium_g__UCG-002</v>
          </cell>
        </row>
        <row r="4247">
          <cell r="G4247" t="str">
            <v>ASV5598</v>
          </cell>
          <cell r="H4247" t="str">
            <v>g__unclassified_f__Lachnospiraceae</v>
          </cell>
          <cell r="I4247" t="str">
            <v>s__unclassified_f__Lachnospiraceae</v>
          </cell>
        </row>
        <row r="4248">
          <cell r="G4248" t="str">
            <v>ASV2870</v>
          </cell>
          <cell r="H4248" t="str">
            <v>g__Actinobacillus</v>
          </cell>
          <cell r="I4248" t="str">
            <v>s__Actinobacillus_rossii</v>
          </cell>
        </row>
        <row r="4249">
          <cell r="G4249" t="str">
            <v>ASV13945</v>
          </cell>
          <cell r="H4249" t="str">
            <v>g__unclassified_c__Clostridia</v>
          </cell>
          <cell r="I4249" t="str">
            <v>s__unclassified_c__Clostridia</v>
          </cell>
        </row>
        <row r="4250">
          <cell r="G4250" t="str">
            <v>ASV21155</v>
          </cell>
          <cell r="H4250" t="str">
            <v>g__Faecalibacterium</v>
          </cell>
          <cell r="I4250" t="str">
            <v>s__unclassified_g__Faecalibacterium</v>
          </cell>
        </row>
        <row r="4251">
          <cell r="G4251" t="str">
            <v>ASV10434</v>
          </cell>
          <cell r="H4251" t="str">
            <v>g__norank_f__Muribaculaceae</v>
          </cell>
          <cell r="I4251" t="str">
            <v>s__uncultured_bacterium_g__norank_f__Muribaculaceae</v>
          </cell>
        </row>
        <row r="4252">
          <cell r="G4252" t="str">
            <v>ASV3114</v>
          </cell>
          <cell r="H4252" t="str">
            <v>g__norank_f__Erysipelotrichaceae</v>
          </cell>
          <cell r="I4252" t="str">
            <v>s__uncultured_bacterium_g__norank_f__Erysipelotrichaceae</v>
          </cell>
        </row>
        <row r="4253">
          <cell r="G4253" t="str">
            <v>ASV21718</v>
          </cell>
          <cell r="H4253" t="str">
            <v>g__Clostridium_sensu_stricto_1</v>
          </cell>
          <cell r="I4253" t="str">
            <v>s__unclassified_g__Clostridium_sensu_stricto_1</v>
          </cell>
        </row>
        <row r="4254">
          <cell r="G4254" t="str">
            <v>ASV7157</v>
          </cell>
          <cell r="H4254" t="str">
            <v>g__unclassified_c__Bacilli</v>
          </cell>
          <cell r="I4254" t="str">
            <v>s__unclassified_c__Bacilli</v>
          </cell>
        </row>
        <row r="4255">
          <cell r="G4255" t="str">
            <v>ASV14929</v>
          </cell>
          <cell r="H4255" t="str">
            <v>g__Lactobacillus</v>
          </cell>
          <cell r="I4255" t="str">
            <v>s__unclassified_g__Lactobacillus</v>
          </cell>
        </row>
        <row r="4256">
          <cell r="G4256" t="str">
            <v>ASV8789</v>
          </cell>
          <cell r="H4256" t="str">
            <v>g__norank_f__UCG-010</v>
          </cell>
          <cell r="I4256" t="str">
            <v>s__uncultured_bacterium_g__norank_f__UCG-010</v>
          </cell>
        </row>
        <row r="4257">
          <cell r="G4257" t="str">
            <v>ASV7516</v>
          </cell>
          <cell r="H4257" t="str">
            <v>g__Lactobacillus</v>
          </cell>
          <cell r="I4257" t="str">
            <v>s__unclassified_g__Lactobacillus</v>
          </cell>
        </row>
        <row r="4258">
          <cell r="G4258" t="str">
            <v>ASV320</v>
          </cell>
          <cell r="H4258" t="str">
            <v>g__Clostridium_sensu_stricto_1</v>
          </cell>
          <cell r="I4258" t="str">
            <v>s__unclassified_g__Clostridium_sensu_stricto_1</v>
          </cell>
        </row>
        <row r="4259">
          <cell r="G4259" t="str">
            <v>ASV5594</v>
          </cell>
          <cell r="H4259" t="str">
            <v>g__Lachnospiraceae_UCG-004</v>
          </cell>
          <cell r="I4259" t="str">
            <v>s__uncultured_bacterium_g__Lachnospiraceae_UCG-004</v>
          </cell>
        </row>
        <row r="4260">
          <cell r="G4260" t="str">
            <v>ASV11272</v>
          </cell>
          <cell r="H4260" t="str">
            <v>g__Prevotella</v>
          </cell>
          <cell r="I4260" t="str">
            <v>s__unclassified_g__Prevotella</v>
          </cell>
        </row>
        <row r="4261">
          <cell r="G4261" t="str">
            <v>ASV1972</v>
          </cell>
          <cell r="H4261" t="str">
            <v>g__unclassified_f__Lachnospiraceae</v>
          </cell>
          <cell r="I4261" t="str">
            <v>s__unclassified_f__Lachnospiraceae</v>
          </cell>
        </row>
        <row r="4262">
          <cell r="G4262" t="str">
            <v>ASV3825</v>
          </cell>
          <cell r="H4262" t="str">
            <v>g__unclassified_o__Oscillospirales</v>
          </cell>
          <cell r="I4262" t="str">
            <v>s__unclassified_o__Oscillospirales</v>
          </cell>
        </row>
        <row r="4263">
          <cell r="G4263" t="str">
            <v>ASV5613</v>
          </cell>
          <cell r="H4263" t="str">
            <v>g__Escherichia-Shigella</v>
          </cell>
          <cell r="I4263" t="str">
            <v>s__unclassified_g__Escherichia-Shigella</v>
          </cell>
        </row>
        <row r="4264">
          <cell r="G4264" t="str">
            <v>ASV21874</v>
          </cell>
          <cell r="H4264" t="str">
            <v>g__unclassified_p__Firmicutes</v>
          </cell>
          <cell r="I4264" t="str">
            <v>s__unclassified_p__Firmicutes</v>
          </cell>
        </row>
        <row r="4265">
          <cell r="G4265" t="str">
            <v>ASV17765</v>
          </cell>
          <cell r="H4265" t="str">
            <v>g__unclassified_c__Clostridia</v>
          </cell>
          <cell r="I4265" t="str">
            <v>s__unclassified_c__Clostridia</v>
          </cell>
        </row>
        <row r="4266">
          <cell r="G4266" t="str">
            <v>ASV12559</v>
          </cell>
          <cell r="H4266" t="str">
            <v>g__Christensenellaceae_R-7_group</v>
          </cell>
          <cell r="I4266" t="str">
            <v>s__unclassified_g__Christensenellaceae_R-7_group</v>
          </cell>
        </row>
        <row r="4267">
          <cell r="G4267" t="str">
            <v>ASV15186</v>
          </cell>
          <cell r="H4267" t="str">
            <v>g__unclassified_f__Lachnospiraceae</v>
          </cell>
          <cell r="I4267" t="str">
            <v>s__unclassified_f__Lachnospiraceae</v>
          </cell>
        </row>
        <row r="4268">
          <cell r="G4268" t="str">
            <v>ASV21407</v>
          </cell>
          <cell r="H4268" t="str">
            <v>g__Escherichia-Shigella</v>
          </cell>
          <cell r="I4268" t="str">
            <v>s__unclassified_g__Escherichia-Shigella</v>
          </cell>
        </row>
        <row r="4269">
          <cell r="G4269" t="str">
            <v>ASV10431</v>
          </cell>
          <cell r="H4269" t="str">
            <v>g__Oscillibacter</v>
          </cell>
          <cell r="I4269" t="str">
            <v>s__unclassified_g__Oscillibacter</v>
          </cell>
        </row>
        <row r="4270">
          <cell r="G4270" t="str">
            <v>ASV3121</v>
          </cell>
          <cell r="H4270" t="str">
            <v>g__unclassified_f__Veillonellaceae</v>
          </cell>
          <cell r="I4270" t="str">
            <v>s__unclassified_f__Veillonellaceae</v>
          </cell>
        </row>
        <row r="4271">
          <cell r="G4271" t="str">
            <v>ASV15198</v>
          </cell>
          <cell r="H4271" t="str">
            <v>g__Eubacterium_oxidoreducens_group</v>
          </cell>
          <cell r="I4271" t="str">
            <v>s__uncultured_bacterium_g__Eubacterium_oxidoreducens_group</v>
          </cell>
        </row>
        <row r="4272">
          <cell r="G4272" t="str">
            <v>ASV17772</v>
          </cell>
          <cell r="H4272" t="str">
            <v>g__unclassified_c__Clostridia</v>
          </cell>
          <cell r="I4272" t="str">
            <v>s__unclassified_c__Clostridia</v>
          </cell>
        </row>
        <row r="4273">
          <cell r="G4273" t="str">
            <v>ASV16772</v>
          </cell>
          <cell r="H4273" t="str">
            <v>g__Streptococcus</v>
          </cell>
          <cell r="I4273" t="str">
            <v>s__unclassified_g__Streptococcus</v>
          </cell>
        </row>
        <row r="4274">
          <cell r="G4274" t="str">
            <v>ASV16264</v>
          </cell>
          <cell r="H4274" t="str">
            <v>g__unclassified_k__norank_d__Bacteria</v>
          </cell>
          <cell r="I4274" t="str">
            <v>s__unclassified_k__norank_d__Bacteria</v>
          </cell>
        </row>
        <row r="4275">
          <cell r="G4275" t="str">
            <v>ASV17783</v>
          </cell>
          <cell r="H4275" t="str">
            <v>g__unclassified_c__Clostridia</v>
          </cell>
          <cell r="I4275" t="str">
            <v>s__unclassified_c__Clostridia</v>
          </cell>
        </row>
        <row r="4276">
          <cell r="G4276" t="str">
            <v>ASV23056</v>
          </cell>
          <cell r="H4276" t="str">
            <v>g__Megasphaera</v>
          </cell>
          <cell r="I4276" t="str">
            <v>s__unclassified_g__Megasphaera</v>
          </cell>
        </row>
        <row r="4277">
          <cell r="G4277" t="str">
            <v>ASV322</v>
          </cell>
          <cell r="H4277" t="str">
            <v>g__norank_f__Ruminococcaceae</v>
          </cell>
          <cell r="I4277" t="str">
            <v>s__unclassified_g__norank_f__Ruminococcaceae</v>
          </cell>
        </row>
        <row r="4278">
          <cell r="G4278" t="str">
            <v>ASV17135</v>
          </cell>
          <cell r="H4278" t="str">
            <v>g__Actinobacillus</v>
          </cell>
          <cell r="I4278" t="str">
            <v>s__unclassified_g__Actinobacillus</v>
          </cell>
        </row>
        <row r="4279">
          <cell r="G4279" t="str">
            <v>ASV2182</v>
          </cell>
          <cell r="H4279" t="str">
            <v>g__Family_XIII_AD3011_group</v>
          </cell>
          <cell r="I4279" t="str">
            <v>s__unclassified_g__Family_XIII_AD3011_group</v>
          </cell>
        </row>
        <row r="4280">
          <cell r="G4280" t="str">
            <v>ASV19279</v>
          </cell>
          <cell r="H4280" t="str">
            <v>g__unclassified_f__Prevotellaceae</v>
          </cell>
          <cell r="I4280" t="str">
            <v>s__unclassified_f__Prevotellaceae</v>
          </cell>
        </row>
        <row r="4281">
          <cell r="G4281" t="str">
            <v>ASV4539</v>
          </cell>
          <cell r="H4281" t="str">
            <v>g__Rikenellaceae_RC9_gut_group</v>
          </cell>
          <cell r="I4281" t="str">
            <v>s__uncultured_bacterium_g__Rikenellaceae_RC9_gut_group</v>
          </cell>
        </row>
        <row r="4282">
          <cell r="G4282" t="str">
            <v>ASV17779</v>
          </cell>
          <cell r="H4282" t="str">
            <v>g__CAG-873</v>
          </cell>
          <cell r="I4282" t="str">
            <v>s__unclassified_g__CAG-873</v>
          </cell>
        </row>
        <row r="4283">
          <cell r="G4283" t="str">
            <v>ASV13954</v>
          </cell>
          <cell r="H4283" t="str">
            <v>g__Lachnoclostridium</v>
          </cell>
          <cell r="I4283" t="str">
            <v>s__unclassified_g__Lachnoclostridium</v>
          </cell>
        </row>
        <row r="4284">
          <cell r="G4284" t="str">
            <v>ASV11255</v>
          </cell>
          <cell r="H4284" t="str">
            <v>g__Parabacteroides</v>
          </cell>
          <cell r="I4284" t="str">
            <v>s__Porphyromonadaceae_bacterium_DJF_B175</v>
          </cell>
        </row>
        <row r="4285">
          <cell r="G4285" t="str">
            <v>ASV3046</v>
          </cell>
          <cell r="H4285" t="str">
            <v>g__Achromobacter</v>
          </cell>
          <cell r="I4285" t="str">
            <v>s__unclassified_g__Achromobacter</v>
          </cell>
        </row>
        <row r="4286">
          <cell r="G4286" t="str">
            <v>ASV13964</v>
          </cell>
          <cell r="H4286" t="str">
            <v>g__unclassified_p__Firmicutes</v>
          </cell>
          <cell r="I4286" t="str">
            <v>s__unclassified_p__Firmicutes</v>
          </cell>
        </row>
        <row r="4287">
          <cell r="G4287" t="str">
            <v>ASV13683</v>
          </cell>
          <cell r="H4287" t="str">
            <v>g__Lactobacillus</v>
          </cell>
          <cell r="I4287" t="str">
            <v>s__unclassified_g__Lactobacillus</v>
          </cell>
        </row>
        <row r="4288">
          <cell r="G4288" t="str">
            <v>ASV4534</v>
          </cell>
          <cell r="H4288" t="str">
            <v>g__unclassified_c__Clostridia</v>
          </cell>
          <cell r="I4288" t="str">
            <v>s__unclassified_c__Clostridia</v>
          </cell>
        </row>
        <row r="4289">
          <cell r="G4289" t="str">
            <v>ASV3833</v>
          </cell>
          <cell r="H4289" t="str">
            <v>g__Cloacibacillus</v>
          </cell>
          <cell r="I4289" t="str">
            <v>s__unclassified_g__Cloacibacillus</v>
          </cell>
        </row>
        <row r="4290">
          <cell r="G4290" t="str">
            <v>ASV21880</v>
          </cell>
          <cell r="H4290" t="str">
            <v>g__Veillonella</v>
          </cell>
          <cell r="I4290" t="str">
            <v>s__unclassified_g__Veillonella</v>
          </cell>
        </row>
        <row r="4291">
          <cell r="G4291" t="str">
            <v>ASV23909</v>
          </cell>
          <cell r="H4291" t="str">
            <v>g__Lactobacillus</v>
          </cell>
          <cell r="I4291" t="str">
            <v>s__unclassified_g__Lactobacillus</v>
          </cell>
        </row>
        <row r="4292">
          <cell r="G4292" t="str">
            <v>ASV17589</v>
          </cell>
          <cell r="H4292" t="str">
            <v>g__unclassified_f__Neisseriaceae</v>
          </cell>
          <cell r="I4292" t="str">
            <v>s__unclassified_f__Neisseriaceae</v>
          </cell>
        </row>
        <row r="4293">
          <cell r="G4293" t="str">
            <v>ASV13956</v>
          </cell>
          <cell r="H4293" t="str">
            <v>g__Colidextribacter</v>
          </cell>
          <cell r="I4293" t="str">
            <v>s__unclassified_g__Colidextribacter</v>
          </cell>
        </row>
        <row r="4294">
          <cell r="G4294" t="str">
            <v>ASV17458</v>
          </cell>
          <cell r="H4294" t="str">
            <v>g__unclassified_f__Oscillospiraceae</v>
          </cell>
          <cell r="I4294" t="str">
            <v>s__unclassified_f__Oscillospiraceae</v>
          </cell>
        </row>
        <row r="4295">
          <cell r="G4295" t="str">
            <v>ASV6045</v>
          </cell>
          <cell r="H4295" t="str">
            <v>g__unclassified_f__Ruminococcaceae</v>
          </cell>
          <cell r="I4295" t="str">
            <v>s__unclassified_f__Ruminococcaceae</v>
          </cell>
        </row>
        <row r="4296">
          <cell r="G4296" t="str">
            <v>ASV5617</v>
          </cell>
          <cell r="H4296" t="str">
            <v>g__Eubacterium_oxidoreducens_group</v>
          </cell>
          <cell r="I4296" t="str">
            <v>s__uncultured_bacterium_g__Eubacterium_oxidoreducens_group</v>
          </cell>
        </row>
        <row r="4297">
          <cell r="G4297" t="str">
            <v>ASV13951</v>
          </cell>
          <cell r="H4297" t="str">
            <v>g__unclassified_f__Lachnospiraceae</v>
          </cell>
          <cell r="I4297" t="str">
            <v>s__unclassified_f__Lachnospiraceae</v>
          </cell>
        </row>
        <row r="4298">
          <cell r="G4298" t="str">
            <v>ASV5607</v>
          </cell>
          <cell r="H4298" t="str">
            <v>g__unclassified_c__Clostridia</v>
          </cell>
          <cell r="I4298" t="str">
            <v>s__unclassified_c__Clostridia</v>
          </cell>
        </row>
        <row r="4299">
          <cell r="G4299" t="str">
            <v>ASV10068</v>
          </cell>
          <cell r="H4299" t="str">
            <v>g__unclassified_f__Lachnospiraceae</v>
          </cell>
          <cell r="I4299" t="str">
            <v>s__unclassified_f__Lachnospiraceae</v>
          </cell>
        </row>
        <row r="4300">
          <cell r="G4300" t="str">
            <v>ASV7327</v>
          </cell>
          <cell r="H4300" t="str">
            <v>g__Lactobacillus</v>
          </cell>
          <cell r="I4300" t="str">
            <v>s__unclassified_g__Lactobacillus</v>
          </cell>
        </row>
        <row r="4301">
          <cell r="G4301" t="str">
            <v>ASV9196</v>
          </cell>
          <cell r="H4301" t="str">
            <v>g__unclassified_f__Lachnospiraceae</v>
          </cell>
          <cell r="I4301" t="str">
            <v>s__unclassified_f__Lachnospiraceae</v>
          </cell>
        </row>
        <row r="4302">
          <cell r="G4302" t="str">
            <v>ASV23054</v>
          </cell>
          <cell r="H4302" t="str">
            <v>g__Ruminococcus</v>
          </cell>
          <cell r="I4302" t="str">
            <v>s__unclassified_g__Ruminococcus</v>
          </cell>
        </row>
        <row r="4303">
          <cell r="G4303" t="str">
            <v>ASV13958</v>
          </cell>
          <cell r="H4303" t="str">
            <v>g__Prevotella</v>
          </cell>
          <cell r="I4303" t="str">
            <v>s__unclassified_g__Prevotella</v>
          </cell>
        </row>
        <row r="4304">
          <cell r="G4304" t="str">
            <v>ASV11263</v>
          </cell>
          <cell r="H4304" t="str">
            <v>g__Prevotella</v>
          </cell>
          <cell r="I4304" t="str">
            <v>s__unclassified_g__Prevotella</v>
          </cell>
        </row>
        <row r="4305">
          <cell r="G4305" t="str">
            <v>ASV11265</v>
          </cell>
          <cell r="H4305" t="str">
            <v>g__unclassified_f__Oscillospiraceae</v>
          </cell>
          <cell r="I4305" t="str">
            <v>s__unclassified_f__Oscillospiraceae</v>
          </cell>
        </row>
        <row r="4306">
          <cell r="G4306" t="str">
            <v>ASV10009</v>
          </cell>
          <cell r="H4306" t="str">
            <v>g__norank_f__Christensenellaceae</v>
          </cell>
          <cell r="I4306" t="str">
            <v>s__unclassified_g__norank_f__Christensenellaceae</v>
          </cell>
        </row>
        <row r="4307">
          <cell r="G4307" t="str">
            <v>ASV1584</v>
          </cell>
          <cell r="H4307" t="str">
            <v>g__Veillonella</v>
          </cell>
          <cell r="I4307" t="str">
            <v>s__unclassified_g__Veillonella</v>
          </cell>
        </row>
        <row r="4308">
          <cell r="G4308" t="str">
            <v>ASV3823</v>
          </cell>
          <cell r="H4308" t="str">
            <v>g__Phascolarctobacterium</v>
          </cell>
          <cell r="I4308" t="str">
            <v>s__Ruminococcus_sp._N15.MGS-57_g__Phascolarctobacterium</v>
          </cell>
        </row>
        <row r="4309">
          <cell r="G4309" t="str">
            <v>ASV11262</v>
          </cell>
          <cell r="H4309" t="str">
            <v>g__norank_f__norank_o__Clostridia_UCG-014</v>
          </cell>
          <cell r="I4309" t="str">
            <v>s__uncultured_bacterium_g__norank_f__norank_o__Clostridia_UCG-014</v>
          </cell>
        </row>
        <row r="4310">
          <cell r="G4310" t="str">
            <v>ASV518</v>
          </cell>
          <cell r="H4310" t="str">
            <v>g__UCG-005</v>
          </cell>
          <cell r="I4310" t="str">
            <v>s__uncultured_Clostridiales_bacterium_g__UCG-005</v>
          </cell>
        </row>
        <row r="4311">
          <cell r="G4311" t="str">
            <v>ASV17786</v>
          </cell>
          <cell r="H4311" t="str">
            <v>g__unclassified_f__Lachnospiraceae</v>
          </cell>
          <cell r="I4311" t="str">
            <v>s__unclassified_f__Lachnospiraceae</v>
          </cell>
        </row>
        <row r="4312">
          <cell r="G4312" t="str">
            <v>ASV10452</v>
          </cell>
          <cell r="H4312" t="str">
            <v>g__unclassified_c__Clostridia</v>
          </cell>
          <cell r="I4312" t="str">
            <v>s__unclassified_c__Clostridia</v>
          </cell>
        </row>
        <row r="4313">
          <cell r="G4313" t="str">
            <v>ASV15036</v>
          </cell>
          <cell r="H4313" t="str">
            <v>g__Mycobacterium</v>
          </cell>
          <cell r="I4313" t="str">
            <v>s__unclassified_g__Mycobacterium</v>
          </cell>
        </row>
        <row r="4314">
          <cell r="G4314" t="str">
            <v>ASV15034</v>
          </cell>
          <cell r="H4314" t="str">
            <v>g__Stenotrophomonas</v>
          </cell>
          <cell r="I4314" t="str">
            <v>s__unclassified_g__Stenotrophomonas</v>
          </cell>
        </row>
        <row r="4315">
          <cell r="G4315" t="str">
            <v>ASV6289</v>
          </cell>
          <cell r="H4315" t="str">
            <v>g__Monoglobus</v>
          </cell>
          <cell r="I4315" t="str">
            <v>s__uncultured_bacterium_g__Monoglobus</v>
          </cell>
        </row>
        <row r="4316">
          <cell r="G4316" t="str">
            <v>ASV6564</v>
          </cell>
          <cell r="H4316" t="str">
            <v>g__unclassified_p__Firmicutes</v>
          </cell>
          <cell r="I4316" t="str">
            <v>s__unclassified_p__Firmicutes</v>
          </cell>
        </row>
        <row r="4317">
          <cell r="G4317" t="str">
            <v>ASV7517</v>
          </cell>
          <cell r="H4317" t="str">
            <v>g__Sharpea</v>
          </cell>
          <cell r="I4317" t="str">
            <v>s__unclassified_g__Sharpea</v>
          </cell>
        </row>
        <row r="4318">
          <cell r="G4318" t="str">
            <v>ASV6556</v>
          </cell>
          <cell r="H4318" t="str">
            <v>g__unclassified_f__Anaerovoracaceae</v>
          </cell>
          <cell r="I4318" t="str">
            <v>s__unclassified_f__Anaerovoracaceae</v>
          </cell>
        </row>
        <row r="4319">
          <cell r="G4319" t="str">
            <v>ASV15183</v>
          </cell>
          <cell r="H4319" t="str">
            <v>g__unclassified_f__Lachnospiraceae</v>
          </cell>
          <cell r="I4319" t="str">
            <v>s__unclassified_f__Lachnospiraceae</v>
          </cell>
        </row>
        <row r="4320">
          <cell r="G4320" t="str">
            <v>ASV10151</v>
          </cell>
          <cell r="H4320" t="str">
            <v>g__Megasphaera</v>
          </cell>
          <cell r="I4320" t="str">
            <v>s__unclassified_g__Megasphaera</v>
          </cell>
        </row>
        <row r="4321">
          <cell r="G4321" t="str">
            <v>ASV10449</v>
          </cell>
          <cell r="H4321" t="str">
            <v>g__unclassified_c__Clostridia</v>
          </cell>
          <cell r="I4321" t="str">
            <v>s__unclassified_c__Clostridia</v>
          </cell>
        </row>
        <row r="4322">
          <cell r="G4322" t="str">
            <v>ASV9967</v>
          </cell>
          <cell r="H4322" t="str">
            <v>g__norank_f__norank_o__Gastranaerophilales</v>
          </cell>
          <cell r="I4322" t="str">
            <v>s__unclassified_g__norank_f__norank_o__Gastranaerophilales</v>
          </cell>
        </row>
        <row r="4323">
          <cell r="G4323" t="str">
            <v>ASV1964</v>
          </cell>
          <cell r="H4323" t="str">
            <v>g__Holdemanella</v>
          </cell>
          <cell r="I4323" t="str">
            <v>s__uncultured_bacterium_g__Holdemanella</v>
          </cell>
        </row>
        <row r="4324">
          <cell r="G4324" t="str">
            <v>ASV13962</v>
          </cell>
          <cell r="H4324" t="str">
            <v>g__unclassified_c__Clostridia</v>
          </cell>
          <cell r="I4324" t="str">
            <v>s__unclassified_c__Clostridia</v>
          </cell>
        </row>
        <row r="4325">
          <cell r="G4325" t="str">
            <v>ASV12627</v>
          </cell>
          <cell r="H4325" t="str">
            <v>g__norank_f__Paludibacteraceae</v>
          </cell>
          <cell r="I4325" t="str">
            <v>s__uncultured_bacterium_g__norank_f__Paludibacteraceae</v>
          </cell>
        </row>
        <row r="4326">
          <cell r="G4326" t="str">
            <v>ASV7518</v>
          </cell>
          <cell r="H4326" t="str">
            <v>g__Megasphaera</v>
          </cell>
          <cell r="I4326" t="str">
            <v>s__uncultured_bacterium_g__Megasphaera</v>
          </cell>
        </row>
        <row r="4327">
          <cell r="G4327" t="str">
            <v>ASV17770</v>
          </cell>
          <cell r="H4327" t="str">
            <v>g__NK4A214_group</v>
          </cell>
          <cell r="I4327" t="str">
            <v>s__Lachnospiraceae_bacterium_19gly4</v>
          </cell>
        </row>
        <row r="4328">
          <cell r="G4328" t="str">
            <v>ASV3116</v>
          </cell>
          <cell r="H4328" t="str">
            <v>g__unclassified_c__Clostridia</v>
          </cell>
          <cell r="I4328" t="str">
            <v>s__unclassified_c__Clostridia</v>
          </cell>
        </row>
        <row r="4329">
          <cell r="G4329" t="str">
            <v>ASV20403</v>
          </cell>
          <cell r="H4329" t="str">
            <v>g__Actinobacillus</v>
          </cell>
          <cell r="I4329" t="str">
            <v>s__unclassified_g__Actinobacillus</v>
          </cell>
        </row>
        <row r="4330">
          <cell r="G4330" t="str">
            <v>ASV10436</v>
          </cell>
          <cell r="H4330" t="str">
            <v>g__unclassified_f__Lachnospiraceae</v>
          </cell>
          <cell r="I4330" t="str">
            <v>s__unclassified_f__Lachnospiraceae</v>
          </cell>
        </row>
        <row r="4331">
          <cell r="G4331" t="str">
            <v>ASV20565</v>
          </cell>
          <cell r="H4331" t="str">
            <v>g__unclassified_c__Clostridia</v>
          </cell>
          <cell r="I4331" t="str">
            <v>s__unclassified_c__Clostridia</v>
          </cell>
        </row>
        <row r="4332">
          <cell r="G4332" t="str">
            <v>ASV12567</v>
          </cell>
          <cell r="H4332" t="str">
            <v>g__norank_f__Muribaculaceae</v>
          </cell>
          <cell r="I4332" t="str">
            <v>s__uncultured_bacterium_g__norank_f__Muribaculaceae</v>
          </cell>
        </row>
        <row r="4333">
          <cell r="G4333" t="str">
            <v>ASV18424</v>
          </cell>
          <cell r="H4333" t="str">
            <v>g__Colidextribacter</v>
          </cell>
          <cell r="I4333" t="str">
            <v>s__uncultured_Clostridia_bacterium_g__Colidextribacter</v>
          </cell>
        </row>
        <row r="4334">
          <cell r="G4334" t="str">
            <v>ASV12553</v>
          </cell>
          <cell r="H4334" t="str">
            <v>g__norank_f__p-251-o5</v>
          </cell>
          <cell r="I4334" t="str">
            <v>s__uncultured_bacterium_g__norank_f__p-251-o5</v>
          </cell>
        </row>
        <row r="4335">
          <cell r="G4335" t="str">
            <v>ASV8430</v>
          </cell>
          <cell r="H4335" t="str">
            <v>g__Megasphaera</v>
          </cell>
          <cell r="I4335" t="str">
            <v>s__unclassified_g__Megasphaera</v>
          </cell>
        </row>
        <row r="4336">
          <cell r="G4336" t="str">
            <v>ASV13950</v>
          </cell>
          <cell r="H4336" t="str">
            <v>g__Christensenellaceae_R-7_group</v>
          </cell>
          <cell r="I4336" t="str">
            <v>s__uncultured_Spirochaetales_bacterium_g__Christensenellaceae_R-7_group</v>
          </cell>
        </row>
        <row r="4337">
          <cell r="G4337" t="str">
            <v>ASV1746</v>
          </cell>
          <cell r="H4337" t="str">
            <v>g__norank_f__norank_o__Gastranaerophilales</v>
          </cell>
          <cell r="I4337" t="str">
            <v>s__uncultured_bacterium_g__norank_f__norank_o__Gastranaerophilales</v>
          </cell>
        </row>
        <row r="4338">
          <cell r="G4338" t="str">
            <v>ASV10451</v>
          </cell>
          <cell r="H4338" t="str">
            <v>g__Clostridium_sensu_stricto_1</v>
          </cell>
          <cell r="I4338" t="str">
            <v>s__unclassified_g__Clostridium_sensu_stricto_1</v>
          </cell>
        </row>
        <row r="4339">
          <cell r="G4339" t="str">
            <v>ASV2756</v>
          </cell>
          <cell r="H4339" t="str">
            <v>g__Nocardioides</v>
          </cell>
          <cell r="I4339" t="str">
            <v>s__unclassified_g__Nocardioides</v>
          </cell>
        </row>
        <row r="4340">
          <cell r="G4340" t="str">
            <v>ASV21891</v>
          </cell>
          <cell r="H4340" t="str">
            <v>g__Succiniclasticum</v>
          </cell>
          <cell r="I4340" t="str">
            <v>s__unclassified_g__Succiniclasticum</v>
          </cell>
        </row>
        <row r="4341">
          <cell r="G4341" t="str">
            <v>ASV21156</v>
          </cell>
          <cell r="H4341" t="str">
            <v>g__Lactobacillus</v>
          </cell>
          <cell r="I4341" t="str">
            <v>s__unclassified_g__Lactobacillus</v>
          </cell>
        </row>
        <row r="4342">
          <cell r="G4342" t="str">
            <v>ASV9189</v>
          </cell>
          <cell r="H4342" t="str">
            <v>g__norank_f__Erysipelotrichaceae</v>
          </cell>
          <cell r="I4342" t="str">
            <v>s__uncultured_bacterium_g__norank_f__Erysipelotrichaceae</v>
          </cell>
        </row>
        <row r="4343">
          <cell r="G4343" t="str">
            <v>ASV327</v>
          </cell>
          <cell r="H4343" t="str">
            <v>g__Family_XIII_AD3011_group</v>
          </cell>
          <cell r="I4343" t="str">
            <v>s__unclassified_g__Family_XIII_AD3011_group</v>
          </cell>
        </row>
        <row r="4344">
          <cell r="G4344" t="str">
            <v>ASV3834</v>
          </cell>
          <cell r="H4344" t="str">
            <v>g__unclassified_o__Lactobacillales</v>
          </cell>
          <cell r="I4344" t="str">
            <v>s__unclassified_o__Lactobacillales</v>
          </cell>
        </row>
        <row r="4345">
          <cell r="G4345" t="str">
            <v>ASV1758</v>
          </cell>
          <cell r="H4345" t="str">
            <v>g__Actinotignum</v>
          </cell>
          <cell r="I4345" t="str">
            <v>s__uncultured_bacterium_g__Actinotignum</v>
          </cell>
        </row>
        <row r="4346">
          <cell r="G4346" t="str">
            <v>ASV15191</v>
          </cell>
          <cell r="H4346" t="str">
            <v>g__Christensenellaceae_R-7_group</v>
          </cell>
          <cell r="I4346" t="str">
            <v>s__uncultured_bacterium_g__Christensenellaceae_R-7_group</v>
          </cell>
        </row>
        <row r="4347">
          <cell r="G4347" t="str">
            <v>ASV20566</v>
          </cell>
          <cell r="H4347" t="str">
            <v>g__Christensenellaceae_R-7_group</v>
          </cell>
          <cell r="I4347" t="str">
            <v>s__unclassified_g__Christensenellaceae_R-7_group</v>
          </cell>
        </row>
        <row r="4348">
          <cell r="G4348" t="str">
            <v>ASV13282</v>
          </cell>
          <cell r="H4348" t="str">
            <v>g__Cloacibacillus</v>
          </cell>
          <cell r="I4348" t="str">
            <v>s__unclassified_g__Cloacibacillus</v>
          </cell>
        </row>
        <row r="4349">
          <cell r="G4349" t="str">
            <v>ASV333</v>
          </cell>
          <cell r="H4349" t="str">
            <v>g__unclassified_f__Lachnospiraceae</v>
          </cell>
          <cell r="I4349" t="str">
            <v>s__unclassified_f__Lachnospiraceae</v>
          </cell>
        </row>
        <row r="4350">
          <cell r="G4350" t="str">
            <v>ASV11251</v>
          </cell>
          <cell r="H4350" t="str">
            <v>g__Anaerostipes</v>
          </cell>
          <cell r="I4350" t="str">
            <v>s__uncultured_bacterium_g__Anaerostipes</v>
          </cell>
        </row>
        <row r="4351">
          <cell r="G4351" t="str">
            <v>ASV6558</v>
          </cell>
          <cell r="H4351" t="str">
            <v>g__norank_f__Eubacterium_coprostanoligenes_group</v>
          </cell>
          <cell r="I4351" t="str">
            <v>s__unclassified_g__norank_f__Eubacterium_coprostanoligenes_group</v>
          </cell>
        </row>
        <row r="4352">
          <cell r="G4352" t="str">
            <v>ASV10438</v>
          </cell>
          <cell r="H4352" t="str">
            <v>g__unclassified_f__Lachnospiraceae</v>
          </cell>
          <cell r="I4352" t="str">
            <v>s__unclassified_f__Lachnospiraceae</v>
          </cell>
        </row>
        <row r="4353">
          <cell r="G4353" t="str">
            <v>ASV7530</v>
          </cell>
          <cell r="H4353" t="str">
            <v>g__Eubacterium_oxidoreducens_group</v>
          </cell>
          <cell r="I4353" t="str">
            <v>s__uncultured_bacterium_g__Eubacterium_oxidoreducens_group</v>
          </cell>
        </row>
        <row r="4354">
          <cell r="G4354" t="str">
            <v>ASV3610</v>
          </cell>
          <cell r="H4354" t="str">
            <v>g__Lactobacillus</v>
          </cell>
          <cell r="I4354" t="str">
            <v>s__unclassified_g__Lactobacillus</v>
          </cell>
        </row>
        <row r="4355">
          <cell r="G4355" t="str">
            <v>ASV7526</v>
          </cell>
          <cell r="H4355" t="str">
            <v>g__Christensenellaceae_R-7_group</v>
          </cell>
          <cell r="I4355" t="str">
            <v>s__unclassified_g__Christensenellaceae_R-7_group</v>
          </cell>
        </row>
        <row r="4356">
          <cell r="G4356" t="str">
            <v>ASV11041</v>
          </cell>
          <cell r="H4356" t="str">
            <v>g__Lactobacillus</v>
          </cell>
          <cell r="I4356" t="str">
            <v>s__unclassified_g__Lactobacillus</v>
          </cell>
        </row>
        <row r="4357">
          <cell r="G4357" t="str">
            <v>ASV349</v>
          </cell>
          <cell r="H4357" t="str">
            <v>g__Clostridium_sensu_stricto_1</v>
          </cell>
          <cell r="I4357" t="str">
            <v>s__unclassified_g__Clostridium_sensu_stricto_1</v>
          </cell>
        </row>
        <row r="4358">
          <cell r="G4358" t="str">
            <v>ASV1963</v>
          </cell>
          <cell r="H4358" t="str">
            <v>g__unclassified_f__Lachnospiraceae</v>
          </cell>
          <cell r="I4358" t="str">
            <v>s__unclassified_f__Lachnospiraceae</v>
          </cell>
        </row>
        <row r="4359">
          <cell r="G4359" t="str">
            <v>ASV7520</v>
          </cell>
          <cell r="H4359" t="str">
            <v>g__unclassified_f__Selenomonadaceae</v>
          </cell>
          <cell r="I4359" t="str">
            <v>s__unclassified_f__Selenomonadaceae</v>
          </cell>
        </row>
        <row r="4360">
          <cell r="G4360" t="str">
            <v>ASV22912</v>
          </cell>
          <cell r="H4360" t="str">
            <v>g__Arthrobacter</v>
          </cell>
          <cell r="I4360" t="str">
            <v>s__unclassified_g__Arthrobacter</v>
          </cell>
        </row>
        <row r="4361">
          <cell r="G4361" t="str">
            <v>ASV5595</v>
          </cell>
          <cell r="H4361" t="str">
            <v>g__Butyricimonas</v>
          </cell>
          <cell r="I4361" t="str">
            <v>s__uncultured_bacterium_g__Butyricimonas</v>
          </cell>
        </row>
        <row r="4362">
          <cell r="G4362" t="str">
            <v>ASV11256</v>
          </cell>
          <cell r="H4362" t="str">
            <v>g__unclassified_p__Firmicutes</v>
          </cell>
          <cell r="I4362" t="str">
            <v>s__unclassified_p__Firmicutes</v>
          </cell>
        </row>
        <row r="4363">
          <cell r="G4363" t="str">
            <v>ASV21408</v>
          </cell>
          <cell r="H4363" t="str">
            <v>g__unclassified_f__Veillonellaceae</v>
          </cell>
          <cell r="I4363" t="str">
            <v>s__unclassified_f__Veillonellaceae</v>
          </cell>
        </row>
        <row r="4364">
          <cell r="G4364" t="str">
            <v>ASV6562</v>
          </cell>
          <cell r="H4364" t="str">
            <v>g__Howardella</v>
          </cell>
          <cell r="I4364" t="str">
            <v>s__uncultured_bacterium_g__Howardella</v>
          </cell>
        </row>
        <row r="4365">
          <cell r="G4365" t="str">
            <v>ASV12569</v>
          </cell>
          <cell r="H4365" t="str">
            <v>g__Clostridium_sensu_stricto_1</v>
          </cell>
          <cell r="I4365" t="str">
            <v>s__unclassified_g__Clostridium_sensu_stricto_1</v>
          </cell>
        </row>
        <row r="4366">
          <cell r="G4366" t="str">
            <v>ASV13949</v>
          </cell>
          <cell r="H4366" t="str">
            <v>g__Lactobacillus</v>
          </cell>
          <cell r="I4366" t="str">
            <v>s__unclassified_g__Lactobacillus</v>
          </cell>
        </row>
        <row r="4367">
          <cell r="G4367" t="str">
            <v>ASV9961</v>
          </cell>
          <cell r="H4367" t="str">
            <v>g__unclassified_f__Christensenellaceae</v>
          </cell>
          <cell r="I4367" t="str">
            <v>s__unclassified_f__Christensenellaceae</v>
          </cell>
        </row>
        <row r="4368">
          <cell r="G4368" t="str">
            <v>ASV4542</v>
          </cell>
          <cell r="H4368" t="str">
            <v>g__unclassified_c__Clostridia</v>
          </cell>
          <cell r="I4368" t="str">
            <v>s__unclassified_c__Clostridia</v>
          </cell>
        </row>
        <row r="4369">
          <cell r="G4369" t="str">
            <v>ASV5605</v>
          </cell>
          <cell r="H4369" t="str">
            <v>g__unclassified_c__Clostridia</v>
          </cell>
          <cell r="I4369" t="str">
            <v>s__unclassified_c__Clostridia</v>
          </cell>
        </row>
        <row r="4370">
          <cell r="G4370" t="str">
            <v>ASV23044</v>
          </cell>
          <cell r="H4370" t="str">
            <v>g__Faecalicoccus</v>
          </cell>
          <cell r="I4370" t="str">
            <v>s__unclassified_g__Faecalicoccus</v>
          </cell>
        </row>
        <row r="4371">
          <cell r="G4371" t="str">
            <v>ASV17781</v>
          </cell>
          <cell r="H4371" t="str">
            <v>g__unclassified_f__Lachnospiraceae</v>
          </cell>
          <cell r="I4371" t="str">
            <v>s__unclassified_f__Lachnospiraceae</v>
          </cell>
        </row>
        <row r="4372">
          <cell r="G4372" t="str">
            <v>ASV15781</v>
          </cell>
          <cell r="H4372" t="str">
            <v>g__Lactobacillus</v>
          </cell>
          <cell r="I4372" t="str">
            <v>s__unclassified_g__Lactobacillus</v>
          </cell>
        </row>
        <row r="4373">
          <cell r="G4373" t="str">
            <v>ASV7527</v>
          </cell>
          <cell r="H4373" t="str">
            <v>g__unclassified_c__Clostridia</v>
          </cell>
          <cell r="I4373" t="str">
            <v>s__unclassified_c__Clostridia</v>
          </cell>
        </row>
        <row r="4374">
          <cell r="G4374" t="str">
            <v>ASV338</v>
          </cell>
          <cell r="H4374" t="str">
            <v>g__unclassified_f__Peptostreptococcaceae</v>
          </cell>
          <cell r="I4374" t="str">
            <v>s__unclassified_f__Peptostreptococcaceae</v>
          </cell>
        </row>
        <row r="4375">
          <cell r="G4375" t="str">
            <v>ASV16259</v>
          </cell>
          <cell r="H4375" t="str">
            <v>g__Parabacteroides</v>
          </cell>
          <cell r="I4375" t="str">
            <v>s__Porphyromonadaceae_bacterium_DJF_B175</v>
          </cell>
        </row>
        <row r="4376">
          <cell r="G4376" t="str">
            <v>ASV20399</v>
          </cell>
          <cell r="H4376" t="str">
            <v>g__Massilia</v>
          </cell>
          <cell r="I4376" t="str">
            <v>s__unclassified_g__Massilia</v>
          </cell>
        </row>
        <row r="4377">
          <cell r="G4377" t="str">
            <v>ASV17763</v>
          </cell>
          <cell r="H4377" t="str">
            <v>g__unclassified_c__Clostridia</v>
          </cell>
          <cell r="I4377" t="str">
            <v>s__unclassified_c__Clostridia</v>
          </cell>
        </row>
        <row r="4378">
          <cell r="G4378" t="str">
            <v>ASV17767</v>
          </cell>
          <cell r="H4378" t="str">
            <v>g__unclassified_f__Lachnospiraceae</v>
          </cell>
          <cell r="I4378" t="str">
            <v>s__unclassified_f__Lachnospiraceae</v>
          </cell>
        </row>
        <row r="4379">
          <cell r="G4379" t="str">
            <v>ASV21888</v>
          </cell>
          <cell r="H4379" t="str">
            <v>g__unclassified_f__Lachnospiraceae</v>
          </cell>
          <cell r="I4379" t="str">
            <v>s__unclassified_f__Lachnospiraceae</v>
          </cell>
        </row>
        <row r="4380">
          <cell r="G4380" t="str">
            <v>ASV11252</v>
          </cell>
          <cell r="H4380" t="str">
            <v>g__unclassified_c__Clostridia</v>
          </cell>
          <cell r="I4380" t="str">
            <v>s__unclassified_c__Clostridia</v>
          </cell>
        </row>
        <row r="4381">
          <cell r="G4381" t="str">
            <v>ASV3826</v>
          </cell>
          <cell r="H4381" t="str">
            <v>g__Christensenellaceae_R-7_group</v>
          </cell>
          <cell r="I4381" t="str">
            <v>s__unclassified_g__Christensenellaceae_R-7_group</v>
          </cell>
        </row>
        <row r="4382">
          <cell r="G4382" t="str">
            <v>ASV19281</v>
          </cell>
          <cell r="H4382" t="str">
            <v>g__norank_f__norank_o__RF39</v>
          </cell>
          <cell r="I4382" t="str">
            <v>s__uncultured_bacterium_g__norank_f__norank_o__RF39</v>
          </cell>
        </row>
        <row r="4383">
          <cell r="G4383" t="str">
            <v>ASV330</v>
          </cell>
          <cell r="H4383" t="str">
            <v>g__Lactobacillus</v>
          </cell>
          <cell r="I4383" t="str">
            <v>s__unclassified_g__Lactobacillus</v>
          </cell>
        </row>
        <row r="4384">
          <cell r="G4384" t="str">
            <v>ASV17782</v>
          </cell>
          <cell r="H4384" t="str">
            <v>g__unclassified_f__Oscillospiraceae</v>
          </cell>
          <cell r="I4384" t="str">
            <v>s__unclassified_f__Oscillospiraceae</v>
          </cell>
        </row>
        <row r="4385">
          <cell r="G4385" t="str">
            <v>ASV16817</v>
          </cell>
          <cell r="H4385" t="str">
            <v>g__unclassified_f__Lachnospiraceae</v>
          </cell>
          <cell r="I4385" t="str">
            <v>s__unclassified_f__Lachnospiraceae</v>
          </cell>
        </row>
        <row r="4386">
          <cell r="G4386" t="str">
            <v>ASV18802</v>
          </cell>
          <cell r="H4386" t="str">
            <v>g__Campylobacter</v>
          </cell>
          <cell r="I4386" t="str">
            <v>s__unclassified_g__Campylobacter</v>
          </cell>
        </row>
        <row r="4387">
          <cell r="G4387" t="str">
            <v>ASV3434</v>
          </cell>
          <cell r="H4387" t="str">
            <v>g__Lactobacillus</v>
          </cell>
          <cell r="I4387" t="str">
            <v>s__unclassified_g__Lactobacillus</v>
          </cell>
        </row>
        <row r="4388">
          <cell r="G4388" t="str">
            <v>ASV21753</v>
          </cell>
          <cell r="H4388" t="str">
            <v>g__Filifactor</v>
          </cell>
          <cell r="I4388" t="str">
            <v>s__Filifactor_villosus</v>
          </cell>
        </row>
        <row r="4389">
          <cell r="G4389" t="str">
            <v>ASV17172</v>
          </cell>
          <cell r="H4389" t="str">
            <v>g__Romboutsia</v>
          </cell>
          <cell r="I4389" t="str">
            <v>s__unclassified_g__Romboutsia</v>
          </cell>
        </row>
        <row r="4390">
          <cell r="G4390" t="str">
            <v>ASV23059</v>
          </cell>
          <cell r="H4390" t="str">
            <v>g__unclassified_f__Oscillospiraceae</v>
          </cell>
          <cell r="I4390" t="str">
            <v>s__unclassified_f__Oscillospiraceae</v>
          </cell>
        </row>
        <row r="4391">
          <cell r="G4391" t="str">
            <v>ASV11258</v>
          </cell>
          <cell r="H4391" t="str">
            <v>g__Prevotella</v>
          </cell>
          <cell r="I4391" t="str">
            <v>s__unclassified_g__Prevotella</v>
          </cell>
        </row>
        <row r="4392">
          <cell r="G4392" t="str">
            <v>ASV3016</v>
          </cell>
          <cell r="H4392" t="str">
            <v>g__norank_f__norank_o__Microtrichales</v>
          </cell>
          <cell r="I4392" t="str">
            <v>s__uncultured_actinobacterium_g__norank_f__norank_o__Microtrichales</v>
          </cell>
        </row>
        <row r="4393">
          <cell r="G4393" t="str">
            <v>ASV10039</v>
          </cell>
          <cell r="H4393" t="str">
            <v>g__Tuzzerella</v>
          </cell>
          <cell r="I4393" t="str">
            <v>s__uncultured_bacterium_g__Tuzzerella</v>
          </cell>
        </row>
        <row r="4394">
          <cell r="G4394" t="str">
            <v>ASV8939</v>
          </cell>
          <cell r="H4394" t="str">
            <v>g__unclassified_f__Moraxellaceae</v>
          </cell>
          <cell r="I4394" t="str">
            <v>s__unclassified_f__Moraxellaceae</v>
          </cell>
        </row>
        <row r="4395">
          <cell r="G4395" t="str">
            <v>ASV6561</v>
          </cell>
          <cell r="H4395" t="str">
            <v>g__unclassified_k__norank_d__Bacteria</v>
          </cell>
          <cell r="I4395" t="str">
            <v>s__unclassified_k__norank_d__Bacteria</v>
          </cell>
        </row>
        <row r="4396">
          <cell r="G4396" t="str">
            <v>ASV15901</v>
          </cell>
          <cell r="H4396" t="str">
            <v>g__Prevotella</v>
          </cell>
          <cell r="I4396" t="str">
            <v>s__unclassified_g__Prevotella</v>
          </cell>
        </row>
        <row r="4397">
          <cell r="G4397" t="str">
            <v>ASV17784</v>
          </cell>
          <cell r="H4397" t="str">
            <v>g__Prevotellaceae_NK3B31_group</v>
          </cell>
          <cell r="I4397" t="str">
            <v>s__uncultured_bacterium_g__Prevotellaceae_NK3B31_group</v>
          </cell>
        </row>
        <row r="4398">
          <cell r="G4398" t="str">
            <v>ASV3822</v>
          </cell>
          <cell r="H4398" t="str">
            <v>g__unclassified_p__Firmicutes</v>
          </cell>
          <cell r="I4398" t="str">
            <v>s__unclassified_p__Firmicutes</v>
          </cell>
        </row>
        <row r="4399">
          <cell r="G4399" t="str">
            <v>ASV9191</v>
          </cell>
          <cell r="H4399" t="str">
            <v>g__UCG-002</v>
          </cell>
          <cell r="I4399" t="str">
            <v>s__uncultured_bacterium_g__UCG-002</v>
          </cell>
        </row>
        <row r="4400">
          <cell r="G4400" t="str">
            <v>ASV12552</v>
          </cell>
          <cell r="H4400" t="str">
            <v>g__norank_f__norank_o__Clostridia_vadinBB60_group</v>
          </cell>
          <cell r="I4400" t="str">
            <v>s__uncultured_bacterium_g__norank_f__norank_o__Clostridia_vadinBB60_group</v>
          </cell>
        </row>
        <row r="4401">
          <cell r="G4401" t="str">
            <v>ASV15039</v>
          </cell>
          <cell r="H4401" t="str">
            <v>g__Blautia</v>
          </cell>
          <cell r="I4401" t="str">
            <v>s__unclassified_g__Blautia</v>
          </cell>
        </row>
        <row r="4402">
          <cell r="G4402" t="str">
            <v>ASV17151</v>
          </cell>
          <cell r="H4402" t="str">
            <v>g__Mailhella</v>
          </cell>
          <cell r="I4402" t="str">
            <v>s__Desulfovibrio_sp._Marseille-P3199</v>
          </cell>
        </row>
        <row r="4403">
          <cell r="G4403" t="str">
            <v>ASV21873</v>
          </cell>
          <cell r="H4403" t="str">
            <v>g__Collinsella</v>
          </cell>
          <cell r="I4403" t="str">
            <v>s__uncultured_bacterium_g__Collinsella</v>
          </cell>
        </row>
        <row r="4404">
          <cell r="G4404" t="str">
            <v>ASV8937</v>
          </cell>
          <cell r="H4404" t="str">
            <v>g__Leptotrichia</v>
          </cell>
          <cell r="I4404" t="str">
            <v>s__unclassified_g__Leptotrichia</v>
          </cell>
        </row>
        <row r="4405">
          <cell r="G4405" t="str">
            <v>ASV3115</v>
          </cell>
          <cell r="H4405" t="str">
            <v>g__unclassified_f__Lachnospiraceae</v>
          </cell>
          <cell r="I4405" t="str">
            <v>s__unclassified_f__Lachnospiraceae</v>
          </cell>
        </row>
        <row r="4406">
          <cell r="G4406" t="str">
            <v>ASV21766</v>
          </cell>
          <cell r="H4406" t="str">
            <v>g__Actinomyces</v>
          </cell>
          <cell r="I4406" t="str">
            <v>s__unclassified_g__Actinomyces</v>
          </cell>
        </row>
        <row r="4407">
          <cell r="G4407" t="str">
            <v>ASV6494</v>
          </cell>
          <cell r="H4407" t="str">
            <v>g__Peptococcus</v>
          </cell>
          <cell r="I4407" t="str">
            <v>s__uncultured_bacterium_g__Peptococcus</v>
          </cell>
        </row>
        <row r="4408">
          <cell r="G4408" t="str">
            <v>ASV11261</v>
          </cell>
          <cell r="H4408" t="str">
            <v>g__unclassified_f__Prevotellaceae</v>
          </cell>
          <cell r="I4408" t="str">
            <v>s__unclassified_f__Prevotellaceae</v>
          </cell>
        </row>
        <row r="4409">
          <cell r="G4409" t="str">
            <v>ASV21889</v>
          </cell>
          <cell r="H4409" t="str">
            <v>g__unclassified_c__Clostridia</v>
          </cell>
          <cell r="I4409" t="str">
            <v>s__unclassified_c__Clostridia</v>
          </cell>
        </row>
        <row r="4410">
          <cell r="G4410" t="str">
            <v>ASV5610</v>
          </cell>
          <cell r="H4410" t="str">
            <v>g__unclassified_c__Clostridia</v>
          </cell>
          <cell r="I4410" t="str">
            <v>s__unclassified_c__Clostridia</v>
          </cell>
        </row>
        <row r="4411">
          <cell r="G4411" t="str">
            <v>ASV5614</v>
          </cell>
          <cell r="H4411" t="str">
            <v>g__Clostridium_sensu_stricto_1</v>
          </cell>
          <cell r="I4411" t="str">
            <v>s__uncultured_bacterium_g__Clostridium_sensu_stricto_1</v>
          </cell>
        </row>
        <row r="4412">
          <cell r="G4412" t="str">
            <v>ASV20561</v>
          </cell>
          <cell r="H4412" t="str">
            <v>g__unclassified_c__Clostridia</v>
          </cell>
          <cell r="I4412" t="str">
            <v>s__unclassified_c__Clostridia</v>
          </cell>
        </row>
        <row r="4413">
          <cell r="G4413" t="str">
            <v>ASV2711</v>
          </cell>
          <cell r="H4413" t="str">
            <v>g__unclassified_f__Christensenellaceae</v>
          </cell>
          <cell r="I4413" t="str">
            <v>s__unclassified_f__Christensenellaceae</v>
          </cell>
        </row>
        <row r="4414">
          <cell r="G4414" t="str">
            <v>ASV20568</v>
          </cell>
          <cell r="H4414" t="str">
            <v>g__Christensenellaceae_R-7_group</v>
          </cell>
          <cell r="I4414" t="str">
            <v>s__unclassified_g__Christensenellaceae_R-7_group</v>
          </cell>
        </row>
        <row r="4415">
          <cell r="G4415" t="str">
            <v>ASV13937</v>
          </cell>
          <cell r="H4415" t="str">
            <v>g__unclassified_k__norank_d__Bacteria</v>
          </cell>
          <cell r="I4415" t="str">
            <v>s__unclassified_k__norank_d__Bacteria</v>
          </cell>
        </row>
        <row r="4416">
          <cell r="G4416" t="str">
            <v>ASV4537</v>
          </cell>
          <cell r="H4416" t="str">
            <v>g__unclassified_f__Peptostreptococcaceae</v>
          </cell>
          <cell r="I4416" t="str">
            <v>s__unclassified_f__Peptostreptococcaceae</v>
          </cell>
        </row>
        <row r="4417">
          <cell r="G4417" t="str">
            <v>ASV8778</v>
          </cell>
          <cell r="H4417" t="str">
            <v>g__Parabacteroides</v>
          </cell>
          <cell r="I4417" t="str">
            <v>s__Porphyromonadaceae_bacterium_DJF_B175</v>
          </cell>
        </row>
        <row r="4418">
          <cell r="G4418" t="str">
            <v>ASV17776</v>
          </cell>
          <cell r="H4418" t="str">
            <v>g__unclassified_c__Clostridia</v>
          </cell>
          <cell r="I4418" t="str">
            <v>s__unclassified_c__Clostridia</v>
          </cell>
        </row>
        <row r="4419">
          <cell r="G4419" t="str">
            <v>ASV13941</v>
          </cell>
          <cell r="H4419" t="str">
            <v>g__unclassified_k__norank_d__Bacteria</v>
          </cell>
          <cell r="I4419" t="str">
            <v>s__unclassified_k__norank_d__Bacteria</v>
          </cell>
        </row>
        <row r="4420">
          <cell r="G4420" t="str">
            <v>ASV19202</v>
          </cell>
          <cell r="H4420" t="str">
            <v>g__Butyricicoccus</v>
          </cell>
          <cell r="I4420" t="str">
            <v>s__unclassified_g__Butyricicoccus</v>
          </cell>
        </row>
        <row r="4421">
          <cell r="G4421" t="str">
            <v>ASV13943</v>
          </cell>
          <cell r="H4421" t="str">
            <v>g__CAG-873</v>
          </cell>
          <cell r="I4421" t="str">
            <v>s__uncultured_bacterium_g__CAG-873</v>
          </cell>
        </row>
        <row r="4422">
          <cell r="G4422" t="str">
            <v>ASV13285</v>
          </cell>
          <cell r="H4422" t="str">
            <v>g__unclassified_f__Lachnospiraceae</v>
          </cell>
          <cell r="I4422" t="str">
            <v>s__unclassified_f__Lachnospiraceae</v>
          </cell>
        </row>
        <row r="4423">
          <cell r="G4423" t="str">
            <v>ASV336</v>
          </cell>
          <cell r="H4423" t="str">
            <v>g__NK4A214_group</v>
          </cell>
          <cell r="I4423" t="str">
            <v>s__unclassified_g__NK4A214_group</v>
          </cell>
        </row>
        <row r="4424">
          <cell r="G4424" t="str">
            <v>ASV16816</v>
          </cell>
          <cell r="H4424" t="str">
            <v>g__Prevotella</v>
          </cell>
          <cell r="I4424" t="str">
            <v>s__unclassified_g__Prevotella</v>
          </cell>
        </row>
        <row r="4425">
          <cell r="G4425" t="str">
            <v>ASV15902</v>
          </cell>
          <cell r="H4425" t="str">
            <v>g__Lactobacillus</v>
          </cell>
          <cell r="I4425" t="str">
            <v>s__unclassified_g__Lactobacillus</v>
          </cell>
        </row>
        <row r="4426">
          <cell r="G4426" t="str">
            <v>ASV9965</v>
          </cell>
          <cell r="H4426" t="str">
            <v>g__unclassified_o__Oscillospirales</v>
          </cell>
          <cell r="I4426" t="str">
            <v>s__unclassified_o__Oscillospirales</v>
          </cell>
        </row>
        <row r="4427">
          <cell r="G4427" t="str">
            <v>ASV7519</v>
          </cell>
          <cell r="H4427" t="str">
            <v>g__Lactobacillus</v>
          </cell>
          <cell r="I4427" t="str">
            <v>s__unclassified_g__Lactobacillus</v>
          </cell>
        </row>
        <row r="4428">
          <cell r="G4428" t="str">
            <v>ASV4543</v>
          </cell>
          <cell r="H4428" t="str">
            <v>g__unclassified_f__Erysipelotrichaceae</v>
          </cell>
          <cell r="I4428" t="str">
            <v>s__unclassified_f__Erysipelotrichaceae</v>
          </cell>
        </row>
        <row r="4429">
          <cell r="G4429" t="str">
            <v>ASV17785</v>
          </cell>
          <cell r="H4429" t="str">
            <v>g__Intestinimonas</v>
          </cell>
          <cell r="I4429" t="str">
            <v>s__unclassified_g__Intestinimonas</v>
          </cell>
        </row>
        <row r="4430">
          <cell r="G4430" t="str">
            <v>ASV9962</v>
          </cell>
          <cell r="H4430" t="str">
            <v>g__Pyramidobacter</v>
          </cell>
          <cell r="I4430" t="str">
            <v>s__uncultured_bacterium_g__Pyramidobacter</v>
          </cell>
        </row>
        <row r="4431">
          <cell r="G4431" t="str">
            <v>ASV7510</v>
          </cell>
          <cell r="H4431" t="str">
            <v>g__unclassified_f__Enterobacteriaceae</v>
          </cell>
          <cell r="I4431" t="str">
            <v>s__unclassified_f__Enterobacteriaceae</v>
          </cell>
        </row>
        <row r="4432">
          <cell r="G4432" t="str">
            <v>ASV15199</v>
          </cell>
          <cell r="H4432" t="str">
            <v>g__Blautia</v>
          </cell>
          <cell r="I4432" t="str">
            <v>s__unclassified_g__Blautia</v>
          </cell>
        </row>
        <row r="4433">
          <cell r="G4433" t="str">
            <v>ASV24084</v>
          </cell>
          <cell r="H4433" t="str">
            <v>g__unclassified_f__Ruminococcaceae</v>
          </cell>
          <cell r="I4433" t="str">
            <v>s__unclassified_f__Ruminococcaceae</v>
          </cell>
        </row>
        <row r="4434">
          <cell r="G4434" t="str">
            <v>ASV8776</v>
          </cell>
          <cell r="H4434" t="str">
            <v>g__unclassified_f__Prevotellaceae</v>
          </cell>
          <cell r="I4434" t="str">
            <v>s__unclassified_f__Prevotellaceae</v>
          </cell>
        </row>
        <row r="4435">
          <cell r="G4435" t="str">
            <v>ASV10329</v>
          </cell>
          <cell r="H4435" t="str">
            <v>g__Corynebacterium</v>
          </cell>
          <cell r="I4435" t="str">
            <v>s__unclassified_g__Corynebacterium</v>
          </cell>
        </row>
        <row r="4436">
          <cell r="G4436" t="str">
            <v>ASV9203</v>
          </cell>
          <cell r="H4436" t="str">
            <v>g__Christensenellaceae_R-7_group</v>
          </cell>
          <cell r="I4436" t="str">
            <v>s__uncultured_prokaryote_g__Christensenellaceae_R-7_group</v>
          </cell>
        </row>
        <row r="4437">
          <cell r="G4437" t="str">
            <v>ASV11408</v>
          </cell>
          <cell r="H4437" t="str">
            <v>g__norank_f__UCG-010</v>
          </cell>
          <cell r="I4437" t="str">
            <v>s__uncultured_rumen_bacterium_g__norank_f__UCG-010</v>
          </cell>
        </row>
        <row r="4438">
          <cell r="G4438" t="str">
            <v>ASV17652</v>
          </cell>
          <cell r="H4438" t="str">
            <v>g__Lactobacillus</v>
          </cell>
          <cell r="I4438" t="str">
            <v>s__unclassified_g__Lactobacillus</v>
          </cell>
        </row>
        <row r="4439">
          <cell r="G4439" t="str">
            <v>ASV8431</v>
          </cell>
          <cell r="H4439" t="str">
            <v>g__Lactobacillus</v>
          </cell>
          <cell r="I4439" t="str">
            <v>s__unclassified_g__Lactobacillus</v>
          </cell>
        </row>
        <row r="4440">
          <cell r="G4440" t="str">
            <v>ASV15188</v>
          </cell>
          <cell r="H4440" t="str">
            <v>g__unclassified_o__Oscillospirales</v>
          </cell>
          <cell r="I4440" t="str">
            <v>s__unclassified_o__Oscillospirales</v>
          </cell>
        </row>
        <row r="4441">
          <cell r="G4441" t="str">
            <v>ASV13938</v>
          </cell>
          <cell r="H4441" t="str">
            <v>g__Lactobacillus</v>
          </cell>
          <cell r="I4441" t="str">
            <v>s__unclassified_g__Lactobacillus</v>
          </cell>
        </row>
        <row r="4442">
          <cell r="G4442" t="str">
            <v>ASV13940</v>
          </cell>
          <cell r="H4442" t="str">
            <v>g__unclassified_p__Firmicutes</v>
          </cell>
          <cell r="I4442" t="str">
            <v>s__unclassified_p__Firmicutes</v>
          </cell>
        </row>
        <row r="4443">
          <cell r="G4443" t="str">
            <v>ASV11581</v>
          </cell>
          <cell r="H4443" t="str">
            <v>g__norank_f__Prevotellaceae</v>
          </cell>
          <cell r="I4443" t="str">
            <v>s__uncultured_bacterium_g__norank_f__Prevotellaceae</v>
          </cell>
        </row>
        <row r="4444">
          <cell r="G4444" t="str">
            <v>ASV19035</v>
          </cell>
          <cell r="H4444" t="str">
            <v>g__unclassified_f__Lachnospiraceae</v>
          </cell>
          <cell r="I4444" t="str">
            <v>s__unclassified_f__Lachnospiraceae</v>
          </cell>
        </row>
        <row r="4445">
          <cell r="G4445" t="str">
            <v>ASV13281</v>
          </cell>
          <cell r="H4445" t="str">
            <v>g__norank_f__Muribaculaceae</v>
          </cell>
          <cell r="I4445" t="str">
            <v>s__uncultured_bacterium_g__norank_f__Muribaculaceae</v>
          </cell>
        </row>
        <row r="4446">
          <cell r="G4446" t="str">
            <v>ASV8266</v>
          </cell>
          <cell r="H4446" t="str">
            <v>g__Megasphaera</v>
          </cell>
          <cell r="I4446" t="str">
            <v>s__unclassified_g__Megasphaera</v>
          </cell>
        </row>
        <row r="4447">
          <cell r="G4447" t="str">
            <v>ASV13952</v>
          </cell>
          <cell r="H4447" t="str">
            <v>g__unclassified_f__Oscillospiraceae</v>
          </cell>
          <cell r="I4447" t="str">
            <v>s__unclassified_f__Oscillospiraceae</v>
          </cell>
        </row>
        <row r="4448">
          <cell r="G4448" t="str">
            <v>ASV11257</v>
          </cell>
          <cell r="H4448" t="str">
            <v>g__unclassified_c__Clostridia</v>
          </cell>
          <cell r="I4448" t="str">
            <v>s__unclassified_c__Clostridia</v>
          </cell>
        </row>
        <row r="4449">
          <cell r="G4449" t="str">
            <v>ASV10439</v>
          </cell>
          <cell r="H4449" t="str">
            <v>g__unclassified_f__Oscillospiraceae</v>
          </cell>
          <cell r="I4449" t="str">
            <v>s__unclassified_f__Oscillospiraceae</v>
          </cell>
        </row>
        <row r="4450">
          <cell r="G4450" t="str">
            <v>ASV9204</v>
          </cell>
          <cell r="H4450" t="str">
            <v>g__unclassified_f__Oscillospiraceae</v>
          </cell>
          <cell r="I4450" t="str">
            <v>s__unclassified_f__Oscillospiraceae</v>
          </cell>
        </row>
        <row r="4451">
          <cell r="G4451" t="str">
            <v>ASV24083</v>
          </cell>
          <cell r="H4451" t="str">
            <v>g__unclassified_c__Bacilli</v>
          </cell>
          <cell r="I4451" t="str">
            <v>s__unclassified_c__Bacilli</v>
          </cell>
        </row>
        <row r="4452">
          <cell r="G4452" t="str">
            <v>ASV7018</v>
          </cell>
          <cell r="H4452" t="str">
            <v>g__Paraeggerthella</v>
          </cell>
          <cell r="I4452" t="str">
            <v>s__unclassified_g__Paraeggerthella</v>
          </cell>
        </row>
        <row r="4453">
          <cell r="G4453" t="str">
            <v>ASV7511</v>
          </cell>
          <cell r="H4453" t="str">
            <v>g__unclassified_f__Christensenellaceae</v>
          </cell>
          <cell r="I4453" t="str">
            <v>s__unclassified_f__Christensenellaceae</v>
          </cell>
        </row>
        <row r="4454">
          <cell r="G4454" t="str">
            <v>ASV18516</v>
          </cell>
          <cell r="H4454" t="str">
            <v>g__Veillonella</v>
          </cell>
          <cell r="I4454" t="str">
            <v>s__unclassified_g__Veillonella</v>
          </cell>
        </row>
        <row r="4455">
          <cell r="G4455" t="str">
            <v>ASV8433</v>
          </cell>
          <cell r="H4455" t="str">
            <v>g__Escherichia-Shigella</v>
          </cell>
          <cell r="I4455" t="str">
            <v>s__unclassified_g__Escherichia-Shigella</v>
          </cell>
        </row>
        <row r="4456">
          <cell r="G4456" t="str">
            <v>ASV18510</v>
          </cell>
          <cell r="H4456" t="str">
            <v>g__Veillonella</v>
          </cell>
          <cell r="I4456" t="str">
            <v>s__unclassified_g__Veillonella</v>
          </cell>
        </row>
        <row r="4457">
          <cell r="G4457" t="str">
            <v>ASV17456</v>
          </cell>
          <cell r="H4457" t="str">
            <v>g__norank_f__Oscillospiraceae</v>
          </cell>
          <cell r="I4457" t="str">
            <v>s__unclassified_g__norank_f__Oscillospiraceae</v>
          </cell>
        </row>
        <row r="4458">
          <cell r="G4458" t="str">
            <v>ASV7523</v>
          </cell>
          <cell r="H4458" t="str">
            <v>g__Parabacteroides</v>
          </cell>
          <cell r="I4458" t="str">
            <v>s__Porphyromonadaceae_bacterium_DJF_B175</v>
          </cell>
        </row>
        <row r="4459">
          <cell r="G4459" t="str">
            <v>ASV20213</v>
          </cell>
          <cell r="H4459" t="str">
            <v>g__unclassified_f__Lachnospiraceae</v>
          </cell>
          <cell r="I4459" t="str">
            <v>s__unclassified_f__Lachnospiraceae</v>
          </cell>
        </row>
        <row r="4460">
          <cell r="G4460" t="str">
            <v>ASV326</v>
          </cell>
          <cell r="H4460" t="str">
            <v>g__Christensenellaceae_R-7_group</v>
          </cell>
          <cell r="I4460" t="str">
            <v>s__unclassified_g__Christensenellaceae_R-7_group</v>
          </cell>
        </row>
        <row r="4461">
          <cell r="G4461" t="str">
            <v>ASV17459</v>
          </cell>
          <cell r="H4461" t="str">
            <v>g__unclassified_f__Lachnospiraceae</v>
          </cell>
          <cell r="I4461" t="str">
            <v>s__unclassified_f__Lachnospiraceae</v>
          </cell>
        </row>
        <row r="4462">
          <cell r="G4462" t="str">
            <v>ASV12565</v>
          </cell>
          <cell r="H4462" t="str">
            <v>g__unclassified_f__Oscillospiraceae</v>
          </cell>
          <cell r="I4462" t="str">
            <v>s__unclassified_f__Oscillospiraceae</v>
          </cell>
        </row>
        <row r="4463">
          <cell r="G4463" t="str">
            <v>ASV1957</v>
          </cell>
          <cell r="H4463" t="str">
            <v>g__unclassified_c__Clostridia</v>
          </cell>
          <cell r="I4463" t="str">
            <v>s__unclassified_c__Clostridia</v>
          </cell>
        </row>
        <row r="4464">
          <cell r="G4464" t="str">
            <v>ASV11247</v>
          </cell>
          <cell r="H4464" t="str">
            <v>g__unclassified_p__Firmicutes</v>
          </cell>
          <cell r="I4464" t="str">
            <v>s__unclassified_p__Firmicutes</v>
          </cell>
        </row>
        <row r="4465">
          <cell r="G4465" t="str">
            <v>ASV21884</v>
          </cell>
          <cell r="H4465" t="str">
            <v>g__unclassified_f__Lachnospiraceae</v>
          </cell>
          <cell r="I4465" t="str">
            <v>s__unclassified_f__Lachnospiraceae</v>
          </cell>
        </row>
        <row r="4466">
          <cell r="G4466" t="str">
            <v>ASV1954</v>
          </cell>
          <cell r="H4466" t="str">
            <v>g__Christensenellaceae_R-7_group</v>
          </cell>
          <cell r="I4466" t="str">
            <v>s__unclassified_g__Christensenellaceae_R-7_group</v>
          </cell>
        </row>
        <row r="4467">
          <cell r="G4467" t="str">
            <v>ASV17264</v>
          </cell>
          <cell r="H4467" t="str">
            <v>g__Actinomyces</v>
          </cell>
          <cell r="I4467" t="str">
            <v>s__unclassified_g__Actinomyces</v>
          </cell>
        </row>
        <row r="4468">
          <cell r="G4468" t="str">
            <v>ASV1579</v>
          </cell>
          <cell r="H4468" t="str">
            <v>g__Family_XIII_AD3011_group</v>
          </cell>
          <cell r="I4468" t="str">
            <v>s__unclassified_g__Family_XIII_AD3011_group</v>
          </cell>
        </row>
        <row r="4469">
          <cell r="G4469" t="str">
            <v>ASV20558</v>
          </cell>
          <cell r="H4469" t="str">
            <v>g__Lactobacillus</v>
          </cell>
          <cell r="I4469" t="str">
            <v>s__unclassified_g__Lactobacillus</v>
          </cell>
        </row>
        <row r="4470">
          <cell r="G4470" t="str">
            <v>ASV5611</v>
          </cell>
          <cell r="H4470" t="str">
            <v>g__UCG-005</v>
          </cell>
          <cell r="I4470" t="str">
            <v>s__unclassified_g__UCG-005</v>
          </cell>
        </row>
        <row r="4471">
          <cell r="G4471" t="str">
            <v>ASV4541</v>
          </cell>
          <cell r="H4471" t="str">
            <v>g__Lactobacillus</v>
          </cell>
          <cell r="I4471" t="str">
            <v>s__unclassified_g__Lactobacillus</v>
          </cell>
        </row>
        <row r="4472">
          <cell r="G4472" t="str">
            <v>ASV5612</v>
          </cell>
          <cell r="H4472" t="str">
            <v>g__unclassified_o__Oscillospirales</v>
          </cell>
          <cell r="I4472" t="str">
            <v>s__unclassified_o__Oscillospirales</v>
          </cell>
        </row>
        <row r="4473">
          <cell r="G4473" t="str">
            <v>ASV23053</v>
          </cell>
          <cell r="H4473" t="str">
            <v>g__unclassified_f__Lachnospiraceae</v>
          </cell>
          <cell r="I4473" t="str">
            <v>s__unclassified_f__Lachnospiraceae</v>
          </cell>
        </row>
        <row r="4474">
          <cell r="G4474" t="str">
            <v>ASV10153</v>
          </cell>
          <cell r="H4474" t="str">
            <v>g__Lactobacillus</v>
          </cell>
          <cell r="I4474" t="str">
            <v>s__unclassified_g__Lactobacillus</v>
          </cell>
        </row>
        <row r="4475">
          <cell r="G4475" t="str">
            <v>ASV340</v>
          </cell>
          <cell r="H4475" t="str">
            <v>g__Lachnoclostridium</v>
          </cell>
          <cell r="I4475" t="str">
            <v>s__unclassified_g__Lachnoclostridium</v>
          </cell>
        </row>
        <row r="4476">
          <cell r="G4476" t="str">
            <v>ASV8624</v>
          </cell>
          <cell r="H4476" t="str">
            <v>g__Bacillus</v>
          </cell>
          <cell r="I4476" t="str">
            <v>s__unclassified_g__Bacillus</v>
          </cell>
        </row>
        <row r="4477">
          <cell r="G4477" t="str">
            <v>ASV8783</v>
          </cell>
          <cell r="H4477" t="str">
            <v>g__UCG-005</v>
          </cell>
          <cell r="I4477" t="str">
            <v>s__unclassified_g__UCG-005</v>
          </cell>
        </row>
        <row r="4478">
          <cell r="G4478" t="str">
            <v>ASV17171</v>
          </cell>
          <cell r="H4478" t="str">
            <v>g__Lactobacillus</v>
          </cell>
          <cell r="I4478" t="str">
            <v>s__unclassified_g__Lactobacillus</v>
          </cell>
        </row>
        <row r="4479">
          <cell r="G4479" t="str">
            <v>ASV10441</v>
          </cell>
          <cell r="H4479" t="str">
            <v>g__norank_f__Peptococcaceae</v>
          </cell>
          <cell r="I4479" t="str">
            <v>s__uncultured_bacterium_g__norank_f__Peptococcaceae</v>
          </cell>
        </row>
        <row r="4480">
          <cell r="G4480" t="str">
            <v>ASV5606</v>
          </cell>
          <cell r="H4480" t="str">
            <v>g__unclassified_f__Oscillospiraceae</v>
          </cell>
          <cell r="I4480" t="str">
            <v>s__unclassified_f__Oscillospiraceae</v>
          </cell>
        </row>
        <row r="4481">
          <cell r="G4481" t="str">
            <v>ASV5616</v>
          </cell>
          <cell r="H4481" t="str">
            <v>g__unclassified_c__Clostridia</v>
          </cell>
          <cell r="I4481" t="str">
            <v>s__unclassified_c__Clostridia</v>
          </cell>
        </row>
        <row r="4482">
          <cell r="G4482" t="str">
            <v>ASV4530</v>
          </cell>
          <cell r="H4482" t="str">
            <v>g__Ruminococcus</v>
          </cell>
          <cell r="I4482" t="str">
            <v>s__unclassified_g__Ruminococcus</v>
          </cell>
        </row>
        <row r="4483">
          <cell r="G4483" t="str">
            <v>ASV7021</v>
          </cell>
          <cell r="H4483" t="str">
            <v>g__Collinsella</v>
          </cell>
          <cell r="I4483" t="str">
            <v>s__unclassified_g__Collinsella</v>
          </cell>
        </row>
        <row r="4484">
          <cell r="G4484" t="str">
            <v>ASV2788</v>
          </cell>
          <cell r="H4484" t="str">
            <v>g__Nosocomiicoccus</v>
          </cell>
          <cell r="I4484" t="str">
            <v>s__uncultured_bacterium_g__Nosocomiicoccus</v>
          </cell>
        </row>
        <row r="4485">
          <cell r="G4485" t="str">
            <v>ASV8636</v>
          </cell>
          <cell r="H4485" t="str">
            <v>g__Flavobacterium</v>
          </cell>
          <cell r="I4485" t="str">
            <v>s__Flavobacterium_terrigena</v>
          </cell>
        </row>
        <row r="4486">
          <cell r="G4486" t="str">
            <v>ASV12560</v>
          </cell>
          <cell r="H4486" t="str">
            <v>g__Clostridium_sensu_stricto_1</v>
          </cell>
          <cell r="I4486" t="str">
            <v>s__unclassified_g__Clostridium_sensu_stricto_1</v>
          </cell>
        </row>
        <row r="4487">
          <cell r="G4487" t="str">
            <v>ASV10446</v>
          </cell>
          <cell r="H4487" t="str">
            <v>g__unclassified_f__Lachnospiraceae</v>
          </cell>
          <cell r="I4487" t="str">
            <v>s__unclassified_f__Lachnospiraceae</v>
          </cell>
        </row>
        <row r="4488">
          <cell r="G4488" t="str">
            <v>ASV321</v>
          </cell>
          <cell r="H4488" t="str">
            <v>g__unclassified_f__Lachnospiraceae</v>
          </cell>
          <cell r="I4488" t="str">
            <v>s__unclassified_f__Lachnospiraceae</v>
          </cell>
        </row>
        <row r="4489">
          <cell r="G4489" t="str">
            <v>ASV5803</v>
          </cell>
          <cell r="H4489" t="str">
            <v>g__Alloprevotella</v>
          </cell>
          <cell r="I4489" t="str">
            <v>s__uncultured_bacterium_g__Alloprevotella</v>
          </cell>
        </row>
        <row r="4490">
          <cell r="G4490" t="str">
            <v>ASV15037</v>
          </cell>
          <cell r="H4490" t="str">
            <v>g__Rhodobacter</v>
          </cell>
          <cell r="I4490" t="str">
            <v>s__unclassified_g__Rhodobacter</v>
          </cell>
        </row>
        <row r="4491">
          <cell r="G4491" t="str">
            <v>ASV9190</v>
          </cell>
          <cell r="H4491" t="str">
            <v>g__unclassified_c__Clostridia</v>
          </cell>
          <cell r="I4491" t="str">
            <v>s__unclassified_c__Clostridia</v>
          </cell>
        </row>
        <row r="4492">
          <cell r="G4492" t="str">
            <v>ASV1580</v>
          </cell>
          <cell r="H4492" t="str">
            <v>g__Lactobacillus</v>
          </cell>
          <cell r="I4492" t="str">
            <v>s__unclassified_g__Lactobacillus</v>
          </cell>
        </row>
        <row r="4493">
          <cell r="G4493" t="str">
            <v>ASV13946</v>
          </cell>
          <cell r="H4493" t="str">
            <v>g__norank_f__Muribaculaceae</v>
          </cell>
          <cell r="I4493" t="str">
            <v>s__unclassified_g__norank_f__Muribaculaceae</v>
          </cell>
        </row>
        <row r="4494">
          <cell r="G4494" t="str">
            <v>ASV1971</v>
          </cell>
          <cell r="H4494" t="str">
            <v>g__norank_f__Eubacterium_coprostanoligenes_group</v>
          </cell>
          <cell r="I4494" t="str">
            <v>s__uncultured_bacterium_g__norank_f__Eubacterium_coprostanoligenes_group</v>
          </cell>
        </row>
        <row r="4495">
          <cell r="G4495" t="str">
            <v>ASV21157</v>
          </cell>
          <cell r="H4495" t="str">
            <v>g__Holdemanella</v>
          </cell>
          <cell r="I4495" t="str">
            <v>s__uncultured_bacterium_g__Holdemanella</v>
          </cell>
        </row>
        <row r="4496">
          <cell r="G4496" t="str">
            <v>ASV19283</v>
          </cell>
          <cell r="H4496" t="str">
            <v>g__unclassified_f__Oscillospiraceae</v>
          </cell>
          <cell r="I4496" t="str">
            <v>s__unclassified_f__Oscillospiraceae</v>
          </cell>
        </row>
        <row r="4497">
          <cell r="G4497" t="str">
            <v>ASV7525</v>
          </cell>
          <cell r="H4497" t="str">
            <v>g__unclassified_c__Bacilli</v>
          </cell>
          <cell r="I4497" t="str">
            <v>s__unclassified_c__Bacilli</v>
          </cell>
        </row>
        <row r="4498">
          <cell r="G4498" t="str">
            <v>ASV11248</v>
          </cell>
          <cell r="H4498" t="str">
            <v>g__Fournierella</v>
          </cell>
          <cell r="I4498" t="str">
            <v>s__unclassified_g__Fournierella</v>
          </cell>
        </row>
        <row r="4499">
          <cell r="G4499" t="str">
            <v>ASV13953</v>
          </cell>
          <cell r="H4499" t="str">
            <v>g__unclassified_c__Clostridia</v>
          </cell>
          <cell r="I4499" t="str">
            <v>s__unclassified_c__Clostridia</v>
          </cell>
        </row>
        <row r="4500">
          <cell r="G4500" t="str">
            <v>ASV10443</v>
          </cell>
          <cell r="H4500" t="str">
            <v>g__NK4A214_group</v>
          </cell>
          <cell r="I4500" t="str">
            <v>s__unclassified_g__NK4A214_group</v>
          </cell>
        </row>
        <row r="4501">
          <cell r="G4501" t="str">
            <v>ASV11266</v>
          </cell>
          <cell r="H4501" t="str">
            <v>g__Succiniclasticum</v>
          </cell>
          <cell r="I4501" t="str">
            <v>s__unclassified_g__Succiniclasticum</v>
          </cell>
        </row>
        <row r="4502">
          <cell r="G4502" t="str">
            <v>ASV1965</v>
          </cell>
          <cell r="H4502" t="str">
            <v>g__unclassified_p__Firmicutes</v>
          </cell>
          <cell r="I4502" t="str">
            <v>s__unclassified_p__Firmicutes</v>
          </cell>
        </row>
        <row r="4503">
          <cell r="G4503" t="str">
            <v>ASV23055</v>
          </cell>
          <cell r="H4503" t="str">
            <v>g__unclassified_c__Clostridia</v>
          </cell>
          <cell r="I4503" t="str">
            <v>s__unclassified_c__Clostridia</v>
          </cell>
        </row>
        <row r="4504">
          <cell r="G4504" t="str">
            <v>ASV7325</v>
          </cell>
          <cell r="H4504" t="str">
            <v>g__Megasphaera</v>
          </cell>
          <cell r="I4504" t="str">
            <v>s__unclassified_g__Megasphaera</v>
          </cell>
        </row>
        <row r="4505">
          <cell r="G4505" t="str">
            <v>ASV15194</v>
          </cell>
          <cell r="H4505" t="str">
            <v>g__unclassified_p__Firmicutes</v>
          </cell>
          <cell r="I4505" t="str">
            <v>s__unclassified_p__Firmicutes</v>
          </cell>
        </row>
        <row r="4506">
          <cell r="G4506" t="str">
            <v>ASV5602</v>
          </cell>
          <cell r="H4506" t="str">
            <v>g__Terrisporobacter</v>
          </cell>
          <cell r="I4506" t="str">
            <v>s__unclassified_g__Terrisporobacter</v>
          </cell>
        </row>
        <row r="4507">
          <cell r="G4507" t="str">
            <v>ASV21715</v>
          </cell>
          <cell r="H4507" t="str">
            <v>g__Rhodoferax</v>
          </cell>
          <cell r="I4507" t="str">
            <v>s__unclassified_g__Rhodoferax</v>
          </cell>
        </row>
        <row r="4508">
          <cell r="G4508" t="str">
            <v>ASV5597</v>
          </cell>
          <cell r="H4508" t="str">
            <v>g__unclassified_p__Firmicutes</v>
          </cell>
          <cell r="I4508" t="str">
            <v>s__unclassified_p__Firmicutes</v>
          </cell>
        </row>
        <row r="4509">
          <cell r="G4509" t="str">
            <v>ASV4550</v>
          </cell>
          <cell r="H4509" t="str">
            <v>g__unclassified_o__Bacteroidales</v>
          </cell>
          <cell r="I4509" t="str">
            <v>s__unclassified_o__Bacteroidales</v>
          </cell>
        </row>
        <row r="4510">
          <cell r="G4510" t="str">
            <v>ASV18509</v>
          </cell>
          <cell r="H4510" t="str">
            <v>g__unclassified_f__Lachnospiraceae</v>
          </cell>
          <cell r="I4510" t="str">
            <v>s__unclassified_f__Lachnospiraceae</v>
          </cell>
        </row>
        <row r="4511">
          <cell r="G4511" t="str">
            <v>ASV348</v>
          </cell>
          <cell r="H4511" t="str">
            <v>g__Lactobacillus</v>
          </cell>
          <cell r="I4511" t="str">
            <v>s__unclassified_g__Lactobacillus</v>
          </cell>
        </row>
        <row r="4512">
          <cell r="G4512" t="str">
            <v>ASV17263</v>
          </cell>
          <cell r="H4512" t="str">
            <v>g__Corynebacterium</v>
          </cell>
          <cell r="I4512" t="str">
            <v>s__Corynebacterium_sputi</v>
          </cell>
        </row>
        <row r="4513">
          <cell r="G4513" t="str">
            <v>ASV21714</v>
          </cell>
          <cell r="H4513" t="str">
            <v>g__Actinomyces</v>
          </cell>
          <cell r="I4513" t="str">
            <v>s__unclassified_g__Actinomyces</v>
          </cell>
        </row>
        <row r="4514">
          <cell r="G4514" t="str">
            <v>ASV13284</v>
          </cell>
          <cell r="H4514" t="str">
            <v>g__unclassified_f__Anaerovoracaceae</v>
          </cell>
          <cell r="I4514" t="str">
            <v>s__unclassified_f__Anaerovoracaceae</v>
          </cell>
        </row>
        <row r="4515">
          <cell r="G4515" t="str">
            <v>ASV1599</v>
          </cell>
          <cell r="H4515" t="str">
            <v>g__unclassified_f__Ruminococcaceae</v>
          </cell>
          <cell r="I4515" t="str">
            <v>s__unclassified_f__Ruminococcaceae</v>
          </cell>
        </row>
        <row r="4516">
          <cell r="G4516" t="str">
            <v>ASV18615</v>
          </cell>
          <cell r="H4516" t="str">
            <v>g__Alloprevotella</v>
          </cell>
          <cell r="I4516" t="str">
            <v>s__unclassified_g__Alloprevotella</v>
          </cell>
        </row>
        <row r="4517">
          <cell r="G4517" t="str">
            <v>ASV11271</v>
          </cell>
          <cell r="H4517" t="str">
            <v>g__unclassified_c__Clostridia</v>
          </cell>
          <cell r="I4517" t="str">
            <v>s__unclassified_c__Clostridia</v>
          </cell>
        </row>
        <row r="4518">
          <cell r="G4518" t="str">
            <v>ASV20556</v>
          </cell>
          <cell r="H4518" t="str">
            <v>g__Lactobacillus</v>
          </cell>
          <cell r="I4518" t="str">
            <v>s__unclassified_g__Lactobacillus</v>
          </cell>
        </row>
        <row r="4519">
          <cell r="G4519" t="str">
            <v>ASV23060</v>
          </cell>
          <cell r="H4519" t="str">
            <v>g__unclassified_p__Firmicutes</v>
          </cell>
          <cell r="I4519" t="str">
            <v>s__unclassified_p__Firmicutes</v>
          </cell>
        </row>
        <row r="4520">
          <cell r="G4520" t="str">
            <v>ASV9851</v>
          </cell>
          <cell r="H4520" t="str">
            <v>g__Catonella</v>
          </cell>
          <cell r="I4520" t="str">
            <v>s__unclassified_g__Catonella</v>
          </cell>
        </row>
        <row r="4521">
          <cell r="G4521" t="str">
            <v>ASV4548</v>
          </cell>
          <cell r="H4521" t="str">
            <v>g__Lactobacillus</v>
          </cell>
          <cell r="I4521" t="str">
            <v>s__unclassified_g__Lactobacillus</v>
          </cell>
        </row>
        <row r="4522">
          <cell r="G4522" t="str">
            <v>ASV4536</v>
          </cell>
          <cell r="H4522" t="str">
            <v>g__unclassified_c__Clostridia</v>
          </cell>
          <cell r="I4522" t="str">
            <v>s__unclassified_c__Clostridia</v>
          </cell>
        </row>
        <row r="4523">
          <cell r="G4523" t="str">
            <v>ASV15187</v>
          </cell>
          <cell r="H4523" t="str">
            <v>g__unclassified_c__Clostridia</v>
          </cell>
          <cell r="I4523" t="str">
            <v>s__unclassified_c__Clostridia</v>
          </cell>
        </row>
        <row r="4524">
          <cell r="G4524" t="str">
            <v>ASV3119</v>
          </cell>
          <cell r="H4524" t="str">
            <v>g__unclassified_c__Bacilli</v>
          </cell>
          <cell r="I4524" t="str">
            <v>s__unclassified_c__Bacilli</v>
          </cell>
        </row>
        <row r="4525">
          <cell r="G4525" t="str">
            <v>ASV7273</v>
          </cell>
          <cell r="H4525" t="str">
            <v>g__Psychrobacter</v>
          </cell>
          <cell r="I4525" t="str">
            <v>s__Psychrobacter_alimentarius</v>
          </cell>
        </row>
        <row r="4526">
          <cell r="G4526" t="str">
            <v>ASV23751</v>
          </cell>
          <cell r="H4526" t="str">
            <v>g__Candidatus_Saccharimonas</v>
          </cell>
          <cell r="I4526" t="str">
            <v>s__unclassified_g__Candidatus_Saccharimonas</v>
          </cell>
        </row>
        <row r="4527">
          <cell r="G4527" t="str">
            <v>ASV5604</v>
          </cell>
          <cell r="H4527" t="str">
            <v>g__unclassified_f__Lachnospiraceae</v>
          </cell>
          <cell r="I4527" t="str">
            <v>s__unclassified_f__Lachnospiraceae</v>
          </cell>
        </row>
        <row r="4528">
          <cell r="G4528" t="str">
            <v>ASV20564</v>
          </cell>
          <cell r="H4528" t="str">
            <v>g__unclassified_o__Oscillospirales</v>
          </cell>
          <cell r="I4528" t="str">
            <v>s__unclassified_o__Oscillospirales</v>
          </cell>
        </row>
        <row r="4529">
          <cell r="G4529" t="str">
            <v>ASV19289</v>
          </cell>
          <cell r="H4529" t="str">
            <v>g__unclassified_c__Clostridia</v>
          </cell>
          <cell r="I4529" t="str">
            <v>s__unclassified_c__Clostridia</v>
          </cell>
        </row>
        <row r="4530">
          <cell r="G4530" t="str">
            <v>ASV10448</v>
          </cell>
          <cell r="H4530" t="str">
            <v>g__Clostridium_sensu_stricto_1</v>
          </cell>
          <cell r="I4530" t="str">
            <v>s__unclassified_g__Clostridium_sensu_stricto_1</v>
          </cell>
        </row>
        <row r="4531">
          <cell r="G4531" t="str">
            <v>ASV16821</v>
          </cell>
          <cell r="H4531" t="str">
            <v>g__Campylobacter</v>
          </cell>
          <cell r="I4531" t="str">
            <v>s__unclassified_g__Campylobacter</v>
          </cell>
        </row>
        <row r="4532">
          <cell r="G4532" t="str">
            <v>ASV1581</v>
          </cell>
          <cell r="H4532" t="str">
            <v>g__Lactobacillus</v>
          </cell>
          <cell r="I4532" t="str">
            <v>s__uncultured_bacterium_g__Lactobacillus</v>
          </cell>
        </row>
        <row r="4533">
          <cell r="G4533" t="str">
            <v>ASV4532</v>
          </cell>
          <cell r="H4533" t="str">
            <v>g__norank_f__F082</v>
          </cell>
          <cell r="I4533" t="str">
            <v>s__uncultured_bacterium_g__norank_f__F082</v>
          </cell>
        </row>
        <row r="4534">
          <cell r="G4534" t="str">
            <v>ASV11267</v>
          </cell>
          <cell r="H4534" t="str">
            <v>g__norank_f__Peptostreptococcaceae</v>
          </cell>
          <cell r="I4534" t="str">
            <v>s__uncultured_bacterium_g__norank_f__Peptostreptococcaceae</v>
          </cell>
        </row>
        <row r="4535">
          <cell r="G4535" t="str">
            <v>ASV16262</v>
          </cell>
          <cell r="H4535" t="str">
            <v>g__UCG-002</v>
          </cell>
          <cell r="I4535" t="str">
            <v>s__uncultured_bacterium_g__UCG-002</v>
          </cell>
        </row>
        <row r="4536">
          <cell r="G4536" t="str">
            <v>ASV22884</v>
          </cell>
          <cell r="H4536" t="str">
            <v>g__Acidibacter</v>
          </cell>
          <cell r="I4536" t="str">
            <v>s__unclassified_g__Acidibacter</v>
          </cell>
        </row>
        <row r="4537">
          <cell r="G4537" t="str">
            <v>ASV8345</v>
          </cell>
          <cell r="H4537" t="str">
            <v>g__Clostridium_sensu_stricto_1</v>
          </cell>
          <cell r="I4537" t="str">
            <v>s__unclassified_g__Clostridium_sensu_stricto_1</v>
          </cell>
        </row>
        <row r="4538">
          <cell r="G4538" t="str">
            <v>ASV13957</v>
          </cell>
          <cell r="H4538" t="str">
            <v>g__Colidextribacter</v>
          </cell>
          <cell r="I4538" t="str">
            <v>s__unclassified_g__Colidextribacter</v>
          </cell>
        </row>
        <row r="4539">
          <cell r="G4539" t="str">
            <v>ASV20490</v>
          </cell>
          <cell r="H4539" t="str">
            <v>g__Dialister</v>
          </cell>
          <cell r="I4539" t="str">
            <v>s__unclassified_g__Dialister</v>
          </cell>
        </row>
        <row r="4540">
          <cell r="G4540" t="str">
            <v>ASV10279</v>
          </cell>
          <cell r="H4540" t="str">
            <v>g__Bacillus</v>
          </cell>
          <cell r="I4540" t="str">
            <v>s__Lactobacillus_vaginalis_g__Bacillus</v>
          </cell>
        </row>
        <row r="4541">
          <cell r="G4541" t="str">
            <v>ASV16274</v>
          </cell>
          <cell r="H4541" t="str">
            <v>g__norank_f__Muribaculaceae</v>
          </cell>
          <cell r="I4541" t="str">
            <v>s__uncultured_bacterium_g__norank_f__Muribaculaceae</v>
          </cell>
        </row>
        <row r="4542">
          <cell r="G4542" t="str">
            <v>ASV13296</v>
          </cell>
          <cell r="H4542" t="str">
            <v>g__unclassified_f__Lachnospiraceae</v>
          </cell>
          <cell r="I4542" t="str">
            <v>s__unclassified_f__Lachnospiraceae</v>
          </cell>
        </row>
        <row r="4543">
          <cell r="G4543" t="str">
            <v>ASV23067</v>
          </cell>
          <cell r="H4543" t="str">
            <v>g__unclassified_c__Clostridia</v>
          </cell>
          <cell r="I4543" t="str">
            <v>s__unclassified_c__Clostridia</v>
          </cell>
        </row>
        <row r="4544">
          <cell r="G4544" t="str">
            <v>ASV18810</v>
          </cell>
          <cell r="H4544" t="str">
            <v>g__Sutterella</v>
          </cell>
          <cell r="I4544" t="str">
            <v>s__unclassified_g__Sutterella</v>
          </cell>
        </row>
        <row r="4545">
          <cell r="G4545" t="str">
            <v>ASV24090</v>
          </cell>
          <cell r="H4545" t="str">
            <v>g__unclassified_f__Lachnospiraceae</v>
          </cell>
          <cell r="I4545" t="str">
            <v>s__unclassified_f__Lachnospiraceae</v>
          </cell>
        </row>
        <row r="4546">
          <cell r="G4546" t="str">
            <v>ASV365</v>
          </cell>
          <cell r="H4546" t="str">
            <v>g__unclassified_f__Lachnospiraceae</v>
          </cell>
          <cell r="I4546" t="str">
            <v>s__unclassified_f__Lachnospiraceae</v>
          </cell>
        </row>
        <row r="4547">
          <cell r="G4547" t="str">
            <v>ASV23914</v>
          </cell>
          <cell r="H4547" t="str">
            <v>g__Megasphaera</v>
          </cell>
          <cell r="I4547" t="str">
            <v>s__unclassified_g__Megasphaera</v>
          </cell>
        </row>
        <row r="4548">
          <cell r="G4548" t="str">
            <v>ASV19296</v>
          </cell>
          <cell r="H4548" t="str">
            <v>g__NK4A214_group</v>
          </cell>
          <cell r="I4548" t="str">
            <v>s__unclassified_g__NK4A214_group</v>
          </cell>
        </row>
        <row r="4549">
          <cell r="G4549" t="str">
            <v>ASV10158</v>
          </cell>
          <cell r="H4549" t="str">
            <v>g__unclassified_k__norank_d__Bacteria</v>
          </cell>
          <cell r="I4549" t="str">
            <v>s__unclassified_k__norank_d__Bacteria</v>
          </cell>
        </row>
        <row r="4550">
          <cell r="G4550" t="str">
            <v>ASV1591</v>
          </cell>
          <cell r="H4550" t="str">
            <v>g__unclassified_f__Pasteurellaceae</v>
          </cell>
          <cell r="I4550" t="str">
            <v>s__unclassified_f__Pasteurellaceae</v>
          </cell>
        </row>
        <row r="4551">
          <cell r="G4551" t="str">
            <v>ASV17803</v>
          </cell>
          <cell r="H4551" t="str">
            <v>g__Enterococcus</v>
          </cell>
          <cell r="I4551" t="str">
            <v>s__unclassified_g__Enterococcus</v>
          </cell>
        </row>
        <row r="4552">
          <cell r="G4552" t="str">
            <v>ASV18809</v>
          </cell>
          <cell r="H4552" t="str">
            <v>g__Blautia</v>
          </cell>
          <cell r="I4552" t="str">
            <v>s__unclassified_g__Blautia</v>
          </cell>
        </row>
        <row r="4553">
          <cell r="G4553" t="str">
            <v>ASV13988</v>
          </cell>
          <cell r="H4553" t="str">
            <v>g__unclassified_p__Firmicutes</v>
          </cell>
          <cell r="I4553" t="str">
            <v>s__unclassified_p__Firmicutes</v>
          </cell>
        </row>
        <row r="4554">
          <cell r="G4554" t="str">
            <v>ASV16276</v>
          </cell>
          <cell r="H4554" t="str">
            <v>g__Prevotellaceae_UCG-001</v>
          </cell>
          <cell r="I4554" t="str">
            <v>s__uncultured_bacterium_g__Prevotellaceae_UCG-001</v>
          </cell>
        </row>
        <row r="4555">
          <cell r="G4555" t="str">
            <v>ASV8330</v>
          </cell>
          <cell r="H4555" t="str">
            <v>g__Peptostreptococcus</v>
          </cell>
          <cell r="I4555" t="str">
            <v>s__unclassified_g__Peptostreptococcus</v>
          </cell>
        </row>
        <row r="4556">
          <cell r="G4556" t="str">
            <v>ASV10458</v>
          </cell>
          <cell r="H4556" t="str">
            <v>g__Bacillus</v>
          </cell>
          <cell r="I4556" t="str">
            <v>s__Lactobacillus_vaginalis_g__Bacillus</v>
          </cell>
        </row>
        <row r="4557">
          <cell r="G4557" t="str">
            <v>ASV1588</v>
          </cell>
          <cell r="H4557" t="str">
            <v>g__NK4A214_group</v>
          </cell>
          <cell r="I4557" t="str">
            <v>s__unclassified_g__NK4A214_group</v>
          </cell>
        </row>
        <row r="4558">
          <cell r="G4558" t="str">
            <v>ASV10159</v>
          </cell>
          <cell r="H4558" t="str">
            <v>g__Lactobacillus</v>
          </cell>
          <cell r="I4558" t="str">
            <v>s__unclassified_g__Lactobacillus</v>
          </cell>
        </row>
        <row r="4559">
          <cell r="G4559" t="str">
            <v>ASV19308</v>
          </cell>
          <cell r="H4559" t="str">
            <v>g__Prevotella</v>
          </cell>
          <cell r="I4559" t="str">
            <v>s__uncultured_bacterium_g__Prevotella</v>
          </cell>
        </row>
        <row r="4560">
          <cell r="G4560" t="str">
            <v>ASV19040</v>
          </cell>
          <cell r="H4560" t="str">
            <v>g__Sharpea</v>
          </cell>
          <cell r="I4560" t="str">
            <v>s__unclassified_g__Sharpea</v>
          </cell>
        </row>
        <row r="4561">
          <cell r="G4561" t="str">
            <v>ASV7544</v>
          </cell>
          <cell r="H4561" t="str">
            <v>g__Peptococcus</v>
          </cell>
          <cell r="I4561" t="str">
            <v>s__uncultured_bacterium_g__Peptococcus</v>
          </cell>
        </row>
        <row r="4562">
          <cell r="G4562" t="str">
            <v>ASV15204</v>
          </cell>
          <cell r="H4562" t="str">
            <v>g__unclassified_c__Clostridia</v>
          </cell>
          <cell r="I4562" t="str">
            <v>s__unclassified_c__Clostridia</v>
          </cell>
        </row>
        <row r="4563">
          <cell r="G4563" t="str">
            <v>ASV20575</v>
          </cell>
          <cell r="H4563" t="str">
            <v>g__unclassified_c__Bacilli</v>
          </cell>
          <cell r="I4563" t="str">
            <v>s__unclassified_c__Bacilli</v>
          </cell>
        </row>
        <row r="4564">
          <cell r="G4564" t="str">
            <v>ASV11299</v>
          </cell>
          <cell r="H4564" t="str">
            <v>g__Lactobacillus</v>
          </cell>
          <cell r="I4564" t="str">
            <v>s__unclassified_g__Lactobacillus</v>
          </cell>
        </row>
        <row r="4565">
          <cell r="G4565" t="str">
            <v>ASV23074</v>
          </cell>
          <cell r="H4565" t="str">
            <v>g__norank_f__Ruminococcaceae</v>
          </cell>
          <cell r="I4565" t="str">
            <v>s__unclassified_g__norank_f__Ruminococcaceae</v>
          </cell>
        </row>
        <row r="4566">
          <cell r="G4566" t="str">
            <v>ASV21925</v>
          </cell>
          <cell r="H4566" t="str">
            <v>g__unclassified_f__Lachnospiraceae</v>
          </cell>
          <cell r="I4566" t="str">
            <v>s__unclassified_f__Lachnospiraceae</v>
          </cell>
        </row>
        <row r="4567">
          <cell r="G4567" t="str">
            <v>ASV11297</v>
          </cell>
          <cell r="H4567" t="str">
            <v>g__norank_f__p-2534-18B5_gut_group</v>
          </cell>
          <cell r="I4567" t="str">
            <v>s__uncultured_bacterium_g__norank_f__p-2534-18B5_gut_group</v>
          </cell>
        </row>
        <row r="4568">
          <cell r="G4568" t="str">
            <v>ASV390</v>
          </cell>
          <cell r="H4568" t="str">
            <v>g__unclassified_f__Clostridiaceae</v>
          </cell>
          <cell r="I4568" t="str">
            <v>s__unclassified_f__Clostridiaceae</v>
          </cell>
        </row>
        <row r="4569">
          <cell r="G4569" t="str">
            <v>ASV13979</v>
          </cell>
          <cell r="H4569" t="str">
            <v>g__Christensenellaceae_R-7_group</v>
          </cell>
          <cell r="I4569" t="str">
            <v>s__uncultured_spirochete_g__Christensenellaceae_R-7_group</v>
          </cell>
        </row>
        <row r="4570">
          <cell r="G4570" t="str">
            <v>ASV16288</v>
          </cell>
          <cell r="H4570" t="str">
            <v>g__Clostridium_sensu_stricto_1</v>
          </cell>
          <cell r="I4570" t="str">
            <v>s__unclassified_g__Clostridium_sensu_stricto_1</v>
          </cell>
        </row>
        <row r="4571">
          <cell r="G4571" t="str">
            <v>ASV3837</v>
          </cell>
          <cell r="H4571" t="str">
            <v>g__unclassified_f__Synergistaceae</v>
          </cell>
          <cell r="I4571" t="str">
            <v>s__unclassified_f__Synergistaceae</v>
          </cell>
        </row>
        <row r="4572">
          <cell r="G4572" t="str">
            <v>ASV7551</v>
          </cell>
          <cell r="H4572" t="str">
            <v>g__unclassified_f__Clostridiaceae</v>
          </cell>
          <cell r="I4572" t="str">
            <v>s__unclassified_f__Clostridiaceae</v>
          </cell>
        </row>
        <row r="4573">
          <cell r="G4573" t="str">
            <v>ASV18805</v>
          </cell>
          <cell r="H4573" t="str">
            <v>g__Enterococcus</v>
          </cell>
          <cell r="I4573" t="str">
            <v>s__unclassified_g__Enterococcus</v>
          </cell>
        </row>
        <row r="4574">
          <cell r="G4574" t="str">
            <v>ASV21910</v>
          </cell>
          <cell r="H4574" t="str">
            <v>g__unclassified_f__Anaerovoracaceae</v>
          </cell>
          <cell r="I4574" t="str">
            <v>s__unclassified_f__Anaerovoracaceae</v>
          </cell>
        </row>
        <row r="4575">
          <cell r="G4575" t="str">
            <v>ASV11314</v>
          </cell>
          <cell r="H4575" t="str">
            <v>g__unclassified_c__Clostridia</v>
          </cell>
          <cell r="I4575" t="str">
            <v>s__unclassified_c__Clostridia</v>
          </cell>
        </row>
        <row r="4576">
          <cell r="G4576" t="str">
            <v>ASV4576</v>
          </cell>
          <cell r="H4576" t="str">
            <v>g__Monoglobus</v>
          </cell>
          <cell r="I4576" t="str">
            <v>s__uncultured_bacterium_g__Monoglobus</v>
          </cell>
        </row>
        <row r="4577">
          <cell r="G4577" t="str">
            <v>ASV17802</v>
          </cell>
          <cell r="H4577" t="str">
            <v>g__Lachnospiraceae_NC2004_group</v>
          </cell>
          <cell r="I4577" t="str">
            <v>s__unclassified_g__Lachnospiraceae_NC2004_group</v>
          </cell>
        </row>
        <row r="4578">
          <cell r="G4578" t="str">
            <v>ASV8699</v>
          </cell>
          <cell r="H4578" t="str">
            <v>g__Streptococcus</v>
          </cell>
          <cell r="I4578" t="str">
            <v>s__unclassified_g__Streptococcus</v>
          </cell>
        </row>
        <row r="4579">
          <cell r="G4579" t="str">
            <v>ASV20578</v>
          </cell>
          <cell r="H4579" t="str">
            <v>g__unclassified_f__Anaerovoracaceae</v>
          </cell>
          <cell r="I4579" t="str">
            <v>s__unclassified_f__Anaerovoracaceae</v>
          </cell>
        </row>
        <row r="4580">
          <cell r="G4580" t="str">
            <v>ASV21903</v>
          </cell>
          <cell r="H4580" t="str">
            <v>g__NK4A214_group</v>
          </cell>
          <cell r="I4580" t="str">
            <v>s__unclassified_g__NK4A214_group</v>
          </cell>
        </row>
        <row r="4581">
          <cell r="G4581" t="str">
            <v>ASV5626</v>
          </cell>
          <cell r="H4581" t="str">
            <v>g__Clostridium_sensu_stricto_1</v>
          </cell>
          <cell r="I4581" t="str">
            <v>s__unclassified_g__Clostridium_sensu_stricto_1</v>
          </cell>
        </row>
        <row r="4582">
          <cell r="G4582" t="str">
            <v>ASV7559</v>
          </cell>
          <cell r="H4582" t="str">
            <v>g__norank_f__Erysipelotrichaceae</v>
          </cell>
          <cell r="I4582" t="str">
            <v>s__uncultured_bacterium_g__norank_f__Erysipelotrichaceae</v>
          </cell>
        </row>
        <row r="4583">
          <cell r="G4583" t="str">
            <v>ASV16270</v>
          </cell>
          <cell r="H4583" t="str">
            <v>g__Bacteroides</v>
          </cell>
          <cell r="I4583" t="str">
            <v>s__Bacteroides_caecigallinarum</v>
          </cell>
        </row>
        <row r="4584">
          <cell r="G4584" t="str">
            <v>ASV12576</v>
          </cell>
          <cell r="H4584" t="str">
            <v>g__Lactobacillus</v>
          </cell>
          <cell r="I4584" t="str">
            <v>s__unclassified_g__Lactobacillus</v>
          </cell>
        </row>
        <row r="4585">
          <cell r="G4585" t="str">
            <v>ASV358</v>
          </cell>
          <cell r="H4585" t="str">
            <v>g__Candidatus_Saccharimonas</v>
          </cell>
          <cell r="I4585" t="str">
            <v>s__uncultured_bacterium_g__Candidatus_Saccharimonas</v>
          </cell>
        </row>
        <row r="4586">
          <cell r="G4586" t="str">
            <v>ASV16278</v>
          </cell>
          <cell r="H4586" t="str">
            <v>g__unclassified_f__Oscillospiraceae</v>
          </cell>
          <cell r="I4586" t="str">
            <v>s__unclassified_f__Oscillospiraceae</v>
          </cell>
        </row>
        <row r="4587">
          <cell r="G4587" t="str">
            <v>ASV8617</v>
          </cell>
          <cell r="H4587" t="str">
            <v>g__Deinococcus</v>
          </cell>
          <cell r="I4587" t="str">
            <v>s__Deinococcus_aerolatus</v>
          </cell>
        </row>
        <row r="4588">
          <cell r="G4588" t="str">
            <v>ASV3841</v>
          </cell>
          <cell r="H4588" t="str">
            <v>g__unclassified_k__norank_d__Bacteria</v>
          </cell>
          <cell r="I4588" t="str">
            <v>s__unclassified_k__norank_d__Bacteria</v>
          </cell>
        </row>
        <row r="4589">
          <cell r="G4589" t="str">
            <v>ASV4891</v>
          </cell>
          <cell r="H4589" t="str">
            <v>g__Mucispirillum</v>
          </cell>
          <cell r="I4589" t="str">
            <v>s__uncultured_bacterium_g__Mucispirillum</v>
          </cell>
        </row>
        <row r="4590">
          <cell r="G4590" t="str">
            <v>ASV20581</v>
          </cell>
          <cell r="H4590" t="str">
            <v>g__unclassified_f__Clostridiaceae</v>
          </cell>
          <cell r="I4590" t="str">
            <v>s__unclassified_f__Clostridiaceae</v>
          </cell>
        </row>
        <row r="4591">
          <cell r="G4591" t="str">
            <v>ASV17654</v>
          </cell>
          <cell r="H4591" t="str">
            <v>g__Enterococcus</v>
          </cell>
          <cell r="I4591" t="str">
            <v>s__unclassified_g__Enterococcus</v>
          </cell>
        </row>
        <row r="4592">
          <cell r="G4592" t="str">
            <v>ASV21572</v>
          </cell>
          <cell r="H4592" t="str">
            <v>g__Fusobacterium</v>
          </cell>
          <cell r="I4592" t="str">
            <v>s__unclassified_g__Fusobacterium</v>
          </cell>
        </row>
        <row r="4593">
          <cell r="G4593" t="str">
            <v>ASV19314</v>
          </cell>
          <cell r="H4593" t="str">
            <v>g__NK4A214_group</v>
          </cell>
          <cell r="I4593" t="str">
            <v>s__unclassified_g__NK4A214_group</v>
          </cell>
        </row>
        <row r="4594">
          <cell r="G4594" t="str">
            <v>ASV3437</v>
          </cell>
          <cell r="H4594" t="str">
            <v>g__Megasphaera</v>
          </cell>
          <cell r="I4594" t="str">
            <v>s__unclassified_g__Megasphaera</v>
          </cell>
        </row>
        <row r="4595">
          <cell r="G4595" t="str">
            <v>ASV17154</v>
          </cell>
          <cell r="H4595" t="str">
            <v>g__Acinetobacter</v>
          </cell>
          <cell r="I4595" t="str">
            <v>s__unclassified_g__Acinetobacter</v>
          </cell>
        </row>
        <row r="4596">
          <cell r="G4596" t="str">
            <v>ASV21170</v>
          </cell>
          <cell r="H4596" t="str">
            <v>g__unclassified_f__Lachnospiraceae</v>
          </cell>
          <cell r="I4596" t="str">
            <v>s__unclassified_f__Lachnospiraceae</v>
          </cell>
        </row>
        <row r="4597">
          <cell r="G4597" t="str">
            <v>ASV19185</v>
          </cell>
          <cell r="H4597" t="str">
            <v>g__norank_f__norank_o__Chloroplast</v>
          </cell>
          <cell r="I4597" t="str">
            <v>s__Auxenochlorella_protothecoides_g__norank_f__norank</v>
          </cell>
        </row>
        <row r="4598">
          <cell r="G4598" t="str">
            <v>ASV1976</v>
          </cell>
          <cell r="H4598" t="str">
            <v>g__unclassified_k__norank_d__Bacteria</v>
          </cell>
          <cell r="I4598" t="str">
            <v>s__unclassified_k__norank_d__Bacteria</v>
          </cell>
        </row>
        <row r="4599">
          <cell r="G4599" t="str">
            <v>ASV21926</v>
          </cell>
          <cell r="H4599" t="str">
            <v>g__norank_f__Peptococcaceae</v>
          </cell>
          <cell r="I4599" t="str">
            <v>s__uncultured_bacterium_g__norank_f__Peptococcaceae</v>
          </cell>
        </row>
        <row r="4600">
          <cell r="G4600" t="str">
            <v>ASV385</v>
          </cell>
          <cell r="H4600" t="str">
            <v>g__Rikenellaceae_RC9_gut_group</v>
          </cell>
          <cell r="I4600" t="str">
            <v>s__uncultured_bacterium_g__Rikenellaceae_RC9_gut_group</v>
          </cell>
        </row>
        <row r="4601">
          <cell r="G4601" t="str">
            <v>ASV375</v>
          </cell>
          <cell r="H4601" t="str">
            <v>g__Lactobacillus</v>
          </cell>
          <cell r="I4601" t="str">
            <v>s__unclassified_g__Lactobacillus</v>
          </cell>
        </row>
        <row r="4602">
          <cell r="G4602" t="str">
            <v>ASV6569</v>
          </cell>
          <cell r="H4602" t="str">
            <v>g__Fusobacterium</v>
          </cell>
          <cell r="I4602" t="str">
            <v>s__unclassified_g__Fusobacterium</v>
          </cell>
        </row>
        <row r="4603">
          <cell r="G4603" t="str">
            <v>ASV15908</v>
          </cell>
          <cell r="H4603" t="str">
            <v>g__unclassified_c__Bacilli</v>
          </cell>
          <cell r="I4603" t="str">
            <v>s__unclassified_c__Bacilli</v>
          </cell>
        </row>
        <row r="4604">
          <cell r="G4604" t="str">
            <v>ASV13994</v>
          </cell>
          <cell r="H4604" t="str">
            <v>g__unclassified_f__Lachnospiraceae</v>
          </cell>
          <cell r="I4604" t="str">
            <v>s__unclassified_f__Lachnospiraceae</v>
          </cell>
        </row>
        <row r="4605">
          <cell r="G4605" t="str">
            <v>ASV17265</v>
          </cell>
          <cell r="H4605" t="str">
            <v>g__Lactobacillus</v>
          </cell>
          <cell r="I4605" t="str">
            <v>s__unclassified_g__Lactobacillus</v>
          </cell>
        </row>
        <row r="4606">
          <cell r="G4606" t="str">
            <v>ASV17788</v>
          </cell>
          <cell r="H4606" t="str">
            <v>g__Lactobacillus</v>
          </cell>
          <cell r="I4606" t="str">
            <v>s__unclassified_g__Lactobacillus</v>
          </cell>
        </row>
        <row r="4607">
          <cell r="G4607" t="str">
            <v>ASV7553</v>
          </cell>
          <cell r="H4607" t="str">
            <v>g__unclassified_o__Clostridiales</v>
          </cell>
          <cell r="I4607" t="str">
            <v>s__unclassified_o__Clostridiales</v>
          </cell>
        </row>
        <row r="4608">
          <cell r="G4608" t="str">
            <v>ASV7555</v>
          </cell>
          <cell r="H4608" t="str">
            <v>g__Lactobacillus</v>
          </cell>
          <cell r="I4608" t="str">
            <v>s__unclassified_g__Lactobacillus</v>
          </cell>
        </row>
        <row r="4609">
          <cell r="G4609" t="str">
            <v>ASV21411</v>
          </cell>
          <cell r="H4609" t="str">
            <v>g__unclassified_c__Bacilli</v>
          </cell>
          <cell r="I4609" t="str">
            <v>s__unclassified_c__Bacilli</v>
          </cell>
        </row>
        <row r="4610">
          <cell r="G4610" t="str">
            <v>ASV10461</v>
          </cell>
          <cell r="H4610" t="str">
            <v>g__unclassified_c__Clostridia</v>
          </cell>
          <cell r="I4610" t="str">
            <v>s__unclassified_c__Clostridia</v>
          </cell>
        </row>
        <row r="4611">
          <cell r="G4611" t="str">
            <v>ASV9230</v>
          </cell>
          <cell r="H4611" t="str">
            <v>g__unclassified_f__Lachnospiraceae</v>
          </cell>
          <cell r="I4611" t="str">
            <v>s__unclassified_f__Lachnospiraceae</v>
          </cell>
        </row>
        <row r="4612">
          <cell r="G4612" t="str">
            <v>ASV3441</v>
          </cell>
          <cell r="H4612" t="str">
            <v>g__Veillonella</v>
          </cell>
          <cell r="I4612" t="str">
            <v>s__unclassified_g__Veillonella</v>
          </cell>
        </row>
        <row r="4613">
          <cell r="G4613" t="str">
            <v>ASV11279</v>
          </cell>
          <cell r="H4613" t="str">
            <v>g__Subdoligranulum</v>
          </cell>
          <cell r="I4613" t="str">
            <v>s__uncultured_bacterium_g__Subdoligranulum</v>
          </cell>
        </row>
        <row r="4614">
          <cell r="G4614" t="str">
            <v>ASV11277</v>
          </cell>
          <cell r="H4614" t="str">
            <v>g__Christensenellaceae_R-7_group</v>
          </cell>
          <cell r="I4614" t="str">
            <v>s__unclassified_g__Christensenellaceae_R-7_group</v>
          </cell>
        </row>
        <row r="4615">
          <cell r="G4615" t="str">
            <v>ASV11289</v>
          </cell>
          <cell r="H4615" t="str">
            <v>g__unclassified_f__Lachnospiraceae</v>
          </cell>
          <cell r="I4615" t="str">
            <v>s__unclassified_f__Lachnospiraceae</v>
          </cell>
        </row>
        <row r="4616">
          <cell r="G4616" t="str">
            <v>ASV17460</v>
          </cell>
          <cell r="H4616" t="str">
            <v>g__unclassified_f__Lachnospiraceae</v>
          </cell>
          <cell r="I4616" t="str">
            <v>s__unclassified_f__Lachnospiraceae</v>
          </cell>
        </row>
        <row r="4617">
          <cell r="G4617" t="str">
            <v>ASV12577</v>
          </cell>
          <cell r="H4617" t="str">
            <v>g__unclassified_c__Bacilli</v>
          </cell>
          <cell r="I4617" t="str">
            <v>s__unclassified_c__Bacilli</v>
          </cell>
        </row>
        <row r="4618">
          <cell r="G4618" t="str">
            <v>ASV17813</v>
          </cell>
          <cell r="H4618" t="str">
            <v>g__unclassified_f__Lachnospiraceae</v>
          </cell>
          <cell r="I4618" t="str">
            <v>s__unclassified_f__Lachnospiraceae</v>
          </cell>
        </row>
        <row r="4619">
          <cell r="G4619" t="str">
            <v>ASV24092</v>
          </cell>
          <cell r="H4619" t="str">
            <v>g__Christensenellaceae_R-7_group</v>
          </cell>
          <cell r="I4619" t="str">
            <v>s__uncultured_prokaryote_g__Christensenellaceae_R-7_group</v>
          </cell>
        </row>
        <row r="4620">
          <cell r="G4620" t="str">
            <v>ASV11274</v>
          </cell>
          <cell r="H4620" t="str">
            <v>g__unclassified_c__Negativicutes</v>
          </cell>
          <cell r="I4620" t="str">
            <v>s__unclassified_c__Negativicutes</v>
          </cell>
        </row>
        <row r="4621">
          <cell r="G4621" t="str">
            <v>ASV16827</v>
          </cell>
          <cell r="H4621" t="str">
            <v>g__Lachnospiraceae_UCG-004</v>
          </cell>
          <cell r="I4621" t="str">
            <v>s__uncultured_bacterium_g__Lachnospiraceae_UCG-004</v>
          </cell>
        </row>
        <row r="4622">
          <cell r="G4622" t="str">
            <v>ASV21896</v>
          </cell>
          <cell r="H4622" t="str">
            <v>g__Collinsella</v>
          </cell>
          <cell r="I4622" t="str">
            <v>s__uncultured_bacterium_g__Collinsella</v>
          </cell>
        </row>
        <row r="4623">
          <cell r="G4623" t="str">
            <v>ASV17793</v>
          </cell>
          <cell r="H4623" t="str">
            <v>g__unclassified_c__Clostridia</v>
          </cell>
          <cell r="I4623" t="str">
            <v>s__unclassified_c__Clostridia</v>
          </cell>
        </row>
        <row r="4624">
          <cell r="G4624" t="str">
            <v>ASV13990</v>
          </cell>
          <cell r="H4624" t="str">
            <v>g__unclassified_c__Clostridia</v>
          </cell>
          <cell r="I4624" t="str">
            <v>s__unclassified_c__Clostridia</v>
          </cell>
        </row>
        <row r="4625">
          <cell r="G4625" t="str">
            <v>ASV23739</v>
          </cell>
          <cell r="H4625" t="str">
            <v>g__Lactobacillus</v>
          </cell>
          <cell r="I4625" t="str">
            <v>s__unclassified_g__Lactobacillus</v>
          </cell>
        </row>
        <row r="4626">
          <cell r="G4626" t="str">
            <v>ASV20591</v>
          </cell>
          <cell r="H4626" t="str">
            <v>g__Colidextribacter</v>
          </cell>
          <cell r="I4626" t="str">
            <v>s__unclassified_g__Colidextribacter</v>
          </cell>
        </row>
        <row r="4627">
          <cell r="G4627" t="str">
            <v>ASV2875</v>
          </cell>
          <cell r="H4627" t="str">
            <v>g__Acinetobacter</v>
          </cell>
          <cell r="I4627" t="str">
            <v>s__unclassified_g__Acinetobacter</v>
          </cell>
        </row>
        <row r="4628">
          <cell r="G4628" t="str">
            <v>ASV20570</v>
          </cell>
          <cell r="H4628" t="str">
            <v>g__unclassified_f__Lachnospiraceae</v>
          </cell>
          <cell r="I4628" t="str">
            <v>s__unclassified_f__Lachnospiraceae</v>
          </cell>
        </row>
        <row r="4629">
          <cell r="G4629" t="str">
            <v>ASV4589</v>
          </cell>
          <cell r="H4629" t="str">
            <v>g__unclassified_f__Lachnospiraceae</v>
          </cell>
          <cell r="I4629" t="str">
            <v>s__unclassified_f__Lachnospiraceae</v>
          </cell>
        </row>
        <row r="4630">
          <cell r="G4630" t="str">
            <v>ASV1982</v>
          </cell>
          <cell r="H4630" t="str">
            <v>g__Lactobacillus</v>
          </cell>
          <cell r="I4630" t="str">
            <v>s__unclassified_g__Lactobacillus</v>
          </cell>
        </row>
        <row r="4631">
          <cell r="G4631" t="str">
            <v>ASV6572</v>
          </cell>
          <cell r="H4631" t="str">
            <v>g__unclassified_k__norank_d__Bacteria</v>
          </cell>
          <cell r="I4631" t="str">
            <v>s__unclassified_k__norank_d__Bacteria</v>
          </cell>
        </row>
        <row r="4632">
          <cell r="G4632" t="str">
            <v>ASV20572</v>
          </cell>
          <cell r="H4632" t="str">
            <v>g__Streptococcus</v>
          </cell>
          <cell r="I4632" t="str">
            <v>s__unclassified_g__Streptococcus</v>
          </cell>
        </row>
        <row r="4633">
          <cell r="G4633" t="str">
            <v>ASV3847</v>
          </cell>
          <cell r="H4633" t="str">
            <v>g__unclassified_c__Clostridia</v>
          </cell>
          <cell r="I4633" t="str">
            <v>s__unclassified_c__Clostridia</v>
          </cell>
        </row>
        <row r="4634">
          <cell r="G4634" t="str">
            <v>ASV9233</v>
          </cell>
          <cell r="H4634" t="str">
            <v>g__unclassified_f__Selenomonadaceae</v>
          </cell>
          <cell r="I4634" t="str">
            <v>s__unclassified_f__Selenomonadaceae</v>
          </cell>
        </row>
        <row r="4635">
          <cell r="G4635" t="str">
            <v>ASV3442</v>
          </cell>
          <cell r="H4635" t="str">
            <v>g__Veillonella</v>
          </cell>
          <cell r="I4635" t="str">
            <v>s__unclassified_g__Veillonella</v>
          </cell>
        </row>
        <row r="4636">
          <cell r="G4636" t="str">
            <v>ASV8943</v>
          </cell>
          <cell r="H4636" t="str">
            <v>g__Lactobacillus</v>
          </cell>
          <cell r="I4636" t="str">
            <v>s__unclassified_g__Lactobacillus</v>
          </cell>
        </row>
        <row r="4637">
          <cell r="G4637" t="str">
            <v>ASV5651</v>
          </cell>
          <cell r="H4637" t="str">
            <v>g__norank_f__Ruminococcaceae</v>
          </cell>
          <cell r="I4637" t="str">
            <v>s__unclassified_g__norank_f__Ruminococcaceae</v>
          </cell>
        </row>
        <row r="4638">
          <cell r="G4638" t="str">
            <v>ASV15907</v>
          </cell>
          <cell r="H4638" t="str">
            <v>g__Campylobacter</v>
          </cell>
          <cell r="I4638" t="str">
            <v>s__unclassified_g__Campylobacter</v>
          </cell>
        </row>
        <row r="4639">
          <cell r="G4639" t="str">
            <v>ASV4577</v>
          </cell>
          <cell r="H4639" t="str">
            <v>g__Oscillibacter</v>
          </cell>
          <cell r="I4639" t="str">
            <v>s__uncultured_bacterium_g__Oscillibacter</v>
          </cell>
        </row>
        <row r="4640">
          <cell r="G4640" t="str">
            <v>ASV20585</v>
          </cell>
          <cell r="H4640" t="str">
            <v>g__unclassified_o__Clostridiales</v>
          </cell>
          <cell r="I4640" t="str">
            <v>s__unclassified_o__Clostridiales</v>
          </cell>
        </row>
        <row r="4641">
          <cell r="G4641" t="str">
            <v>ASV20220</v>
          </cell>
          <cell r="H4641" t="str">
            <v>g__unclassified_c__Bacilli</v>
          </cell>
          <cell r="I4641" t="str">
            <v>s__unclassified_c__Bacilli</v>
          </cell>
        </row>
        <row r="4642">
          <cell r="G4642" t="str">
            <v>ASV10284</v>
          </cell>
          <cell r="H4642" t="str">
            <v>g__Faecalibacterium</v>
          </cell>
          <cell r="I4642" t="str">
            <v>s__unclassified_g__Faecalibacterium</v>
          </cell>
        </row>
        <row r="4643">
          <cell r="G4643" t="str">
            <v>ASV9206</v>
          </cell>
          <cell r="H4643" t="str">
            <v>g__unclassified_f__Lachnospiraceae</v>
          </cell>
          <cell r="I4643" t="str">
            <v>s__unclassified_f__Lachnospiraceae</v>
          </cell>
        </row>
        <row r="4644">
          <cell r="G4644" t="str">
            <v>ASV9229</v>
          </cell>
          <cell r="H4644" t="str">
            <v>g__Peptostreptococcus</v>
          </cell>
          <cell r="I4644" t="str">
            <v>s__unclassified_g__Peptostreptococcus</v>
          </cell>
        </row>
        <row r="4645">
          <cell r="G4645" t="str">
            <v>ASV23913</v>
          </cell>
          <cell r="H4645" t="str">
            <v>g__unclassified_f__Lachnospiraceae</v>
          </cell>
          <cell r="I4645" t="str">
            <v>s__unclassified_f__Lachnospiraceae</v>
          </cell>
        </row>
        <row r="4646">
          <cell r="G4646" t="str">
            <v>ASV5633</v>
          </cell>
          <cell r="H4646" t="str">
            <v>g__norank_f__norank_o__RF39</v>
          </cell>
          <cell r="I4646" t="str">
            <v>s__uncultured_bacterium_g__norank_f__norank_o__RF39</v>
          </cell>
        </row>
        <row r="4647">
          <cell r="G4647" t="str">
            <v>ASV19311</v>
          </cell>
          <cell r="H4647" t="str">
            <v>g__unclassified_f__Ruminococcaceae</v>
          </cell>
          <cell r="I4647" t="str">
            <v>s__unclassified_f__Ruminococcaceae</v>
          </cell>
        </row>
        <row r="4648">
          <cell r="G4648" t="str">
            <v>ASV13780</v>
          </cell>
          <cell r="H4648" t="str">
            <v>g__Escherichia-Shigella</v>
          </cell>
          <cell r="I4648" t="str">
            <v>s__unclassified_g__Escherichia-Shigella</v>
          </cell>
        </row>
        <row r="4649">
          <cell r="G4649" t="str">
            <v>ASV10155</v>
          </cell>
          <cell r="H4649" t="str">
            <v>g__Bacteroides</v>
          </cell>
          <cell r="I4649" t="str">
            <v>s__unclassified_g__Bacteroides</v>
          </cell>
        </row>
        <row r="4650">
          <cell r="G4650" t="str">
            <v>ASV13292</v>
          </cell>
          <cell r="H4650" t="str">
            <v>g__Bacillus</v>
          </cell>
          <cell r="I4650" t="str">
            <v>s__Lactobacillus_vaginalis_g__Bacillus</v>
          </cell>
        </row>
        <row r="4651">
          <cell r="G4651" t="str">
            <v>ASV23073</v>
          </cell>
          <cell r="H4651" t="str">
            <v>g__Lactobacillus</v>
          </cell>
          <cell r="I4651" t="str">
            <v>s__unclassified_g__Lactobacillus</v>
          </cell>
        </row>
        <row r="4652">
          <cell r="G4652" t="str">
            <v>ASV23076</v>
          </cell>
          <cell r="H4652" t="str">
            <v>g__Lactobacillus</v>
          </cell>
          <cell r="I4652" t="str">
            <v>s__unclassified_g__Lactobacillus</v>
          </cell>
        </row>
        <row r="4653">
          <cell r="G4653" t="str">
            <v>ASV7024</v>
          </cell>
          <cell r="H4653" t="str">
            <v>g__unclassified_k__norank_d__Bacteria</v>
          </cell>
          <cell r="I4653" t="str">
            <v>s__unclassified_k__norank_d__Bacteria</v>
          </cell>
        </row>
        <row r="4654">
          <cell r="G4654" t="str">
            <v>ASV21929</v>
          </cell>
          <cell r="H4654" t="str">
            <v>g__unclassified_p__Firmicutes</v>
          </cell>
          <cell r="I4654" t="str">
            <v>s__unclassified_p__Firmicutes</v>
          </cell>
        </row>
        <row r="4655">
          <cell r="G4655" t="str">
            <v>ASV16267</v>
          </cell>
          <cell r="H4655" t="str">
            <v>g__Butyricimonas</v>
          </cell>
          <cell r="I4655" t="str">
            <v>s__uncultured_bacterium_g__Butyricimonas</v>
          </cell>
        </row>
        <row r="4656">
          <cell r="G4656" t="str">
            <v>ASV23071</v>
          </cell>
          <cell r="H4656" t="str">
            <v>g__Christensenellaceae_R-7_group</v>
          </cell>
          <cell r="I4656" t="str">
            <v>s__unclassified_g__Christensenellaceae_R-7_group</v>
          </cell>
        </row>
        <row r="4657">
          <cell r="G4657" t="str">
            <v>ASV16173</v>
          </cell>
          <cell r="H4657" t="str">
            <v>g__Allisonella</v>
          </cell>
          <cell r="I4657" t="str">
            <v>s__unclassified_g__Allisonella</v>
          </cell>
        </row>
        <row r="4658">
          <cell r="G4658" t="str">
            <v>ASV9853</v>
          </cell>
          <cell r="H4658" t="str">
            <v>g__Prevotella</v>
          </cell>
          <cell r="I4658" t="str">
            <v>s__unclassified_g__Prevotella</v>
          </cell>
        </row>
        <row r="4659">
          <cell r="G4659" t="str">
            <v>ASV8443</v>
          </cell>
          <cell r="H4659" t="str">
            <v>g__Escherichia-Shigella</v>
          </cell>
          <cell r="I4659" t="str">
            <v>s__unclassified_g__Escherichia-Shigella</v>
          </cell>
        </row>
        <row r="4660">
          <cell r="G4660" t="str">
            <v>ASV12571</v>
          </cell>
          <cell r="H4660" t="str">
            <v>g__norank_f__norank_o__RF39</v>
          </cell>
          <cell r="I4660" t="str">
            <v>s__uncultured_bacterium_g__norank_f__norank_o__RF39</v>
          </cell>
        </row>
        <row r="4661">
          <cell r="G4661" t="str">
            <v>ASV10466</v>
          </cell>
          <cell r="H4661" t="str">
            <v>g__Enterococcus</v>
          </cell>
          <cell r="I4661" t="str">
            <v>s__unclassified_g__Enterococcus</v>
          </cell>
        </row>
        <row r="4662">
          <cell r="G4662" t="str">
            <v>ASV20592</v>
          </cell>
          <cell r="H4662" t="str">
            <v>g__Phascolarctobacterium</v>
          </cell>
          <cell r="I4662" t="str">
            <v>s__unclassified_g__Phascolarctobacterium</v>
          </cell>
        </row>
        <row r="4663">
          <cell r="G4663" t="str">
            <v>ASV8782</v>
          </cell>
          <cell r="H4663" t="str">
            <v>g__norank_f__Erysipelotrichaceae</v>
          </cell>
          <cell r="I4663" t="str">
            <v>s__uncultured_bacterium_g__norank_f__Erysipelotrichaceae</v>
          </cell>
        </row>
        <row r="4664">
          <cell r="G4664" t="str">
            <v>ASV6576</v>
          </cell>
          <cell r="H4664" t="str">
            <v>g__Lactobacillus</v>
          </cell>
          <cell r="I4664" t="str">
            <v>s__unclassified_g__Lactobacillus</v>
          </cell>
        </row>
        <row r="4665">
          <cell r="G4665" t="str">
            <v>ASV9875</v>
          </cell>
          <cell r="H4665" t="str">
            <v>g__Actinobacillus</v>
          </cell>
          <cell r="I4665" t="str">
            <v>s__unclassified_g__Actinobacillus</v>
          </cell>
        </row>
        <row r="4666">
          <cell r="G4666" t="str">
            <v>ASV3131</v>
          </cell>
          <cell r="H4666" t="str">
            <v>g__Bacillus</v>
          </cell>
          <cell r="I4666" t="str">
            <v>s__Lactobacillus_vaginalis_g__Bacillus</v>
          </cell>
        </row>
        <row r="4667">
          <cell r="G4667" t="str">
            <v>ASV13978</v>
          </cell>
          <cell r="H4667" t="str">
            <v>g__Lactobacillus</v>
          </cell>
          <cell r="I4667" t="str">
            <v>s__unclassified_g__Lactobacillus</v>
          </cell>
        </row>
        <row r="4668">
          <cell r="G4668" t="str">
            <v>ASV381</v>
          </cell>
          <cell r="H4668" t="str">
            <v>g__Terrisporobacter</v>
          </cell>
          <cell r="I4668" t="str">
            <v>s__unclassified_g__Terrisporobacter</v>
          </cell>
        </row>
        <row r="4669">
          <cell r="G4669" t="str">
            <v>ASV16277</v>
          </cell>
          <cell r="H4669" t="str">
            <v>g__unclassified_o__Bacteroidales</v>
          </cell>
          <cell r="I4669" t="str">
            <v>s__unclassified_o__Bacteroidales</v>
          </cell>
        </row>
        <row r="4670">
          <cell r="G4670" t="str">
            <v>ASV21895</v>
          </cell>
          <cell r="H4670" t="str">
            <v>g__unclassified_f__Lachnospiraceae</v>
          </cell>
          <cell r="I4670" t="str">
            <v>s__unclassified_f__Lachnospiraceae</v>
          </cell>
        </row>
        <row r="4671">
          <cell r="G4671" t="str">
            <v>ASV20584</v>
          </cell>
          <cell r="H4671" t="str">
            <v>g__Christensenellaceae_R-7_group</v>
          </cell>
          <cell r="I4671" t="str">
            <v>s__uncultured_prokaryote_g__Christensenellaceae_R-7_group</v>
          </cell>
        </row>
        <row r="4672">
          <cell r="G4672" t="str">
            <v>ASV7328</v>
          </cell>
          <cell r="H4672" t="str">
            <v>g__unclassified_f__Selenomonadaceae</v>
          </cell>
          <cell r="I4672" t="str">
            <v>s__unclassified_f__Selenomonadaceae</v>
          </cell>
        </row>
        <row r="4673">
          <cell r="G4673" t="str">
            <v>ASV15051</v>
          </cell>
          <cell r="H4673" t="str">
            <v>g__Acidovorax</v>
          </cell>
          <cell r="I4673" t="str">
            <v>s__unclassified_g__Acidovorax</v>
          </cell>
        </row>
        <row r="4674">
          <cell r="G4674" t="str">
            <v>ASV13984</v>
          </cell>
          <cell r="H4674" t="str">
            <v>g__UCG-002</v>
          </cell>
          <cell r="I4674" t="str">
            <v>s__uncultured_bacterium_g__UCG-002</v>
          </cell>
        </row>
        <row r="4675">
          <cell r="G4675" t="str">
            <v>ASV20593</v>
          </cell>
          <cell r="H4675" t="str">
            <v>g__Christensenellaceae_R-7_group</v>
          </cell>
          <cell r="I4675" t="str">
            <v>s__uncultured_prokaryote_g__Christensenellaceae_R-7_group</v>
          </cell>
        </row>
        <row r="4676">
          <cell r="G4676" t="str">
            <v>ASV5652</v>
          </cell>
          <cell r="H4676" t="str">
            <v>g__Christensenellaceae_R-7_group</v>
          </cell>
          <cell r="I4676" t="str">
            <v>s__uncultured_prokaryote_g__Christensenellaceae_R-7_group</v>
          </cell>
        </row>
        <row r="4677">
          <cell r="G4677" t="str">
            <v>ASV10475</v>
          </cell>
          <cell r="H4677" t="str">
            <v>g__norank_f__Eubacterium_coprostanoligenes_group</v>
          </cell>
          <cell r="I4677" t="str">
            <v>s__unclassified_g__norank_f__Eubacterium_coprostanoligenes_group</v>
          </cell>
        </row>
        <row r="4678">
          <cell r="G4678" t="str">
            <v>ASV5630</v>
          </cell>
          <cell r="H4678" t="str">
            <v>g__Clostridium_sensu_stricto_1</v>
          </cell>
          <cell r="I4678" t="str">
            <v>s__unclassified_g__Clostridium_sensu_stricto_1</v>
          </cell>
        </row>
        <row r="4679">
          <cell r="G4679" t="str">
            <v>ASV3850</v>
          </cell>
          <cell r="H4679" t="str">
            <v>g__unclassified_o__Bacteroidales</v>
          </cell>
          <cell r="I4679" t="str">
            <v>s__unclassified_o__Bacteroidales</v>
          </cell>
        </row>
        <row r="4680">
          <cell r="G4680" t="str">
            <v>ASV3440</v>
          </cell>
          <cell r="H4680" t="str">
            <v>g__unclassified_f__Pasteurellaceae</v>
          </cell>
          <cell r="I4680" t="str">
            <v>s__unclassified_f__Pasteurellaceae</v>
          </cell>
        </row>
        <row r="4681">
          <cell r="G4681" t="str">
            <v>ASV1595</v>
          </cell>
          <cell r="H4681" t="str">
            <v>g__Christensenellaceae_R-7_group</v>
          </cell>
          <cell r="I4681" t="str">
            <v>s__unclassified_g__Christensenellaceae_R-7_group</v>
          </cell>
        </row>
        <row r="4682">
          <cell r="G4682" t="str">
            <v>ASV9887</v>
          </cell>
          <cell r="H4682" t="str">
            <v>g__unclassified_f__Xanthobacteraceae</v>
          </cell>
          <cell r="I4682" t="str">
            <v>s__unclassified_f__Xanthobacteraceae</v>
          </cell>
        </row>
        <row r="4683">
          <cell r="G4683" t="str">
            <v>ASV19298</v>
          </cell>
          <cell r="H4683" t="str">
            <v>g__Christensenellaceae_R-7_group</v>
          </cell>
          <cell r="I4683" t="str">
            <v>s__bacterium_YE57</v>
          </cell>
        </row>
        <row r="4684">
          <cell r="G4684" t="str">
            <v>ASV13976</v>
          </cell>
          <cell r="H4684" t="str">
            <v>g__Lactobacillus</v>
          </cell>
          <cell r="I4684" t="str">
            <v>s__unclassified_g__Lactobacillus</v>
          </cell>
        </row>
        <row r="4685">
          <cell r="G4685" t="str">
            <v>ASV20576</v>
          </cell>
          <cell r="H4685" t="str">
            <v>g__unclassified_o__Oscillospirales</v>
          </cell>
          <cell r="I4685" t="str">
            <v>s__unclassified_o__Oscillospirales</v>
          </cell>
        </row>
        <row r="4686">
          <cell r="G4686" t="str">
            <v>ASV9214</v>
          </cell>
          <cell r="H4686" t="str">
            <v>g__Family_XIII_AD3011_group</v>
          </cell>
          <cell r="I4686" t="str">
            <v>s__unclassified_g__Family_XIII_AD3011_group</v>
          </cell>
        </row>
        <row r="4687">
          <cell r="G4687" t="str">
            <v>ASV9231</v>
          </cell>
          <cell r="H4687" t="str">
            <v>g__norank_f__Muribaculaceae</v>
          </cell>
          <cell r="I4687" t="str">
            <v>s__uncultured_bacterium_g__norank_f__Muribaculaceae</v>
          </cell>
        </row>
        <row r="4688">
          <cell r="G4688" t="str">
            <v>ASV9970</v>
          </cell>
          <cell r="H4688" t="str">
            <v>g__Treponema</v>
          </cell>
          <cell r="I4688" t="str">
            <v>s__unclassified_g__Treponema</v>
          </cell>
        </row>
        <row r="4689">
          <cell r="G4689" t="str">
            <v>ASV20577</v>
          </cell>
          <cell r="H4689" t="str">
            <v>g__unclassified_c__Clostridia</v>
          </cell>
          <cell r="I4689" t="str">
            <v>s__unclassified_c__Clostridia</v>
          </cell>
        </row>
        <row r="4690">
          <cell r="G4690" t="str">
            <v>ASV17266</v>
          </cell>
          <cell r="H4690" t="str">
            <v>g__unclassified_o__Lactobacillales</v>
          </cell>
          <cell r="I4690" t="str">
            <v>s__unclassified_o__Lactobacillales</v>
          </cell>
        </row>
        <row r="4691">
          <cell r="G4691" t="str">
            <v>ASV397</v>
          </cell>
          <cell r="H4691" t="str">
            <v>g__norank_f__Muribaculaceae</v>
          </cell>
          <cell r="I4691" t="str">
            <v>s__uncultured_bacterium_g__norank_f__Muribaculaceae</v>
          </cell>
        </row>
        <row r="4692">
          <cell r="G4692" t="str">
            <v>ASV10469</v>
          </cell>
          <cell r="H4692" t="str">
            <v>g__norank_f__norank_o__Saccharimonadales</v>
          </cell>
          <cell r="I4692" t="str">
            <v>s__unclassified_g__norank_f__norank_o__Saccharimonadales</v>
          </cell>
        </row>
        <row r="4693">
          <cell r="G4693" t="str">
            <v>ASV19039</v>
          </cell>
          <cell r="H4693" t="str">
            <v>g__Bacillus</v>
          </cell>
          <cell r="I4693" t="str">
            <v>s__Lactobacillus_vaginalis_g__Bacillus</v>
          </cell>
        </row>
        <row r="4694">
          <cell r="G4694" t="str">
            <v>ASV12578</v>
          </cell>
          <cell r="H4694" t="str">
            <v>g__unclassified_f__Ruminococcaceae</v>
          </cell>
          <cell r="I4694" t="str">
            <v>s__unclassified_f__Ruminococcaceae</v>
          </cell>
        </row>
        <row r="4695">
          <cell r="G4695" t="str">
            <v>ASV391</v>
          </cell>
          <cell r="H4695" t="str">
            <v>g__unclassified_k__norank_d__Bacteria</v>
          </cell>
          <cell r="I4695" t="str">
            <v>s__unclassified_k__norank_d__Bacteria</v>
          </cell>
        </row>
        <row r="4696">
          <cell r="G4696" t="str">
            <v>ASV21902</v>
          </cell>
          <cell r="H4696" t="str">
            <v>g__UCG-002</v>
          </cell>
          <cell r="I4696" t="str">
            <v>s__uncultured_bacterium_g__UCG-002</v>
          </cell>
        </row>
        <row r="4697">
          <cell r="G4697" t="str">
            <v>ASV21908</v>
          </cell>
          <cell r="H4697" t="str">
            <v>g__UCG-002</v>
          </cell>
          <cell r="I4697" t="str">
            <v>s__unclassified_g__UCG-002</v>
          </cell>
        </row>
        <row r="4698">
          <cell r="G4698" t="str">
            <v>ASV23817</v>
          </cell>
          <cell r="H4698" t="str">
            <v>g__Acidaminococcus</v>
          </cell>
          <cell r="I4698" t="str">
            <v>s__unclassified_g__Acidaminococcus</v>
          </cell>
        </row>
        <row r="4699">
          <cell r="G4699" t="str">
            <v>ASV9973</v>
          </cell>
          <cell r="H4699" t="str">
            <v>g__Prevotellaceae_NK3B31_group</v>
          </cell>
          <cell r="I4699" t="str">
            <v>s__uncultured_bacterium_g__Prevotellaceae_NK3B31_group</v>
          </cell>
        </row>
        <row r="4700">
          <cell r="G4700" t="str">
            <v>ASV7414</v>
          </cell>
          <cell r="H4700" t="str">
            <v>g__unclassified_o__Lactobacillales</v>
          </cell>
          <cell r="I4700" t="str">
            <v>s__unclassified_o__Lactobacillales</v>
          </cell>
        </row>
        <row r="4701">
          <cell r="G4701" t="str">
            <v>ASV15903</v>
          </cell>
          <cell r="H4701" t="str">
            <v>g__Megasphaera</v>
          </cell>
          <cell r="I4701" t="str">
            <v>s__unclassified_g__Megasphaera</v>
          </cell>
        </row>
        <row r="4702">
          <cell r="G4702" t="str">
            <v>ASV17792</v>
          </cell>
          <cell r="H4702" t="str">
            <v>g__unclassified_c__Clostridia</v>
          </cell>
          <cell r="I4702" t="str">
            <v>s__unclassified_c__Clostridia</v>
          </cell>
        </row>
        <row r="4703">
          <cell r="G4703" t="str">
            <v>ASV16271</v>
          </cell>
          <cell r="H4703" t="str">
            <v>g__Escherichia-Shigella</v>
          </cell>
          <cell r="I4703" t="str">
            <v>s__unclassified_g__Escherichia-Shigella</v>
          </cell>
        </row>
        <row r="4704">
          <cell r="G4704" t="str">
            <v>ASV20412</v>
          </cell>
          <cell r="H4704" t="str">
            <v>g__Bacteroides</v>
          </cell>
          <cell r="I4704" t="str">
            <v>s__unclassified_g__Bacteroides</v>
          </cell>
        </row>
        <row r="4705">
          <cell r="G4705" t="str">
            <v>ASV3859</v>
          </cell>
          <cell r="H4705" t="str">
            <v>g__unclassified_o__Oscillospirales</v>
          </cell>
          <cell r="I4705" t="str">
            <v>s__unclassified_o__Oscillospirales</v>
          </cell>
        </row>
        <row r="4706">
          <cell r="G4706" t="str">
            <v>ASV11280</v>
          </cell>
          <cell r="H4706" t="str">
            <v>g__unclassified_c__Clostridia</v>
          </cell>
          <cell r="I4706" t="str">
            <v>s__unclassified_c__Clostridia</v>
          </cell>
        </row>
        <row r="4707">
          <cell r="G4707" t="str">
            <v>ASV6577</v>
          </cell>
          <cell r="H4707" t="str">
            <v>g__unclassified_f__Lachnospiraceae</v>
          </cell>
          <cell r="I4707" t="str">
            <v>s__unclassified_f__Lachnospiraceae</v>
          </cell>
        </row>
        <row r="4708">
          <cell r="G4708" t="str">
            <v>ASV12579</v>
          </cell>
          <cell r="H4708" t="str">
            <v>g__Parabacteroides</v>
          </cell>
          <cell r="I4708" t="str">
            <v>s__Porphyromonadaceae_bacterium_DJF_B175</v>
          </cell>
        </row>
        <row r="4709">
          <cell r="G4709" t="str">
            <v>ASV10474</v>
          </cell>
          <cell r="H4709" t="str">
            <v>g__unclassified_c__Bacilli</v>
          </cell>
          <cell r="I4709" t="str">
            <v>s__unclassified_c__Bacilli</v>
          </cell>
        </row>
        <row r="4710">
          <cell r="G4710" t="str">
            <v>ASV19309</v>
          </cell>
          <cell r="H4710" t="str">
            <v>g__Lactobacillus</v>
          </cell>
          <cell r="I4710" t="str">
            <v>s__unclassified_g__Lactobacillus</v>
          </cell>
        </row>
        <row r="4711">
          <cell r="G4711" t="str">
            <v>ASV15909</v>
          </cell>
          <cell r="H4711" t="str">
            <v>g__unclassified_f__Lachnospiraceae</v>
          </cell>
          <cell r="I4711" t="str">
            <v>s__unclassified_f__Lachnospiraceae</v>
          </cell>
        </row>
        <row r="4712">
          <cell r="G4712" t="str">
            <v>ASV4570</v>
          </cell>
          <cell r="H4712" t="str">
            <v>g__unclassified_p__Firmicutes</v>
          </cell>
          <cell r="I4712" t="str">
            <v>s__unclassified_p__Firmicutes</v>
          </cell>
        </row>
        <row r="4713">
          <cell r="G4713" t="str">
            <v>ASV7550</v>
          </cell>
          <cell r="H4713" t="str">
            <v>g__norank_f__norank_o__norank_c__norank_p__WPS-2</v>
          </cell>
          <cell r="I4713" t="str">
            <v>s__uncultured_rumen_bacterium_g__norank_f__norank_o__norank_c__norank</v>
          </cell>
        </row>
        <row r="4714">
          <cell r="G4714" t="str">
            <v>ASV15211</v>
          </cell>
          <cell r="H4714" t="str">
            <v>g__unclassified_c__Clostridia</v>
          </cell>
          <cell r="I4714" t="str">
            <v>s__unclassified_c__Clostridia</v>
          </cell>
        </row>
        <row r="4715">
          <cell r="G4715" t="str">
            <v>ASV1977</v>
          </cell>
          <cell r="H4715" t="str">
            <v>g__unclassified_c__Bacilli</v>
          </cell>
          <cell r="I4715" t="str">
            <v>s__unclassified_c__Bacilli</v>
          </cell>
        </row>
        <row r="4716">
          <cell r="G4716" t="str">
            <v>ASV10071</v>
          </cell>
          <cell r="H4716" t="str">
            <v>g__Faecalicoccus</v>
          </cell>
          <cell r="I4716" t="str">
            <v>s__Faecalicoccus_pleomorphus</v>
          </cell>
        </row>
        <row r="4717">
          <cell r="G4717" t="str">
            <v>ASV9216</v>
          </cell>
          <cell r="H4717" t="str">
            <v>g__Eubacterium_oxidoreducens_group</v>
          </cell>
          <cell r="I4717" t="str">
            <v>s__uncultured_bacterium_g__Eubacterium_oxidoreducens_group</v>
          </cell>
        </row>
        <row r="4718">
          <cell r="G4718" t="str">
            <v>ASV16272</v>
          </cell>
          <cell r="H4718" t="str">
            <v>g__Escherichia-Shigella</v>
          </cell>
          <cell r="I4718" t="str">
            <v>s__unclassified_g__Escherichia-Shigella</v>
          </cell>
        </row>
        <row r="4719">
          <cell r="G4719" t="str">
            <v>ASV3128</v>
          </cell>
          <cell r="H4719" t="str">
            <v>g__Escherichia-Shigella</v>
          </cell>
          <cell r="I4719" t="str">
            <v>s__unclassified_g__Escherichia-Shigella</v>
          </cell>
        </row>
        <row r="4720">
          <cell r="G4720" t="str">
            <v>ASV10070</v>
          </cell>
          <cell r="H4720" t="str">
            <v>g__Veillonella</v>
          </cell>
          <cell r="I4720" t="str">
            <v>s__Veillonella_sp._R-32</v>
          </cell>
        </row>
        <row r="4721">
          <cell r="G4721" t="str">
            <v>ASV17461</v>
          </cell>
          <cell r="H4721" t="str">
            <v>g__unclassified_f__Lachnospiraceae</v>
          </cell>
          <cell r="I4721" t="str">
            <v>s__unclassified_f__Lachnospiraceae</v>
          </cell>
        </row>
        <row r="4722">
          <cell r="G4722" t="str">
            <v>ASV17790</v>
          </cell>
          <cell r="H4722" t="str">
            <v>g__unclassified_c__Clostridia</v>
          </cell>
          <cell r="I4722" t="str">
            <v>s__unclassified_c__Clostridia</v>
          </cell>
        </row>
        <row r="4723">
          <cell r="G4723" t="str">
            <v>ASV7547</v>
          </cell>
          <cell r="H4723" t="str">
            <v>g__unclassified_p__Firmicutes</v>
          </cell>
          <cell r="I4723" t="str">
            <v>s__unclassified_p__Firmicutes</v>
          </cell>
        </row>
        <row r="4724">
          <cell r="G4724" t="str">
            <v>ASV4691</v>
          </cell>
          <cell r="H4724" t="str">
            <v>g__Lachnospiraceae_UCG-007</v>
          </cell>
          <cell r="I4724" t="str">
            <v>s__uncultured_bacterium_g__Lachnospiraceae_UCG-007</v>
          </cell>
        </row>
        <row r="4725">
          <cell r="G4725" t="str">
            <v>ASV20217</v>
          </cell>
          <cell r="H4725" t="str">
            <v>g__norank_f__Oscillospiraceae</v>
          </cell>
          <cell r="I4725" t="str">
            <v>s__unclassified_g__norank_f__Oscillospiraceae</v>
          </cell>
        </row>
        <row r="4726">
          <cell r="G4726" t="str">
            <v>ASV15208</v>
          </cell>
          <cell r="H4726" t="str">
            <v>g__Clostridium_sensu_stricto_1</v>
          </cell>
          <cell r="I4726" t="str">
            <v>s__unclassified_g__Clostridium_sensu_stricto_1</v>
          </cell>
        </row>
        <row r="4727">
          <cell r="G4727" t="str">
            <v>ASV15213</v>
          </cell>
          <cell r="H4727" t="str">
            <v>g__Christensenellaceae_R-7_group</v>
          </cell>
          <cell r="I4727" t="str">
            <v>s__unclassified_g__Christensenellaceae_R-7_group</v>
          </cell>
        </row>
        <row r="4728">
          <cell r="G4728" t="str">
            <v>ASV13999</v>
          </cell>
          <cell r="H4728" t="str">
            <v>g__Veillonella</v>
          </cell>
          <cell r="I4728" t="str">
            <v>s__unclassified_g__Veillonella</v>
          </cell>
        </row>
        <row r="4729">
          <cell r="G4729" t="str">
            <v>ASV13965</v>
          </cell>
          <cell r="H4729" t="str">
            <v>g__Colidextribacter</v>
          </cell>
          <cell r="I4729" t="str">
            <v>s__unclassified_g__Colidextribacter</v>
          </cell>
        </row>
        <row r="4730">
          <cell r="G4730" t="str">
            <v>ASV11292</v>
          </cell>
          <cell r="H4730" t="str">
            <v>g__norank_f__Muribaculaceae</v>
          </cell>
          <cell r="I4730" t="str">
            <v>s__unclassified_g__norank_f__Muribaculaceae</v>
          </cell>
        </row>
        <row r="4731">
          <cell r="G4731" t="str">
            <v>ASV9219</v>
          </cell>
          <cell r="H4731" t="str">
            <v>g__Lachnoclostridium</v>
          </cell>
          <cell r="I4731" t="str">
            <v>s__unclassified_g__Lachnoclostridium</v>
          </cell>
        </row>
        <row r="4732">
          <cell r="G4732" t="str">
            <v>ASV1586</v>
          </cell>
          <cell r="H4732" t="str">
            <v>g__Lachnoclostridium</v>
          </cell>
          <cell r="I4732" t="str">
            <v>s__unclassified_g__Lachnoclostridium</v>
          </cell>
        </row>
        <row r="4733">
          <cell r="G4733" t="str">
            <v>ASV19293</v>
          </cell>
          <cell r="H4733" t="str">
            <v>g__unclassified_f__Lachnospiraceae</v>
          </cell>
          <cell r="I4733" t="str">
            <v>s__unclassified_f__Lachnospiraceae</v>
          </cell>
        </row>
        <row r="4734">
          <cell r="G4734" t="str">
            <v>ASV3852</v>
          </cell>
          <cell r="H4734" t="str">
            <v>g__Escherichia-Shigella</v>
          </cell>
          <cell r="I4734" t="str">
            <v>s__unclassified_g__Escherichia-Shigella</v>
          </cell>
        </row>
        <row r="4735">
          <cell r="G4735" t="str">
            <v>ASV24091</v>
          </cell>
          <cell r="H4735" t="str">
            <v>g__unclassified_f__Peptostreptococcaceae</v>
          </cell>
          <cell r="I4735" t="str">
            <v>s__unclassified_f__Peptostreptococcaceae</v>
          </cell>
        </row>
        <row r="4736">
          <cell r="G4736" t="str">
            <v>ASV21904</v>
          </cell>
          <cell r="H4736" t="str">
            <v>g__Colidextribacter</v>
          </cell>
          <cell r="I4736" t="str">
            <v>s__uncultured_bacterium_g__Colidextribacter</v>
          </cell>
        </row>
        <row r="4737">
          <cell r="G4737" t="str">
            <v>ASV10025</v>
          </cell>
          <cell r="H4737" t="str">
            <v>g__Howardella</v>
          </cell>
          <cell r="I4737" t="str">
            <v>s__unclassified_g__Howardella</v>
          </cell>
        </row>
        <row r="4738">
          <cell r="G4738" t="str">
            <v>ASV17808</v>
          </cell>
          <cell r="H4738" t="str">
            <v>g__Ruminococcus</v>
          </cell>
          <cell r="I4738" t="str">
            <v>s__unclassified_g__Ruminococcus</v>
          </cell>
        </row>
        <row r="4739">
          <cell r="G4739" t="str">
            <v>ASV17177</v>
          </cell>
          <cell r="H4739" t="str">
            <v>g__unclassified_c__Bacilli</v>
          </cell>
          <cell r="I4739" t="str">
            <v>s__unclassified_c__Bacilli</v>
          </cell>
        </row>
        <row r="4740">
          <cell r="G4740" t="str">
            <v>ASV21909</v>
          </cell>
          <cell r="H4740" t="str">
            <v>g__Oscillibacter</v>
          </cell>
          <cell r="I4740" t="str">
            <v>s__uncultured_bacterium_g__Oscillibacter</v>
          </cell>
        </row>
        <row r="4741">
          <cell r="G4741" t="str">
            <v>ASV3842</v>
          </cell>
          <cell r="H4741" t="str">
            <v>g__Christensenellaceae_R-7_group</v>
          </cell>
          <cell r="I4741" t="str">
            <v>s__unclassified_g__Christensenellaceae_R-7_group</v>
          </cell>
        </row>
        <row r="4742">
          <cell r="G4742" t="str">
            <v>ASV16280</v>
          </cell>
          <cell r="H4742" t="str">
            <v>g__unclassified_c__Clostridia</v>
          </cell>
          <cell r="I4742" t="str">
            <v>s__unclassified_c__Clostridia</v>
          </cell>
        </row>
        <row r="4743">
          <cell r="G4743" t="str">
            <v>ASV396</v>
          </cell>
          <cell r="H4743" t="str">
            <v>g__Veillonella</v>
          </cell>
          <cell r="I4743" t="str">
            <v>s__bacterium_RA2114</v>
          </cell>
        </row>
        <row r="4744">
          <cell r="G4744" t="str">
            <v>ASV372</v>
          </cell>
          <cell r="H4744" t="str">
            <v>g__unclassified_f__Lachnospiraceae</v>
          </cell>
          <cell r="I4744" t="str">
            <v>s__unclassified_f__Lachnospiraceae</v>
          </cell>
        </row>
        <row r="4745">
          <cell r="G4745" t="str">
            <v>ASV9975</v>
          </cell>
          <cell r="H4745" t="str">
            <v>g__Actinobacillus</v>
          </cell>
          <cell r="I4745" t="str">
            <v>s__unclassified_g__Actinobacillus</v>
          </cell>
        </row>
        <row r="4746">
          <cell r="G4746" t="str">
            <v>ASV7196</v>
          </cell>
          <cell r="H4746" t="str">
            <v>g__norank_f__Christensenellaceae</v>
          </cell>
          <cell r="I4746" t="str">
            <v>s__unclassified_g__norank_f__Christensenellaceae</v>
          </cell>
        </row>
        <row r="4747">
          <cell r="G4747" t="str">
            <v>ASV19310</v>
          </cell>
          <cell r="H4747" t="str">
            <v>g__unclassified_f__Lachnospiraceae</v>
          </cell>
          <cell r="I4747" t="str">
            <v>s__unclassified_f__Lachnospiraceae</v>
          </cell>
        </row>
        <row r="4748">
          <cell r="G4748" t="str">
            <v>ASV7331</v>
          </cell>
          <cell r="H4748" t="str">
            <v>g__Subdoligranulum</v>
          </cell>
          <cell r="I4748" t="str">
            <v>s__unclassified_g__Subdoligranulum</v>
          </cell>
        </row>
        <row r="4749">
          <cell r="G4749" t="str">
            <v>ASV17807</v>
          </cell>
          <cell r="H4749" t="str">
            <v>g__Christensenellaceae_R-7_group</v>
          </cell>
          <cell r="I4749" t="str">
            <v>s__unclassified_g__Christensenellaceae_R-7_group</v>
          </cell>
        </row>
        <row r="4750">
          <cell r="G4750" t="str">
            <v>ASV3846</v>
          </cell>
          <cell r="H4750" t="str">
            <v>g__Phascolarctobacterium</v>
          </cell>
          <cell r="I4750" t="str">
            <v>s__Ruminococcus_sp._N15.MGS-57_g__Phascolarctobacterium</v>
          </cell>
        </row>
        <row r="4751">
          <cell r="G4751" t="str">
            <v>ASV5641</v>
          </cell>
          <cell r="H4751" t="str">
            <v>g__unclassified_f__Lachnospiraceae</v>
          </cell>
          <cell r="I4751" t="str">
            <v>s__unclassified_f__Lachnospiraceae</v>
          </cell>
        </row>
        <row r="4752">
          <cell r="G4752" t="str">
            <v>ASV10454</v>
          </cell>
          <cell r="H4752" t="str">
            <v>g__norank_f__UCG-010</v>
          </cell>
          <cell r="I4752" t="str">
            <v>s__unclassified_g__norank_f__UCG-010</v>
          </cell>
        </row>
        <row r="4753">
          <cell r="G4753" t="str">
            <v>ASV13998</v>
          </cell>
          <cell r="H4753" t="str">
            <v>g__unclassified_f__Lachnospiraceae</v>
          </cell>
          <cell r="I4753" t="str">
            <v>s__unclassified_f__Lachnospiraceae</v>
          </cell>
        </row>
        <row r="4754">
          <cell r="G4754" t="str">
            <v>ASV10463</v>
          </cell>
          <cell r="H4754" t="str">
            <v>g__Turicibacter</v>
          </cell>
          <cell r="I4754" t="str">
            <v>s__uncultured_bacterium_g__Turicibacter</v>
          </cell>
        </row>
        <row r="4755">
          <cell r="G4755" t="str">
            <v>ASV19313</v>
          </cell>
          <cell r="H4755" t="str">
            <v>g__UCG-002</v>
          </cell>
          <cell r="I4755" t="str">
            <v>s__uncultured_bacterium_g__UCG-002</v>
          </cell>
        </row>
        <row r="4756">
          <cell r="G4756" t="str">
            <v>ASV6571</v>
          </cell>
          <cell r="H4756" t="str">
            <v>g__unclassified_c__Clostridia</v>
          </cell>
          <cell r="I4756" t="str">
            <v>s__unclassified_c__Clostridia</v>
          </cell>
        </row>
        <row r="4757">
          <cell r="G4757" t="str">
            <v>ASV3839</v>
          </cell>
          <cell r="H4757" t="str">
            <v>g__unclassified_f__Lachnospiraceae</v>
          </cell>
          <cell r="I4757" t="str">
            <v>s__unclassified_f__Lachnospiraceae</v>
          </cell>
        </row>
        <row r="4758">
          <cell r="G4758" t="str">
            <v>ASV19301</v>
          </cell>
          <cell r="H4758" t="str">
            <v>g__unclassified_f__Lachnospiraceae</v>
          </cell>
          <cell r="I4758" t="str">
            <v>s__unclassified_f__Lachnospiraceae</v>
          </cell>
        </row>
        <row r="4759">
          <cell r="G4759" t="str">
            <v>ASV3129</v>
          </cell>
          <cell r="H4759" t="str">
            <v>g__unclassified_c__Clostridia</v>
          </cell>
          <cell r="I4759" t="str">
            <v>s__unclassified_c__Clostridia</v>
          </cell>
        </row>
        <row r="4760">
          <cell r="G4760" t="str">
            <v>ASV21907</v>
          </cell>
          <cell r="H4760" t="str">
            <v>g__unclassified_f__Lachnospiraceae</v>
          </cell>
          <cell r="I4760" t="str">
            <v>s__unclassified_f__Lachnospiraceae</v>
          </cell>
        </row>
        <row r="4761">
          <cell r="G4761" t="str">
            <v>ASV378</v>
          </cell>
          <cell r="H4761" t="str">
            <v>g__unclassified_f__Lachnospiraceae</v>
          </cell>
          <cell r="I4761" t="str">
            <v>s__unclassified_f__Lachnospiraceae</v>
          </cell>
        </row>
        <row r="4762">
          <cell r="G4762" t="str">
            <v>ASV21719</v>
          </cell>
          <cell r="H4762" t="str">
            <v>g__Alloprevotella</v>
          </cell>
          <cell r="I4762" t="str">
            <v>s__uncultured_bacterium_g__Alloprevotella</v>
          </cell>
        </row>
        <row r="4763">
          <cell r="G4763" t="str">
            <v>ASV5647</v>
          </cell>
          <cell r="H4763" t="str">
            <v>g__unclassified_c__Clostridia</v>
          </cell>
          <cell r="I4763" t="str">
            <v>s__unclassified_c__Clostridia</v>
          </cell>
        </row>
        <row r="4764">
          <cell r="G4764" t="str">
            <v>ASV7536</v>
          </cell>
          <cell r="H4764" t="str">
            <v>g__norank_f__Muribaculaceae</v>
          </cell>
          <cell r="I4764" t="str">
            <v>s__unclassified_g__norank_f__Muribaculaceae</v>
          </cell>
        </row>
        <row r="4765">
          <cell r="G4765" t="str">
            <v>ASV13297</v>
          </cell>
          <cell r="H4765" t="str">
            <v>g__Ruminococcus</v>
          </cell>
          <cell r="I4765" t="str">
            <v>s__uncultured_bacterium_g__Ruminococcus</v>
          </cell>
        </row>
        <row r="4766">
          <cell r="G4766" t="str">
            <v>ASV5632</v>
          </cell>
          <cell r="H4766" t="str">
            <v>g__unclassified_f__Lachnospiraceae</v>
          </cell>
          <cell r="I4766" t="str">
            <v>s__unclassified_f__Lachnospiraceae</v>
          </cell>
        </row>
        <row r="4767">
          <cell r="G4767" t="str">
            <v>ASV16286</v>
          </cell>
          <cell r="H4767" t="str">
            <v>g__Escherichia-Shigella</v>
          </cell>
          <cell r="I4767" t="str">
            <v>s__unclassified_g__Escherichia-Shigella</v>
          </cell>
        </row>
        <row r="4768">
          <cell r="G4768" t="str">
            <v>ASV3858</v>
          </cell>
          <cell r="H4768" t="str">
            <v>g__norank_f__Oscillospiraceae</v>
          </cell>
          <cell r="I4768" t="str">
            <v>s__unclassified_g__norank_f__Oscillospiraceae</v>
          </cell>
        </row>
        <row r="4769">
          <cell r="G4769" t="str">
            <v>ASV15904</v>
          </cell>
          <cell r="H4769" t="str">
            <v>g__Sutterella</v>
          </cell>
          <cell r="I4769" t="str">
            <v>s__Sutterella_stercoricanis</v>
          </cell>
        </row>
        <row r="4770">
          <cell r="G4770" t="str">
            <v>ASV7162</v>
          </cell>
          <cell r="H4770" t="str">
            <v>g__Actinomyces</v>
          </cell>
          <cell r="I4770" t="str">
            <v>s__Actinomyces_howellii</v>
          </cell>
        </row>
        <row r="4771">
          <cell r="G4771" t="str">
            <v>ASV15212</v>
          </cell>
          <cell r="H4771" t="str">
            <v>g__norank_f__Muribaculaceae</v>
          </cell>
          <cell r="I4771" t="str">
            <v>s__uncultured_bacterium_g__norank_f__Muribaculaceae</v>
          </cell>
        </row>
        <row r="4772">
          <cell r="G4772" t="str">
            <v>ASV8653</v>
          </cell>
          <cell r="H4772" t="str">
            <v>g__Nocardioides</v>
          </cell>
          <cell r="I4772" t="str">
            <v>s__unclassified_g__Nocardioides</v>
          </cell>
        </row>
        <row r="4773">
          <cell r="G4773" t="str">
            <v>ASV3125</v>
          </cell>
          <cell r="H4773" t="str">
            <v>g__unclassified_f__Lachnospiraceae</v>
          </cell>
          <cell r="I4773" t="str">
            <v>s__unclassified_f__Lachnospiraceae</v>
          </cell>
        </row>
        <row r="4774">
          <cell r="G4774" t="str">
            <v>ASV19294</v>
          </cell>
          <cell r="H4774" t="str">
            <v>g__unclassified_f__Lachnospiraceae</v>
          </cell>
          <cell r="I4774" t="str">
            <v>s__unclassified_f__Lachnospiraceae</v>
          </cell>
        </row>
        <row r="4775">
          <cell r="G4775" t="str">
            <v>ASV21168</v>
          </cell>
          <cell r="H4775" t="str">
            <v>g__Lactobacillus</v>
          </cell>
          <cell r="I4775" t="str">
            <v>s__unclassified_g__Lactobacillus</v>
          </cell>
        </row>
        <row r="4776">
          <cell r="G4776" t="str">
            <v>ASV10156</v>
          </cell>
          <cell r="H4776" t="str">
            <v>g__Veillonella</v>
          </cell>
          <cell r="I4776" t="str">
            <v>s__unclassified_g__Veillonella</v>
          </cell>
        </row>
        <row r="4777">
          <cell r="G4777" t="str">
            <v>ASV6574</v>
          </cell>
          <cell r="H4777" t="str">
            <v>g__Enterococcus</v>
          </cell>
          <cell r="I4777" t="str">
            <v>s__unclassified_g__Enterococcus</v>
          </cell>
        </row>
        <row r="4778">
          <cell r="G4778" t="str">
            <v>ASV393</v>
          </cell>
          <cell r="H4778" t="str">
            <v>g__Clostridium_sensu_stricto_1</v>
          </cell>
          <cell r="I4778" t="str">
            <v>s__uncultured_bacterium_g__Clostridium_sensu_stricto_1</v>
          </cell>
        </row>
        <row r="4779">
          <cell r="G4779" t="str">
            <v>ASV4561</v>
          </cell>
          <cell r="H4779" t="str">
            <v>g__Monoglobus</v>
          </cell>
          <cell r="I4779" t="str">
            <v>s__unclassified_g__Monoglobus</v>
          </cell>
        </row>
        <row r="4780">
          <cell r="G4780" t="str">
            <v>ASV3835</v>
          </cell>
          <cell r="H4780" t="str">
            <v>g__Escherichia-Shigella</v>
          </cell>
          <cell r="I4780" t="str">
            <v>s__unclassified_g__Escherichia-Shigella</v>
          </cell>
        </row>
        <row r="4781">
          <cell r="G4781" t="str">
            <v>ASV7023</v>
          </cell>
          <cell r="H4781" t="str">
            <v>g__Lactobacillus</v>
          </cell>
          <cell r="I4781" t="str">
            <v>s__unclassified_g__Lactobacillus</v>
          </cell>
        </row>
        <row r="4782">
          <cell r="G4782" t="str">
            <v>ASV9226</v>
          </cell>
          <cell r="H4782" t="str">
            <v>g__unclassified_o__Oscillospirales</v>
          </cell>
          <cell r="I4782" t="str">
            <v>s__unclassified_o__Oscillospirales</v>
          </cell>
        </row>
        <row r="4783">
          <cell r="G4783" t="str">
            <v>ASV21165</v>
          </cell>
          <cell r="H4783" t="str">
            <v>g__unclassified_p__Firmicutes</v>
          </cell>
          <cell r="I4783" t="str">
            <v>s__unclassified_p__Firmicutes</v>
          </cell>
        </row>
        <row r="4784">
          <cell r="G4784" t="str">
            <v>ASV11307</v>
          </cell>
          <cell r="H4784" t="str">
            <v>g__Succiniclasticum</v>
          </cell>
          <cell r="I4784" t="str">
            <v>s__unclassified_g__Succiniclasticum</v>
          </cell>
        </row>
        <row r="4785">
          <cell r="G4785" t="str">
            <v>ASV23077</v>
          </cell>
          <cell r="H4785" t="str">
            <v>g__unclassified_c__Clostridia</v>
          </cell>
          <cell r="I4785" t="str">
            <v>s__unclassified_c__Clostridia</v>
          </cell>
        </row>
        <row r="4786">
          <cell r="G4786" t="str">
            <v>ASV11310</v>
          </cell>
          <cell r="H4786" t="str">
            <v>g__unclassified_f__Oscillospiraceae</v>
          </cell>
          <cell r="I4786" t="str">
            <v>s__unclassified_f__Oscillospiraceae</v>
          </cell>
        </row>
        <row r="4787">
          <cell r="G4787" t="str">
            <v>ASV3851</v>
          </cell>
          <cell r="H4787" t="str">
            <v>g__Cloacibacillus</v>
          </cell>
          <cell r="I4787" t="str">
            <v>s__unclassified_g__Cloacibacillus</v>
          </cell>
        </row>
        <row r="4788">
          <cell r="G4788" t="str">
            <v>ASV11295</v>
          </cell>
          <cell r="H4788" t="str">
            <v>g__Family_XIII_AD3011_group</v>
          </cell>
          <cell r="I4788" t="str">
            <v>s__uncultured_bacterium_g__Family_XIII_AD3011_group</v>
          </cell>
        </row>
        <row r="4789">
          <cell r="G4789" t="str">
            <v>ASV15209</v>
          </cell>
          <cell r="H4789" t="str">
            <v>g__unclassified_f__Ruminococcaceae</v>
          </cell>
          <cell r="I4789" t="str">
            <v>s__unclassified_f__Ruminococcaceae</v>
          </cell>
        </row>
        <row r="4790">
          <cell r="G4790" t="str">
            <v>ASV15783</v>
          </cell>
          <cell r="H4790" t="str">
            <v>g__norank_f__Oscillospiraceae</v>
          </cell>
          <cell r="I4790" t="str">
            <v>s__metagenome_g__norank_f__Oscillospiraceae</v>
          </cell>
        </row>
        <row r="4791">
          <cell r="G4791" t="str">
            <v>ASV364</v>
          </cell>
          <cell r="H4791" t="str">
            <v>g__unclassified_o__Oscillospirales</v>
          </cell>
          <cell r="I4791" t="str">
            <v>s__unclassified_o__Oscillospirales</v>
          </cell>
        </row>
        <row r="4792">
          <cell r="G4792" t="str">
            <v>ASV17346</v>
          </cell>
          <cell r="H4792" t="str">
            <v>g__Paracoccus</v>
          </cell>
          <cell r="I4792" t="str">
            <v>s__unclassified_g__Paracoccus</v>
          </cell>
        </row>
        <row r="4793">
          <cell r="G4793" t="str">
            <v>ASV17402</v>
          </cell>
          <cell r="H4793" t="str">
            <v>g__Staphylococcus</v>
          </cell>
          <cell r="I4793" t="str">
            <v>s__unclassified_g__Staphylococcus</v>
          </cell>
        </row>
        <row r="4794">
          <cell r="G4794" t="str">
            <v>ASV10456</v>
          </cell>
          <cell r="H4794" t="str">
            <v>g__norank_f__Muribaculaceae</v>
          </cell>
          <cell r="I4794" t="str">
            <v>s__uncultured_bacterium_g__norank_f__Muribaculaceae</v>
          </cell>
        </row>
        <row r="4795">
          <cell r="G4795" t="str">
            <v>ASV13970</v>
          </cell>
          <cell r="H4795" t="str">
            <v>g__unclassified_k__norank_d__Bacteria</v>
          </cell>
          <cell r="I4795" t="str">
            <v>s__unclassified_k__norank_d__Bacteria</v>
          </cell>
        </row>
        <row r="4796">
          <cell r="G4796" t="str">
            <v>ASV12586</v>
          </cell>
          <cell r="H4796" t="str">
            <v>g__unclassified_c__Clostridia</v>
          </cell>
          <cell r="I4796" t="str">
            <v>s__unclassified_c__Clostridia</v>
          </cell>
        </row>
        <row r="4797">
          <cell r="G4797" t="str">
            <v>ASV8437</v>
          </cell>
          <cell r="H4797" t="str">
            <v>g__unclassified_o__Veillonellales-Selenomonadales</v>
          </cell>
          <cell r="I4797" t="str">
            <v>s__unclassified_o__Veillonellales-Selenomonadales</v>
          </cell>
        </row>
        <row r="4798">
          <cell r="G4798" t="str">
            <v>ASV13974</v>
          </cell>
          <cell r="H4798" t="str">
            <v>g__unclassified_f__Lachnospiraceae</v>
          </cell>
          <cell r="I4798" t="str">
            <v>s__unclassified_f__Lachnospiraceae</v>
          </cell>
        </row>
        <row r="4799">
          <cell r="G4799" t="str">
            <v>ASV11288</v>
          </cell>
          <cell r="H4799" t="str">
            <v>g__unclassified_o__Oscillospirales</v>
          </cell>
          <cell r="I4799" t="str">
            <v>s__unclassified_o__Oscillospirales</v>
          </cell>
        </row>
        <row r="4800">
          <cell r="G4800" t="str">
            <v>ASV17806</v>
          </cell>
          <cell r="H4800" t="str">
            <v>g__norank_f__Peptococcaceae</v>
          </cell>
          <cell r="I4800" t="str">
            <v>s__unclassified_g__norank_f__Peptococcaceae</v>
          </cell>
        </row>
        <row r="4801">
          <cell r="G4801" t="str">
            <v>ASV15044</v>
          </cell>
          <cell r="H4801" t="str">
            <v>g__unclassified_f__Rhodanobacteraceae</v>
          </cell>
          <cell r="I4801" t="str">
            <v>s__unclassified_f__Rhodanobacteraceae</v>
          </cell>
        </row>
        <row r="4802">
          <cell r="G4802" t="str">
            <v>ASV21413</v>
          </cell>
          <cell r="H4802" t="str">
            <v>g__Lactobacillus</v>
          </cell>
          <cell r="I4802" t="str">
            <v>s__unclassified_g__Lactobacillus</v>
          </cell>
        </row>
        <row r="4803">
          <cell r="G4803" t="str">
            <v>ASV21571</v>
          </cell>
          <cell r="H4803" t="str">
            <v>g__Lactobacillus</v>
          </cell>
          <cell r="I4803" t="str">
            <v>s__unclassified_g__Lactobacillus</v>
          </cell>
        </row>
        <row r="4804">
          <cell r="G4804" t="str">
            <v>ASV9208</v>
          </cell>
          <cell r="H4804" t="str">
            <v>g__unclassified_f__Ruminococcaceae</v>
          </cell>
          <cell r="I4804" t="str">
            <v>s__unclassified_f__Ruminococcaceae</v>
          </cell>
        </row>
        <row r="4805">
          <cell r="G4805" t="str">
            <v>ASV20407</v>
          </cell>
          <cell r="H4805" t="str">
            <v>g__unclassified_f__Oxalobacteraceae</v>
          </cell>
          <cell r="I4805" t="str">
            <v>s__unclassified_f__Oxalobacteraceae</v>
          </cell>
        </row>
        <row r="4806">
          <cell r="G4806" t="str">
            <v>ASV17797</v>
          </cell>
          <cell r="H4806" t="str">
            <v>g__Blautia</v>
          </cell>
          <cell r="I4806" t="str">
            <v>s__unclassified_g__Blautia</v>
          </cell>
        </row>
        <row r="4807">
          <cell r="G4807" t="str">
            <v>ASV15214</v>
          </cell>
          <cell r="H4807" t="str">
            <v>g__UCG-002</v>
          </cell>
          <cell r="I4807" t="str">
            <v>s__uncultured_bacterium_g__UCG-002</v>
          </cell>
        </row>
        <row r="4808">
          <cell r="G4808" t="str">
            <v>ASV19304</v>
          </cell>
          <cell r="H4808" t="str">
            <v>g__Lachnospiraceae_NC2004_group</v>
          </cell>
          <cell r="I4808" t="str">
            <v>s__uncultured_bacterium_g__Lachnospiraceae_NC2004_group</v>
          </cell>
        </row>
        <row r="4809">
          <cell r="G4809" t="str">
            <v>ASV15080</v>
          </cell>
          <cell r="H4809" t="str">
            <v>g__Bacillus</v>
          </cell>
          <cell r="I4809" t="str">
            <v>s__unclassified_g__Bacillus</v>
          </cell>
        </row>
        <row r="4810">
          <cell r="G4810" t="str">
            <v>ASV379</v>
          </cell>
          <cell r="H4810" t="str">
            <v>g__Lactobacillus</v>
          </cell>
          <cell r="I4810" t="str">
            <v>s__unclassified_g__Lactobacillus</v>
          </cell>
        </row>
        <row r="4811">
          <cell r="G4811" t="str">
            <v>ASV5639</v>
          </cell>
          <cell r="H4811" t="str">
            <v>g__unclassified_c__Clostridia</v>
          </cell>
          <cell r="I4811" t="str">
            <v>s__unclassified_c__Clostridia</v>
          </cell>
        </row>
        <row r="4812">
          <cell r="G4812" t="str">
            <v>ASV11042</v>
          </cell>
          <cell r="H4812" t="str">
            <v>g__Lactobacillus</v>
          </cell>
          <cell r="I4812" t="str">
            <v>s__unclassified_g__Lactobacillus</v>
          </cell>
        </row>
        <row r="4813">
          <cell r="G4813" t="str">
            <v>ASV21410</v>
          </cell>
          <cell r="H4813" t="str">
            <v>g__Cloacibacillus</v>
          </cell>
          <cell r="I4813" t="str">
            <v>s__unclassified_g__Cloacibacillus</v>
          </cell>
        </row>
        <row r="4814">
          <cell r="G4814" t="str">
            <v>ASV18747</v>
          </cell>
          <cell r="H4814" t="str">
            <v>g__Acinetobacter</v>
          </cell>
          <cell r="I4814" t="str">
            <v>s__unclassified_g__Acinetobacter</v>
          </cell>
        </row>
        <row r="4815">
          <cell r="G4815" t="str">
            <v>ASV13985</v>
          </cell>
          <cell r="H4815" t="str">
            <v>g__unclassified_f__Oscillospiraceae</v>
          </cell>
          <cell r="I4815" t="str">
            <v>s__unclassified_f__Oscillospiraceae</v>
          </cell>
        </row>
        <row r="4816">
          <cell r="G4816" t="str">
            <v>ASV13977</v>
          </cell>
          <cell r="H4816" t="str">
            <v>g__unclassified_f__Lachnospiraceae</v>
          </cell>
          <cell r="I4816" t="str">
            <v>s__unclassified_f__Lachnospiraceae</v>
          </cell>
        </row>
        <row r="4817">
          <cell r="G4817" t="str">
            <v>ASV5646</v>
          </cell>
          <cell r="H4817" t="str">
            <v>g__Desulfovibrio</v>
          </cell>
          <cell r="I4817" t="str">
            <v>s__unclassified_g__Desulfovibrio</v>
          </cell>
        </row>
        <row r="4818">
          <cell r="G4818" t="str">
            <v>ASV3848</v>
          </cell>
          <cell r="H4818" t="str">
            <v>g__Phascolarctobacterium</v>
          </cell>
          <cell r="I4818" t="str">
            <v>s__Ruminococcus_sp._N15.MGS-57_g__Phascolarctobacterium</v>
          </cell>
        </row>
        <row r="4819">
          <cell r="G4819" t="str">
            <v>ASV3854</v>
          </cell>
          <cell r="H4819" t="str">
            <v>g__Cloacibacillus</v>
          </cell>
          <cell r="I4819" t="str">
            <v>s__unclassified_g__Cloacibacillus</v>
          </cell>
        </row>
        <row r="4820">
          <cell r="G4820" t="str">
            <v>ASV7413</v>
          </cell>
          <cell r="H4820" t="str">
            <v>g__unclassified_c__Bacilli</v>
          </cell>
          <cell r="I4820" t="str">
            <v>s__unclassified_c__Bacilli</v>
          </cell>
        </row>
        <row r="4821">
          <cell r="G4821" t="str">
            <v>ASV10472</v>
          </cell>
          <cell r="H4821" t="str">
            <v>g__norank_f__Eubacterium_coprostanoligenes_group</v>
          </cell>
          <cell r="I4821" t="str">
            <v>s__Eubacterium_coprostanoligenes</v>
          </cell>
        </row>
        <row r="4822">
          <cell r="G4822" t="str">
            <v>ASV20404</v>
          </cell>
          <cell r="H4822" t="str">
            <v>g__norank_f__norank_o__Clostridia_vadinBB60_group</v>
          </cell>
          <cell r="I4822" t="str">
            <v>s__Clostridiales_bacterium_canine_oral_taxon_260</v>
          </cell>
        </row>
        <row r="4823">
          <cell r="G4823" t="str">
            <v>ASV13291</v>
          </cell>
          <cell r="H4823" t="str">
            <v>g__unclassified_c__Bacilli</v>
          </cell>
          <cell r="I4823" t="str">
            <v>s__unclassified_c__Bacilli</v>
          </cell>
        </row>
        <row r="4824">
          <cell r="G4824" t="str">
            <v>ASV23910</v>
          </cell>
          <cell r="H4824" t="str">
            <v>g__Family_XIII_AD3011_group</v>
          </cell>
          <cell r="I4824" t="str">
            <v>s__uncultured_bacterium_g__Family_XIII_AD3011_group</v>
          </cell>
        </row>
        <row r="4825">
          <cell r="G4825" t="str">
            <v>ASV17814</v>
          </cell>
          <cell r="H4825" t="str">
            <v>g__Collinsella</v>
          </cell>
          <cell r="I4825" t="str">
            <v>s__uncultured_bacterium_g__Collinsella</v>
          </cell>
        </row>
        <row r="4826">
          <cell r="G4826" t="str">
            <v>ASV7560</v>
          </cell>
          <cell r="H4826" t="str">
            <v>g__Dorea</v>
          </cell>
          <cell r="I4826" t="str">
            <v>s__unclassified_g__Dorea</v>
          </cell>
        </row>
        <row r="4827">
          <cell r="G4827" t="str">
            <v>ASV21912</v>
          </cell>
          <cell r="H4827" t="str">
            <v>g__norank_f__Eubacterium_coprostanoligenes_group</v>
          </cell>
          <cell r="I4827" t="str">
            <v>s__Eubacterium_coprostanoligenes</v>
          </cell>
        </row>
        <row r="4828">
          <cell r="G4828" t="str">
            <v>ASV21905</v>
          </cell>
          <cell r="H4828" t="str">
            <v>g__unclassified_f__Lachnospiraceae</v>
          </cell>
          <cell r="I4828" t="str">
            <v>s__unclassified_f__Lachnospiraceae</v>
          </cell>
        </row>
        <row r="4829">
          <cell r="G4829" t="str">
            <v>ASV17811</v>
          </cell>
          <cell r="H4829" t="str">
            <v>g__norank_f__Eubacterium_coprostanoligenes_group</v>
          </cell>
          <cell r="I4829" t="str">
            <v>s__unclassified_g__norank_f__Eubacterium_coprostanoligenes_group</v>
          </cell>
        </row>
        <row r="4830">
          <cell r="G4830" t="str">
            <v>ASV13290</v>
          </cell>
          <cell r="H4830" t="str">
            <v>g__unclassified_c__Clostridia</v>
          </cell>
          <cell r="I4830" t="str">
            <v>s__unclassified_c__Clostridia</v>
          </cell>
        </row>
        <row r="4831">
          <cell r="G4831" t="str">
            <v>ASV13973</v>
          </cell>
          <cell r="H4831" t="str">
            <v>g__unclassified_f__Peptostreptococcaceae</v>
          </cell>
          <cell r="I4831" t="str">
            <v>s__unclassified_f__Peptostreptococcaceae</v>
          </cell>
        </row>
        <row r="4832">
          <cell r="G4832" t="str">
            <v>ASV11276</v>
          </cell>
          <cell r="H4832" t="str">
            <v>g__Eubacterium_oxidoreducens_group</v>
          </cell>
          <cell r="I4832" t="str">
            <v>s__unclassified_g__Eubacterium_oxidoreducens_group</v>
          </cell>
        </row>
        <row r="4833">
          <cell r="G4833" t="str">
            <v>ASV17591</v>
          </cell>
          <cell r="H4833" t="str">
            <v>g__Actinobacillus</v>
          </cell>
          <cell r="I4833" t="str">
            <v>s__unclassified_g__Actinobacillus</v>
          </cell>
        </row>
        <row r="4834">
          <cell r="G4834" t="str">
            <v>ASV359</v>
          </cell>
          <cell r="H4834" t="str">
            <v>g__unclassified_f__Prevotellaceae</v>
          </cell>
          <cell r="I4834" t="str">
            <v>s__unclassified_f__Prevotellaceae</v>
          </cell>
        </row>
        <row r="4835">
          <cell r="G4835" t="str">
            <v>ASV7541</v>
          </cell>
          <cell r="H4835" t="str">
            <v>g__unclassified_f__Lachnospiraceae</v>
          </cell>
          <cell r="I4835" t="str">
            <v>s__unclassified_f__Lachnospiraceae</v>
          </cell>
        </row>
        <row r="4836">
          <cell r="G4836" t="str">
            <v>ASV7554</v>
          </cell>
          <cell r="H4836" t="str">
            <v>g__unclassified_c__Clostridia</v>
          </cell>
          <cell r="I4836" t="str">
            <v>s__unclassified_c__Clostridia</v>
          </cell>
        </row>
        <row r="4837">
          <cell r="G4837" t="str">
            <v>ASV21161</v>
          </cell>
          <cell r="H4837" t="str">
            <v>g__Faecalibacterium</v>
          </cell>
          <cell r="I4837" t="str">
            <v>s__uncultured_bacterium_g__Faecalibacterium</v>
          </cell>
        </row>
        <row r="4838">
          <cell r="G4838" t="str">
            <v>ASV23063</v>
          </cell>
          <cell r="H4838" t="str">
            <v>g__Oribacterium</v>
          </cell>
          <cell r="I4838" t="str">
            <v>s__uncultured_bacterium_g__Oribacterium</v>
          </cell>
        </row>
        <row r="4839">
          <cell r="G4839" t="str">
            <v>ASV368</v>
          </cell>
          <cell r="H4839" t="str">
            <v>g__Candidatus_Soleaferrea</v>
          </cell>
          <cell r="I4839" t="str">
            <v>s__uncultured_bacterium_g__Candidatus_Soleaferrea</v>
          </cell>
        </row>
        <row r="4840">
          <cell r="G4840" t="str">
            <v>ASV20411</v>
          </cell>
          <cell r="H4840" t="str">
            <v>g__Blautia</v>
          </cell>
          <cell r="I4840" t="str">
            <v>s__unclassified_g__Blautia</v>
          </cell>
        </row>
        <row r="4841">
          <cell r="G4841" t="str">
            <v>ASV19303</v>
          </cell>
          <cell r="H4841" t="str">
            <v>g__Terrisporobacter</v>
          </cell>
          <cell r="I4841" t="str">
            <v>s__unclassified_g__Terrisporobacter</v>
          </cell>
        </row>
        <row r="4842">
          <cell r="G4842" t="str">
            <v>ASV6575</v>
          </cell>
          <cell r="H4842" t="str">
            <v>g__unclassified_c__Clostridia</v>
          </cell>
          <cell r="I4842" t="str">
            <v>s__unclassified_c__Clostridia</v>
          </cell>
        </row>
        <row r="4843">
          <cell r="G4843" t="str">
            <v>ASV10471</v>
          </cell>
          <cell r="H4843" t="str">
            <v>g__Bacillus</v>
          </cell>
          <cell r="I4843" t="str">
            <v>s__Lactobacillus_vaginalis_g__Bacillus</v>
          </cell>
        </row>
        <row r="4844">
          <cell r="G4844" t="str">
            <v>ASV6845</v>
          </cell>
          <cell r="H4844" t="str">
            <v>g__Campylobacter</v>
          </cell>
          <cell r="I4844" t="str">
            <v>s__unclassified_g__Campylobacter</v>
          </cell>
        </row>
        <row r="4845">
          <cell r="G4845" t="str">
            <v>ASV10455</v>
          </cell>
          <cell r="H4845" t="str">
            <v>g__norank_f__Muribaculaceae</v>
          </cell>
          <cell r="I4845" t="str">
            <v>s__unclassified_g__norank_f__Muribaculaceae</v>
          </cell>
        </row>
        <row r="4846">
          <cell r="G4846" t="str">
            <v>ASV12583</v>
          </cell>
          <cell r="H4846" t="str">
            <v>g__unclassified_f__Lachnospiraceae</v>
          </cell>
          <cell r="I4846" t="str">
            <v>s__unclassified_f__Lachnospiraceae</v>
          </cell>
        </row>
        <row r="4847">
          <cell r="G4847" t="str">
            <v>ASV20579</v>
          </cell>
          <cell r="H4847" t="str">
            <v>g__Clostridium_sensu_stricto_1</v>
          </cell>
          <cell r="I4847" t="str">
            <v>s__uncultured_bacterium_g__Clostridium_sensu_stricto_1</v>
          </cell>
        </row>
        <row r="4848">
          <cell r="G4848" t="str">
            <v>ASV7538</v>
          </cell>
          <cell r="H4848" t="str">
            <v>g__unclassified_p__Firmicutes</v>
          </cell>
          <cell r="I4848" t="str">
            <v>s__unclassified_p__Firmicutes</v>
          </cell>
        </row>
        <row r="4849">
          <cell r="G4849" t="str">
            <v>ASV7533</v>
          </cell>
          <cell r="H4849" t="str">
            <v>g__Holdemanella</v>
          </cell>
          <cell r="I4849" t="str">
            <v>s__uncultured_bacterium_g__Holdemanella</v>
          </cell>
        </row>
        <row r="4850">
          <cell r="G4850" t="str">
            <v>ASV10460</v>
          </cell>
          <cell r="H4850" t="str">
            <v>g__Lactobacillus</v>
          </cell>
          <cell r="I4850" t="str">
            <v>s__unclassified_g__Lactobacillus</v>
          </cell>
        </row>
        <row r="4851">
          <cell r="G4851" t="str">
            <v>ASV9215</v>
          </cell>
          <cell r="H4851" t="str">
            <v>g__norank_f__Eubacterium_coprostanoligenes_group</v>
          </cell>
          <cell r="I4851" t="str">
            <v>s__uncultured_bacterium_g__norank_f__Eubacterium_coprostanoligenes_group</v>
          </cell>
        </row>
        <row r="4852">
          <cell r="G4852" t="str">
            <v>ASV16174</v>
          </cell>
          <cell r="H4852" t="str">
            <v>g__Lactobacillus</v>
          </cell>
          <cell r="I4852" t="str">
            <v>s__unclassified_g__Lactobacillus</v>
          </cell>
        </row>
        <row r="4853">
          <cell r="G4853" t="str">
            <v>ASV16268</v>
          </cell>
          <cell r="H4853" t="str">
            <v>g__UCG-004</v>
          </cell>
          <cell r="I4853" t="str">
            <v>s__unclassified_g__UCG-004</v>
          </cell>
        </row>
        <row r="4854">
          <cell r="G4854" t="str">
            <v>ASV21899</v>
          </cell>
          <cell r="H4854" t="str">
            <v>g__Ruminococcus</v>
          </cell>
          <cell r="I4854" t="str">
            <v>s__unclassified_g__Ruminococcus</v>
          </cell>
        </row>
        <row r="4855">
          <cell r="G4855" t="str">
            <v>ASV4573</v>
          </cell>
          <cell r="H4855" t="str">
            <v>g__unclassified_c__Clostridia</v>
          </cell>
          <cell r="I4855" t="str">
            <v>s__unclassified_c__Clostridia</v>
          </cell>
        </row>
        <row r="4856">
          <cell r="G4856" t="str">
            <v>ASV13971</v>
          </cell>
          <cell r="H4856" t="str">
            <v>g__Lactobacillus</v>
          </cell>
          <cell r="I4856" t="str">
            <v>s__Lactobacillus_sp._KC45b</v>
          </cell>
        </row>
        <row r="4857">
          <cell r="G4857" t="str">
            <v>ASV6578</v>
          </cell>
          <cell r="H4857" t="str">
            <v>g__unclassified_k__norank_d__Bacteria</v>
          </cell>
          <cell r="I4857" t="str">
            <v>s__unclassified_k__norank_d__Bacteria</v>
          </cell>
        </row>
        <row r="4858">
          <cell r="G4858" t="str">
            <v>ASV16825</v>
          </cell>
          <cell r="H4858" t="str">
            <v>g__unclassified_f__Lachnospiraceae</v>
          </cell>
          <cell r="I4858" t="str">
            <v>s__unclassified_f__Lachnospiraceae</v>
          </cell>
        </row>
        <row r="4859">
          <cell r="G4859" t="str">
            <v>ASV23821</v>
          </cell>
          <cell r="H4859" t="str">
            <v>g__Megasphaera</v>
          </cell>
          <cell r="I4859" t="str">
            <v>s__unclassified_g__Megasphaera</v>
          </cell>
        </row>
        <row r="4860">
          <cell r="G4860" t="str">
            <v>ASV9222</v>
          </cell>
          <cell r="H4860" t="str">
            <v>g__unclassified_c__Clostridia</v>
          </cell>
          <cell r="I4860" t="str">
            <v>s__unclassified_c__Clostridia</v>
          </cell>
        </row>
        <row r="4861">
          <cell r="G4861" t="str">
            <v>ASV19299</v>
          </cell>
          <cell r="H4861" t="str">
            <v>g__norank_f__Muribaculaceae</v>
          </cell>
          <cell r="I4861" t="str">
            <v>s__uncultured_bacterium_g__norank_f__Muribaculaceae</v>
          </cell>
        </row>
        <row r="4862">
          <cell r="G4862" t="str">
            <v>ASV13294</v>
          </cell>
          <cell r="H4862" t="str">
            <v>g__unclassified_f__Peptostreptococcaceae</v>
          </cell>
          <cell r="I4862" t="str">
            <v>s__unclassified_f__Peptostreptococcaceae</v>
          </cell>
        </row>
        <row r="4863">
          <cell r="G4863" t="str">
            <v>ASV20589</v>
          </cell>
          <cell r="H4863" t="str">
            <v>g__norank_f__Eubacterium_coprostanoligenes_group</v>
          </cell>
          <cell r="I4863" t="str">
            <v>s__uncultured_bacterium_g__norank_f__Eubacterium_coprostanoligenes_group</v>
          </cell>
        </row>
        <row r="4864">
          <cell r="G4864" t="str">
            <v>ASV5621</v>
          </cell>
          <cell r="H4864" t="str">
            <v>g__unclassified_f__Enterobacteriaceae</v>
          </cell>
          <cell r="I4864" t="str">
            <v>s__unclassified_f__Enterobacteriaceae</v>
          </cell>
        </row>
        <row r="4865">
          <cell r="G4865" t="str">
            <v>ASV11294</v>
          </cell>
          <cell r="H4865" t="str">
            <v>g__norank_f__Ruminococcaceae</v>
          </cell>
          <cell r="I4865" t="str">
            <v>s__unclassified_g__norank_f__Ruminococcaceae</v>
          </cell>
        </row>
        <row r="4866">
          <cell r="G4866" t="str">
            <v>ASV11313</v>
          </cell>
          <cell r="H4866" t="str">
            <v>g__norank_f__Ruminococcaceae</v>
          </cell>
          <cell r="I4866" t="str">
            <v>s__uncultured_bacterium_g__norank_f__Ruminococcaceae</v>
          </cell>
        </row>
        <row r="4867">
          <cell r="G4867" t="str">
            <v>ASV11296</v>
          </cell>
          <cell r="H4867" t="str">
            <v>g__unclassified_f__Lachnospiraceae</v>
          </cell>
          <cell r="I4867" t="str">
            <v>s__unclassified_f__Lachnospiraceae</v>
          </cell>
        </row>
        <row r="4868">
          <cell r="G4868" t="str">
            <v>ASV5642</v>
          </cell>
          <cell r="H4868" t="str">
            <v>g__Christensenellaceae_R-7_group</v>
          </cell>
          <cell r="I4868" t="str">
            <v>s__unclassified_g__Christensenellaceae_R-7_group</v>
          </cell>
        </row>
        <row r="4869">
          <cell r="G4869" t="str">
            <v>ASV17178</v>
          </cell>
          <cell r="H4869" t="str">
            <v>g__Selenomonas</v>
          </cell>
          <cell r="I4869" t="str">
            <v>s__bacterium_mpn-isolate_group_9</v>
          </cell>
        </row>
        <row r="4870">
          <cell r="G4870" t="str">
            <v>ASV23065</v>
          </cell>
          <cell r="H4870" t="str">
            <v>g__unclassified_c__Clostridia</v>
          </cell>
          <cell r="I4870" t="str">
            <v>s__unclassified_c__Clostridia</v>
          </cell>
        </row>
        <row r="4871">
          <cell r="G4871" t="str">
            <v>ASV23915</v>
          </cell>
          <cell r="H4871" t="str">
            <v>g__Megasphaera</v>
          </cell>
          <cell r="I4871" t="str">
            <v>s__unclassified_g__Megasphaera</v>
          </cell>
        </row>
        <row r="4872">
          <cell r="G4872" t="str">
            <v>ASV2709</v>
          </cell>
          <cell r="H4872" t="str">
            <v>g__Streptococcus</v>
          </cell>
          <cell r="I4872" t="str">
            <v>s__unclassified_g__Streptococcus</v>
          </cell>
        </row>
        <row r="4873">
          <cell r="G4873" t="str">
            <v>ASV4560</v>
          </cell>
          <cell r="H4873" t="str">
            <v>g__Lactobacillus</v>
          </cell>
          <cell r="I4873" t="str">
            <v>s__unclassified_g__Lactobacillus</v>
          </cell>
        </row>
        <row r="4874">
          <cell r="G4874" t="str">
            <v>ASV21928</v>
          </cell>
          <cell r="H4874" t="str">
            <v>g__UCG-005</v>
          </cell>
          <cell r="I4874" t="str">
            <v>s__unclassified_g__UCG-005</v>
          </cell>
        </row>
        <row r="4875">
          <cell r="G4875" t="str">
            <v>ASV10470</v>
          </cell>
          <cell r="H4875" t="str">
            <v>g__Sharpea</v>
          </cell>
          <cell r="I4875" t="str">
            <v>s__unclassified_g__Sharpea</v>
          </cell>
        </row>
        <row r="4876">
          <cell r="G4876" t="str">
            <v>ASV4575</v>
          </cell>
          <cell r="H4876" t="str">
            <v>g__norank_f__Peptostreptococcaceae</v>
          </cell>
          <cell r="I4876" t="str">
            <v>s__unclassified_g__norank_f__Peptostreptococcaceae</v>
          </cell>
        </row>
        <row r="4877">
          <cell r="G4877" t="str">
            <v>ASV1991</v>
          </cell>
          <cell r="H4877" t="str">
            <v>g__Christensenellaceae_R-7_group</v>
          </cell>
          <cell r="I4877" t="str">
            <v>s__unclassified_g__Christensenellaceae_R-7_group</v>
          </cell>
        </row>
        <row r="4878">
          <cell r="G4878" t="str">
            <v>ASV4571</v>
          </cell>
          <cell r="H4878" t="str">
            <v>g__Christensenellaceae_R-7_group</v>
          </cell>
          <cell r="I4878" t="str">
            <v>s__unclassified_g__Christensenellaceae_R-7_group</v>
          </cell>
        </row>
        <row r="4879">
          <cell r="G4879" t="str">
            <v>ASV10457</v>
          </cell>
          <cell r="H4879" t="str">
            <v>g__Rikenellaceae_RC9_gut_group</v>
          </cell>
          <cell r="I4879" t="str">
            <v>s__uncultured_bacterium_g__Rikenellaceae_RC9_gut_group</v>
          </cell>
        </row>
        <row r="4880">
          <cell r="G4880" t="str">
            <v>ASV1989</v>
          </cell>
          <cell r="H4880" t="str">
            <v>g__Lactobacillus</v>
          </cell>
          <cell r="I4880" t="str">
            <v>s__Lactobacillus_sp._KC45b</v>
          </cell>
        </row>
        <row r="4881">
          <cell r="G4881" t="str">
            <v>ASV23066</v>
          </cell>
          <cell r="H4881" t="str">
            <v>g__unclassified_c__Clostridia</v>
          </cell>
          <cell r="I4881" t="str">
            <v>s__unclassified_c__Clostridia</v>
          </cell>
        </row>
        <row r="4882">
          <cell r="G4882" t="str">
            <v>ASV5622</v>
          </cell>
          <cell r="H4882" t="str">
            <v>g__Escherichia-Shigella</v>
          </cell>
          <cell r="I4882" t="str">
            <v>s__unclassified_g__Escherichia-Shigella</v>
          </cell>
        </row>
        <row r="4883">
          <cell r="G4883" t="str">
            <v>ASV15910</v>
          </cell>
          <cell r="H4883" t="str">
            <v>g__Fusobacterium</v>
          </cell>
          <cell r="I4883" t="str">
            <v>s__Fusobacterium_necrophorum_subsp._funduliforme_ATCC_51357</v>
          </cell>
        </row>
        <row r="4884">
          <cell r="G4884" t="str">
            <v>ASV20583</v>
          </cell>
          <cell r="H4884" t="str">
            <v>g__unclassified_f__Lachnospiraceae</v>
          </cell>
          <cell r="I4884" t="str">
            <v>s__unclassified_f__Lachnospiraceae</v>
          </cell>
        </row>
        <row r="4885">
          <cell r="G4885" t="str">
            <v>ASV16831</v>
          </cell>
          <cell r="H4885" t="str">
            <v>g__Lactobacillus</v>
          </cell>
          <cell r="I4885" t="str">
            <v>s__unclassified_g__Lactobacillus</v>
          </cell>
        </row>
        <row r="4886">
          <cell r="G4886" t="str">
            <v>ASV7274</v>
          </cell>
          <cell r="H4886" t="str">
            <v>g__Asinibacterium</v>
          </cell>
          <cell r="I4886" t="str">
            <v>s__uncultured_bacterium_g__Asinibacterium</v>
          </cell>
        </row>
        <row r="4887">
          <cell r="G4887" t="str">
            <v>ASV9220</v>
          </cell>
          <cell r="H4887" t="str">
            <v>g__unclassified_c__Clostridia</v>
          </cell>
          <cell r="I4887" t="str">
            <v>s__unclassified_c__Clostridia</v>
          </cell>
        </row>
        <row r="4888">
          <cell r="G4888" t="str">
            <v>ASV20216</v>
          </cell>
          <cell r="H4888" t="str">
            <v>g__Bacteroides</v>
          </cell>
          <cell r="I4888" t="str">
            <v>s__unclassified_g__Bacteroides</v>
          </cell>
        </row>
        <row r="4889">
          <cell r="G4889" t="str">
            <v>ASV16287</v>
          </cell>
          <cell r="H4889" t="str">
            <v>g__NK4A214_group</v>
          </cell>
          <cell r="I4889" t="str">
            <v>s__uncultured_bacterium_g__NK4A214_group</v>
          </cell>
        </row>
        <row r="4890">
          <cell r="G4890" t="str">
            <v>ASV13992</v>
          </cell>
          <cell r="H4890" t="str">
            <v>g__unclassified_o__Peptostreptococcales-Tissierellales</v>
          </cell>
          <cell r="I4890" t="str">
            <v>s__unclassified_o__Peptostreptococcales-Tissierellales</v>
          </cell>
        </row>
        <row r="4891">
          <cell r="G4891" t="str">
            <v>ASV10464</v>
          </cell>
          <cell r="H4891" t="str">
            <v>g__Clostridium_sensu_stricto_1</v>
          </cell>
          <cell r="I4891" t="str">
            <v>s__unclassified_g__Clostridium_sensu_stricto_1</v>
          </cell>
        </row>
        <row r="4892">
          <cell r="G4892" t="str">
            <v>ASV21906</v>
          </cell>
          <cell r="H4892" t="str">
            <v>g__unclassified_c__Clostridia</v>
          </cell>
          <cell r="I4892" t="str">
            <v>s__unclassified_c__Clostridia</v>
          </cell>
        </row>
        <row r="4893">
          <cell r="G4893" t="str">
            <v>ASV13986</v>
          </cell>
          <cell r="H4893" t="str">
            <v>g__unclassified_c__Clostridia</v>
          </cell>
          <cell r="I4893" t="str">
            <v>s__unclassified_c__Clostridia</v>
          </cell>
        </row>
        <row r="4894">
          <cell r="G4894" t="str">
            <v>ASV7192</v>
          </cell>
          <cell r="H4894" t="str">
            <v>g__unclassified_f__Microbacteriaceae</v>
          </cell>
          <cell r="I4894" t="str">
            <v>s__unclassified_f__Microbacteriaceae</v>
          </cell>
        </row>
        <row r="4895">
          <cell r="G4895" t="str">
            <v>ASV17795</v>
          </cell>
          <cell r="H4895" t="str">
            <v>g__unclassified_f__Lachnospiraceae</v>
          </cell>
          <cell r="I4895" t="str">
            <v>s__unclassified_f__Lachnospiraceae</v>
          </cell>
        </row>
        <row r="4896">
          <cell r="G4896" t="str">
            <v>ASV13293</v>
          </cell>
          <cell r="H4896" t="str">
            <v>g__unclassified_f__Peptostreptococcaceae</v>
          </cell>
          <cell r="I4896" t="str">
            <v>s__unclassified_f__Peptostreptococcaceae</v>
          </cell>
        </row>
        <row r="4897">
          <cell r="G4897" t="str">
            <v>ASV5650</v>
          </cell>
          <cell r="H4897" t="str">
            <v>g__unclassified_f__Lachnospiraceae</v>
          </cell>
          <cell r="I4897" t="str">
            <v>s__unclassified_f__Lachnospiraceae</v>
          </cell>
        </row>
        <row r="4898">
          <cell r="G4898" t="str">
            <v>ASV20215</v>
          </cell>
          <cell r="H4898" t="str">
            <v>g__Lactobacillus</v>
          </cell>
          <cell r="I4898" t="str">
            <v>s__unclassified_g__Lactobacillus</v>
          </cell>
        </row>
        <row r="4899">
          <cell r="G4899" t="str">
            <v>ASV21900</v>
          </cell>
          <cell r="H4899" t="str">
            <v>g__unclassified_f__Lachnospiraceae</v>
          </cell>
          <cell r="I4899" t="str">
            <v>s__unclassified_f__Lachnospiraceae</v>
          </cell>
        </row>
        <row r="4900">
          <cell r="G4900" t="str">
            <v>ASV3617</v>
          </cell>
          <cell r="H4900" t="str">
            <v>g__unclassified_c__Bacilli</v>
          </cell>
          <cell r="I4900" t="str">
            <v>s__unclassified_c__Bacilli</v>
          </cell>
        </row>
        <row r="4901">
          <cell r="G4901" t="str">
            <v>ASV17653</v>
          </cell>
          <cell r="H4901" t="str">
            <v>g__norank_f__Eubacterium_coprostanoligenes_group</v>
          </cell>
          <cell r="I4901" t="str">
            <v>s__human_gut_metagenome_g__norank_f__Eubacterium_coprostanoligenes_group</v>
          </cell>
        </row>
        <row r="4902">
          <cell r="G4902" t="str">
            <v>ASV24087</v>
          </cell>
          <cell r="H4902" t="str">
            <v>g__Alloprevotella</v>
          </cell>
          <cell r="I4902" t="str">
            <v>s__uncultured_bacterium_g__Alloprevotella</v>
          </cell>
        </row>
        <row r="4903">
          <cell r="G4903" t="str">
            <v>ASV23816</v>
          </cell>
          <cell r="H4903" t="str">
            <v>g__Barnesiella</v>
          </cell>
          <cell r="I4903" t="str">
            <v>s__unclassified_g__Barnesiella</v>
          </cell>
        </row>
        <row r="4904">
          <cell r="G4904" t="str">
            <v>ASV21720</v>
          </cell>
          <cell r="H4904" t="str">
            <v>g__Acinetobacter</v>
          </cell>
          <cell r="I4904" t="str">
            <v>s__unclassified_g__Acinetobacter</v>
          </cell>
        </row>
        <row r="4905">
          <cell r="G4905" t="str">
            <v>ASV370</v>
          </cell>
          <cell r="H4905" t="str">
            <v>g__unclassified_f__Peptostreptococcaceae</v>
          </cell>
          <cell r="I4905" t="str">
            <v>s__unclassified_f__Peptostreptococcaceae</v>
          </cell>
        </row>
        <row r="4906">
          <cell r="G4906" t="str">
            <v>ASV21167</v>
          </cell>
          <cell r="H4906" t="str">
            <v>g__unclassified_f__Lachnospiraceae</v>
          </cell>
          <cell r="I4906" t="str">
            <v>s__unclassified_f__Lachnospiraceae</v>
          </cell>
        </row>
        <row r="4907">
          <cell r="G4907" t="str">
            <v>ASV19307</v>
          </cell>
          <cell r="H4907" t="str">
            <v>g__UCG-002</v>
          </cell>
          <cell r="I4907" t="str">
            <v>s__unclassified_g__UCG-002</v>
          </cell>
        </row>
        <row r="4908">
          <cell r="G4908" t="str">
            <v>ASV5624</v>
          </cell>
          <cell r="H4908" t="str">
            <v>g__unclassified_f__Clostridiaceae</v>
          </cell>
          <cell r="I4908" t="str">
            <v>s__unclassified_f__Clostridiaceae</v>
          </cell>
        </row>
        <row r="4909">
          <cell r="G4909" t="str">
            <v>ASV4569</v>
          </cell>
          <cell r="H4909" t="str">
            <v>g__unclassified_o__Peptostreptococcales-Tissierellales</v>
          </cell>
          <cell r="I4909" t="str">
            <v>s__unclassified_o__Peptostreptococcales-Tissierellales</v>
          </cell>
        </row>
        <row r="4910">
          <cell r="G4910" t="str">
            <v>ASV3614</v>
          </cell>
          <cell r="H4910" t="str">
            <v>g__Treponema</v>
          </cell>
          <cell r="I4910" t="str">
            <v>s__unclassified_g__Treponema</v>
          </cell>
        </row>
        <row r="4911">
          <cell r="G4911" t="str">
            <v>ASV13997</v>
          </cell>
          <cell r="H4911" t="str">
            <v>g__unclassified_c__Clostridia</v>
          </cell>
          <cell r="I4911" t="str">
            <v>s__unclassified_c__Clostridia</v>
          </cell>
        </row>
        <row r="4912">
          <cell r="G4912" t="str">
            <v>ASV7534</v>
          </cell>
          <cell r="H4912" t="str">
            <v>g__Ruminococcus</v>
          </cell>
          <cell r="I4912" t="str">
            <v>s__unclassified_g__Ruminococcus</v>
          </cell>
        </row>
        <row r="4913">
          <cell r="G4913" t="str">
            <v>ASV21930</v>
          </cell>
          <cell r="H4913" t="str">
            <v>g__Lactobacillus</v>
          </cell>
          <cell r="I4913" t="str">
            <v>s__unclassified_g__Lactobacillus</v>
          </cell>
        </row>
        <row r="4914">
          <cell r="G4914" t="str">
            <v>ASV13298</v>
          </cell>
          <cell r="H4914" t="str">
            <v>g__Christensenellaceae_R-7_group</v>
          </cell>
          <cell r="I4914" t="str">
            <v>s__unclassified_g__Christensenellaceae_R-7_group</v>
          </cell>
        </row>
        <row r="4915">
          <cell r="G4915" t="str">
            <v>ASV15046</v>
          </cell>
          <cell r="H4915" t="str">
            <v>g__hgcI_clade</v>
          </cell>
          <cell r="I4915" t="str">
            <v>s__unclassified_g__hgcI_clade</v>
          </cell>
        </row>
        <row r="4916">
          <cell r="G4916" t="str">
            <v>ASV17794</v>
          </cell>
          <cell r="H4916" t="str">
            <v>g__unclassified_c__Clostridia</v>
          </cell>
          <cell r="I4916" t="str">
            <v>s__unclassified_c__Clostridia</v>
          </cell>
        </row>
        <row r="4917">
          <cell r="G4917" t="str">
            <v>ASV15215</v>
          </cell>
          <cell r="H4917" t="str">
            <v>g__Terrisporobacter</v>
          </cell>
          <cell r="I4917" t="str">
            <v>s__unclassified_g__Terrisporobacter</v>
          </cell>
        </row>
        <row r="4918">
          <cell r="G4918" t="str">
            <v>ASV15045</v>
          </cell>
          <cell r="H4918" t="str">
            <v>g__Rikenellaceae_RC9_gut_group</v>
          </cell>
          <cell r="I4918" t="str">
            <v>s__uncultured_bacterium_g__Rikenellaceae_RC9_gut_group</v>
          </cell>
        </row>
        <row r="4919">
          <cell r="G4919" t="str">
            <v>ASV351</v>
          </cell>
          <cell r="H4919" t="str">
            <v>g__unclassified_f__Oscillospiraceae</v>
          </cell>
          <cell r="I4919" t="str">
            <v>s__unclassified_f__Oscillospiraceae</v>
          </cell>
        </row>
        <row r="4920">
          <cell r="G4920" t="str">
            <v>ASV9232</v>
          </cell>
          <cell r="H4920" t="str">
            <v>g__unclassified_f__Lachnospiraceae</v>
          </cell>
          <cell r="I4920" t="str">
            <v>s__unclassified_f__Lachnospiraceae</v>
          </cell>
        </row>
        <row r="4921">
          <cell r="G4921" t="str">
            <v>ASV17175</v>
          </cell>
          <cell r="H4921" t="str">
            <v>g__Eubacterium</v>
          </cell>
          <cell r="I4921" t="str">
            <v>s__unclassified_g__Eubacterium</v>
          </cell>
        </row>
        <row r="4922">
          <cell r="G4922" t="str">
            <v>ASV15911</v>
          </cell>
          <cell r="H4922" t="str">
            <v>g__unclassified_c__Bacilli</v>
          </cell>
          <cell r="I4922" t="str">
            <v>s__unclassified_c__Bacilli</v>
          </cell>
        </row>
        <row r="4923">
          <cell r="G4923" t="str">
            <v>ASV5623</v>
          </cell>
          <cell r="H4923" t="str">
            <v>g__unclassified_f__Oscillospiraceae</v>
          </cell>
          <cell r="I4923" t="str">
            <v>s__unclassified_f__Oscillospiraceae</v>
          </cell>
        </row>
        <row r="4924">
          <cell r="G4924" t="str">
            <v>ASV17174</v>
          </cell>
          <cell r="H4924" t="str">
            <v>g__norank_f__Eubacterium_coprostanoligenes_group</v>
          </cell>
          <cell r="I4924" t="str">
            <v>s__human_gut_metagenome_g__norank_f__Eubacterium_coprostanoligenes_group</v>
          </cell>
        </row>
        <row r="4925">
          <cell r="G4925" t="str">
            <v>ASV19305</v>
          </cell>
          <cell r="H4925" t="str">
            <v>g__Christensenellaceae_R-7_group</v>
          </cell>
          <cell r="I4925" t="str">
            <v>s__unclassified_g__Christensenellaceae_R-7_group</v>
          </cell>
        </row>
        <row r="4926">
          <cell r="G4926" t="str">
            <v>ASV11311</v>
          </cell>
          <cell r="H4926" t="str">
            <v>g__norank_f__UCG-010</v>
          </cell>
          <cell r="I4926" t="str">
            <v>s__unclassified_g__norank_f__UCG-010</v>
          </cell>
        </row>
        <row r="4927">
          <cell r="G4927" t="str">
            <v>ASV21721</v>
          </cell>
          <cell r="H4927" t="str">
            <v>g__Tessaracoccus</v>
          </cell>
          <cell r="I4927" t="str">
            <v>s__metagenome_g__Tessaracoccus</v>
          </cell>
        </row>
        <row r="4928">
          <cell r="G4928" t="str">
            <v>ASV21576</v>
          </cell>
          <cell r="H4928" t="str">
            <v>g__unclassified_p__Firmicutes</v>
          </cell>
          <cell r="I4928" t="str">
            <v>s__unclassified_p__Firmicutes</v>
          </cell>
        </row>
        <row r="4929">
          <cell r="G4929" t="str">
            <v>ASV16279</v>
          </cell>
          <cell r="H4929" t="str">
            <v>g__unclassified_p__Firmicutes</v>
          </cell>
          <cell r="I4929" t="str">
            <v>s__unclassified_p__Firmicutes</v>
          </cell>
        </row>
        <row r="4930">
          <cell r="G4930" t="str">
            <v>ASV24381</v>
          </cell>
          <cell r="H4930" t="str">
            <v>g__unclassified_f__Selenomonadaceae</v>
          </cell>
          <cell r="I4930" t="str">
            <v>s__unclassified_f__Selenomonadaceae</v>
          </cell>
        </row>
        <row r="4931">
          <cell r="G4931" t="str">
            <v>ASV1986</v>
          </cell>
          <cell r="H4931" t="str">
            <v>g__unclassified_o__Lactobacillales</v>
          </cell>
          <cell r="I4931" t="str">
            <v>s__unclassified_o__Lactobacillales</v>
          </cell>
        </row>
        <row r="4932">
          <cell r="G4932" t="str">
            <v>ASV4579</v>
          </cell>
          <cell r="H4932" t="str">
            <v>g__unclassified_f__Lachnospiraceae</v>
          </cell>
          <cell r="I4932" t="str">
            <v>s__unclassified_f__Lachnospiraceae</v>
          </cell>
        </row>
        <row r="4933">
          <cell r="G4933" t="str">
            <v>ASV17810</v>
          </cell>
          <cell r="H4933" t="str">
            <v>g__norank_f__Eubacterium_coprostanoligenes_group</v>
          </cell>
          <cell r="I4933" t="str">
            <v>s__unclassified_g__norank_f__Eubacterium_coprostanoligenes_group</v>
          </cell>
        </row>
        <row r="4934">
          <cell r="G4934" t="str">
            <v>ASV7552</v>
          </cell>
          <cell r="H4934" t="str">
            <v>g__unclassified_f__Ruminococcaceae</v>
          </cell>
          <cell r="I4934" t="str">
            <v>s__unclassified_f__Ruminococcaceae</v>
          </cell>
        </row>
        <row r="4935">
          <cell r="G4935" t="str">
            <v>ASV16284</v>
          </cell>
          <cell r="H4935" t="str">
            <v>g__Bacteroides</v>
          </cell>
          <cell r="I4935" t="str">
            <v>s__unclassified_g__Bacteroides</v>
          </cell>
        </row>
        <row r="4936">
          <cell r="G4936" t="str">
            <v>ASV13778</v>
          </cell>
          <cell r="H4936" t="str">
            <v>g__Peptostreptococcus</v>
          </cell>
          <cell r="I4936" t="str">
            <v>s__unclassified_g__Peptostreptococcus</v>
          </cell>
        </row>
        <row r="4937">
          <cell r="G4937" t="str">
            <v>ASV11293</v>
          </cell>
          <cell r="H4937" t="str">
            <v>g__Clostridium_sensu_stricto_1</v>
          </cell>
          <cell r="I4937" t="str">
            <v>s__uncultured_bacterium_g__Clostridium_sensu_stricto_1</v>
          </cell>
        </row>
        <row r="4938">
          <cell r="G4938" t="str">
            <v>ASV23068</v>
          </cell>
          <cell r="H4938" t="str">
            <v>g__Anaerofilum</v>
          </cell>
          <cell r="I4938" t="str">
            <v>s__unclassified_g__Anaerofilum</v>
          </cell>
        </row>
        <row r="4939">
          <cell r="G4939" t="str">
            <v>ASV18808</v>
          </cell>
          <cell r="H4939" t="str">
            <v>g__Collinsella</v>
          </cell>
          <cell r="I4939" t="str">
            <v>s__unclassified_g__Collinsella</v>
          </cell>
        </row>
        <row r="4940">
          <cell r="G4940" t="str">
            <v>ASV21914</v>
          </cell>
          <cell r="H4940" t="str">
            <v>g__unclassified_c__Clostridia</v>
          </cell>
          <cell r="I4940" t="str">
            <v>s__unclassified_c__Clostridia</v>
          </cell>
        </row>
        <row r="4941">
          <cell r="G4941" t="str">
            <v>ASV16829</v>
          </cell>
          <cell r="H4941" t="str">
            <v>g__Lactobacillus</v>
          </cell>
          <cell r="I4941" t="str">
            <v>s__unclassified_g__Lactobacillus</v>
          </cell>
        </row>
        <row r="4942">
          <cell r="G4942" t="str">
            <v>ASV13779</v>
          </cell>
          <cell r="H4942" t="str">
            <v>g__unclassified_f__Anaerovoracaceae</v>
          </cell>
          <cell r="I4942" t="str">
            <v>s__unclassified_f__Anaerovoracaceae</v>
          </cell>
        </row>
        <row r="4943">
          <cell r="G4943" t="str">
            <v>ASV7537</v>
          </cell>
          <cell r="H4943" t="str">
            <v>g__Lactobacillus</v>
          </cell>
          <cell r="I4943" t="str">
            <v>s__unclassified_g__Lactobacillus</v>
          </cell>
        </row>
        <row r="4944">
          <cell r="G4944" t="str">
            <v>ASV12641</v>
          </cell>
          <cell r="H4944" t="str">
            <v>g__Paludicola</v>
          </cell>
          <cell r="I4944" t="str">
            <v>s__metagenome_g__Paludicola</v>
          </cell>
        </row>
        <row r="4945">
          <cell r="G4945" t="str">
            <v>ASV18519</v>
          </cell>
          <cell r="H4945" t="str">
            <v>g__unclassified_o__Lactobacillales</v>
          </cell>
          <cell r="I4945" t="str">
            <v>s__unclassified_o__Lactobacillales</v>
          </cell>
        </row>
        <row r="4946">
          <cell r="G4946" t="str">
            <v>ASV18521</v>
          </cell>
          <cell r="H4946" t="str">
            <v>g__unclassified_c__Clostridia</v>
          </cell>
          <cell r="I4946" t="str">
            <v>s__unclassified_c__Clostridia</v>
          </cell>
        </row>
        <row r="4947">
          <cell r="G4947" t="str">
            <v>ASV3844</v>
          </cell>
          <cell r="H4947" t="str">
            <v>g__Bacteroides</v>
          </cell>
          <cell r="I4947" t="str">
            <v>s__unclassified_g__Bacteroides</v>
          </cell>
        </row>
        <row r="4948">
          <cell r="G4948" t="str">
            <v>ASV21574</v>
          </cell>
          <cell r="H4948" t="str">
            <v>g__Escherichia-Shigella</v>
          </cell>
          <cell r="I4948" t="str">
            <v>s__unclassified_g__Escherichia-Shigella</v>
          </cell>
        </row>
        <row r="4949">
          <cell r="G4949" t="str">
            <v>ASV7542</v>
          </cell>
          <cell r="H4949" t="str">
            <v>g__unclassified_c__Clostridia</v>
          </cell>
          <cell r="I4949" t="str">
            <v>s__unclassified_c__Clostridia</v>
          </cell>
        </row>
        <row r="4950">
          <cell r="G4950" t="str">
            <v>ASV8436</v>
          </cell>
          <cell r="H4950" t="str">
            <v>g__Mitsuokella</v>
          </cell>
          <cell r="I4950" t="str">
            <v>s__unclassified_g__Mitsuokella</v>
          </cell>
        </row>
        <row r="4951">
          <cell r="G4951" t="str">
            <v>ASV9228</v>
          </cell>
          <cell r="H4951" t="str">
            <v>g__unclassified_f__Ruminococcaceae</v>
          </cell>
          <cell r="I4951" t="str">
            <v>s__unclassified_f__Ruminococcaceae</v>
          </cell>
        </row>
        <row r="4952">
          <cell r="G4952" t="str">
            <v>ASV13972</v>
          </cell>
          <cell r="H4952" t="str">
            <v>g__unclassified_f__Ruminococcaceae</v>
          </cell>
          <cell r="I4952" t="str">
            <v>s__unclassified_f__Ruminococcaceae</v>
          </cell>
        </row>
        <row r="4953">
          <cell r="G4953" t="str">
            <v>ASV15906</v>
          </cell>
          <cell r="H4953" t="str">
            <v>g__Fusobacterium</v>
          </cell>
          <cell r="I4953" t="str">
            <v>s__unclassified_g__Fusobacterium</v>
          </cell>
        </row>
        <row r="4954">
          <cell r="G4954" t="str">
            <v>ASV20218</v>
          </cell>
          <cell r="H4954" t="str">
            <v>g__unclassified_k__norank_d__Bacteria</v>
          </cell>
          <cell r="I4954" t="str">
            <v>s__unclassified_k__norank_d__Bacteria</v>
          </cell>
        </row>
        <row r="4955">
          <cell r="G4955" t="str">
            <v>ASV15050</v>
          </cell>
          <cell r="H4955" t="str">
            <v>g__Clostridium_sensu_stricto_1</v>
          </cell>
          <cell r="I4955" t="str">
            <v>s__unclassified_g__Clostridium_sensu_stricto_1</v>
          </cell>
        </row>
        <row r="4956">
          <cell r="G4956" t="str">
            <v>ASV5625</v>
          </cell>
          <cell r="H4956" t="str">
            <v>g__norank_f__Ruminococcaceae</v>
          </cell>
          <cell r="I4956" t="str">
            <v>s__unclassified_g__norank_f__Ruminococcaceae</v>
          </cell>
        </row>
        <row r="4957">
          <cell r="G4957" t="str">
            <v>ASV21920</v>
          </cell>
          <cell r="H4957" t="str">
            <v>g__unclassified_c__Clostridia</v>
          </cell>
          <cell r="I4957" t="str">
            <v>s__unclassified_c__Clostridia</v>
          </cell>
        </row>
        <row r="4958">
          <cell r="G4958" t="str">
            <v>ASV21573</v>
          </cell>
          <cell r="H4958" t="str">
            <v>g__Prevotella</v>
          </cell>
          <cell r="I4958" t="str">
            <v>s__unclassified_g__Prevotella</v>
          </cell>
        </row>
        <row r="4959">
          <cell r="G4959" t="str">
            <v>ASV4572</v>
          </cell>
          <cell r="H4959" t="str">
            <v>g__UCG-002</v>
          </cell>
          <cell r="I4959" t="str">
            <v>s__uncultured_bacterium_g__UCG-002</v>
          </cell>
        </row>
        <row r="4960">
          <cell r="G4960" t="str">
            <v>ASV15217</v>
          </cell>
          <cell r="H4960" t="str">
            <v>g__unclassified_c__Bacilli</v>
          </cell>
          <cell r="I4960" t="str">
            <v>s__unclassified_c__Bacilli</v>
          </cell>
        </row>
        <row r="4961">
          <cell r="G4961" t="str">
            <v>ASV13969</v>
          </cell>
          <cell r="H4961" t="str">
            <v>g__unclassified_c__Bacilli</v>
          </cell>
          <cell r="I4961" t="str">
            <v>s__unclassified_c__Bacilli</v>
          </cell>
        </row>
        <row r="4962">
          <cell r="G4962" t="str">
            <v>ASV13687</v>
          </cell>
          <cell r="H4962" t="str">
            <v>g__Lactobacillus</v>
          </cell>
          <cell r="I4962" t="str">
            <v>s__unclassified_g__Lactobacillus</v>
          </cell>
        </row>
        <row r="4963">
          <cell r="G4963" t="str">
            <v>ASV7330</v>
          </cell>
          <cell r="H4963" t="str">
            <v>g__Tyzzerella</v>
          </cell>
          <cell r="I4963" t="str">
            <v>s__Anaerotignum_lactatifermentans</v>
          </cell>
        </row>
        <row r="4964">
          <cell r="G4964" t="str">
            <v>ASV12582</v>
          </cell>
          <cell r="H4964" t="str">
            <v>g__unclassified_c__Clostridia</v>
          </cell>
          <cell r="I4964" t="str">
            <v>s__unclassified_c__Clostridia</v>
          </cell>
        </row>
        <row r="4965">
          <cell r="G4965" t="str">
            <v>ASV4592</v>
          </cell>
          <cell r="H4965" t="str">
            <v>g__UCG-002</v>
          </cell>
          <cell r="I4965" t="str">
            <v>s__unclassified_g__UCG-002</v>
          </cell>
        </row>
        <row r="4966">
          <cell r="G4966" t="str">
            <v>ASV15206</v>
          </cell>
          <cell r="H4966" t="str">
            <v>g__unclassified_f__Peptostreptococcaceae</v>
          </cell>
          <cell r="I4966" t="str">
            <v>s__unclassified_f__Peptostreptococcaceae</v>
          </cell>
        </row>
        <row r="4967">
          <cell r="G4967" t="str">
            <v>ASV9221</v>
          </cell>
          <cell r="H4967" t="str">
            <v>g__norank_f__Erysipelotrichaceae</v>
          </cell>
          <cell r="I4967" t="str">
            <v>s__uncultured_bacterium_g__norank_f__Erysipelotrichaceae</v>
          </cell>
        </row>
        <row r="4968">
          <cell r="G4968" t="str">
            <v>ASV9213</v>
          </cell>
          <cell r="H4968" t="str">
            <v>g__Mogibacterium</v>
          </cell>
          <cell r="I4968" t="str">
            <v>s__uncultured_bacterium_g__Mogibacterium</v>
          </cell>
        </row>
        <row r="4969">
          <cell r="G4969" t="str">
            <v>ASV7539</v>
          </cell>
          <cell r="H4969" t="str">
            <v>g__unclassified_f__Lachnospiraceae</v>
          </cell>
          <cell r="I4969" t="str">
            <v>s__unclassified_f__Lachnospiraceae</v>
          </cell>
        </row>
        <row r="4970">
          <cell r="G4970" t="str">
            <v>ASV380</v>
          </cell>
          <cell r="H4970" t="str">
            <v>g__unclassified_c__Clostridia</v>
          </cell>
          <cell r="I4970" t="str">
            <v>s__unclassified_c__Clostridia</v>
          </cell>
        </row>
        <row r="4971">
          <cell r="G4971" t="str">
            <v>ASV16285</v>
          </cell>
          <cell r="H4971" t="str">
            <v>g__UCG-002</v>
          </cell>
          <cell r="I4971" t="str">
            <v>s__unclassified_g__UCG-002</v>
          </cell>
        </row>
        <row r="4972">
          <cell r="G4972" t="str">
            <v>ASV11282</v>
          </cell>
          <cell r="H4972" t="str">
            <v>g__unclassified_c__Clostridia</v>
          </cell>
          <cell r="I4972" t="str">
            <v>s__unclassified_c__Clostridia</v>
          </cell>
        </row>
        <row r="4973">
          <cell r="G4973" t="str">
            <v>ASV6567</v>
          </cell>
          <cell r="H4973" t="str">
            <v>g__Ruminococcus</v>
          </cell>
          <cell r="I4973" t="str">
            <v>s__unclassified_g__Ruminococcus</v>
          </cell>
        </row>
        <row r="4974">
          <cell r="G4974" t="str">
            <v>ASV386</v>
          </cell>
          <cell r="H4974" t="str">
            <v>g__Ruminococcus</v>
          </cell>
          <cell r="I4974" t="str">
            <v>s__unclassified_g__Ruminococcus</v>
          </cell>
        </row>
        <row r="4975">
          <cell r="G4975" t="str">
            <v>ASV13981</v>
          </cell>
          <cell r="H4975" t="str">
            <v>g__Prevotella</v>
          </cell>
          <cell r="I4975" t="str">
            <v>s__human_gut_metagenome_g__Prevotella</v>
          </cell>
        </row>
        <row r="4976">
          <cell r="G4976" t="str">
            <v>ASV15219</v>
          </cell>
          <cell r="H4976" t="str">
            <v>g__unclassified_f__Clostridiaceae</v>
          </cell>
          <cell r="I4976" t="str">
            <v>s__unclassified_f__Clostridiaceae</v>
          </cell>
        </row>
        <row r="4977">
          <cell r="G4977" t="str">
            <v>ASV363</v>
          </cell>
          <cell r="H4977" t="str">
            <v>g__norank_f__Muribaculaceae</v>
          </cell>
          <cell r="I4977" t="str">
            <v>s__uncultured_bacterium_g__norank_f__Muribaculaceae</v>
          </cell>
        </row>
        <row r="4978">
          <cell r="G4978" t="str">
            <v>ASV1592</v>
          </cell>
          <cell r="H4978" t="str">
            <v>g__unclassified_f__Peptostreptococcaceae</v>
          </cell>
          <cell r="I4978" t="str">
            <v>s__unclassified_f__Peptostreptococcaceae</v>
          </cell>
        </row>
        <row r="4979">
          <cell r="G4979" t="str">
            <v>ASV8441</v>
          </cell>
          <cell r="H4979" t="str">
            <v>g__Lactobacillus</v>
          </cell>
          <cell r="I4979" t="str">
            <v>s__unclassified_g__Lactobacillus</v>
          </cell>
        </row>
        <row r="4980">
          <cell r="G4980" t="str">
            <v>ASV3126</v>
          </cell>
          <cell r="H4980" t="str">
            <v>g__Lactobacillus</v>
          </cell>
          <cell r="I4980" t="str">
            <v>s__unclassified_g__Lactobacillus</v>
          </cell>
        </row>
        <row r="4981">
          <cell r="G4981" t="str">
            <v>ASV3631</v>
          </cell>
          <cell r="H4981" t="str">
            <v>g__Prevotella</v>
          </cell>
          <cell r="I4981" t="str">
            <v>s__Prevotella_sp._HUN102</v>
          </cell>
        </row>
        <row r="4982">
          <cell r="G4982" t="str">
            <v>ASV10599</v>
          </cell>
          <cell r="H4982" t="str">
            <v>g__norank_f__UCG-010</v>
          </cell>
          <cell r="I4982" t="str">
            <v>s__unclassified_g__norank_f__UCG-010</v>
          </cell>
        </row>
        <row r="4983">
          <cell r="G4983" t="str">
            <v>ASV11284</v>
          </cell>
          <cell r="H4983" t="str">
            <v>g__Succiniclasticum</v>
          </cell>
          <cell r="I4983" t="str">
            <v>s__unclassified_g__Succiniclasticum</v>
          </cell>
        </row>
        <row r="4984">
          <cell r="G4984" t="str">
            <v>ASV3616</v>
          </cell>
          <cell r="H4984" t="str">
            <v>g__unclassified_c__Bacilli</v>
          </cell>
          <cell r="I4984" t="str">
            <v>s__unclassified_c__Bacilli</v>
          </cell>
        </row>
        <row r="4985">
          <cell r="G4985" t="str">
            <v>ASV19297</v>
          </cell>
          <cell r="H4985" t="str">
            <v>g__norank_f__Eubacterium_coprostanoligenes_group</v>
          </cell>
          <cell r="I4985" t="str">
            <v>s__unclassified_g__norank_f__Eubacterium_coprostanoligenes_group</v>
          </cell>
        </row>
        <row r="4986">
          <cell r="G4986" t="str">
            <v>ASV10282</v>
          </cell>
          <cell r="H4986" t="str">
            <v>g__Streptococcus</v>
          </cell>
          <cell r="I4986" t="str">
            <v>s__unclassified_g__Streptococcus</v>
          </cell>
        </row>
        <row r="4987">
          <cell r="G4987" t="str">
            <v>ASV20590</v>
          </cell>
          <cell r="H4987" t="str">
            <v>g__unclassified_f__Lachnospiraceae</v>
          </cell>
          <cell r="I4987" t="str">
            <v>s__unclassified_f__Lachnospiraceae</v>
          </cell>
        </row>
        <row r="4988">
          <cell r="G4988" t="str">
            <v>ASV19203</v>
          </cell>
          <cell r="H4988" t="str">
            <v>g__Syntrophococcus</v>
          </cell>
          <cell r="I4988" t="str">
            <v>s__uncultured_bacterium_g__Syntrophococcus</v>
          </cell>
        </row>
        <row r="4989">
          <cell r="G4989" t="str">
            <v>ASV9224</v>
          </cell>
          <cell r="H4989" t="str">
            <v>g__unclassified_f__Oscillospiraceae</v>
          </cell>
          <cell r="I4989" t="str">
            <v>s__unclassified_f__Oscillospiraceae</v>
          </cell>
        </row>
        <row r="4990">
          <cell r="G4990" t="str">
            <v>ASV374</v>
          </cell>
          <cell r="H4990" t="str">
            <v>g__unclassified_f__Ruminococcaceae</v>
          </cell>
          <cell r="I4990" t="str">
            <v>s__unclassified_f__Ruminococcaceae</v>
          </cell>
        </row>
        <row r="4991">
          <cell r="G4991" t="str">
            <v>ASV19316</v>
          </cell>
          <cell r="H4991" t="str">
            <v>g__Eubacterium_oxidoreducens_group</v>
          </cell>
          <cell r="I4991" t="str">
            <v>s__uncultured_bacterium_g__Eubacterium_oxidoreducens_group</v>
          </cell>
        </row>
        <row r="4992">
          <cell r="G4992" t="str">
            <v>ASV1990</v>
          </cell>
          <cell r="H4992" t="str">
            <v>g__Lactobacillus</v>
          </cell>
          <cell r="I4992" t="str">
            <v>s__unclassified_g__Lactobacillus</v>
          </cell>
        </row>
        <row r="4993">
          <cell r="G4993" t="str">
            <v>ASV8700</v>
          </cell>
          <cell r="H4993" t="str">
            <v>g__unclassified_c__Actinobacteria</v>
          </cell>
          <cell r="I4993" t="str">
            <v>s__unclassified_c__Actinobacteria</v>
          </cell>
        </row>
        <row r="4994">
          <cell r="G4994" t="str">
            <v>ASV11285</v>
          </cell>
          <cell r="H4994" t="str">
            <v>g__NK4A214_group</v>
          </cell>
          <cell r="I4994" t="str">
            <v>s__unclassified_g__NK4A214_group</v>
          </cell>
        </row>
        <row r="4995">
          <cell r="G4995" t="str">
            <v>ASV11305</v>
          </cell>
          <cell r="H4995" t="str">
            <v>g__norank_f__Ruminococcaceae</v>
          </cell>
          <cell r="I4995" t="str">
            <v>s__unclassified_g__norank_f__Ruminococcaceae</v>
          </cell>
        </row>
        <row r="4996">
          <cell r="G4996" t="str">
            <v>ASV5620</v>
          </cell>
          <cell r="H4996" t="str">
            <v>g__norank_f__F082</v>
          </cell>
          <cell r="I4996" t="str">
            <v>s__uncultured_bacterium_g__norank_f__F082</v>
          </cell>
        </row>
        <row r="4997">
          <cell r="G4997" t="str">
            <v>ASV11286</v>
          </cell>
          <cell r="H4997" t="str">
            <v>g__unclassified_f__Lachnospiraceae</v>
          </cell>
          <cell r="I4997" t="str">
            <v>s__unclassified_f__Lachnospiraceae</v>
          </cell>
        </row>
        <row r="4998">
          <cell r="G4998" t="str">
            <v>ASV12584</v>
          </cell>
          <cell r="H4998" t="str">
            <v>g__unclassified_c__Clostridia</v>
          </cell>
          <cell r="I4998" t="str">
            <v>s__unclassified_c__Clostridia</v>
          </cell>
        </row>
        <row r="4999">
          <cell r="G4999" t="str">
            <v>ASV17789</v>
          </cell>
          <cell r="H4999" t="str">
            <v>g__unclassified_c__Clostridia</v>
          </cell>
          <cell r="I4999" t="str">
            <v>s__unclassified_c__Clostridia</v>
          </cell>
        </row>
        <row r="5000">
          <cell r="G5000" t="str">
            <v>ASV15205</v>
          </cell>
          <cell r="H5000" t="str">
            <v>g__Christensenellaceae_R-7_group</v>
          </cell>
          <cell r="I5000" t="str">
            <v>s__uncultured_bacterium_g__Christensenellaceae_R-7_group</v>
          </cell>
        </row>
        <row r="5001">
          <cell r="G5001" t="str">
            <v>ASV7028</v>
          </cell>
          <cell r="H5001" t="str">
            <v>g__unclassified_p__Firmicutes</v>
          </cell>
          <cell r="I5001" t="str">
            <v>s__unclassified_p__Firmicutes</v>
          </cell>
        </row>
        <row r="5002">
          <cell r="G5002" t="str">
            <v>ASV7027</v>
          </cell>
          <cell r="H5002" t="str">
            <v>g__unclassified_c__Bacilli</v>
          </cell>
          <cell r="I5002" t="str">
            <v>s__unclassified_c__Bacilli</v>
          </cell>
        </row>
        <row r="5003">
          <cell r="G5003" t="str">
            <v>ASV1081</v>
          </cell>
          <cell r="H5003" t="str">
            <v>g__UCG-005</v>
          </cell>
          <cell r="I5003" t="str">
            <v>s__metagenome_g__UCG-005</v>
          </cell>
        </row>
        <row r="5004">
          <cell r="G5004" t="str">
            <v>ASV20588</v>
          </cell>
          <cell r="H5004" t="str">
            <v>g__unclassified_c__Bacilli</v>
          </cell>
          <cell r="I5004" t="str">
            <v>s__unclassified_c__Bacilli</v>
          </cell>
        </row>
        <row r="5005">
          <cell r="G5005" t="str">
            <v>ASV17655</v>
          </cell>
          <cell r="H5005" t="str">
            <v>g__Enterococcus</v>
          </cell>
          <cell r="I5005" t="str">
            <v>s__unclassified_g__Enterococcus</v>
          </cell>
        </row>
        <row r="5006">
          <cell r="G5006" t="str">
            <v>ASV8438</v>
          </cell>
          <cell r="H5006" t="str">
            <v>g__unclassified_c__Negativicutes</v>
          </cell>
          <cell r="I5006" t="str">
            <v>s__unclassified_c__Negativicutes</v>
          </cell>
        </row>
        <row r="5007">
          <cell r="G5007" t="str">
            <v>ASV3130</v>
          </cell>
          <cell r="H5007" t="str">
            <v>g__unclassified_c__Bacilli</v>
          </cell>
          <cell r="I5007" t="str">
            <v>s__unclassified_c__Bacilli</v>
          </cell>
        </row>
        <row r="5008">
          <cell r="G5008" t="str">
            <v>ASV7540</v>
          </cell>
          <cell r="H5008" t="str">
            <v>g__Oribacterium</v>
          </cell>
          <cell r="I5008" t="str">
            <v>s__uncultured_bacterium_g__Oribacterium</v>
          </cell>
        </row>
        <row r="5009">
          <cell r="G5009" t="str">
            <v>ASV18523</v>
          </cell>
          <cell r="H5009" t="str">
            <v>g__unclassified_f__Lachnospiraceae</v>
          </cell>
          <cell r="I5009" t="str">
            <v>s__unclassified_f__Lachnospiraceae</v>
          </cell>
        </row>
        <row r="5010">
          <cell r="G5010" t="str">
            <v>ASV9227</v>
          </cell>
          <cell r="H5010" t="str">
            <v>g__UCG-002</v>
          </cell>
          <cell r="I5010" t="str">
            <v>s__unclassified_g__UCG-002</v>
          </cell>
        </row>
        <row r="5011">
          <cell r="G5011" t="str">
            <v>ASV5627</v>
          </cell>
          <cell r="H5011" t="str">
            <v>g__norank_f__Muribaculaceae</v>
          </cell>
          <cell r="I5011" t="str">
            <v>s__unclassified_g__norank_f__Muribaculaceae</v>
          </cell>
        </row>
        <row r="5012">
          <cell r="G5012" t="str">
            <v>ASV3438</v>
          </cell>
          <cell r="H5012" t="str">
            <v>g__Lactobacillus</v>
          </cell>
          <cell r="I5012" t="str">
            <v>s__unclassified_g__Lactobacillus</v>
          </cell>
        </row>
        <row r="5013">
          <cell r="G5013" t="str">
            <v>ASV8944</v>
          </cell>
          <cell r="H5013" t="str">
            <v>g__unclassified_o__Lactobacillales</v>
          </cell>
          <cell r="I5013" t="str">
            <v>s__unclassified_o__Lactobacillales</v>
          </cell>
        </row>
        <row r="5014">
          <cell r="G5014" t="str">
            <v>ASV21575</v>
          </cell>
          <cell r="H5014" t="str">
            <v>g__unclassified_f__Lachnospiraceae</v>
          </cell>
          <cell r="I5014" t="str">
            <v>s__unclassified_f__Lachnospiraceae</v>
          </cell>
        </row>
        <row r="5015">
          <cell r="G5015" t="str">
            <v>ASV13295</v>
          </cell>
          <cell r="H5015" t="str">
            <v>g__Clostridium_sensu_stricto_1</v>
          </cell>
          <cell r="I5015" t="str">
            <v>s__unclassified_g__Clostridium_sensu_stricto_1</v>
          </cell>
        </row>
        <row r="5016">
          <cell r="G5016" t="str">
            <v>ASV21901</v>
          </cell>
          <cell r="H5016" t="str">
            <v>g__unclassified_f__Lachnospiraceae</v>
          </cell>
          <cell r="I5016" t="str">
            <v>s__unclassified_f__Lachnospiraceae</v>
          </cell>
        </row>
        <row r="5017">
          <cell r="G5017" t="str">
            <v>ASV16269</v>
          </cell>
          <cell r="H5017" t="str">
            <v>g__norank_f__Muribaculaceae</v>
          </cell>
          <cell r="I5017" t="str">
            <v>s__uncultured_bacterium_g__norank_f__Muribaculaceae</v>
          </cell>
        </row>
        <row r="5018">
          <cell r="G5018" t="str">
            <v>ASV8940</v>
          </cell>
          <cell r="H5018" t="str">
            <v>g__Alloprevotella</v>
          </cell>
          <cell r="I5018" t="str">
            <v>s__unclassified_g__Alloprevotella</v>
          </cell>
        </row>
        <row r="5019">
          <cell r="G5019" t="str">
            <v>ASV13968</v>
          </cell>
          <cell r="H5019" t="str">
            <v>g__Eubacterium_oxidoreducens_group</v>
          </cell>
          <cell r="I5019" t="str">
            <v>s__uncultured_bacterium_g__Eubacterium_oxidoreducens_group</v>
          </cell>
        </row>
        <row r="5020">
          <cell r="G5020" t="str">
            <v>ASV17804</v>
          </cell>
          <cell r="H5020" t="str">
            <v>g__unclassified_f__Oscillospiraceae</v>
          </cell>
          <cell r="I5020" t="str">
            <v>s__unclassified_f__Oscillospiraceae</v>
          </cell>
        </row>
        <row r="5021">
          <cell r="G5021" t="str">
            <v>ASV15210</v>
          </cell>
          <cell r="H5021" t="str">
            <v>g__unclassified_f__Clostridiaceae</v>
          </cell>
          <cell r="I5021" t="str">
            <v>s__unclassified_f__Clostridiaceae</v>
          </cell>
        </row>
        <row r="5022">
          <cell r="G5022" t="str">
            <v>ASV11308</v>
          </cell>
          <cell r="H5022" t="str">
            <v>g__Succiniclasticum</v>
          </cell>
          <cell r="I5022" t="str">
            <v>s__uncultured_rumen_bacterium_4C28d-16</v>
          </cell>
        </row>
        <row r="5023">
          <cell r="G5023" t="str">
            <v>ASV7545</v>
          </cell>
          <cell r="H5023" t="str">
            <v>g__unclassified_f__Lachnospiraceae</v>
          </cell>
          <cell r="I5023" t="str">
            <v>s__unclassified_f__Lachnospiraceae</v>
          </cell>
        </row>
        <row r="5024">
          <cell r="G5024" t="str">
            <v>ASV3127</v>
          </cell>
          <cell r="H5024" t="str">
            <v>g__Phascolarctobacterium</v>
          </cell>
          <cell r="I5024" t="str">
            <v>s__uncultured_bacterium_g__Phascolarctobacterium</v>
          </cell>
        </row>
        <row r="5025">
          <cell r="G5025" t="str">
            <v>ASV13995</v>
          </cell>
          <cell r="H5025" t="str">
            <v>g__unclassified_k__norank_d__Bacteria</v>
          </cell>
          <cell r="I5025" t="str">
            <v>s__unclassified_k__norank_d__Bacteria</v>
          </cell>
        </row>
        <row r="5026">
          <cell r="G5026" t="str">
            <v>ASV3857</v>
          </cell>
          <cell r="H5026" t="str">
            <v>g__norank_f__Eubacterium_coprostanoligenes_group</v>
          </cell>
          <cell r="I5026" t="str">
            <v>s__uncultured_bacterium_g__norank_f__Eubacterium_coprostanoligenes_group</v>
          </cell>
        </row>
        <row r="5027">
          <cell r="G5027" t="str">
            <v>ASV21169</v>
          </cell>
          <cell r="H5027" t="str">
            <v>g__Mogibacterium</v>
          </cell>
          <cell r="I5027" t="str">
            <v>s__uncultured_bacterium_g__Mogibacterium</v>
          </cell>
        </row>
        <row r="5028">
          <cell r="G5028" t="str">
            <v>ASV7556</v>
          </cell>
          <cell r="H5028" t="str">
            <v>g__unclassified_f__Lachnospiraceae</v>
          </cell>
          <cell r="I5028" t="str">
            <v>s__unclassified_f__Lachnospiraceae</v>
          </cell>
        </row>
        <row r="5029">
          <cell r="G5029" t="str">
            <v>ASV20409</v>
          </cell>
          <cell r="H5029" t="str">
            <v>g__Acinetobacter</v>
          </cell>
          <cell r="I5029" t="str">
            <v>s__unclassified_g__Acinetobacter</v>
          </cell>
        </row>
        <row r="5030">
          <cell r="G5030" t="str">
            <v>ASV21722</v>
          </cell>
          <cell r="H5030" t="str">
            <v>g__Actinobacillus</v>
          </cell>
          <cell r="I5030" t="str">
            <v>s__unclassified_g__Actinobacillus</v>
          </cell>
        </row>
        <row r="5031">
          <cell r="G5031" t="str">
            <v>ASV10473</v>
          </cell>
          <cell r="H5031" t="str">
            <v>g__unclassified_o__Peptostreptococcales-Tissierellales</v>
          </cell>
          <cell r="I5031" t="str">
            <v>s__unclassified_o__Peptostreptococcales-Tissierellales</v>
          </cell>
        </row>
        <row r="5032">
          <cell r="G5032" t="str">
            <v>ASV15202</v>
          </cell>
          <cell r="H5032" t="str">
            <v>g__norank_f__Muribaculaceae</v>
          </cell>
          <cell r="I5032" t="str">
            <v>s__uncultured_bacterium_g__norank_f__Muribaculaceae</v>
          </cell>
        </row>
        <row r="5033">
          <cell r="G5033" t="str">
            <v>ASV18804</v>
          </cell>
          <cell r="H5033" t="str">
            <v>g__unclassified_k__norank_d__Bacteria</v>
          </cell>
          <cell r="I5033" t="str">
            <v>s__unclassified_k__norank_d__Bacteria</v>
          </cell>
        </row>
        <row r="5034">
          <cell r="G5034" t="str">
            <v>ASV1979</v>
          </cell>
          <cell r="H5034" t="str">
            <v>g__Prevotella</v>
          </cell>
          <cell r="I5034" t="str">
            <v>s__Prevotella_copri_DSM_18205</v>
          </cell>
        </row>
        <row r="5035">
          <cell r="G5035" t="str">
            <v>ASV13975</v>
          </cell>
          <cell r="H5035" t="str">
            <v>g__Lactobacillus</v>
          </cell>
          <cell r="I5035" t="str">
            <v>s__unclassified_g__Lactobacillus</v>
          </cell>
        </row>
        <row r="5036">
          <cell r="G5036" t="str">
            <v>ASV21922</v>
          </cell>
          <cell r="H5036" t="str">
            <v>g__Prevotellaceae_NK3B31_group</v>
          </cell>
          <cell r="I5036" t="str">
            <v>s__uncultured_bacterium_g__Prevotellaceae_NK3B31_group</v>
          </cell>
        </row>
        <row r="5037">
          <cell r="G5037" t="str">
            <v>ASV388</v>
          </cell>
          <cell r="H5037" t="str">
            <v>g__unclassified_f__Lachnospiraceae</v>
          </cell>
          <cell r="I5037" t="str">
            <v>s__unclassified_f__Lachnospiraceae</v>
          </cell>
        </row>
        <row r="5038">
          <cell r="G5038" t="str">
            <v>ASV14931</v>
          </cell>
          <cell r="H5038" t="str">
            <v>g__Lactobacillus</v>
          </cell>
          <cell r="I5038" t="str">
            <v>s__unclassified_g__Lactobacillus</v>
          </cell>
        </row>
        <row r="5039">
          <cell r="G5039" t="str">
            <v>ASV23819</v>
          </cell>
          <cell r="H5039" t="str">
            <v>g__Bacteroides</v>
          </cell>
          <cell r="I5039" t="str">
            <v>s__unclassified_g__Bacteroides</v>
          </cell>
        </row>
        <row r="5040">
          <cell r="G5040" t="str">
            <v>ASV13685</v>
          </cell>
          <cell r="H5040" t="str">
            <v>g__Peptostreptococcus</v>
          </cell>
          <cell r="I5040" t="str">
            <v>s__unclassified_g__Peptostreptococcus</v>
          </cell>
        </row>
        <row r="5041">
          <cell r="G5041" t="str">
            <v>ASV20408</v>
          </cell>
          <cell r="H5041" t="str">
            <v>g__Bifidobacterium</v>
          </cell>
          <cell r="I5041" t="str">
            <v>s__unclassified_g__Bifidobacterium</v>
          </cell>
        </row>
        <row r="5042">
          <cell r="G5042" t="str">
            <v>ASV24089</v>
          </cell>
          <cell r="H5042" t="str">
            <v>g__unclassified_f__Peptostreptococcaceae</v>
          </cell>
          <cell r="I5042" t="str">
            <v>s__unclassified_f__Peptostreptococcaceae</v>
          </cell>
        </row>
        <row r="5043">
          <cell r="G5043" t="str">
            <v>ASV376</v>
          </cell>
          <cell r="H5043" t="str">
            <v>g__Christensenellaceae_R-7_group</v>
          </cell>
          <cell r="I5043" t="str">
            <v>s__unclassified_g__Christensenellaceae_R-7_group</v>
          </cell>
        </row>
        <row r="5044">
          <cell r="G5044" t="str">
            <v>ASV19292</v>
          </cell>
          <cell r="H5044" t="str">
            <v>g__norank_f__Muribaculaceae</v>
          </cell>
          <cell r="I5044" t="str">
            <v>s__uncultured_bacterium_g__norank_f__Muribaculaceae</v>
          </cell>
        </row>
        <row r="5045">
          <cell r="G5045" t="str">
            <v>ASV16830</v>
          </cell>
          <cell r="H5045" t="str">
            <v>g__Lactobacillus</v>
          </cell>
          <cell r="I5045" t="str">
            <v>s__unclassified_g__Lactobacillus</v>
          </cell>
        </row>
        <row r="5046">
          <cell r="G5046" t="str">
            <v>ASV21414</v>
          </cell>
          <cell r="H5046" t="str">
            <v>g__unclassified_p__Firmicutes</v>
          </cell>
          <cell r="I5046" t="str">
            <v>s__unclassified_p__Firmicutes</v>
          </cell>
        </row>
        <row r="5047">
          <cell r="G5047" t="str">
            <v>ASV1987</v>
          </cell>
          <cell r="H5047" t="str">
            <v>g__unclassified_f__Peptostreptococcaceae</v>
          </cell>
          <cell r="I5047" t="str">
            <v>s__unclassified_f__Peptostreptococcaceae</v>
          </cell>
        </row>
        <row r="5048">
          <cell r="G5048" t="str">
            <v>ASV5844</v>
          </cell>
          <cell r="H5048" t="str">
            <v>g__unclassified_o__Oscillospirales</v>
          </cell>
          <cell r="I5048" t="str">
            <v>s__unclassified_o__Oscillospirales</v>
          </cell>
        </row>
        <row r="5049">
          <cell r="G5049" t="str">
            <v>ASV24378</v>
          </cell>
          <cell r="H5049" t="str">
            <v>g__Sharpea</v>
          </cell>
          <cell r="I5049" t="str">
            <v>s__unclassified_g__Sharpea</v>
          </cell>
        </row>
        <row r="5050">
          <cell r="G5050" t="str">
            <v>ASV11281</v>
          </cell>
          <cell r="H5050" t="str">
            <v>g__unclassified_c__Clostridia</v>
          </cell>
          <cell r="I5050" t="str">
            <v>s__unclassified_c__Clostridia</v>
          </cell>
        </row>
        <row r="5051">
          <cell r="G5051" t="str">
            <v>ASV17401</v>
          </cell>
          <cell r="H5051" t="str">
            <v>g__Leptotrichia</v>
          </cell>
          <cell r="I5051" t="str">
            <v>s__uncultured_bacterium_g__Leptotrichia</v>
          </cell>
        </row>
        <row r="5052">
          <cell r="G5052" t="str">
            <v>ASV1981</v>
          </cell>
          <cell r="H5052" t="str">
            <v>g__norank_f__Eubacterium_coprostanoligenes_group</v>
          </cell>
          <cell r="I5052" t="str">
            <v>s__unclassified_g__norank_f__Eubacterium_coprostanoligenes_group</v>
          </cell>
        </row>
        <row r="5053">
          <cell r="G5053" t="str">
            <v>ASV7531</v>
          </cell>
          <cell r="H5053" t="str">
            <v>g__unclassified_c__Clostridia</v>
          </cell>
          <cell r="I5053" t="str">
            <v>s__unclassified_c__Clostridia</v>
          </cell>
        </row>
        <row r="5054">
          <cell r="G5054" t="str">
            <v>ASV11287</v>
          </cell>
          <cell r="H5054" t="str">
            <v>g__norank_f__Muribaculaceae</v>
          </cell>
          <cell r="I5054" t="str">
            <v>s__uncultured_bacterium_g__norank_f__Muribaculaceae</v>
          </cell>
        </row>
        <row r="5055">
          <cell r="G5055" t="str">
            <v>ASV15782</v>
          </cell>
          <cell r="H5055" t="str">
            <v>g__Subdoligranulum</v>
          </cell>
          <cell r="I5055" t="str">
            <v>s__unclassified_g__Subdoligranulum</v>
          </cell>
        </row>
        <row r="5056">
          <cell r="G5056" t="str">
            <v>ASV5637</v>
          </cell>
          <cell r="H5056" t="str">
            <v>g__unclassified_f__Oscillospiraceae</v>
          </cell>
          <cell r="I5056" t="str">
            <v>s__unclassified_f__Oscillospiraceae</v>
          </cell>
        </row>
        <row r="5057">
          <cell r="G5057" t="str">
            <v>ASV21913</v>
          </cell>
          <cell r="H5057" t="str">
            <v>g__Lactobacillus</v>
          </cell>
          <cell r="I5057" t="str">
            <v>s__unclassified_g__Lactobacillus</v>
          </cell>
        </row>
        <row r="5058">
          <cell r="G5058" t="str">
            <v>ASV2922</v>
          </cell>
          <cell r="H5058" t="str">
            <v>g__Jeotgalicoccus</v>
          </cell>
          <cell r="I5058" t="str">
            <v>s__unclassified_g__Jeotgalicoccus</v>
          </cell>
        </row>
        <row r="5059">
          <cell r="G5059" t="str">
            <v>ASV19317</v>
          </cell>
          <cell r="H5059" t="str">
            <v>g__unclassified_c__Clostridia</v>
          </cell>
          <cell r="I5059" t="str">
            <v>s__unclassified_c__Clostridia</v>
          </cell>
        </row>
        <row r="5060">
          <cell r="G5060" t="str">
            <v>ASV19037</v>
          </cell>
          <cell r="H5060" t="str">
            <v>g__unclassified_f__Selenomonadaceae</v>
          </cell>
          <cell r="I5060" t="str">
            <v>s__unclassified_f__Selenomonadaceae</v>
          </cell>
        </row>
        <row r="5061">
          <cell r="G5061" t="str">
            <v>ASV8781</v>
          </cell>
          <cell r="H5061" t="str">
            <v>g__Hymenobacter</v>
          </cell>
          <cell r="I5061" t="str">
            <v>s__unclassified_g__Hymenobacter</v>
          </cell>
        </row>
        <row r="5062">
          <cell r="G5062" t="str">
            <v>ASV23064</v>
          </cell>
          <cell r="H5062" t="str">
            <v>g__UCG-002</v>
          </cell>
          <cell r="I5062" t="str">
            <v>s__unclassified_g__UCG-002</v>
          </cell>
        </row>
        <row r="5063">
          <cell r="G5063" t="str">
            <v>ASV4593</v>
          </cell>
          <cell r="H5063" t="str">
            <v>g__norank_f__Eubacterium_coprostanoligenes_group</v>
          </cell>
          <cell r="I5063" t="str">
            <v>s__uncultured_bacterium_g__norank_f__Eubacterium_coprostanoligenes_group</v>
          </cell>
        </row>
        <row r="5064">
          <cell r="G5064" t="str">
            <v>ASV3856</v>
          </cell>
          <cell r="H5064" t="str">
            <v>g__NK4A214_group</v>
          </cell>
          <cell r="I5064" t="str">
            <v>s__uncultured_bacterium_g__NK4A214_group</v>
          </cell>
        </row>
        <row r="5065">
          <cell r="G5065" t="str">
            <v>ASV23820</v>
          </cell>
          <cell r="H5065" t="str">
            <v>g__unclassified_f__Lachnospiraceae</v>
          </cell>
          <cell r="I5065" t="str">
            <v>s__unclassified_f__Lachnospiraceae</v>
          </cell>
        </row>
        <row r="5066">
          <cell r="G5066" t="str">
            <v>ASV23075</v>
          </cell>
          <cell r="H5066" t="str">
            <v>g__unclassified_f__Peptostreptococcaceae</v>
          </cell>
          <cell r="I5066" t="str">
            <v>s__unclassified_f__Peptostreptococcaceae</v>
          </cell>
        </row>
        <row r="5067">
          <cell r="G5067" t="str">
            <v>ASV387</v>
          </cell>
          <cell r="H5067" t="str">
            <v>g__unclassified_f__Lachnospiraceae</v>
          </cell>
          <cell r="I5067" t="str">
            <v>s__unclassified_f__Lachnospiraceae</v>
          </cell>
        </row>
        <row r="5068">
          <cell r="G5068" t="str">
            <v>ASV10157</v>
          </cell>
          <cell r="H5068" t="str">
            <v>g__Phascolarctobacterium</v>
          </cell>
          <cell r="I5068" t="str">
            <v>s__unclassified_g__Phascolarctobacterium</v>
          </cell>
        </row>
        <row r="5069">
          <cell r="G5069" t="str">
            <v>ASV18524</v>
          </cell>
          <cell r="H5069" t="str">
            <v>g__unclassified_f__Lachnospiraceae</v>
          </cell>
          <cell r="I5069" t="str">
            <v>s__unclassified_f__Lachnospiraceae</v>
          </cell>
        </row>
        <row r="5070">
          <cell r="G5070" t="str">
            <v>ASV21162</v>
          </cell>
          <cell r="H5070" t="str">
            <v>g__Colidextribacter</v>
          </cell>
          <cell r="I5070" t="str">
            <v>s__unclassified_g__Colidextribacter</v>
          </cell>
        </row>
        <row r="5071">
          <cell r="G5071" t="str">
            <v>ASV5648</v>
          </cell>
          <cell r="H5071" t="str">
            <v>g__Treponema</v>
          </cell>
          <cell r="I5071" t="str">
            <v>s__uncultured_bacterium_g__Treponema</v>
          </cell>
        </row>
        <row r="5072">
          <cell r="G5072" t="str">
            <v>ASV4287</v>
          </cell>
          <cell r="H5072" t="str">
            <v>g__unclassified_f__Ruminococcaceae</v>
          </cell>
          <cell r="I5072" t="str">
            <v>s__unclassified_f__Ruminococcaceae</v>
          </cell>
        </row>
        <row r="5073">
          <cell r="G5073" t="str">
            <v>ASV3855</v>
          </cell>
          <cell r="H5073" t="str">
            <v>g__unclassified_f__Oscillospiraceae</v>
          </cell>
          <cell r="I5073" t="str">
            <v>s__unclassified_f__Oscillospiraceae</v>
          </cell>
        </row>
        <row r="5074">
          <cell r="G5074" t="str">
            <v>ASV21164</v>
          </cell>
          <cell r="H5074" t="str">
            <v>g__Eubacterium_oxidoreducens_group</v>
          </cell>
          <cell r="I5074" t="str">
            <v>s__uncultured_bacterium_g__Eubacterium_oxidoreducens_group</v>
          </cell>
        </row>
        <row r="5075">
          <cell r="G5075" t="str">
            <v>ASV7549</v>
          </cell>
          <cell r="H5075" t="str">
            <v>g__Clostridium_sensu_stricto_1</v>
          </cell>
          <cell r="I5075" t="str">
            <v>s__unclassified_g__Clostridium_sensu_stricto_1</v>
          </cell>
        </row>
        <row r="5076">
          <cell r="G5076" t="str">
            <v>ASV17796</v>
          </cell>
          <cell r="H5076" t="str">
            <v>g__unclassified_c__Clostridia</v>
          </cell>
          <cell r="I5076" t="str">
            <v>s__unclassified_c__Clostridia</v>
          </cell>
        </row>
        <row r="5077">
          <cell r="G5077" t="str">
            <v>ASV13777</v>
          </cell>
          <cell r="H5077" t="str">
            <v>g__Escherichia-Shigella</v>
          </cell>
          <cell r="I5077" t="str">
            <v>s__unclassified_g__Escherichia-Shigella</v>
          </cell>
        </row>
        <row r="5078">
          <cell r="G5078" t="str">
            <v>ASV8736</v>
          </cell>
          <cell r="H5078" t="str">
            <v>g__unclassified_f__Anaerovoracaceae</v>
          </cell>
          <cell r="I5078" t="str">
            <v>s__unclassified_f__Anaerovoracaceae</v>
          </cell>
        </row>
        <row r="5079">
          <cell r="G5079" t="str">
            <v>ASV24093</v>
          </cell>
          <cell r="H5079" t="str">
            <v>g__unclassified_f__Lachnospiraceae</v>
          </cell>
          <cell r="I5079" t="str">
            <v>s__unclassified_f__Lachnospiraceae</v>
          </cell>
        </row>
        <row r="5080">
          <cell r="G5080" t="str">
            <v>ASV367</v>
          </cell>
          <cell r="H5080" t="str">
            <v>g__Lactobacillus</v>
          </cell>
          <cell r="I5080" t="str">
            <v>s__unclassified_g__Lactobacillus</v>
          </cell>
        </row>
        <row r="5081">
          <cell r="G5081" t="str">
            <v>ASV19038</v>
          </cell>
          <cell r="H5081" t="str">
            <v>g__unclassified_c__Bacilli</v>
          </cell>
          <cell r="I5081" t="str">
            <v>s__unclassified_c__Bacilli</v>
          </cell>
        </row>
        <row r="5082">
          <cell r="G5082" t="str">
            <v>ASV3838</v>
          </cell>
          <cell r="H5082" t="str">
            <v>g__UCG-002</v>
          </cell>
          <cell r="I5082" t="str">
            <v>s__unclassified_g__UCG-002</v>
          </cell>
        </row>
        <row r="5083">
          <cell r="G5083" t="str">
            <v>ASV11300</v>
          </cell>
          <cell r="H5083" t="str">
            <v>g__norank_f__Oscillospiraceae</v>
          </cell>
          <cell r="I5083" t="str">
            <v>s__unclassified_g__norank_f__Oscillospiraceae</v>
          </cell>
        </row>
        <row r="5084">
          <cell r="G5084" t="str">
            <v>ASV9223</v>
          </cell>
          <cell r="H5084" t="str">
            <v>g__Colidextribacter</v>
          </cell>
          <cell r="I5084" t="str">
            <v>s__uncultured_bacterium_g__Colidextribacter</v>
          </cell>
        </row>
        <row r="5085">
          <cell r="G5085" t="str">
            <v>ASV395</v>
          </cell>
          <cell r="H5085" t="str">
            <v>g__unclassified_c__Clostridia</v>
          </cell>
          <cell r="I5085" t="str">
            <v>s__unclassified_c__Clostridia</v>
          </cell>
        </row>
        <row r="5086">
          <cell r="G5086" t="str">
            <v>ASV12580</v>
          </cell>
          <cell r="H5086" t="str">
            <v>g__unclassified_o__Oscillospirales</v>
          </cell>
          <cell r="I5086" t="str">
            <v>s__unclassified_o__Oscillospirales</v>
          </cell>
        </row>
        <row r="5087">
          <cell r="G5087" t="str">
            <v>ASV16273</v>
          </cell>
          <cell r="H5087" t="str">
            <v>g__unclassified_f__Oscillospiraceae</v>
          </cell>
          <cell r="I5087" t="str">
            <v>s__unclassified_f__Oscillospiraceae</v>
          </cell>
        </row>
        <row r="5088">
          <cell r="G5088" t="str">
            <v>ASV2706</v>
          </cell>
          <cell r="H5088" t="str">
            <v>g__Lachnospiraceae_FCS020_group</v>
          </cell>
          <cell r="I5088" t="str">
            <v>s__unclassified_g__Lachnospiraceae_FCS020_group</v>
          </cell>
        </row>
        <row r="5089">
          <cell r="G5089" t="str">
            <v>ASV3849</v>
          </cell>
          <cell r="H5089" t="str">
            <v>g__Streptococcus</v>
          </cell>
          <cell r="I5089" t="str">
            <v>s__unclassified_g__Streptococcus</v>
          </cell>
        </row>
        <row r="5090">
          <cell r="G5090" t="str">
            <v>ASV15043</v>
          </cell>
          <cell r="H5090" t="str">
            <v>g__Peptostreptococcus</v>
          </cell>
          <cell r="I5090" t="str">
            <v>s__unclassified_g__Peptostreptococcus</v>
          </cell>
        </row>
        <row r="5091">
          <cell r="G5091" t="str">
            <v>ASV18807</v>
          </cell>
          <cell r="H5091" t="str">
            <v>g__Fusobacterium</v>
          </cell>
          <cell r="I5091" t="str">
            <v>s__unclassified_g__Fusobacterium</v>
          </cell>
        </row>
        <row r="5092">
          <cell r="G5092" t="str">
            <v>ASV7558</v>
          </cell>
          <cell r="H5092" t="str">
            <v>g__unclassified_c__Clostridia</v>
          </cell>
          <cell r="I5092" t="str">
            <v>s__unclassified_c__Clostridia</v>
          </cell>
        </row>
        <row r="5093">
          <cell r="G5093" t="str">
            <v>ASV20587</v>
          </cell>
          <cell r="H5093" t="str">
            <v>g__norank_f__Eubacterium_coprostanoligenes_group</v>
          </cell>
          <cell r="I5093" t="str">
            <v>s__unclassified_g__norank_f__Eubacterium_coprostanoligenes_group</v>
          </cell>
        </row>
        <row r="5094">
          <cell r="G5094" t="str">
            <v>ASV4562</v>
          </cell>
          <cell r="H5094" t="str">
            <v>g__unclassified_f__Clostridiaceae</v>
          </cell>
          <cell r="I5094" t="str">
            <v>s__unclassified_f__Clostridiaceae</v>
          </cell>
        </row>
        <row r="5095">
          <cell r="G5095" t="str">
            <v>ASV20410</v>
          </cell>
          <cell r="H5095" t="str">
            <v>g__Sphingomonas</v>
          </cell>
          <cell r="I5095" t="str">
            <v>s__unclassified_g__Sphingomonas</v>
          </cell>
        </row>
        <row r="5096">
          <cell r="G5096" t="str">
            <v>ASV8440</v>
          </cell>
          <cell r="H5096" t="str">
            <v>g__Megasphaera</v>
          </cell>
          <cell r="I5096" t="str">
            <v>s__unclassified_g__Megasphaera</v>
          </cell>
        </row>
        <row r="5097">
          <cell r="G5097" t="str">
            <v>ASV13967</v>
          </cell>
          <cell r="H5097" t="str">
            <v>g__unclassified_k__norank_d__Bacteria</v>
          </cell>
          <cell r="I5097" t="str">
            <v>s__unclassified_k__norank_d__Bacteria</v>
          </cell>
        </row>
        <row r="5098">
          <cell r="G5098" t="str">
            <v>ASV5644</v>
          </cell>
          <cell r="H5098" t="str">
            <v>g__unclassified_c__Clostridia</v>
          </cell>
          <cell r="I5098" t="str">
            <v>s__unclassified_c__Clostridia</v>
          </cell>
        </row>
        <row r="5099">
          <cell r="G5099" t="str">
            <v>ASV21923</v>
          </cell>
          <cell r="H5099" t="str">
            <v>g__unclassified_c__Clostridia</v>
          </cell>
          <cell r="I5099" t="str">
            <v>s__unclassified_c__Clostridia</v>
          </cell>
        </row>
        <row r="5100">
          <cell r="G5100" t="str">
            <v>ASV5631</v>
          </cell>
          <cell r="H5100" t="str">
            <v>g__Terrisporobacter</v>
          </cell>
          <cell r="I5100" t="str">
            <v>s__unclassified_g__Terrisporobacter</v>
          </cell>
        </row>
        <row r="5101">
          <cell r="G5101" t="str">
            <v>ASV18806</v>
          </cell>
          <cell r="H5101" t="str">
            <v>g__Lactobacillus</v>
          </cell>
          <cell r="I5101" t="str">
            <v>s__unclassified_g__Lactobacillus</v>
          </cell>
        </row>
        <row r="5102">
          <cell r="G5102" t="str">
            <v>ASV9972</v>
          </cell>
          <cell r="H5102" t="str">
            <v>g__norank_f__Muribaculaceae</v>
          </cell>
          <cell r="I5102" t="str">
            <v>s__uncultured_bacterium_g__norank_f__Muribaculaceae</v>
          </cell>
        </row>
        <row r="5103">
          <cell r="G5103" t="str">
            <v>ASV13980</v>
          </cell>
          <cell r="H5103" t="str">
            <v>g__unclassified_f__Oscillospiraceae</v>
          </cell>
          <cell r="I5103" t="str">
            <v>s__unclassified_f__Oscillospiraceae</v>
          </cell>
        </row>
        <row r="5104">
          <cell r="G5104" t="str">
            <v>ASV16828</v>
          </cell>
          <cell r="H5104" t="str">
            <v>g__unclassified_f__Lachnospiraceae</v>
          </cell>
          <cell r="I5104" t="str">
            <v>s__unclassified_f__Lachnospiraceae</v>
          </cell>
        </row>
        <row r="5105">
          <cell r="G5105" t="str">
            <v>ASV11290</v>
          </cell>
          <cell r="H5105" t="str">
            <v>g__Succiniclasticum</v>
          </cell>
          <cell r="I5105" t="str">
            <v>s__unclassified_g__Succiniclasticum</v>
          </cell>
        </row>
        <row r="5106">
          <cell r="G5106" t="str">
            <v>ASV4591</v>
          </cell>
          <cell r="H5106" t="str">
            <v>g__unclassified_c__Clostridia</v>
          </cell>
          <cell r="I5106" t="str">
            <v>s__unclassified_c__Clostridia</v>
          </cell>
        </row>
        <row r="5107">
          <cell r="G5107" t="str">
            <v>ASV17798</v>
          </cell>
          <cell r="H5107" t="str">
            <v>g__Cloacibacillus</v>
          </cell>
          <cell r="I5107" t="str">
            <v>s__unclassified_g__Cloacibacillus</v>
          </cell>
        </row>
        <row r="5108">
          <cell r="G5108" t="str">
            <v>ASV21918</v>
          </cell>
          <cell r="H5108" t="str">
            <v>g__UCG-008</v>
          </cell>
          <cell r="I5108" t="str">
            <v>s__uncultured_bacterium_g__UCG-008</v>
          </cell>
        </row>
        <row r="5109">
          <cell r="G5109" t="str">
            <v>ASV10465</v>
          </cell>
          <cell r="H5109" t="str">
            <v>g__Subdoligranulum</v>
          </cell>
          <cell r="I5109" t="str">
            <v>s__unclassified_g__Subdoligranulum</v>
          </cell>
        </row>
        <row r="5110">
          <cell r="G5110" t="str">
            <v>ASV4566</v>
          </cell>
          <cell r="H5110" t="str">
            <v>g__Turicibacter</v>
          </cell>
          <cell r="I5110" t="str">
            <v>s__uncultured_bacterium_g__Turicibacter</v>
          </cell>
        </row>
        <row r="5111">
          <cell r="G5111" t="str">
            <v>ASV23061</v>
          </cell>
          <cell r="H5111" t="str">
            <v>g__unclassified_p__Firmicutes</v>
          </cell>
          <cell r="I5111" t="str">
            <v>s__unclassified_p__Firmicutes</v>
          </cell>
        </row>
        <row r="5112">
          <cell r="G5112" t="str">
            <v>ASV11291</v>
          </cell>
          <cell r="H5112" t="str">
            <v>g__Prevotella</v>
          </cell>
          <cell r="I5112" t="str">
            <v>s__unclassified_g__Prevotella</v>
          </cell>
        </row>
        <row r="5113">
          <cell r="G5113" t="str">
            <v>ASV1974</v>
          </cell>
          <cell r="H5113" t="str">
            <v>g__Holdemanella</v>
          </cell>
          <cell r="I5113" t="str">
            <v>s__unclassified_g__Holdemanella</v>
          </cell>
        </row>
        <row r="5114">
          <cell r="G5114" t="str">
            <v>ASV361</v>
          </cell>
          <cell r="H5114" t="str">
            <v>g__unclassified_f__Lachnospiraceae</v>
          </cell>
          <cell r="I5114" t="str">
            <v>s__unclassified_f__Lachnospiraceae</v>
          </cell>
        </row>
        <row r="5115">
          <cell r="G5115" t="str">
            <v>ASV19315</v>
          </cell>
          <cell r="H5115" t="str">
            <v>g__Subdoligranulum</v>
          </cell>
          <cell r="I5115" t="str">
            <v>s__uncultured_bacterium_g__Subdoligranulum</v>
          </cell>
        </row>
        <row r="5116">
          <cell r="G5116" t="str">
            <v>ASV4585</v>
          </cell>
          <cell r="H5116" t="str">
            <v>g__UCG-005</v>
          </cell>
          <cell r="I5116" t="str">
            <v>s__unclassified_g__UCG-005</v>
          </cell>
        </row>
        <row r="5117">
          <cell r="G5117" t="str">
            <v>ASV17805</v>
          </cell>
          <cell r="H5117" t="str">
            <v>g__unclassified_f__Oscillospiraceae</v>
          </cell>
          <cell r="I5117" t="str">
            <v>s__unclassified_f__Oscillospiraceae</v>
          </cell>
        </row>
        <row r="5118">
          <cell r="G5118" t="str">
            <v>ASV17800</v>
          </cell>
          <cell r="H5118" t="str">
            <v>g__unclassified_c__Clostridia</v>
          </cell>
          <cell r="I5118" t="str">
            <v>s__unclassified_c__Clostridia</v>
          </cell>
        </row>
        <row r="5119">
          <cell r="G5119" t="str">
            <v>ASV3439</v>
          </cell>
          <cell r="H5119" t="str">
            <v>g__unclassified_p__Firmicutes</v>
          </cell>
          <cell r="I5119" t="str">
            <v>s__unclassified_p__Firmicutes</v>
          </cell>
        </row>
        <row r="5120">
          <cell r="G5120" t="str">
            <v>ASV23062</v>
          </cell>
          <cell r="H5120" t="str">
            <v>g__unclassified_p__Firmicutes</v>
          </cell>
          <cell r="I5120" t="str">
            <v>s__unclassified_p__Firmicutes</v>
          </cell>
        </row>
        <row r="5121">
          <cell r="G5121" t="str">
            <v>ASV12585</v>
          </cell>
          <cell r="H5121" t="str">
            <v>g__unclassified_o__Peptostreptococcales-Tissierellales</v>
          </cell>
          <cell r="I5121" t="str">
            <v>s__unclassified_o__Peptostreptococcales-Tissierellales</v>
          </cell>
        </row>
        <row r="5122">
          <cell r="G5122" t="str">
            <v>ASV12573</v>
          </cell>
          <cell r="H5122" t="str">
            <v>g__Streptococcus</v>
          </cell>
          <cell r="I5122" t="str">
            <v>s__unclassified_g__Streptococcus</v>
          </cell>
        </row>
        <row r="5123">
          <cell r="G5123" t="str">
            <v>ASV15207</v>
          </cell>
          <cell r="H5123" t="str">
            <v>g__Oscillibacter</v>
          </cell>
          <cell r="I5123" t="str">
            <v>s__unclassified_g__Oscillibacter</v>
          </cell>
        </row>
        <row r="5124">
          <cell r="G5124" t="str">
            <v>ASV2918</v>
          </cell>
          <cell r="H5124" t="str">
            <v>g__Exiguobacterium</v>
          </cell>
          <cell r="I5124" t="str">
            <v>s__unclassified_g__Exiguobacterium</v>
          </cell>
        </row>
        <row r="5125">
          <cell r="G5125" t="str">
            <v>ASV19306</v>
          </cell>
          <cell r="H5125" t="str">
            <v>g__unclassified_f__Lachnospiraceae</v>
          </cell>
          <cell r="I5125" t="str">
            <v>s__unclassified_f__Lachnospiraceae</v>
          </cell>
        </row>
        <row r="5126">
          <cell r="G5126" t="str">
            <v>ASV9876</v>
          </cell>
          <cell r="H5126" t="str">
            <v>g__Actinobacillus</v>
          </cell>
          <cell r="I5126" t="str">
            <v>s__unclassified_g__Actinobacillus</v>
          </cell>
        </row>
        <row r="5127">
          <cell r="G5127" t="str">
            <v>ASV7026</v>
          </cell>
          <cell r="H5127" t="str">
            <v>g__Oribacterium</v>
          </cell>
          <cell r="I5127" t="str">
            <v>s__uncultured_bacterium_g__Oribacterium</v>
          </cell>
        </row>
        <row r="5128">
          <cell r="G5128" t="str">
            <v>ASV11278</v>
          </cell>
          <cell r="H5128" t="str">
            <v>g__Prevotella</v>
          </cell>
          <cell r="I5128" t="str">
            <v>s__unclassified_g__Prevotella</v>
          </cell>
        </row>
        <row r="5129">
          <cell r="G5129" t="str">
            <v>ASV4588</v>
          </cell>
          <cell r="H5129" t="str">
            <v>g__Christensenellaceae_R-7_group</v>
          </cell>
          <cell r="I5129" t="str">
            <v>s__unclassified_g__Christensenellaceae_R-7_group</v>
          </cell>
        </row>
        <row r="5130">
          <cell r="G5130" t="str">
            <v>ASV23916</v>
          </cell>
          <cell r="H5130" t="str">
            <v>g__Lactobacillus</v>
          </cell>
          <cell r="I5130" t="str">
            <v>s__unclassified_g__Lactobacillus</v>
          </cell>
        </row>
        <row r="5131">
          <cell r="G5131" t="str">
            <v>ASV9977</v>
          </cell>
          <cell r="H5131" t="str">
            <v>g__Prevotella</v>
          </cell>
          <cell r="I5131" t="str">
            <v>s__unclassified_g__Prevotella</v>
          </cell>
        </row>
        <row r="5132">
          <cell r="G5132" t="str">
            <v>ASV9978</v>
          </cell>
          <cell r="H5132" t="str">
            <v>g__norank_f__Muribaculaceae</v>
          </cell>
          <cell r="I5132" t="str">
            <v>s__uncultured_bacterium_g__norank_f__Muribaculaceae</v>
          </cell>
        </row>
        <row r="5133">
          <cell r="G5133" t="str">
            <v>ASV9971</v>
          </cell>
          <cell r="H5133" t="str">
            <v>g__Peptococcus</v>
          </cell>
          <cell r="I5133" t="str">
            <v>s__unclassified_g__Peptococcus</v>
          </cell>
        </row>
        <row r="5134">
          <cell r="G5134" t="str">
            <v>ASV11304</v>
          </cell>
          <cell r="H5134" t="str">
            <v>g__norank_f__Muribaculaceae</v>
          </cell>
          <cell r="I5134" t="str">
            <v>s__uncultured_bacterium_g__norank_f__Muribaculaceae</v>
          </cell>
        </row>
        <row r="5135">
          <cell r="G5135" t="str">
            <v>ASV16283</v>
          </cell>
          <cell r="H5135" t="str">
            <v>g__unclassified_k__norank_d__Bacteria</v>
          </cell>
          <cell r="I5135" t="str">
            <v>s__unclassified_k__norank_d__Bacteria</v>
          </cell>
        </row>
        <row r="5136">
          <cell r="G5136" t="str">
            <v>ASV11298</v>
          </cell>
          <cell r="H5136" t="str">
            <v>g__Succiniclasticum</v>
          </cell>
          <cell r="I5136" t="str">
            <v>s__uncultured_rumen_bacterium_4C28d-16</v>
          </cell>
        </row>
        <row r="5137">
          <cell r="G5137" t="str">
            <v>ASV4590</v>
          </cell>
          <cell r="H5137" t="str">
            <v>g__Cloacibacillus</v>
          </cell>
          <cell r="I5137" t="str">
            <v>s__unclassified_g__Cloacibacillus</v>
          </cell>
        </row>
        <row r="5138">
          <cell r="G5138" t="str">
            <v>ASV23069</v>
          </cell>
          <cell r="H5138" t="str">
            <v>g__Christensenellaceae_R-7_group</v>
          </cell>
          <cell r="I5138" t="str">
            <v>s__unclassified_g__Christensenellaceae_R-7_group</v>
          </cell>
        </row>
        <row r="5139">
          <cell r="G5139" t="str">
            <v>ASV3133</v>
          </cell>
          <cell r="H5139" t="str">
            <v>g__Ruminococcus_torques_group</v>
          </cell>
          <cell r="I5139" t="str">
            <v>s__unclassified_g__Ruminococcus_torques_group</v>
          </cell>
        </row>
        <row r="5140">
          <cell r="G5140" t="str">
            <v>ASV7535</v>
          </cell>
          <cell r="H5140" t="str">
            <v>g__unclassified_o__Oscillospirales</v>
          </cell>
          <cell r="I5140" t="str">
            <v>s__unclassified_o__Oscillospirales</v>
          </cell>
        </row>
        <row r="5141">
          <cell r="G5141" t="str">
            <v>ASV11312</v>
          </cell>
          <cell r="H5141" t="str">
            <v>g__unclassified_f__Oscillospiraceae</v>
          </cell>
          <cell r="I5141" t="str">
            <v>s__unclassified_f__Oscillospiraceae</v>
          </cell>
        </row>
        <row r="5142">
          <cell r="G5142" t="str">
            <v>ASV20586</v>
          </cell>
          <cell r="H5142" t="str">
            <v>g__UCG-005</v>
          </cell>
          <cell r="I5142" t="str">
            <v>s__unclassified_g__UCG-005</v>
          </cell>
        </row>
        <row r="5143">
          <cell r="G5143" t="str">
            <v>ASV17801</v>
          </cell>
          <cell r="H5143" t="str">
            <v>g__Christensenellaceae_R-7_group</v>
          </cell>
          <cell r="I5143" t="str">
            <v>s__unclassified_g__Christensenellaceae_R-7_group</v>
          </cell>
        </row>
        <row r="5144">
          <cell r="G5144" t="str">
            <v>ASV17176</v>
          </cell>
          <cell r="H5144" t="str">
            <v>g__Bifidobacterium</v>
          </cell>
          <cell r="I5144" t="str">
            <v>s__unclassified_g__Bifidobacterium</v>
          </cell>
        </row>
        <row r="5145">
          <cell r="G5145" t="str">
            <v>ASV17812</v>
          </cell>
          <cell r="H5145" t="str">
            <v>g__norank_f__Clostridium_methylpentosum_group</v>
          </cell>
          <cell r="I5145" t="str">
            <v>s__unclassified_g__norank_f__Clostridium_methylpentosum_group</v>
          </cell>
        </row>
        <row r="5146">
          <cell r="G5146" t="str">
            <v>ASV1992</v>
          </cell>
          <cell r="H5146" t="str">
            <v>g__Eubacterium_siraeum_group</v>
          </cell>
          <cell r="I5146" t="str">
            <v>s__unclassified_g__Eubacterium_siraeum_group</v>
          </cell>
        </row>
        <row r="5147">
          <cell r="G5147" t="str">
            <v>ASV3615</v>
          </cell>
          <cell r="H5147" t="str">
            <v>g__unclassified_f__Enterobacteriaceae</v>
          </cell>
          <cell r="I5147" t="str">
            <v>s__unclassified_f__Enterobacteriaceae</v>
          </cell>
        </row>
        <row r="5148">
          <cell r="G5148" t="str">
            <v>ASV21917</v>
          </cell>
          <cell r="H5148" t="str">
            <v>g__unclassified_f__Ruminococcaceae</v>
          </cell>
          <cell r="I5148" t="str">
            <v>s__unclassified_f__Ruminococcaceae</v>
          </cell>
        </row>
        <row r="5149">
          <cell r="G5149" t="str">
            <v>ASV16281</v>
          </cell>
          <cell r="H5149" t="str">
            <v>g__Rikenellaceae_RC9_gut_group</v>
          </cell>
          <cell r="I5149" t="str">
            <v>s__uncultured_bacterium_g__Rikenellaceae_RC9_gut_group</v>
          </cell>
        </row>
        <row r="5150">
          <cell r="G5150" t="str">
            <v>ASV18748</v>
          </cell>
          <cell r="H5150" t="str">
            <v>g__Enterococcus</v>
          </cell>
          <cell r="I5150" t="str">
            <v>s__unclassified_g__Enterococcus</v>
          </cell>
        </row>
        <row r="5151">
          <cell r="G5151" t="str">
            <v>ASV8435</v>
          </cell>
          <cell r="H5151" t="str">
            <v>g__Actinobacillus</v>
          </cell>
          <cell r="I5151" t="str">
            <v>s__Actinobacillus_porcinus</v>
          </cell>
        </row>
        <row r="5152">
          <cell r="G5152" t="str">
            <v>ASV389</v>
          </cell>
          <cell r="H5152" t="str">
            <v>g__Colidextribacter</v>
          </cell>
          <cell r="I5152" t="str">
            <v>s__unclassified_g__Colidextribacter</v>
          </cell>
        </row>
        <row r="5153">
          <cell r="G5153" t="str">
            <v>ASV4586</v>
          </cell>
          <cell r="H5153" t="str">
            <v>g__Lactobacillus</v>
          </cell>
          <cell r="I5153" t="str">
            <v>s__unclassified_g__Lactobacillus</v>
          </cell>
        </row>
        <row r="5154">
          <cell r="G5154" t="str">
            <v>ASV21894</v>
          </cell>
          <cell r="H5154" t="str">
            <v>g__unclassified_f__Clostridiaceae</v>
          </cell>
          <cell r="I5154" t="str">
            <v>s__unclassified_f__Clostridiaceae</v>
          </cell>
        </row>
        <row r="5155">
          <cell r="G5155" t="str">
            <v>ASV23818</v>
          </cell>
          <cell r="H5155" t="str">
            <v>g__Sharpea</v>
          </cell>
          <cell r="I5155" t="str">
            <v>s__unclassified_g__Sharpea</v>
          </cell>
        </row>
        <row r="5156">
          <cell r="G5156" t="str">
            <v>ASV12572</v>
          </cell>
          <cell r="H5156" t="str">
            <v>g__Clostridium_sensu_stricto_1</v>
          </cell>
          <cell r="I5156" t="str">
            <v>s__unclassified_g__Clostridium_sensu_stricto_1</v>
          </cell>
        </row>
        <row r="5157">
          <cell r="G5157" t="str">
            <v>ASV384</v>
          </cell>
          <cell r="H5157" t="str">
            <v>g__Lactobacillus</v>
          </cell>
          <cell r="I5157" t="str">
            <v>s__unclassified_g__Lactobacillus</v>
          </cell>
        </row>
        <row r="5158">
          <cell r="G5158" t="str">
            <v>ASV3132</v>
          </cell>
          <cell r="H5158" t="str">
            <v>g__Lactobacillus</v>
          </cell>
          <cell r="I5158" t="str">
            <v>s__unclassified_g__Lactobacillus</v>
          </cell>
        </row>
        <row r="5159">
          <cell r="G5159" t="str">
            <v>ASV373</v>
          </cell>
          <cell r="H5159" t="str">
            <v>g__Prevotella</v>
          </cell>
          <cell r="I5159" t="str">
            <v>s__unclassified_g__Prevotella</v>
          </cell>
        </row>
        <row r="5160">
          <cell r="G5160" t="str">
            <v>ASV11303</v>
          </cell>
          <cell r="H5160" t="str">
            <v>g__Clostridium_sensu_stricto_1</v>
          </cell>
          <cell r="I5160" t="str">
            <v>s__unclassified_g__Clostridium_sensu_stricto_1</v>
          </cell>
        </row>
        <row r="5161">
          <cell r="G5161" t="str">
            <v>ASV15218</v>
          </cell>
          <cell r="H5161" t="str">
            <v>g__unclassified_c__Clostridia</v>
          </cell>
          <cell r="I5161" t="str">
            <v>s__unclassified_c__Clostridia</v>
          </cell>
        </row>
        <row r="5162">
          <cell r="G5162" t="str">
            <v>ASV18520</v>
          </cell>
          <cell r="H5162" t="str">
            <v>g__Sharpea</v>
          </cell>
          <cell r="I5162" t="str">
            <v>s__unclassified_g__Sharpea</v>
          </cell>
        </row>
        <row r="5163">
          <cell r="G5163" t="str">
            <v>ASV17347</v>
          </cell>
          <cell r="H5163" t="str">
            <v>g__Prevotellaceae_UCG-003</v>
          </cell>
          <cell r="I5163" t="str">
            <v>s__uncultured_bacterium_g__Prevotellaceae_UCG-003</v>
          </cell>
        </row>
        <row r="5164">
          <cell r="G5164" t="str">
            <v>ASV8942</v>
          </cell>
          <cell r="H5164" t="str">
            <v>g__unclassified_f__Peptostreptococcaceae</v>
          </cell>
          <cell r="I5164" t="str">
            <v>s__unclassified_f__Peptostreptococcaceae</v>
          </cell>
        </row>
        <row r="5165">
          <cell r="G5165" t="str">
            <v>ASV9212</v>
          </cell>
          <cell r="H5165" t="str">
            <v>g__UCG-002</v>
          </cell>
          <cell r="I5165" t="str">
            <v>s__uncultured_bacterium_g__UCG-002</v>
          </cell>
        </row>
        <row r="5166">
          <cell r="G5166" t="str">
            <v>ASV14930</v>
          </cell>
          <cell r="H5166" t="str">
            <v>g__Hymenobacter</v>
          </cell>
          <cell r="I5166" t="str">
            <v>s__unclassified_g__Hymenobacter</v>
          </cell>
        </row>
        <row r="5167">
          <cell r="G5167" t="str">
            <v>ASV18525</v>
          </cell>
          <cell r="H5167" t="str">
            <v>g__unclassified_f__Lachnospiraceae</v>
          </cell>
          <cell r="I5167" t="str">
            <v>s__unclassified_f__Lachnospiraceae</v>
          </cell>
        </row>
        <row r="5168">
          <cell r="G5168" t="str">
            <v>ASV19312</v>
          </cell>
          <cell r="H5168" t="str">
            <v>g__norank_f__Eubacterium_coprostanoligenes_group</v>
          </cell>
          <cell r="I5168" t="str">
            <v>s__unclassified_g__norank_f__Eubacterium_coprostanoligenes_group</v>
          </cell>
        </row>
        <row r="5169">
          <cell r="G5169" t="str">
            <v>ASV19302</v>
          </cell>
          <cell r="H5169" t="str">
            <v>g__Ruminococcus</v>
          </cell>
          <cell r="I5169" t="str">
            <v>s__Ruminococcus_callidus</v>
          </cell>
        </row>
        <row r="5170">
          <cell r="G5170" t="str">
            <v>ASV11301</v>
          </cell>
          <cell r="H5170" t="str">
            <v>g__norank_f__norank_o__Clostridia_UCG-014</v>
          </cell>
          <cell r="I5170" t="str">
            <v>s__unclassified_g__norank_f__norank_o__Clostridia_UCG-014</v>
          </cell>
        </row>
        <row r="5171">
          <cell r="G5171" t="str">
            <v>ASV19295</v>
          </cell>
          <cell r="H5171" t="str">
            <v>g__unclassified_c__Clostridia</v>
          </cell>
          <cell r="I5171" t="str">
            <v>s__unclassified_c__Clostridia</v>
          </cell>
        </row>
        <row r="5172">
          <cell r="G5172" t="str">
            <v>ASV15049</v>
          </cell>
          <cell r="H5172" t="str">
            <v>g__Asinibacterium</v>
          </cell>
          <cell r="I5172" t="str">
            <v>s__uncultured_bacterium_g__Asinibacterium</v>
          </cell>
        </row>
        <row r="5173">
          <cell r="G5173" t="str">
            <v>ASV21915</v>
          </cell>
          <cell r="H5173" t="str">
            <v>g__Subdoligranulum</v>
          </cell>
          <cell r="I5173" t="str">
            <v>s__uncultured_bacterium_g__Subdoligranulum</v>
          </cell>
        </row>
        <row r="5174">
          <cell r="G5174" t="str">
            <v>ASV15048</v>
          </cell>
          <cell r="H5174" t="str">
            <v>g__Prevotellaceae_NK3B31_group</v>
          </cell>
          <cell r="I5174" t="str">
            <v>s__uncultured_bacterium_g__Prevotellaceae_NK3B31_group</v>
          </cell>
        </row>
        <row r="5175">
          <cell r="G5175" t="str">
            <v>ASV5640</v>
          </cell>
          <cell r="H5175" t="str">
            <v>g__UCG-002</v>
          </cell>
          <cell r="I5175" t="str">
            <v>s__uncultured_bacterium_g__UCG-002</v>
          </cell>
        </row>
        <row r="5176">
          <cell r="G5176" t="str">
            <v>ASV21166</v>
          </cell>
          <cell r="H5176" t="str">
            <v>g__unclassified_f__Lachnospiraceae</v>
          </cell>
          <cell r="I5176" t="str">
            <v>s__unclassified_f__Lachnospiraceae</v>
          </cell>
        </row>
        <row r="5177">
          <cell r="G5177" t="str">
            <v>ASV2719</v>
          </cell>
          <cell r="H5177" t="str">
            <v>g__Ruminococcus</v>
          </cell>
          <cell r="I5177" t="str">
            <v>s__Ruminococcus_sp._HUN007</v>
          </cell>
        </row>
        <row r="5178">
          <cell r="G5178" t="str">
            <v>ASV21163</v>
          </cell>
          <cell r="H5178" t="str">
            <v>g__Lactobacillus</v>
          </cell>
          <cell r="I5178" t="str">
            <v>s__unclassified_g__Lactobacillus</v>
          </cell>
        </row>
        <row r="5179">
          <cell r="G5179" t="str">
            <v>ASV19153</v>
          </cell>
          <cell r="H5179" t="str">
            <v>g__Streptococcus</v>
          </cell>
          <cell r="I5179" t="str">
            <v>s__unclassified_g__Streptococcus</v>
          </cell>
        </row>
        <row r="5180">
          <cell r="G5180" t="str">
            <v>ASV11306</v>
          </cell>
          <cell r="H5180" t="str">
            <v>g__norank_f__Muribaculaceae</v>
          </cell>
          <cell r="I5180" t="str">
            <v>s__uncultured_bacterium_g__norank_f__Muribaculaceae</v>
          </cell>
        </row>
        <row r="5181">
          <cell r="G5181" t="str">
            <v>ASV13688</v>
          </cell>
          <cell r="H5181" t="str">
            <v>g__Lactobacillus</v>
          </cell>
          <cell r="I5181" t="str">
            <v>s__unclassified_g__Lactobacillus</v>
          </cell>
        </row>
        <row r="5182">
          <cell r="G5182" t="str">
            <v>ASV7557</v>
          </cell>
          <cell r="H5182" t="str">
            <v>g__Lactobacillus</v>
          </cell>
          <cell r="I5182" t="str">
            <v>s__unclassified_g__Lactobacillus</v>
          </cell>
        </row>
        <row r="5183">
          <cell r="G5183" t="str">
            <v>ASV3845</v>
          </cell>
          <cell r="H5183" t="str">
            <v>g__Streptococcus</v>
          </cell>
          <cell r="I5183" t="str">
            <v>s__unclassified_g__Streptococcus</v>
          </cell>
        </row>
        <row r="5184">
          <cell r="G5184" t="str">
            <v>ASV24379</v>
          </cell>
          <cell r="H5184" t="str">
            <v>g__Lactobacillus</v>
          </cell>
          <cell r="I5184" t="str">
            <v>s__unclassified_g__Lactobacillus</v>
          </cell>
        </row>
        <row r="5185">
          <cell r="G5185" t="str">
            <v>ASV394</v>
          </cell>
          <cell r="H5185" t="str">
            <v>g__unclassified_f__Peptostreptococcaceae</v>
          </cell>
          <cell r="I5185" t="str">
            <v>s__unclassified_f__Peptostreptococcaceae</v>
          </cell>
        </row>
        <row r="5186">
          <cell r="G5186" t="str">
            <v>ASV10467</v>
          </cell>
          <cell r="H5186" t="str">
            <v>g__Christensenellaceae_R-7_group</v>
          </cell>
          <cell r="I5186" t="str">
            <v>s__uncultured_prokaryote_g__Christensenellaceae_R-7_group</v>
          </cell>
        </row>
        <row r="5187">
          <cell r="G5187" t="str">
            <v>ASV9874</v>
          </cell>
          <cell r="H5187" t="str">
            <v>g__Trueperella</v>
          </cell>
          <cell r="I5187" t="str">
            <v>s__Trueperella_pyogenes</v>
          </cell>
        </row>
        <row r="5188">
          <cell r="G5188" t="str">
            <v>ASV3365</v>
          </cell>
          <cell r="H5188" t="str">
            <v>g__norank_f__norank_o__Clostridia_vadinBB60_group</v>
          </cell>
          <cell r="I5188" t="str">
            <v>s__unclassified_g__norank_f__norank_o__Clostridia_vadinBB60_group</v>
          </cell>
        </row>
        <row r="5189">
          <cell r="G5189" t="str">
            <v>ASV8439</v>
          </cell>
          <cell r="H5189" t="str">
            <v>g__unclassified_f__Selenomonadaceae</v>
          </cell>
          <cell r="I5189" t="str">
            <v>s__unclassified_f__Selenomonadaceae</v>
          </cell>
        </row>
        <row r="5190">
          <cell r="G5190" t="str">
            <v>ASV1985</v>
          </cell>
          <cell r="H5190" t="str">
            <v>g__unclassified_f__Lachnospiraceae</v>
          </cell>
          <cell r="I5190" t="str">
            <v>s__unclassified_f__Lachnospiraceae</v>
          </cell>
        </row>
        <row r="5191">
          <cell r="G5191" t="str">
            <v>ASV21924</v>
          </cell>
          <cell r="H5191" t="str">
            <v>g__Lactobacillus</v>
          </cell>
          <cell r="I5191" t="str">
            <v>s__unclassified_g__Lactobacillus</v>
          </cell>
        </row>
        <row r="5192">
          <cell r="G5192" t="str">
            <v>ASV3840</v>
          </cell>
          <cell r="H5192" t="str">
            <v>g__Escherichia-Shigella</v>
          </cell>
          <cell r="I5192" t="str">
            <v>s__unclassified_g__Escherichia-Shigella</v>
          </cell>
        </row>
        <row r="5193">
          <cell r="G5193" t="str">
            <v>ASV10459</v>
          </cell>
          <cell r="H5193" t="str">
            <v>g__Lactobacillus</v>
          </cell>
          <cell r="I5193" t="str">
            <v>s__unclassified_g__Lactobacillus</v>
          </cell>
        </row>
        <row r="5194">
          <cell r="G5194" t="str">
            <v>ASV16824</v>
          </cell>
          <cell r="H5194" t="str">
            <v>g__unclassified_f__Pasteurellaceae</v>
          </cell>
          <cell r="I5194" t="str">
            <v>s__unclassified_f__Pasteurellaceae</v>
          </cell>
        </row>
        <row r="5195">
          <cell r="G5195" t="str">
            <v>ASV13686</v>
          </cell>
          <cell r="H5195" t="str">
            <v>g__Megasphaera</v>
          </cell>
          <cell r="I5195" t="str">
            <v>s__unclassified_g__Megasphaera</v>
          </cell>
        </row>
        <row r="5196">
          <cell r="G5196" t="str">
            <v>ASV5629</v>
          </cell>
          <cell r="H5196" t="str">
            <v>g__unclassified_c__Clostridia</v>
          </cell>
          <cell r="I5196" t="str">
            <v>s__unclassified_c__Clostridia</v>
          </cell>
        </row>
        <row r="5197">
          <cell r="G5197" t="str">
            <v>ASV9211</v>
          </cell>
          <cell r="H5197" t="str">
            <v>g__unclassified_p__Firmicutes</v>
          </cell>
          <cell r="I5197" t="str">
            <v>s__unclassified_p__Firmicutes</v>
          </cell>
        </row>
        <row r="5198">
          <cell r="G5198" t="str">
            <v>ASV11826</v>
          </cell>
          <cell r="H5198" t="str">
            <v>g__unclassified_o__Oscillospirales</v>
          </cell>
          <cell r="I5198" t="str">
            <v>s__unclassified_o__Oscillospirales</v>
          </cell>
        </row>
        <row r="5199">
          <cell r="G5199" t="str">
            <v>ASV5643</v>
          </cell>
          <cell r="H5199" t="str">
            <v>g__Escherichia-Shigella</v>
          </cell>
          <cell r="I5199" t="str">
            <v>s__unclassified_g__Escherichia-Shigella</v>
          </cell>
        </row>
        <row r="5200">
          <cell r="G5200" t="str">
            <v>ASV18522</v>
          </cell>
          <cell r="H5200" t="str">
            <v>g__Fusobacterium</v>
          </cell>
          <cell r="I5200" t="str">
            <v>s__Bacillus_bogoriensis_ATCC_BAA-922</v>
          </cell>
        </row>
        <row r="5201">
          <cell r="G5201" t="str">
            <v>ASV4587</v>
          </cell>
          <cell r="H5201" t="str">
            <v>g__UCG-002</v>
          </cell>
          <cell r="I5201" t="str">
            <v>s__unclassified_g__UCG-002</v>
          </cell>
        </row>
        <row r="5202">
          <cell r="G5202" t="str">
            <v>ASV21171</v>
          </cell>
          <cell r="H5202" t="str">
            <v>g__Lactobacillus</v>
          </cell>
          <cell r="I5202" t="str">
            <v>s__unclassified_g__Lactobacillus</v>
          </cell>
        </row>
        <row r="5203">
          <cell r="G5203" t="str">
            <v>ASV13987</v>
          </cell>
          <cell r="H5203" t="str">
            <v>g__Clostridium_sensu_stricto_1</v>
          </cell>
          <cell r="I5203" t="str">
            <v>s__unclassified_g__Clostridium_sensu_stricto_1</v>
          </cell>
        </row>
        <row r="5204">
          <cell r="G5204" t="str">
            <v>ASV17590</v>
          </cell>
          <cell r="H5204" t="str">
            <v>g__Prevotella</v>
          </cell>
          <cell r="I5204" t="str">
            <v>s__unclassified_g__Prevotella</v>
          </cell>
        </row>
        <row r="5205">
          <cell r="G5205" t="str">
            <v>ASV7022</v>
          </cell>
          <cell r="H5205" t="str">
            <v>g__Bacteroides</v>
          </cell>
          <cell r="I5205" t="str">
            <v>s__unclassified_g__Bacteroides</v>
          </cell>
        </row>
        <row r="5206">
          <cell r="G5206" t="str">
            <v>ASV1593</v>
          </cell>
          <cell r="H5206" t="str">
            <v>g__Bacillus</v>
          </cell>
          <cell r="I5206" t="str">
            <v>s__Lactobacillus_vaginalis_g__Bacillus</v>
          </cell>
        </row>
        <row r="5207">
          <cell r="G5207" t="str">
            <v>ASV3642</v>
          </cell>
          <cell r="H5207" t="str">
            <v>g__Lysinibacillus</v>
          </cell>
          <cell r="I5207" t="str">
            <v>s__unclassified_g__Lysinibacillus</v>
          </cell>
        </row>
        <row r="5208">
          <cell r="G5208" t="str">
            <v>ASV17592</v>
          </cell>
          <cell r="H5208" t="str">
            <v>g__unclassified_c__Bacilli</v>
          </cell>
          <cell r="I5208" t="str">
            <v>s__unclassified_c__Bacilli</v>
          </cell>
        </row>
        <row r="5209">
          <cell r="G5209" t="str">
            <v>ASV4594</v>
          </cell>
          <cell r="H5209" t="str">
            <v>g__Parabacteroides</v>
          </cell>
          <cell r="I5209" t="str">
            <v>s__Porphyromonadaceae_bacterium_DJF_B175</v>
          </cell>
        </row>
        <row r="5210">
          <cell r="G5210" t="str">
            <v>ASV13983</v>
          </cell>
          <cell r="H5210" t="str">
            <v>g__Mitsuokella</v>
          </cell>
          <cell r="I5210" t="str">
            <v>s__unclassified_g__Mitsuokella</v>
          </cell>
        </row>
        <row r="5211">
          <cell r="G5211" t="str">
            <v>ASV10468</v>
          </cell>
          <cell r="H5211" t="str">
            <v>g__unclassified_f__Peptostreptococcaceae</v>
          </cell>
          <cell r="I5211" t="str">
            <v>s__unclassified_f__Peptostreptococcaceae</v>
          </cell>
        </row>
        <row r="5212">
          <cell r="G5212" t="str">
            <v>ASV2920</v>
          </cell>
          <cell r="H5212" t="str">
            <v>g__Vitreoscilla</v>
          </cell>
          <cell r="I5212" t="str">
            <v>s__metagenome_g__Vitreoscilla</v>
          </cell>
        </row>
        <row r="5213">
          <cell r="G5213" t="str">
            <v>ASV17462</v>
          </cell>
          <cell r="H5213" t="str">
            <v>g__Olsenella</v>
          </cell>
          <cell r="I5213" t="str">
            <v>s__unclassified_g__Olsenella</v>
          </cell>
        </row>
        <row r="5214">
          <cell r="G5214" t="str">
            <v>ASV23911</v>
          </cell>
          <cell r="H5214" t="str">
            <v>g__unclassified_f__Prevotellaceae</v>
          </cell>
          <cell r="I5214" t="str">
            <v>s__unclassified_f__Prevotellaceae</v>
          </cell>
        </row>
        <row r="5215">
          <cell r="G5215" t="str">
            <v>ASV4738</v>
          </cell>
          <cell r="H5215" t="str">
            <v>g__unclassified_o__Oscillospirales</v>
          </cell>
          <cell r="I5215" t="str">
            <v>s__unclassified_o__Oscillospirales</v>
          </cell>
        </row>
        <row r="5216">
          <cell r="G5216" t="str">
            <v>ASV20214</v>
          </cell>
          <cell r="H5216" t="str">
            <v>g__unclassified_k__norank_d__Bacteria</v>
          </cell>
          <cell r="I5216" t="str">
            <v>s__unclassified_k__norank_d__Bacteria</v>
          </cell>
        </row>
        <row r="5217">
          <cell r="G5217" t="str">
            <v>ASV9225</v>
          </cell>
          <cell r="H5217" t="str">
            <v>g__Lactobacillus</v>
          </cell>
          <cell r="I5217" t="str">
            <v>s__unclassified_g__Lactobacillus</v>
          </cell>
        </row>
        <row r="5218">
          <cell r="G5218" t="str">
            <v>ASV4580</v>
          </cell>
          <cell r="H5218" t="str">
            <v>g__unclassified_c__Clostridia</v>
          </cell>
          <cell r="I5218" t="str">
            <v>s__unclassified_c__Clostridia</v>
          </cell>
        </row>
        <row r="5219">
          <cell r="G5219" t="str">
            <v>ASV21911</v>
          </cell>
          <cell r="H5219" t="str">
            <v>g__unclassified_f__Peptostreptococcaceae</v>
          </cell>
          <cell r="I5219" t="str">
            <v>s__unclassified_f__Peptostreptococcaceae</v>
          </cell>
        </row>
        <row r="5220">
          <cell r="G5220" t="str">
            <v>ASV9209</v>
          </cell>
          <cell r="H5220" t="str">
            <v>g__unclassified_o__Saccharimonadales</v>
          </cell>
          <cell r="I5220" t="str">
            <v>s__unclassified_o__Saccharimonadales</v>
          </cell>
        </row>
        <row r="5221">
          <cell r="G5221" t="str">
            <v>ASV21916</v>
          </cell>
          <cell r="H5221" t="str">
            <v>g__unclassified_p__Firmicutes</v>
          </cell>
          <cell r="I5221" t="str">
            <v>s__unclassified_p__Firmicutes</v>
          </cell>
        </row>
        <row r="5222">
          <cell r="G5222" t="str">
            <v>ASV353</v>
          </cell>
          <cell r="H5222" t="str">
            <v>g__unclassified_c__Clostridia</v>
          </cell>
          <cell r="I5222" t="str">
            <v>s__unclassified_c__Clostridia</v>
          </cell>
        </row>
        <row r="5223">
          <cell r="G5223" t="str">
            <v>ASV21898</v>
          </cell>
          <cell r="H5223" t="str">
            <v>g__unclassified_f__Lachnospiraceae</v>
          </cell>
          <cell r="I5223" t="str">
            <v>s__unclassified_f__Lachnospiraceae</v>
          </cell>
        </row>
        <row r="5224">
          <cell r="G5224" t="str">
            <v>ASV15041</v>
          </cell>
          <cell r="H5224" t="str">
            <v>g__unclassified_k__norank_d__Bacteria</v>
          </cell>
          <cell r="I5224" t="str">
            <v>s__unclassified_k__norank_d__Bacteria</v>
          </cell>
        </row>
        <row r="5225">
          <cell r="G5225" t="str">
            <v>ASV21927</v>
          </cell>
          <cell r="H5225" t="str">
            <v>g__norank_f__Eubacterium_coprostanoligenes_group</v>
          </cell>
          <cell r="I5225" t="str">
            <v>s__uncultured_bacterium_g__norank_f__Eubacterium_coprostanoligenes_group</v>
          </cell>
        </row>
        <row r="5226">
          <cell r="G5226" t="str">
            <v>ASV8442</v>
          </cell>
          <cell r="H5226" t="str">
            <v>g__Megasphaera</v>
          </cell>
          <cell r="I5226" t="str">
            <v>s__unclassified_g__Megasphaera</v>
          </cell>
        </row>
        <row r="5227">
          <cell r="G5227" t="str">
            <v>ASV377</v>
          </cell>
          <cell r="H5227" t="str">
            <v>g__NK4A214_group</v>
          </cell>
          <cell r="I5227" t="str">
            <v>s__uncultured_bacterium_g__NK4A214_group</v>
          </cell>
        </row>
        <row r="5228">
          <cell r="G5228" t="str">
            <v>ASV9217</v>
          </cell>
          <cell r="H5228" t="str">
            <v>g__Eubacterium_oxidoreducens_group</v>
          </cell>
          <cell r="I5228" t="str">
            <v>s__uncultured_bacterium_g__Eubacterium_oxidoreducens_group</v>
          </cell>
        </row>
        <row r="5229">
          <cell r="G5229" t="str">
            <v>ASV7548</v>
          </cell>
          <cell r="H5229" t="str">
            <v>g__unclassified_p__Firmicutes</v>
          </cell>
          <cell r="I5229" t="str">
            <v>s__unclassified_p__Firmicutes</v>
          </cell>
        </row>
        <row r="5230">
          <cell r="G5230" t="str">
            <v>ASV21412</v>
          </cell>
          <cell r="H5230" t="str">
            <v>g__Megasphaera</v>
          </cell>
          <cell r="I5230" t="str">
            <v>s__unclassified_g__Megasphaera</v>
          </cell>
        </row>
        <row r="5231">
          <cell r="G5231" t="str">
            <v>ASV12581</v>
          </cell>
          <cell r="H5231" t="str">
            <v>g__unclassified_c__Bacilli</v>
          </cell>
          <cell r="I5231" t="str">
            <v>s__unclassified_c__Bacilli</v>
          </cell>
        </row>
        <row r="5232">
          <cell r="G5232" t="str">
            <v>ASV21921</v>
          </cell>
          <cell r="H5232" t="str">
            <v>g__norank_f__Eubacterium_coprostanoligenes_group</v>
          </cell>
          <cell r="I5232" t="str">
            <v>s__unclassified_g__norank_f__Eubacterium_coprostanoligenes_group</v>
          </cell>
        </row>
        <row r="5233">
          <cell r="G5233" t="str">
            <v>ASV20582</v>
          </cell>
          <cell r="H5233" t="str">
            <v>g__unclassified_f__Clostridiaceae</v>
          </cell>
          <cell r="I5233" t="str">
            <v>s__unclassified_f__Clostridiaceae</v>
          </cell>
        </row>
        <row r="5234">
          <cell r="G5234" t="str">
            <v>ASV10462</v>
          </cell>
          <cell r="H5234" t="str">
            <v>g__unclassified_f__Lachnospiraceae</v>
          </cell>
          <cell r="I5234" t="str">
            <v>s__unclassified_f__Lachnospiraceae</v>
          </cell>
        </row>
        <row r="5235">
          <cell r="G5235" t="str">
            <v>ASV20219</v>
          </cell>
          <cell r="H5235" t="str">
            <v>g__Bacteroides</v>
          </cell>
          <cell r="I5235" t="str">
            <v>s__unclassified_g__Bacteroides</v>
          </cell>
        </row>
        <row r="5236">
          <cell r="G5236" t="str">
            <v>ASV15905</v>
          </cell>
          <cell r="H5236" t="str">
            <v>g__Lachnoclostridium</v>
          </cell>
          <cell r="I5236" t="str">
            <v>s__unclassified_g__Lachnoclostridium</v>
          </cell>
        </row>
        <row r="5237">
          <cell r="G5237" t="str">
            <v>ASV3860</v>
          </cell>
          <cell r="H5237" t="str">
            <v>g__Enterococcus</v>
          </cell>
          <cell r="I5237" t="str">
            <v>s__unclassified_g__Enterococcus</v>
          </cell>
        </row>
        <row r="5238">
          <cell r="G5238" t="str">
            <v>ASV19318</v>
          </cell>
          <cell r="H5238" t="str">
            <v>g__unclassified_c__Clostridia</v>
          </cell>
          <cell r="I5238" t="str">
            <v>s__unclassified_c__Clostridia</v>
          </cell>
        </row>
        <row r="5239">
          <cell r="G5239" t="str">
            <v>ASV4578</v>
          </cell>
          <cell r="H5239" t="str">
            <v>g__unclassified_o__Lactobacillales</v>
          </cell>
          <cell r="I5239" t="str">
            <v>s__unclassified_o__Lactobacillales</v>
          </cell>
        </row>
        <row r="5240">
          <cell r="G5240" t="str">
            <v>ASV7546</v>
          </cell>
          <cell r="H5240" t="str">
            <v>g__Sharpea</v>
          </cell>
          <cell r="I5240" t="str">
            <v>s__unclassified_g__Sharpea</v>
          </cell>
        </row>
        <row r="5241">
          <cell r="G5241" t="str">
            <v>ASV23221</v>
          </cell>
          <cell r="H5241" t="str">
            <v>g__Desulfovibrio</v>
          </cell>
          <cell r="I5241" t="str">
            <v>s__unclassified_g__Desulfovibrio</v>
          </cell>
        </row>
        <row r="5242">
          <cell r="G5242" t="str">
            <v>ASV20574</v>
          </cell>
          <cell r="H5242" t="str">
            <v>g__unclassified_f__Peptostreptococcaceae</v>
          </cell>
          <cell r="I5242" t="str">
            <v>s__unclassified_f__Peptostreptococcaceae</v>
          </cell>
        </row>
        <row r="5243">
          <cell r="G5243" t="str">
            <v>ASV7025</v>
          </cell>
          <cell r="H5243" t="str">
            <v>g__unclassified_o__Oscillospirales</v>
          </cell>
          <cell r="I5243" t="str">
            <v>s__unclassified_o__Oscillospirales</v>
          </cell>
        </row>
        <row r="5244">
          <cell r="G5244" t="str">
            <v>ASV4574</v>
          </cell>
          <cell r="H5244" t="str">
            <v>g__Candidatus_Soleaferrea</v>
          </cell>
          <cell r="I5244" t="str">
            <v>s__uncultured_bacterium_g__Candidatus_Soleaferrea</v>
          </cell>
        </row>
        <row r="5245">
          <cell r="G5245" t="str">
            <v>ASV21570</v>
          </cell>
          <cell r="H5245" t="str">
            <v>g__unclassified_f__Pasteurellaceae</v>
          </cell>
          <cell r="I5245" t="str">
            <v>s__unclassified_f__Pasteurellaceae</v>
          </cell>
        </row>
        <row r="5246">
          <cell r="G5246" t="str">
            <v>ASV13989</v>
          </cell>
          <cell r="H5246" t="str">
            <v>g__unclassified_f__Lachnospiraceae</v>
          </cell>
          <cell r="I5246" t="str">
            <v>s__unclassified_f__Lachnospiraceae</v>
          </cell>
        </row>
        <row r="5247">
          <cell r="G5247" t="str">
            <v>ASV4584</v>
          </cell>
          <cell r="H5247" t="str">
            <v>g__Lactobacillus</v>
          </cell>
          <cell r="I5247" t="str">
            <v>s__unclassified_g__Lactobacillus</v>
          </cell>
        </row>
        <row r="5248">
          <cell r="G5248" t="str">
            <v>ASV11302</v>
          </cell>
          <cell r="H5248" t="str">
            <v>g__UCG-005</v>
          </cell>
          <cell r="I5248" t="str">
            <v>s__uncultured_bacterium_g__UCG-005</v>
          </cell>
        </row>
        <row r="5249">
          <cell r="G5249" t="str">
            <v>ASV5649</v>
          </cell>
          <cell r="H5249" t="str">
            <v>g__unclassified_f__Synergistaceae</v>
          </cell>
          <cell r="I5249" t="str">
            <v>s__unclassified_f__Synergistaceae</v>
          </cell>
        </row>
        <row r="5250">
          <cell r="G5250" t="str">
            <v>ASV16282</v>
          </cell>
          <cell r="H5250" t="str">
            <v>g__Clostridium_sensu_stricto_1</v>
          </cell>
          <cell r="I5250" t="str">
            <v>s__unclassified_g__Clostridium_sensu_stricto_1</v>
          </cell>
        </row>
        <row r="5251">
          <cell r="G5251" t="str">
            <v>ASV19300</v>
          </cell>
          <cell r="H5251" t="str">
            <v>g__unclassified_f__Lachnospiraceae</v>
          </cell>
          <cell r="I5251" t="str">
            <v>s__unclassified_f__Lachnospiraceae</v>
          </cell>
        </row>
        <row r="5252">
          <cell r="G5252" t="str">
            <v>ASV382</v>
          </cell>
          <cell r="H5252" t="str">
            <v>g__unclassified_f__Lachnospiraceae</v>
          </cell>
          <cell r="I5252" t="str">
            <v>s__unclassified_f__Lachnospiraceae</v>
          </cell>
        </row>
        <row r="5253">
          <cell r="G5253" t="str">
            <v>ASV362</v>
          </cell>
          <cell r="H5253" t="str">
            <v>g__unclassified_f__Prevotellaceae</v>
          </cell>
          <cell r="I5253" t="str">
            <v>s__unclassified_f__Prevotellaceae</v>
          </cell>
        </row>
        <row r="5254">
          <cell r="G5254" t="str">
            <v>ASV23072</v>
          </cell>
          <cell r="H5254" t="str">
            <v>g__unclassified_f__Ruminococcaceae</v>
          </cell>
          <cell r="I5254" t="str">
            <v>s__unclassified_f__Ruminococcaceae</v>
          </cell>
        </row>
        <row r="5255">
          <cell r="G5255" t="str">
            <v>ASV6573</v>
          </cell>
          <cell r="H5255" t="str">
            <v>g__norank_f__Oscillospiraceae</v>
          </cell>
          <cell r="I5255" t="str">
            <v>s__unclassified_g__norank_f__Oscillospiraceae</v>
          </cell>
        </row>
        <row r="5256">
          <cell r="G5256" t="str">
            <v>ASV13991</v>
          </cell>
          <cell r="H5256" t="str">
            <v>g__Christensenellaceae_R-7_group</v>
          </cell>
          <cell r="I5256" t="str">
            <v>s__unclassified_g__Christensenellaceae_R-7_group</v>
          </cell>
        </row>
        <row r="5257">
          <cell r="G5257" t="str">
            <v>ASV4567</v>
          </cell>
          <cell r="H5257" t="str">
            <v>g__Terrisporobacter</v>
          </cell>
          <cell r="I5257" t="str">
            <v>s__unclassified_g__Terrisporobacter</v>
          </cell>
        </row>
        <row r="5258">
          <cell r="G5258" t="str">
            <v>ASV16275</v>
          </cell>
          <cell r="H5258" t="str">
            <v>g__norank_f__Muribaculaceae</v>
          </cell>
          <cell r="I5258" t="str">
            <v>s__uncultured_bacterium_g__norank_f__Muribaculaceae</v>
          </cell>
        </row>
        <row r="5259">
          <cell r="G5259" t="str">
            <v>ASV5634</v>
          </cell>
          <cell r="H5259" t="str">
            <v>g__UCG-005</v>
          </cell>
          <cell r="I5259" t="str">
            <v>s__human_gut_metagenome_g__UCG-005</v>
          </cell>
        </row>
        <row r="5260">
          <cell r="G5260" t="str">
            <v>ASV6568</v>
          </cell>
          <cell r="H5260" t="str">
            <v>g__Enterococcus</v>
          </cell>
          <cell r="I5260" t="str">
            <v>s__unclassified_g__Enterococcus</v>
          </cell>
        </row>
        <row r="5261">
          <cell r="G5261" t="str">
            <v>ASV4581</v>
          </cell>
          <cell r="H5261" t="str">
            <v>g__Lachnospiraceae_UCG-010</v>
          </cell>
          <cell r="I5261" t="str">
            <v>s__unclassified_g__Lachnospiraceae_UCG-010</v>
          </cell>
        </row>
        <row r="5262">
          <cell r="G5262" t="str">
            <v>ASV20573</v>
          </cell>
          <cell r="H5262" t="str">
            <v>g__Cloacibacillus</v>
          </cell>
          <cell r="I5262" t="str">
            <v>s__unclassified_g__Cloacibacillus</v>
          </cell>
        </row>
        <row r="5263">
          <cell r="G5263" t="str">
            <v>ASV4595</v>
          </cell>
          <cell r="H5263" t="str">
            <v>g__Eubacterium_oxidoreducens_group</v>
          </cell>
          <cell r="I5263" t="str">
            <v>s__uncultured_bacterium_g__Eubacterium_oxidoreducens_group</v>
          </cell>
        </row>
        <row r="5264">
          <cell r="G5264" t="str">
            <v>ASV24380</v>
          </cell>
          <cell r="H5264" t="str">
            <v>g__Lactobacillus</v>
          </cell>
          <cell r="I5264" t="str">
            <v>s__unclassified_g__Lactobacillus</v>
          </cell>
        </row>
        <row r="5265">
          <cell r="G5265" t="str">
            <v>ASV10283</v>
          </cell>
          <cell r="H5265" t="str">
            <v>g__unclassified_f__Lachnospiraceae</v>
          </cell>
          <cell r="I5265" t="str">
            <v>s__unclassified_f__Lachnospiraceae</v>
          </cell>
        </row>
        <row r="5266">
          <cell r="G5266" t="str">
            <v>ASV12575</v>
          </cell>
          <cell r="H5266" t="str">
            <v>g__UCG-002</v>
          </cell>
          <cell r="I5266" t="str">
            <v>s__uncultured_bacterium_g__UCG-002</v>
          </cell>
        </row>
        <row r="5267">
          <cell r="G5267" t="str">
            <v>ASV21919</v>
          </cell>
          <cell r="H5267" t="str">
            <v>g__unclassified_p__Firmicutes</v>
          </cell>
          <cell r="I5267" t="str">
            <v>s__unclassified_p__Firmicutes</v>
          </cell>
        </row>
        <row r="5268">
          <cell r="G5268" t="str">
            <v>ASV4563</v>
          </cell>
          <cell r="H5268" t="str">
            <v>g__unclassified_c__Clostridia</v>
          </cell>
          <cell r="I5268" t="str">
            <v>s__unclassified_c__Clostridia</v>
          </cell>
        </row>
        <row r="5269">
          <cell r="G5269" t="str">
            <v>ASV17593</v>
          </cell>
          <cell r="H5269" t="str">
            <v>g__Anaerovibrio</v>
          </cell>
          <cell r="I5269" t="str">
            <v>s__Anaerovibrio_sp._765</v>
          </cell>
        </row>
        <row r="5270">
          <cell r="G5270" t="str">
            <v>ASV15203</v>
          </cell>
          <cell r="H5270" t="str">
            <v>g__Campylobacter</v>
          </cell>
          <cell r="I5270" t="str">
            <v>s__unclassified_g__Campylobacter</v>
          </cell>
        </row>
        <row r="5271">
          <cell r="G5271" t="str">
            <v>ASV4743</v>
          </cell>
          <cell r="H5271" t="str">
            <v>g__Prevotellaceae_UCG-004</v>
          </cell>
          <cell r="I5271" t="str">
            <v>s__uncultured_bacterium_g__Prevotellaceae_UCG-004</v>
          </cell>
        </row>
        <row r="5272">
          <cell r="G5272" t="str">
            <v>ASV17809</v>
          </cell>
          <cell r="H5272" t="str">
            <v>g__unclassified_f__Ruminococcaceae</v>
          </cell>
          <cell r="I5272" t="str">
            <v>s__unclassified_f__Ruminococcaceae</v>
          </cell>
        </row>
        <row r="5273">
          <cell r="G5273" t="str">
            <v>ASV12574</v>
          </cell>
          <cell r="H5273" t="str">
            <v>g__Turicibacter</v>
          </cell>
          <cell r="I5273" t="str">
            <v>s__unclassified_g__Turicibacter</v>
          </cell>
        </row>
        <row r="5274">
          <cell r="G5274" t="str">
            <v>ASV5636</v>
          </cell>
          <cell r="H5274" t="str">
            <v>g__unclassified_f__Clostridiaceae</v>
          </cell>
          <cell r="I5274" t="str">
            <v>s__unclassified_f__Clostridiaceae</v>
          </cell>
        </row>
        <row r="5275">
          <cell r="G5275" t="str">
            <v>ASV20405</v>
          </cell>
          <cell r="H5275" t="str">
            <v>g__Flavobacterium</v>
          </cell>
          <cell r="I5275" t="str">
            <v>s__unclassified_g__Flavobacterium</v>
          </cell>
        </row>
        <row r="5276">
          <cell r="G5276" t="str">
            <v>ASV3029</v>
          </cell>
          <cell r="H5276" t="str">
            <v>g__unclassified_o__Peptostreptococcales-Tissierellales</v>
          </cell>
          <cell r="I5276" t="str">
            <v>s__unclassified_o__Peptostreptococcales-Tissierellales</v>
          </cell>
        </row>
        <row r="5277">
          <cell r="G5277" t="str">
            <v>ASV4568</v>
          </cell>
          <cell r="H5277" t="str">
            <v>g__UCG-002</v>
          </cell>
          <cell r="I5277" t="str">
            <v>s__uncultured_bacterium_g__UCG-002</v>
          </cell>
        </row>
        <row r="5278">
          <cell r="G5278" t="str">
            <v>ASV24088</v>
          </cell>
          <cell r="H5278" t="str">
            <v>g__unclassified_f__Peptostreptococcaceae</v>
          </cell>
          <cell r="I5278" t="str">
            <v>s__unclassified_f__Peptostreptococcaceae</v>
          </cell>
        </row>
        <row r="5279">
          <cell r="G5279" t="str">
            <v>ASV1983</v>
          </cell>
          <cell r="H5279" t="str">
            <v>g__unclassified_p__Firmicutes</v>
          </cell>
          <cell r="I5279" t="str">
            <v>s__unclassified_p__Firmicutes</v>
          </cell>
        </row>
        <row r="5280">
          <cell r="G5280" t="str">
            <v>ASV10285</v>
          </cell>
          <cell r="H5280" t="str">
            <v>g__Campylobacter</v>
          </cell>
          <cell r="I5280" t="str">
            <v>s__unclassified_g__Campylobacter</v>
          </cell>
        </row>
        <row r="5281">
          <cell r="G5281" t="str">
            <v>ASV13996</v>
          </cell>
          <cell r="H5281" t="str">
            <v>g__unclassified_f__Lachnospiraceae</v>
          </cell>
          <cell r="I5281" t="str">
            <v>s__unclassified_f__Lachnospiraceae</v>
          </cell>
        </row>
        <row r="5282">
          <cell r="G5282" t="str">
            <v>ASV13966</v>
          </cell>
          <cell r="H5282" t="str">
            <v>g__unclassified_c__Bacilli</v>
          </cell>
          <cell r="I5282" t="str">
            <v>s__unclassified_c__Bacilli</v>
          </cell>
        </row>
        <row r="5283">
          <cell r="G5283" t="str">
            <v>ASV23070</v>
          </cell>
          <cell r="H5283" t="str">
            <v>g__Christensenellaceae_R-7_group</v>
          </cell>
          <cell r="I5283" t="str">
            <v>s__unclassified_g__Christensenellaceae_R-7_group</v>
          </cell>
        </row>
        <row r="5284">
          <cell r="G5284" t="str">
            <v>ASV13982</v>
          </cell>
          <cell r="H5284" t="str">
            <v>g__norank_f__Oscillospiraceae</v>
          </cell>
          <cell r="I5284" t="str">
            <v>s__unclassified_g__norank_f__Oscillospiraceae</v>
          </cell>
        </row>
        <row r="5285">
          <cell r="G5285" t="str">
            <v>ASV20580</v>
          </cell>
          <cell r="H5285" t="str">
            <v>g__Christensenellaceae_R-7_group</v>
          </cell>
          <cell r="I5285" t="str">
            <v>s__unclassified_g__Christensenellaceae_R-7_group</v>
          </cell>
        </row>
        <row r="5286">
          <cell r="G5286" t="str">
            <v>ASV17799</v>
          </cell>
          <cell r="H5286" t="str">
            <v>g__unclassified_o__Oscillospirales</v>
          </cell>
          <cell r="I5286" t="str">
            <v>s__unclassified_o__Oscillospirales</v>
          </cell>
        </row>
        <row r="5287">
          <cell r="G5287" t="str">
            <v>ASV1590</v>
          </cell>
          <cell r="H5287" t="str">
            <v>g__Lactobacillus</v>
          </cell>
          <cell r="I5287" t="str">
            <v>s__unclassified_g__Lactobacillus</v>
          </cell>
        </row>
        <row r="5288">
          <cell r="G5288" t="str">
            <v>ASV4582</v>
          </cell>
          <cell r="H5288" t="str">
            <v>g__Christensenellaceae_R-7_group</v>
          </cell>
          <cell r="I5288" t="str">
            <v>s__unclassified_g__Christensenellaceae_R-7_group</v>
          </cell>
        </row>
        <row r="5289">
          <cell r="G5289" t="str">
            <v>ASV21897</v>
          </cell>
          <cell r="H5289" t="str">
            <v>g__unclassified_f__Lachnospiraceae</v>
          </cell>
          <cell r="I5289" t="str">
            <v>s__unclassified_f__Lachnospiraceae</v>
          </cell>
        </row>
        <row r="5290">
          <cell r="G5290" t="str">
            <v>ASV15042</v>
          </cell>
          <cell r="H5290" t="str">
            <v>g__norank_f__Methylacidiphilaceae</v>
          </cell>
          <cell r="I5290" t="str">
            <v>s__metagenome_g__norank_f__Methylacidiphilaceae</v>
          </cell>
        </row>
        <row r="5291">
          <cell r="G5291" t="str">
            <v>ASV392</v>
          </cell>
          <cell r="H5291" t="str">
            <v>g__unclassified_c__Clostridia</v>
          </cell>
          <cell r="I5291" t="str">
            <v>s__unclassified_c__Clostridia</v>
          </cell>
        </row>
        <row r="5292">
          <cell r="G5292" t="str">
            <v>ASV4564</v>
          </cell>
          <cell r="H5292" t="str">
            <v>g__Clostridium_sensu_stricto_1</v>
          </cell>
          <cell r="I5292" t="str">
            <v>s__unclassified_g__Clostridium_sensu_stricto_1</v>
          </cell>
        </row>
        <row r="5293">
          <cell r="G5293" t="str">
            <v>ASV5638</v>
          </cell>
          <cell r="H5293" t="str">
            <v>g__unclassified_f__Lachnospiraceae</v>
          </cell>
          <cell r="I5293" t="str">
            <v>s__unclassified_f__Lachnospiraceae</v>
          </cell>
        </row>
        <row r="5294">
          <cell r="G5294" t="str">
            <v>ASV16826</v>
          </cell>
          <cell r="H5294" t="str">
            <v>g__Lactobacillus</v>
          </cell>
          <cell r="I5294" t="str">
            <v>s__unclassified_g__Lactobacillus</v>
          </cell>
        </row>
        <row r="5295">
          <cell r="G5295" t="str">
            <v>ASV6570</v>
          </cell>
          <cell r="H5295" t="str">
            <v>g__Enterococcus</v>
          </cell>
          <cell r="I5295" t="str">
            <v>s__unclassified_g__Enterococcus</v>
          </cell>
        </row>
        <row r="5296">
          <cell r="G5296" t="str">
            <v>ASV5645</v>
          </cell>
          <cell r="H5296" t="str">
            <v>g__unclassified_f__Peptostreptococcaceae</v>
          </cell>
          <cell r="I5296" t="str">
            <v>s__unclassified_f__Peptostreptococcaceae</v>
          </cell>
        </row>
        <row r="5297">
          <cell r="G5297" t="str">
            <v>ASV23912</v>
          </cell>
          <cell r="H5297" t="str">
            <v>g__Prevotellaceae_NK3B31_group</v>
          </cell>
          <cell r="I5297" t="str">
            <v>s__uncultured_bacterium_g__Prevotellaceae_NK3B31_group</v>
          </cell>
        </row>
        <row r="5298">
          <cell r="G5298" t="str">
            <v>ASV13993</v>
          </cell>
          <cell r="H5298" t="str">
            <v>g__Lactobacillus</v>
          </cell>
          <cell r="I5298" t="str">
            <v>s__unclassified_g__Lactobacillus</v>
          </cell>
        </row>
        <row r="5299">
          <cell r="G5299" t="str">
            <v>ASV20616</v>
          </cell>
          <cell r="H5299" t="str">
            <v>g__norank_f__Eubacterium_coprostanoligenes_group</v>
          </cell>
          <cell r="I5299" t="str">
            <v>s__unclassified_g__norank_f__Eubacterium_coprostanoligenes_group</v>
          </cell>
        </row>
        <row r="5300">
          <cell r="G5300" t="str">
            <v>ASV23103</v>
          </cell>
          <cell r="H5300" t="str">
            <v>g__UCG-002</v>
          </cell>
          <cell r="I5300" t="str">
            <v>s__unclassified_g__UCG-002</v>
          </cell>
        </row>
        <row r="5301">
          <cell r="G5301" t="str">
            <v>ASV20617</v>
          </cell>
          <cell r="H5301" t="str">
            <v>g__unclassified_c__Clostridia</v>
          </cell>
          <cell r="I5301" t="str">
            <v>s__unclassified_c__Clostridia</v>
          </cell>
        </row>
        <row r="5302">
          <cell r="G5302" t="str">
            <v>ASV21943</v>
          </cell>
          <cell r="H5302" t="str">
            <v>g__unclassified_f__Lachnospiraceae</v>
          </cell>
          <cell r="I5302" t="str">
            <v>s__unclassified_f__Lachnospiraceae</v>
          </cell>
        </row>
        <row r="5303">
          <cell r="G5303" t="str">
            <v>ASV21723</v>
          </cell>
          <cell r="H5303" t="str">
            <v>g__Yimella</v>
          </cell>
          <cell r="I5303" t="str">
            <v>s__unclassified_g__Yimella</v>
          </cell>
        </row>
        <row r="5304">
          <cell r="G5304" t="str">
            <v>ASV21174</v>
          </cell>
          <cell r="H5304" t="str">
            <v>g__Holdemanella</v>
          </cell>
          <cell r="I5304" t="str">
            <v>s__uncultured_bacterium_g__Holdemanella</v>
          </cell>
        </row>
        <row r="5305">
          <cell r="G5305" t="str">
            <v>ASV8271</v>
          </cell>
          <cell r="H5305" t="str">
            <v>g__Peptostreptococcus</v>
          </cell>
          <cell r="I5305" t="str">
            <v>s__unclassified_g__Peptostreptococcus</v>
          </cell>
        </row>
        <row r="5306">
          <cell r="G5306" t="str">
            <v>ASV21975</v>
          </cell>
          <cell r="H5306" t="str">
            <v>g__unclassified_c__Clostridia</v>
          </cell>
          <cell r="I5306" t="str">
            <v>s__unclassified_c__Clostridia</v>
          </cell>
        </row>
        <row r="5307">
          <cell r="G5307" t="str">
            <v>ASV11366</v>
          </cell>
          <cell r="H5307" t="str">
            <v>g__unclassified_c__Clostridia</v>
          </cell>
          <cell r="I5307" t="str">
            <v>s__unclassified_c__Clostridia</v>
          </cell>
        </row>
        <row r="5308">
          <cell r="G5308" t="str">
            <v>ASV1611</v>
          </cell>
          <cell r="H5308" t="str">
            <v>g__Turicibacter</v>
          </cell>
          <cell r="I5308" t="str">
            <v>s__unclassified_g__Turicibacter</v>
          </cell>
        </row>
        <row r="5309">
          <cell r="G5309" t="str">
            <v>ASV14049</v>
          </cell>
          <cell r="H5309" t="str">
            <v>g__unclassified_f__Oscillospiraceae</v>
          </cell>
          <cell r="I5309" t="str">
            <v>s__unclassified_f__Oscillospiraceae</v>
          </cell>
        </row>
        <row r="5310">
          <cell r="G5310" t="str">
            <v>ASV15919</v>
          </cell>
          <cell r="H5310" t="str">
            <v>g__unclassified_p__Firmicutes</v>
          </cell>
          <cell r="I5310" t="str">
            <v>s__unclassified_p__Firmicutes</v>
          </cell>
        </row>
        <row r="5311">
          <cell r="G5311" t="str">
            <v>ASV23112</v>
          </cell>
          <cell r="H5311" t="str">
            <v>g__unclassified_c__Clostridia</v>
          </cell>
          <cell r="I5311" t="str">
            <v>s__unclassified_c__Clostridia</v>
          </cell>
        </row>
        <row r="5312">
          <cell r="G5312" t="str">
            <v>ASV11343</v>
          </cell>
          <cell r="H5312" t="str">
            <v>g__norank_f__Ruminococcaceae</v>
          </cell>
          <cell r="I5312" t="str">
            <v>s__uncultured_bacterium_g__norank_f__Ruminococcaceae</v>
          </cell>
        </row>
        <row r="5313">
          <cell r="G5313" t="str">
            <v>ASV9260</v>
          </cell>
          <cell r="H5313" t="str">
            <v>g__unclassified_f__Lachnospiraceae</v>
          </cell>
          <cell r="I5313" t="str">
            <v>s__unclassified_f__Lachnospiraceae</v>
          </cell>
        </row>
        <row r="5314">
          <cell r="G5314" t="str">
            <v>ASV16295</v>
          </cell>
          <cell r="H5314" t="str">
            <v>g__Christensenellaceae_R-7_group</v>
          </cell>
          <cell r="I5314" t="str">
            <v>s__unclassified_g__Christensenellaceae_R-7_group</v>
          </cell>
        </row>
        <row r="5315">
          <cell r="G5315" t="str">
            <v>ASV5665</v>
          </cell>
          <cell r="H5315" t="str">
            <v>g__norank_f__norank_o__RF39</v>
          </cell>
          <cell r="I5315" t="str">
            <v>s__uncultured_bacterium_g__norank_f__norank_o__RF39</v>
          </cell>
        </row>
        <row r="5316">
          <cell r="G5316" t="str">
            <v>ASV12601</v>
          </cell>
          <cell r="H5316" t="str">
            <v>g__unclassified_f__Lachnospiraceae</v>
          </cell>
          <cell r="I5316" t="str">
            <v>s__unclassified_f__Lachnospiraceae</v>
          </cell>
        </row>
        <row r="5317">
          <cell r="G5317" t="str">
            <v>ASV14020</v>
          </cell>
          <cell r="H5317" t="str">
            <v>g__unclassified_o__Bacteroidales</v>
          </cell>
          <cell r="I5317" t="str">
            <v>s__unclassified_o__Bacteroidales</v>
          </cell>
        </row>
        <row r="5318">
          <cell r="G5318" t="str">
            <v>ASV5686</v>
          </cell>
          <cell r="H5318" t="str">
            <v>g__Synergistes</v>
          </cell>
          <cell r="I5318" t="str">
            <v>s__Synergistes_jonesii</v>
          </cell>
        </row>
        <row r="5319">
          <cell r="G5319" t="str">
            <v>ASV4613</v>
          </cell>
          <cell r="H5319" t="str">
            <v>g__unclassified_c__Clostridia</v>
          </cell>
          <cell r="I5319" t="str">
            <v>s__unclassified_c__Clostridia</v>
          </cell>
        </row>
        <row r="5320">
          <cell r="G5320" t="str">
            <v>ASV9984</v>
          </cell>
          <cell r="H5320" t="str">
            <v>g__Z20</v>
          </cell>
          <cell r="I5320" t="str">
            <v>s__uncultured_bacterium_g__Z20</v>
          </cell>
        </row>
        <row r="5321">
          <cell r="G5321" t="str">
            <v>ASV19345</v>
          </cell>
          <cell r="H5321" t="str">
            <v>g__unclassified_c__Bacilli</v>
          </cell>
          <cell r="I5321" t="str">
            <v>s__unclassified_c__Bacilli</v>
          </cell>
        </row>
        <row r="5322">
          <cell r="G5322" t="str">
            <v>ASV8448</v>
          </cell>
          <cell r="H5322" t="str">
            <v>g__Selenomonas</v>
          </cell>
          <cell r="I5322" t="str">
            <v>s__unclassified_g__Selenomonas</v>
          </cell>
        </row>
        <row r="5323">
          <cell r="G5323" t="str">
            <v>ASV1995</v>
          </cell>
          <cell r="H5323" t="str">
            <v>g__unclassified_o__Peptostreptococcales-Tissierellales</v>
          </cell>
          <cell r="I5323" t="str">
            <v>s__unclassified_o__Peptostreptococcales-Tissierellales</v>
          </cell>
        </row>
        <row r="5324">
          <cell r="G5324" t="str">
            <v>ASV19359</v>
          </cell>
          <cell r="H5324" t="str">
            <v>g__Lactobacillus</v>
          </cell>
          <cell r="I5324" t="str">
            <v>s__unclassified_g__Lactobacillus</v>
          </cell>
        </row>
        <row r="5325">
          <cell r="G5325" t="str">
            <v>ASV418</v>
          </cell>
          <cell r="H5325" t="str">
            <v>g__unclassified_c__Clostridia</v>
          </cell>
          <cell r="I5325" t="str">
            <v>s__unclassified_c__Clostridia</v>
          </cell>
        </row>
        <row r="5326">
          <cell r="G5326" t="str">
            <v>ASV16313</v>
          </cell>
          <cell r="H5326" t="str">
            <v>g__unclassified_o__Bacteroidales</v>
          </cell>
          <cell r="I5326" t="str">
            <v>s__unclassified_o__Bacteroidales</v>
          </cell>
        </row>
        <row r="5327">
          <cell r="G5327" t="str">
            <v>ASV5668</v>
          </cell>
          <cell r="H5327" t="str">
            <v>g__unclassified_c__Bacilli</v>
          </cell>
          <cell r="I5327" t="str">
            <v>s__unclassified_c__Bacilli</v>
          </cell>
        </row>
        <row r="5328">
          <cell r="G5328" t="str">
            <v>ASV17853</v>
          </cell>
          <cell r="H5328" t="str">
            <v>g__unclassified_c__Clostridia</v>
          </cell>
          <cell r="I5328" t="str">
            <v>s__unclassified_c__Clostridia</v>
          </cell>
        </row>
        <row r="5329">
          <cell r="G5329" t="str">
            <v>ASV4647</v>
          </cell>
          <cell r="H5329" t="str">
            <v>g__Christensenellaceae_R-7_group</v>
          </cell>
          <cell r="I5329" t="str">
            <v>s__unclassified_g__Christensenellaceae_R-7_group</v>
          </cell>
        </row>
        <row r="5330">
          <cell r="G5330" t="str">
            <v>ASV18819</v>
          </cell>
          <cell r="H5330" t="str">
            <v>g__Escherichia-Shigella</v>
          </cell>
          <cell r="I5330" t="str">
            <v>s__unclassified_g__Escherichia-Shigella</v>
          </cell>
        </row>
        <row r="5331">
          <cell r="G5331" t="str">
            <v>ASV14001</v>
          </cell>
          <cell r="H5331" t="str">
            <v>g__unclassified_f__Christensenellaceae</v>
          </cell>
          <cell r="I5331" t="str">
            <v>s__unclassified_f__Christensenellaceae</v>
          </cell>
        </row>
        <row r="5332">
          <cell r="G5332" t="str">
            <v>ASV7564</v>
          </cell>
          <cell r="H5332" t="str">
            <v>g__Christensenellaceae_R-7_group</v>
          </cell>
          <cell r="I5332" t="str">
            <v>s__unclassified_g__Christensenellaceae_R-7_group</v>
          </cell>
        </row>
        <row r="5333">
          <cell r="G5333" t="str">
            <v>ASV23080</v>
          </cell>
          <cell r="H5333" t="str">
            <v>g__unclassified_f__Lachnospiraceae</v>
          </cell>
          <cell r="I5333" t="str">
            <v>s__unclassified_f__Lachnospiraceae</v>
          </cell>
        </row>
        <row r="5334">
          <cell r="G5334" t="str">
            <v>ASV3887</v>
          </cell>
          <cell r="H5334" t="str">
            <v>g__unclassified_f__Lachnospiraceae</v>
          </cell>
          <cell r="I5334" t="str">
            <v>s__unclassified_f__Lachnospiraceae</v>
          </cell>
        </row>
        <row r="5335">
          <cell r="G5335" t="str">
            <v>ASV23102</v>
          </cell>
          <cell r="H5335" t="str">
            <v>g__norank_f__p-2534-18B5_gut_group</v>
          </cell>
          <cell r="I5335" t="str">
            <v>s__uncultured_bacterium_g__norank_f__p-2534-18B5_gut_group</v>
          </cell>
        </row>
        <row r="5336">
          <cell r="G5336" t="str">
            <v>ASV13689</v>
          </cell>
          <cell r="H5336" t="str">
            <v>g__Oribacterium</v>
          </cell>
          <cell r="I5336" t="str">
            <v>s__uncultured_bacterium_g__Oribacterium</v>
          </cell>
        </row>
        <row r="5337">
          <cell r="G5337" t="str">
            <v>ASV19330</v>
          </cell>
          <cell r="H5337" t="str">
            <v>g__norank_f__Eubacterium_coprostanoligenes_group</v>
          </cell>
          <cell r="I5337" t="str">
            <v>s__uncultured_bacterium_g__norank_f__Eubacterium_coprostanoligenes_group</v>
          </cell>
        </row>
        <row r="5338">
          <cell r="G5338" t="str">
            <v>ASV14015</v>
          </cell>
          <cell r="H5338" t="str">
            <v>g__unclassified_f__Lachnospiraceae</v>
          </cell>
          <cell r="I5338" t="str">
            <v>s__unclassified_f__Lachnospiraceae</v>
          </cell>
        </row>
        <row r="5339">
          <cell r="G5339" t="str">
            <v>ASV3137</v>
          </cell>
          <cell r="H5339" t="str">
            <v>g__Escherichia-Shigella</v>
          </cell>
          <cell r="I5339" t="str">
            <v>s__unclassified_g__Escherichia-Shigella</v>
          </cell>
        </row>
        <row r="5340">
          <cell r="G5340" t="str">
            <v>ASV7604</v>
          </cell>
          <cell r="H5340" t="str">
            <v>g__Lachnospiraceae_NC2004_group</v>
          </cell>
          <cell r="I5340" t="str">
            <v>s__uncultured_bacterium_g__Lachnospiraceae_NC2004_group</v>
          </cell>
        </row>
        <row r="5341">
          <cell r="G5341" t="str">
            <v>ASV21946</v>
          </cell>
          <cell r="H5341" t="str">
            <v>g__unclassified_c__Clostridia</v>
          </cell>
          <cell r="I5341" t="str">
            <v>s__unclassified_c__Clostridia</v>
          </cell>
        </row>
        <row r="5342">
          <cell r="G5342" t="str">
            <v>ASV15239</v>
          </cell>
          <cell r="H5342" t="str">
            <v>g__Lactobacillus</v>
          </cell>
          <cell r="I5342" t="str">
            <v>s__unclassified_g__Lactobacillus</v>
          </cell>
        </row>
        <row r="5343">
          <cell r="G5343" t="str">
            <v>ASV23097</v>
          </cell>
          <cell r="H5343" t="str">
            <v>g__unclassified_f__Peptostreptococcaceae</v>
          </cell>
          <cell r="I5343" t="str">
            <v>s__unclassified_f__Peptostreptococcaceae</v>
          </cell>
        </row>
        <row r="5344">
          <cell r="G5344" t="str">
            <v>ASV10518</v>
          </cell>
          <cell r="H5344" t="str">
            <v>g__norank_f__Eubacterium_coprostanoligenes_group</v>
          </cell>
          <cell r="I5344" t="str">
            <v>s__unclassified_g__norank_f__Eubacterium_coprostanoligenes_group</v>
          </cell>
        </row>
        <row r="5345">
          <cell r="G5345" t="str">
            <v>ASV8945</v>
          </cell>
          <cell r="H5345" t="str">
            <v>g__Fermentimonas</v>
          </cell>
          <cell r="I5345" t="str">
            <v>s__uncultured_Petrimonas_sp._g__Fermentimonas</v>
          </cell>
        </row>
        <row r="5346">
          <cell r="G5346" t="str">
            <v>ASV9235</v>
          </cell>
          <cell r="H5346" t="str">
            <v>g__norank_f__Erysipelotrichaceae</v>
          </cell>
          <cell r="I5346" t="str">
            <v>s__uncultured_bacterium_g__norank_f__Erysipelotrichaceae</v>
          </cell>
        </row>
        <row r="5347">
          <cell r="G5347" t="str">
            <v>ASV16294</v>
          </cell>
          <cell r="H5347" t="str">
            <v>g__Clostridium_sensu_stricto_1</v>
          </cell>
          <cell r="I5347" t="str">
            <v>s__uncultured_bacterium_g__Clostridium_sensu_stricto_1</v>
          </cell>
        </row>
        <row r="5348">
          <cell r="G5348" t="str">
            <v>ASV6585</v>
          </cell>
          <cell r="H5348" t="str">
            <v>g__Enterococcus</v>
          </cell>
          <cell r="I5348" t="str">
            <v>s__unclassified_g__Enterococcus</v>
          </cell>
        </row>
        <row r="5349">
          <cell r="G5349" t="str">
            <v>ASV17827</v>
          </cell>
          <cell r="H5349" t="str">
            <v>g__Roseburia</v>
          </cell>
          <cell r="I5349" t="str">
            <v>s__unclassified_g__Roseburia</v>
          </cell>
        </row>
        <row r="5350">
          <cell r="G5350" t="str">
            <v>ASV7275</v>
          </cell>
          <cell r="H5350" t="str">
            <v>g__unclassified_f__Enterobacteriaceae</v>
          </cell>
          <cell r="I5350" t="str">
            <v>s__unclassified_f__Enterobacteriaceae</v>
          </cell>
        </row>
        <row r="5351">
          <cell r="G5351" t="str">
            <v>ASV23092</v>
          </cell>
          <cell r="H5351" t="str">
            <v>g__unclassified_f__Oscillospiraceae</v>
          </cell>
          <cell r="I5351" t="str">
            <v>s__unclassified_f__Oscillospiraceae</v>
          </cell>
        </row>
        <row r="5352">
          <cell r="G5352" t="str">
            <v>ASV21973</v>
          </cell>
          <cell r="H5352" t="str">
            <v>g__unclassified_c__Clostridia</v>
          </cell>
          <cell r="I5352" t="str">
            <v>s__unclassified_c__Clostridia</v>
          </cell>
        </row>
        <row r="5353">
          <cell r="G5353" t="str">
            <v>ASV11347</v>
          </cell>
          <cell r="H5353" t="str">
            <v>g__NK4A214_group</v>
          </cell>
          <cell r="I5353" t="str">
            <v>s__unclassified_g__NK4A214_group</v>
          </cell>
        </row>
        <row r="5354">
          <cell r="G5354" t="str">
            <v>ASV23095</v>
          </cell>
          <cell r="H5354" t="str">
            <v>g__Christensenellaceae_R-7_group</v>
          </cell>
          <cell r="I5354" t="str">
            <v>s__uncultured_spirochete_g__Christensenellaceae_R-7_group</v>
          </cell>
        </row>
        <row r="5355">
          <cell r="G5355" t="str">
            <v>ASV16311</v>
          </cell>
          <cell r="H5355" t="str">
            <v>g__Christensenellaceae_R-7_group</v>
          </cell>
          <cell r="I5355" t="str">
            <v>s__unclassified_g__Christensenellaceae_R-7_group</v>
          </cell>
        </row>
        <row r="5356">
          <cell r="G5356" t="str">
            <v>ASV11352</v>
          </cell>
          <cell r="H5356" t="str">
            <v>g__unclassified_o__Bacteroidales</v>
          </cell>
          <cell r="I5356" t="str">
            <v>s__unclassified_o__Bacteroidales</v>
          </cell>
        </row>
        <row r="5357">
          <cell r="G5357" t="str">
            <v>ASV17840</v>
          </cell>
          <cell r="H5357" t="str">
            <v>g__unclassified_c__Clostridia</v>
          </cell>
          <cell r="I5357" t="str">
            <v>s__unclassified_c__Clostridia</v>
          </cell>
        </row>
        <row r="5358">
          <cell r="G5358" t="str">
            <v>ASV434</v>
          </cell>
          <cell r="H5358" t="str">
            <v>g__unclassified_o__Bacteroidales</v>
          </cell>
          <cell r="I5358" t="str">
            <v>s__unclassified_o__Bacteroidales</v>
          </cell>
        </row>
        <row r="5359">
          <cell r="G5359" t="str">
            <v>ASV7568</v>
          </cell>
          <cell r="H5359" t="str">
            <v>g__unclassified_c__Clostridia</v>
          </cell>
          <cell r="I5359" t="str">
            <v>s__unclassified_c__Clostridia</v>
          </cell>
        </row>
        <row r="5360">
          <cell r="G5360" t="str">
            <v>ASV6587</v>
          </cell>
          <cell r="H5360" t="str">
            <v>g__Christensenellaceae_R-7_group</v>
          </cell>
          <cell r="I5360" t="str">
            <v>s__unclassified_g__Christensenellaceae_R-7_group</v>
          </cell>
        </row>
        <row r="5361">
          <cell r="G5361" t="str">
            <v>ASV18816</v>
          </cell>
          <cell r="H5361" t="str">
            <v>g__Roseburia</v>
          </cell>
          <cell r="I5361" t="str">
            <v>s__unclassified_g__Roseburia</v>
          </cell>
        </row>
        <row r="5362">
          <cell r="G5362" t="str">
            <v>ASV3147</v>
          </cell>
          <cell r="H5362" t="str">
            <v>g__unclassified_f__Lachnospiraceae</v>
          </cell>
          <cell r="I5362" t="str">
            <v>s__unclassified_f__Lachnospiraceae</v>
          </cell>
        </row>
        <row r="5363">
          <cell r="G5363" t="str">
            <v>ASV4605</v>
          </cell>
          <cell r="H5363" t="str">
            <v>g__Colidextribacter</v>
          </cell>
          <cell r="I5363" t="str">
            <v>s__uncultured_bacterium_g__Colidextribacter</v>
          </cell>
        </row>
        <row r="5364">
          <cell r="G5364" t="str">
            <v>ASV10073</v>
          </cell>
          <cell r="H5364" t="str">
            <v>g__Clostridium_sensu_stricto_1</v>
          </cell>
          <cell r="I5364" t="str">
            <v>s__unclassified_g__Clostridium_sensu_stricto_1</v>
          </cell>
        </row>
        <row r="5365">
          <cell r="G5365" t="str">
            <v>ASV5663</v>
          </cell>
          <cell r="H5365" t="str">
            <v>g__unclassified_c__Clostridia</v>
          </cell>
          <cell r="I5365" t="str">
            <v>s__unclassified_c__Clostridia</v>
          </cell>
        </row>
        <row r="5366">
          <cell r="G5366" t="str">
            <v>ASV4630</v>
          </cell>
          <cell r="H5366" t="str">
            <v>g__Treponema</v>
          </cell>
          <cell r="I5366" t="str">
            <v>s__uncultured_bacterium_g__Treponema</v>
          </cell>
        </row>
        <row r="5367">
          <cell r="G5367" t="str">
            <v>ASV15248</v>
          </cell>
          <cell r="H5367" t="str">
            <v>g__Christensenellaceae_R-7_group</v>
          </cell>
          <cell r="I5367" t="str">
            <v>s__uncultured_prokaryote_g__Christensenellaceae_R-7_group</v>
          </cell>
        </row>
        <row r="5368">
          <cell r="G5368" t="str">
            <v>ASV21948</v>
          </cell>
          <cell r="H5368" t="str">
            <v>g__unclassified_f__Lachnospiraceae</v>
          </cell>
          <cell r="I5368" t="str">
            <v>s__unclassified_f__Lachnospiraceae</v>
          </cell>
        </row>
        <row r="5369">
          <cell r="G5369" t="str">
            <v>ASV466</v>
          </cell>
          <cell r="H5369" t="str">
            <v>g__Christensenellaceae_R-7_group</v>
          </cell>
          <cell r="I5369" t="str">
            <v>s__unclassified_g__Christensenellaceae_R-7_group</v>
          </cell>
        </row>
        <row r="5370">
          <cell r="G5370" t="str">
            <v>ASV11345</v>
          </cell>
          <cell r="H5370" t="str">
            <v>g__Family_XIII_AD3011_group</v>
          </cell>
          <cell r="I5370" t="str">
            <v>s__uncultured_bacterium_g__Family_XIII_AD3011_group</v>
          </cell>
        </row>
        <row r="5371">
          <cell r="G5371" t="str">
            <v>ASV3623</v>
          </cell>
          <cell r="H5371" t="str">
            <v>g__unclassified_c__Bacilli</v>
          </cell>
          <cell r="I5371" t="str">
            <v>s__unclassified_c__Bacilli</v>
          </cell>
        </row>
        <row r="5372">
          <cell r="G5372" t="str">
            <v>ASV19358</v>
          </cell>
          <cell r="H5372" t="str">
            <v>g__unclassified_f__Lachnospiraceae</v>
          </cell>
          <cell r="I5372" t="str">
            <v>s__unclassified_f__Lachnospiraceae</v>
          </cell>
        </row>
        <row r="5373">
          <cell r="G5373" t="str">
            <v>ASV17469</v>
          </cell>
          <cell r="H5373" t="str">
            <v>g__Howardella</v>
          </cell>
          <cell r="I5373" t="str">
            <v>s__uncultured_bacterium_g__Howardella</v>
          </cell>
        </row>
        <row r="5374">
          <cell r="G5374" t="str">
            <v>ASV1996</v>
          </cell>
          <cell r="H5374" t="str">
            <v>g__Holdemanella</v>
          </cell>
          <cell r="I5374" t="str">
            <v>s__unclassified_g__Holdemanella</v>
          </cell>
        </row>
        <row r="5375">
          <cell r="G5375" t="str">
            <v>ASV12607</v>
          </cell>
          <cell r="H5375" t="str">
            <v>g__Escherichia-Shigella</v>
          </cell>
          <cell r="I5375" t="str">
            <v>s__unclassified_g__Escherichia-Shigella</v>
          </cell>
        </row>
        <row r="5376">
          <cell r="G5376" t="str">
            <v>ASV23104</v>
          </cell>
          <cell r="H5376" t="str">
            <v>g__Christensenellaceae_R-7_group</v>
          </cell>
          <cell r="I5376" t="str">
            <v>s__unclassified_g__Christensenellaceae_R-7_group</v>
          </cell>
        </row>
        <row r="5377">
          <cell r="G5377" t="str">
            <v>ASV10160</v>
          </cell>
          <cell r="H5377" t="str">
            <v>g__Escherichia-Shigella</v>
          </cell>
          <cell r="I5377" t="str">
            <v>s__unclassified_g__Escherichia-Shigella</v>
          </cell>
        </row>
        <row r="5378">
          <cell r="G5378" t="str">
            <v>ASV7336</v>
          </cell>
          <cell r="H5378" t="str">
            <v>g__Olsenella</v>
          </cell>
          <cell r="I5378" t="str">
            <v>s__Olsenella_congonensis</v>
          </cell>
        </row>
        <row r="5379">
          <cell r="G5379" t="str">
            <v>ASV24095</v>
          </cell>
          <cell r="H5379" t="str">
            <v>g__unclassified_c__Clostridia</v>
          </cell>
          <cell r="I5379" t="str">
            <v>s__unclassified_c__Clostridia</v>
          </cell>
        </row>
        <row r="5380">
          <cell r="G5380" t="str">
            <v>ASV4606</v>
          </cell>
          <cell r="H5380" t="str">
            <v>g__Turicibacter</v>
          </cell>
          <cell r="I5380" t="str">
            <v>s__unclassified_g__Turicibacter</v>
          </cell>
        </row>
        <row r="5381">
          <cell r="G5381" t="str">
            <v>ASV13303</v>
          </cell>
          <cell r="H5381" t="str">
            <v>g__unclassified_c__Bacilli</v>
          </cell>
          <cell r="I5381" t="str">
            <v>s__unclassified_c__Bacilli</v>
          </cell>
        </row>
        <row r="5382">
          <cell r="G5382" t="str">
            <v>ASV1994</v>
          </cell>
          <cell r="H5382" t="str">
            <v>g__Sharpea</v>
          </cell>
          <cell r="I5382" t="str">
            <v>s__unclassified_g__Sharpea</v>
          </cell>
        </row>
        <row r="5383">
          <cell r="G5383" t="str">
            <v>ASV15077</v>
          </cell>
          <cell r="H5383" t="str">
            <v>g__Christensenellaceae_R-7_group</v>
          </cell>
          <cell r="I5383" t="str">
            <v>s__uncultured_Christensenellaceae_bacterium</v>
          </cell>
        </row>
        <row r="5384">
          <cell r="G5384" t="str">
            <v>ASV7577</v>
          </cell>
          <cell r="H5384" t="str">
            <v>g__unclassified_p__Firmicutes</v>
          </cell>
          <cell r="I5384" t="str">
            <v>s__unclassified_p__Firmicutes</v>
          </cell>
        </row>
        <row r="5385">
          <cell r="G5385" t="str">
            <v>ASV16835</v>
          </cell>
          <cell r="H5385" t="str">
            <v>g__Oscillospira</v>
          </cell>
          <cell r="I5385" t="str">
            <v>s__uncultured_bacterium_g__Oscillospira</v>
          </cell>
        </row>
        <row r="5386">
          <cell r="G5386" t="str">
            <v>ASV404</v>
          </cell>
          <cell r="H5386" t="str">
            <v>g__Lachnospiraceae_NC2004_group</v>
          </cell>
          <cell r="I5386" t="str">
            <v>s__uncultured_bacterium_g__Lachnospiraceae_NC2004_group</v>
          </cell>
        </row>
        <row r="5387">
          <cell r="G5387" t="str">
            <v>ASV411</v>
          </cell>
          <cell r="H5387" t="str">
            <v>g__unclassified_f__Peptostreptococcaceae</v>
          </cell>
          <cell r="I5387" t="str">
            <v>s__unclassified_f__Peptostreptococcaceae</v>
          </cell>
        </row>
        <row r="5388">
          <cell r="G5388" t="str">
            <v>ASV15059</v>
          </cell>
          <cell r="H5388" t="str">
            <v>g__unclassified_f__Lachnospiraceae</v>
          </cell>
          <cell r="I5388" t="str">
            <v>s__unclassified_f__Lachnospiraceae</v>
          </cell>
        </row>
        <row r="5389">
          <cell r="G5389" t="str">
            <v>ASV7335</v>
          </cell>
          <cell r="H5389" t="str">
            <v>g__Subdoligranulum</v>
          </cell>
          <cell r="I5389" t="str">
            <v>s__uncultured_bacterium_g__Subdoligranulum</v>
          </cell>
        </row>
        <row r="5390">
          <cell r="G5390" t="str">
            <v>ASV15057</v>
          </cell>
          <cell r="H5390" t="str">
            <v>g__Bosea</v>
          </cell>
          <cell r="I5390" t="str">
            <v>s__unclassified_g__Bosea</v>
          </cell>
        </row>
        <row r="5391">
          <cell r="G5391" t="str">
            <v>ASV15225</v>
          </cell>
          <cell r="H5391" t="str">
            <v>g__Christensenellaceae_R-7_group</v>
          </cell>
          <cell r="I5391" t="str">
            <v>s__unclassified_g__Christensenellaceae_R-7_group</v>
          </cell>
        </row>
        <row r="5392">
          <cell r="G5392" t="str">
            <v>ASV10288</v>
          </cell>
          <cell r="H5392" t="str">
            <v>g__unclassified_f__Lachnospiraceae</v>
          </cell>
          <cell r="I5392" t="str">
            <v>s__unclassified_f__Lachnospiraceae</v>
          </cell>
        </row>
        <row r="5393">
          <cell r="G5393" t="str">
            <v>ASV23753</v>
          </cell>
          <cell r="H5393" t="str">
            <v>g__Family_XIII_AD3011_group</v>
          </cell>
          <cell r="I5393" t="str">
            <v>s__uncultured_bacterium_g__Family_XIII_AD3011_group</v>
          </cell>
        </row>
        <row r="5394">
          <cell r="G5394" t="str">
            <v>ASV2956</v>
          </cell>
          <cell r="H5394" t="str">
            <v>g__norank_f__Selenomonadaceae</v>
          </cell>
          <cell r="I5394" t="str">
            <v>s__unclassified_g__norank_f__Selenomonadaceae</v>
          </cell>
        </row>
        <row r="5395">
          <cell r="G5395" t="str">
            <v>ASV7578</v>
          </cell>
          <cell r="H5395" t="str">
            <v>g__Eubacterium_siraeum_group</v>
          </cell>
          <cell r="I5395" t="str">
            <v>s__unclassified_g__Eubacterium_siraeum_group</v>
          </cell>
        </row>
        <row r="5396">
          <cell r="G5396" t="str">
            <v>ASV19331</v>
          </cell>
          <cell r="H5396" t="str">
            <v>g__Christensenellaceae_R-7_group</v>
          </cell>
          <cell r="I5396" t="str">
            <v>s__unclassified_g__Christensenellaceae_R-7_group</v>
          </cell>
        </row>
        <row r="5397">
          <cell r="G5397" t="str">
            <v>ASV15099</v>
          </cell>
          <cell r="H5397" t="str">
            <v>g__norank_f__norank_o__Izemoplasmatales</v>
          </cell>
          <cell r="I5397" t="str">
            <v>s__gut_metagenome_g__norank_f__norank_o__Izemoplasmatales</v>
          </cell>
        </row>
        <row r="5398">
          <cell r="G5398" t="str">
            <v>ASV24109</v>
          </cell>
          <cell r="H5398" t="str">
            <v>g__unclassified_c__Clostridia</v>
          </cell>
          <cell r="I5398" t="str">
            <v>s__unclassified_c__Clostridia</v>
          </cell>
        </row>
        <row r="5399">
          <cell r="G5399" t="str">
            <v>ASV447</v>
          </cell>
          <cell r="H5399" t="str">
            <v>g__Christensenellaceae_R-7_group</v>
          </cell>
          <cell r="I5399" t="str">
            <v>s__unclassified_g__Christensenellaceae_R-7_group</v>
          </cell>
        </row>
        <row r="5400">
          <cell r="G5400" t="str">
            <v>ASV18821</v>
          </cell>
          <cell r="H5400" t="str">
            <v>g__Escherichia-Shigella</v>
          </cell>
          <cell r="I5400" t="str">
            <v>s__unclassified_g__Escherichia-Shigella</v>
          </cell>
        </row>
        <row r="5401">
          <cell r="G5401" t="str">
            <v>ASV410</v>
          </cell>
          <cell r="H5401" t="str">
            <v>g__unclassified_f__Ruminococcaceae</v>
          </cell>
          <cell r="I5401" t="str">
            <v>s__unclassified_f__Ruminococcaceae</v>
          </cell>
        </row>
        <row r="5402">
          <cell r="G5402" t="str">
            <v>ASV11355</v>
          </cell>
          <cell r="H5402" t="str">
            <v>g__unclassified_c__Bacilli</v>
          </cell>
          <cell r="I5402" t="str">
            <v>s__unclassified_c__Bacilli</v>
          </cell>
        </row>
        <row r="5403">
          <cell r="G5403" t="str">
            <v>ASV21956</v>
          </cell>
          <cell r="H5403" t="str">
            <v>g__unclassified_f__Oscillospiraceae</v>
          </cell>
          <cell r="I5403" t="str">
            <v>s__unclassified_f__Oscillospiraceae</v>
          </cell>
        </row>
        <row r="5404">
          <cell r="G5404" t="str">
            <v>ASV11368</v>
          </cell>
          <cell r="H5404" t="str">
            <v>g__unclassified_c__Clostridia</v>
          </cell>
          <cell r="I5404" t="str">
            <v>s__unclassified_c__Clostridia</v>
          </cell>
        </row>
        <row r="5405">
          <cell r="G5405" t="str">
            <v>ASV8703</v>
          </cell>
          <cell r="H5405" t="str">
            <v>g__Terrisporobacter</v>
          </cell>
          <cell r="I5405" t="str">
            <v>s__unclassified_g__Terrisporobacter</v>
          </cell>
        </row>
        <row r="5406">
          <cell r="G5406" t="str">
            <v>ASV2002</v>
          </cell>
          <cell r="H5406" t="str">
            <v>g__Clostridium_sensu_stricto_1</v>
          </cell>
          <cell r="I5406" t="str">
            <v>s__unclassified_g__Clostridium_sensu_stricto_1</v>
          </cell>
        </row>
        <row r="5407">
          <cell r="G5407" t="str">
            <v>ASV21730</v>
          </cell>
          <cell r="H5407" t="str">
            <v>g__unclassified_f__Rhizobiaceae</v>
          </cell>
          <cell r="I5407" t="str">
            <v>s__unclassified_f__Rhizobiaceae</v>
          </cell>
        </row>
        <row r="5408">
          <cell r="G5408" t="str">
            <v>ASV1615</v>
          </cell>
          <cell r="H5408" t="str">
            <v>g__Lactobacillus</v>
          </cell>
          <cell r="I5408" t="str">
            <v>s__unclassified_g__Lactobacillus</v>
          </cell>
        </row>
        <row r="5409">
          <cell r="G5409" t="str">
            <v>ASV17660</v>
          </cell>
          <cell r="H5409" t="str">
            <v>g__Lactobacillus</v>
          </cell>
          <cell r="I5409" t="str">
            <v>s__unclassified_g__Lactobacillus</v>
          </cell>
        </row>
        <row r="5410">
          <cell r="G5410" t="str">
            <v>ASV24107</v>
          </cell>
          <cell r="H5410" t="str">
            <v>g__unclassified_c__Clostridia</v>
          </cell>
          <cell r="I5410" t="str">
            <v>s__unclassified_c__Clostridia</v>
          </cell>
        </row>
        <row r="5411">
          <cell r="G5411" t="str">
            <v>ASV3445</v>
          </cell>
          <cell r="H5411" t="str">
            <v>g__Allisonella</v>
          </cell>
          <cell r="I5411" t="str">
            <v>s__uncultured_bacterium_g__Allisonella</v>
          </cell>
        </row>
        <row r="5412">
          <cell r="G5412" t="str">
            <v>ASV19319</v>
          </cell>
          <cell r="H5412" t="str">
            <v>g__Lachnospiraceae_NC2004_group</v>
          </cell>
          <cell r="I5412" t="str">
            <v>s__unclassified_g__Lachnospiraceae_NC2004_group</v>
          </cell>
        </row>
        <row r="5413">
          <cell r="G5413" t="str">
            <v>ASV13311</v>
          </cell>
          <cell r="H5413" t="str">
            <v>g__Peptococcus</v>
          </cell>
          <cell r="I5413" t="str">
            <v>s__uncultured_bacterium_g__Peptococcus</v>
          </cell>
        </row>
        <row r="5414">
          <cell r="G5414" t="str">
            <v>ASV15222</v>
          </cell>
          <cell r="H5414" t="str">
            <v>g__unclassified_f__Lachnospiraceae</v>
          </cell>
          <cell r="I5414" t="str">
            <v>s__unclassified_f__Lachnospiraceae</v>
          </cell>
        </row>
        <row r="5415">
          <cell r="G5415" t="str">
            <v>ASV16290</v>
          </cell>
          <cell r="H5415" t="str">
            <v>g__Parabacteroides</v>
          </cell>
          <cell r="I5415" t="str">
            <v>s__Porphyromonadaceae_bacterium_DJF_B175</v>
          </cell>
        </row>
        <row r="5416">
          <cell r="G5416" t="str">
            <v>ASV23085</v>
          </cell>
          <cell r="H5416" t="str">
            <v>g__unclassified_c__Clostridia</v>
          </cell>
          <cell r="I5416" t="str">
            <v>s__unclassified_c__Clostridia</v>
          </cell>
        </row>
        <row r="5417">
          <cell r="G5417" t="str">
            <v>ASV462</v>
          </cell>
          <cell r="H5417" t="str">
            <v>g__norank_f__Muribaculaceae</v>
          </cell>
          <cell r="I5417" t="str">
            <v>s__unclassified_g__norank_f__Muribaculaceae</v>
          </cell>
        </row>
        <row r="5418">
          <cell r="G5418" t="str">
            <v>ASV1648</v>
          </cell>
          <cell r="H5418" t="str">
            <v>g__unclassified_f__Lachnospiraceae</v>
          </cell>
          <cell r="I5418" t="str">
            <v>s__unclassified_f__Lachnospiraceae</v>
          </cell>
        </row>
        <row r="5419">
          <cell r="G5419" t="str">
            <v>ASV12596</v>
          </cell>
          <cell r="H5419" t="str">
            <v>g__unclassified_c__Clostridia</v>
          </cell>
          <cell r="I5419" t="str">
            <v>s__unclassified_c__Clostridia</v>
          </cell>
        </row>
        <row r="5420">
          <cell r="G5420" t="str">
            <v>ASV19156</v>
          </cell>
          <cell r="H5420" t="str">
            <v>g__norank_f__norank_o__Clostridia_UCG-014</v>
          </cell>
          <cell r="I5420" t="str">
            <v>s__unclassified_g__norank_f__norank_o__Clostridia_UCG-014</v>
          </cell>
        </row>
        <row r="5421">
          <cell r="G5421" t="str">
            <v>ASV11358</v>
          </cell>
          <cell r="H5421" t="str">
            <v>g__unclassified_f__Lachnospiraceae</v>
          </cell>
          <cell r="I5421" t="str">
            <v>s__unclassified_f__Lachnospiraceae</v>
          </cell>
        </row>
        <row r="5422">
          <cell r="G5422" t="str">
            <v>ASV20618</v>
          </cell>
          <cell r="H5422" t="str">
            <v>g__Lactobacillus</v>
          </cell>
          <cell r="I5422" t="str">
            <v>s__unclassified_g__Lactobacillus</v>
          </cell>
        </row>
        <row r="5423">
          <cell r="G5423" t="str">
            <v>ASV7567</v>
          </cell>
          <cell r="H5423" t="str">
            <v>g__unclassified_c__Clostridia</v>
          </cell>
          <cell r="I5423" t="str">
            <v>s__unclassified_c__Clostridia</v>
          </cell>
        </row>
        <row r="5424">
          <cell r="G5424" t="str">
            <v>ASV456</v>
          </cell>
          <cell r="H5424" t="str">
            <v>g__Colidextribacter</v>
          </cell>
          <cell r="I5424" t="str">
            <v>s__uncultured_bacterium_g__Colidextribacter</v>
          </cell>
        </row>
        <row r="5425">
          <cell r="G5425" t="str">
            <v>ASV8444</v>
          </cell>
          <cell r="H5425" t="str">
            <v>g__Olsenella</v>
          </cell>
          <cell r="I5425" t="str">
            <v>s__unclassified_g__Olsenella</v>
          </cell>
        </row>
        <row r="5426">
          <cell r="G5426" t="str">
            <v>ASV8705</v>
          </cell>
          <cell r="H5426" t="str">
            <v>g__Streptococcus</v>
          </cell>
          <cell r="I5426" t="str">
            <v>s__unclassified_g__Streptococcus</v>
          </cell>
        </row>
        <row r="5427">
          <cell r="G5427" t="str">
            <v>ASV21974</v>
          </cell>
          <cell r="H5427" t="str">
            <v>g__unclassified_p__Firmicutes</v>
          </cell>
          <cell r="I5427" t="str">
            <v>s__unclassified_p__Firmicutes</v>
          </cell>
        </row>
        <row r="5428">
          <cell r="G5428" t="str">
            <v>ASV10516</v>
          </cell>
          <cell r="H5428" t="str">
            <v>g__unclassified_o__Peptostreptococcales-Tissierellales</v>
          </cell>
          <cell r="I5428" t="str">
            <v>s__unclassified_o__Peptostreptococcales-Tissierellales</v>
          </cell>
        </row>
        <row r="5429">
          <cell r="G5429" t="str">
            <v>ASV5714</v>
          </cell>
          <cell r="H5429" t="str">
            <v>g__unclassified_f__Oscillospiraceae</v>
          </cell>
          <cell r="I5429" t="str">
            <v>s__unclassified_f__Oscillospiraceae</v>
          </cell>
        </row>
        <row r="5430">
          <cell r="G5430" t="str">
            <v>ASV18829</v>
          </cell>
          <cell r="H5430" t="str">
            <v>g__Lachnoclostridium</v>
          </cell>
          <cell r="I5430" t="str">
            <v>s__unclassified_g__Lachnoclostridium</v>
          </cell>
        </row>
        <row r="5431">
          <cell r="G5431" t="str">
            <v>ASV2001</v>
          </cell>
          <cell r="H5431" t="str">
            <v>g__unclassified_c__Clostridia</v>
          </cell>
          <cell r="I5431" t="str">
            <v>s__unclassified_c__Clostridia</v>
          </cell>
        </row>
        <row r="5432">
          <cell r="G5432" t="str">
            <v>ASV10499</v>
          </cell>
          <cell r="H5432" t="str">
            <v>g__unclassified_c__Bacilli</v>
          </cell>
          <cell r="I5432" t="str">
            <v>s__unclassified_c__Bacilli</v>
          </cell>
        </row>
        <row r="5433">
          <cell r="G5433" t="str">
            <v>ASV19344</v>
          </cell>
          <cell r="H5433" t="str">
            <v>g__Lactobacillus</v>
          </cell>
          <cell r="I5433" t="str">
            <v>s__unclassified_g__Lactobacillus</v>
          </cell>
        </row>
        <row r="5434">
          <cell r="G5434" t="str">
            <v>ASV18826</v>
          </cell>
          <cell r="H5434" t="str">
            <v>g__unclassified_f__Lachnospiraceae</v>
          </cell>
          <cell r="I5434" t="str">
            <v>s__unclassified_f__Lachnospiraceae</v>
          </cell>
        </row>
        <row r="5435">
          <cell r="G5435" t="str">
            <v>ASV17857</v>
          </cell>
          <cell r="H5435" t="str">
            <v>g__unclassified_f__Christensenellaceae</v>
          </cell>
          <cell r="I5435" t="str">
            <v>s__unclassified_f__Christensenellaceae</v>
          </cell>
        </row>
        <row r="5436">
          <cell r="G5436" t="str">
            <v>ASV10928</v>
          </cell>
          <cell r="H5436" t="str">
            <v>g__Howardella</v>
          </cell>
          <cell r="I5436" t="str">
            <v>s__unclassified_g__Howardella</v>
          </cell>
        </row>
        <row r="5437">
          <cell r="G5437" t="str">
            <v>ASV20605</v>
          </cell>
          <cell r="H5437" t="str">
            <v>g__unclassified_c__Clostridia</v>
          </cell>
          <cell r="I5437" t="str">
            <v>s__unclassified_c__Clostridia</v>
          </cell>
        </row>
        <row r="5438">
          <cell r="G5438" t="str">
            <v>ASV11318</v>
          </cell>
          <cell r="H5438" t="str">
            <v>g__norank_f__Muribaculaceae</v>
          </cell>
          <cell r="I5438" t="str">
            <v>s__unclassified_g__norank_f__Muribaculaceae</v>
          </cell>
        </row>
        <row r="5439">
          <cell r="G5439" t="str">
            <v>ASV5682</v>
          </cell>
          <cell r="H5439" t="str">
            <v>g__unclassified_f__Oscillospiraceae</v>
          </cell>
          <cell r="I5439" t="str">
            <v>s__unclassified_f__Oscillospiraceae</v>
          </cell>
        </row>
        <row r="5440">
          <cell r="G5440" t="str">
            <v>ASV2026</v>
          </cell>
          <cell r="H5440" t="str">
            <v>g__unclassified_c__Clostridia</v>
          </cell>
          <cell r="I5440" t="str">
            <v>s__unclassified_c__Clostridia</v>
          </cell>
        </row>
        <row r="5441">
          <cell r="G5441" t="str">
            <v>ASV5677</v>
          </cell>
          <cell r="H5441" t="str">
            <v>g__norank_f__Ruminococcaceae</v>
          </cell>
          <cell r="I5441" t="str">
            <v>s__uncultured_bacterium_g__norank_f__Ruminococcaceae</v>
          </cell>
        </row>
        <row r="5442">
          <cell r="G5442" t="str">
            <v>ASV2881</v>
          </cell>
          <cell r="H5442" t="str">
            <v>g__Psychrobacter</v>
          </cell>
          <cell r="I5442" t="str">
            <v>s__unclassified_g__Psychrobacter</v>
          </cell>
        </row>
        <row r="5443">
          <cell r="G5443" t="str">
            <v>ASV13306</v>
          </cell>
          <cell r="H5443" t="str">
            <v>g__Collinsella</v>
          </cell>
          <cell r="I5443" t="str">
            <v>s__unclassified_g__Collinsella</v>
          </cell>
        </row>
        <row r="5444">
          <cell r="G5444" t="str">
            <v>ASV15329</v>
          </cell>
          <cell r="H5444" t="str">
            <v>g__norank_f__UCG-010</v>
          </cell>
          <cell r="I5444" t="str">
            <v>s__unclassified_g__norank_f__UCG-010</v>
          </cell>
        </row>
        <row r="5445">
          <cell r="G5445" t="str">
            <v>ASV3140</v>
          </cell>
          <cell r="H5445" t="str">
            <v>g__unclassified_c__Bacilli</v>
          </cell>
          <cell r="I5445" t="str">
            <v>s__unclassified_c__Bacilli</v>
          </cell>
        </row>
        <row r="5446">
          <cell r="G5446" t="str">
            <v>ASV17179</v>
          </cell>
          <cell r="H5446" t="str">
            <v>g__Lactobacillus</v>
          </cell>
          <cell r="I5446" t="str">
            <v>s__unclassified_g__Lactobacillus</v>
          </cell>
        </row>
        <row r="5447">
          <cell r="G5447" t="str">
            <v>ASV10492</v>
          </cell>
          <cell r="H5447" t="str">
            <v>g__UCG-002</v>
          </cell>
          <cell r="I5447" t="str">
            <v>s__unclassified_g__UCG-002</v>
          </cell>
        </row>
        <row r="5448">
          <cell r="G5448" t="str">
            <v>ASV15233</v>
          </cell>
          <cell r="H5448" t="str">
            <v>g__Lactobacillus</v>
          </cell>
          <cell r="I5448" t="str">
            <v>s__unclassified_g__Lactobacillus</v>
          </cell>
        </row>
        <row r="5449">
          <cell r="G5449" t="str">
            <v>ASV3447</v>
          </cell>
          <cell r="H5449" t="str">
            <v>g__Escherichia-Shigella</v>
          </cell>
          <cell r="I5449" t="str">
            <v>s__unclassified_g__Escherichia-Shigella</v>
          </cell>
        </row>
        <row r="5450">
          <cell r="G5450" t="str">
            <v>ASV14016</v>
          </cell>
          <cell r="H5450" t="str">
            <v>g__Family_XIII_AD3011_group</v>
          </cell>
          <cell r="I5450" t="str">
            <v>s__uncultured_bacterium_g__Family_XIII_AD3011_group</v>
          </cell>
        </row>
        <row r="5451">
          <cell r="G5451" t="str">
            <v>ASV8347</v>
          </cell>
          <cell r="H5451" t="str">
            <v>g__Clostridium_sensu_stricto_1</v>
          </cell>
          <cell r="I5451" t="str">
            <v>s__unclassified_g__Clostridium_sensu_stricto_1</v>
          </cell>
        </row>
        <row r="5452">
          <cell r="G5452" t="str">
            <v>ASV8273</v>
          </cell>
          <cell r="H5452" t="str">
            <v>g__Lactobacillus</v>
          </cell>
          <cell r="I5452" t="str">
            <v>s__unclassified_g__Lactobacillus</v>
          </cell>
        </row>
        <row r="5453">
          <cell r="G5453" t="str">
            <v>ASV11321</v>
          </cell>
          <cell r="H5453" t="str">
            <v>g__unclassified_c__Clostridia</v>
          </cell>
          <cell r="I5453" t="str">
            <v>s__unclassified_c__Clostridia</v>
          </cell>
        </row>
        <row r="5454">
          <cell r="G5454" t="str">
            <v>ASV20597</v>
          </cell>
          <cell r="H5454" t="str">
            <v>g__norank_f__norank_o__RF39</v>
          </cell>
          <cell r="I5454" t="str">
            <v>s__uncultured_bacterium_g__norank_f__norank_o__RF39</v>
          </cell>
        </row>
        <row r="5455">
          <cell r="G5455" t="str">
            <v>ASV10291</v>
          </cell>
          <cell r="H5455" t="str">
            <v>g__Peptostreptococcus</v>
          </cell>
          <cell r="I5455" t="str">
            <v>s__unclassified_g__Peptostreptococcus</v>
          </cell>
        </row>
        <row r="5456">
          <cell r="G5456" t="str">
            <v>ASV15231</v>
          </cell>
          <cell r="H5456" t="str">
            <v>g__unclassified_f__Lachnospiraceae</v>
          </cell>
          <cell r="I5456" t="str">
            <v>s__unclassified_f__Lachnospiraceae</v>
          </cell>
        </row>
        <row r="5457">
          <cell r="G5457" t="str">
            <v>ASV17594</v>
          </cell>
          <cell r="H5457" t="str">
            <v>g__Oribacterium</v>
          </cell>
          <cell r="I5457" t="str">
            <v>s__uncultured_bacterium_g__Oribacterium</v>
          </cell>
        </row>
        <row r="5458">
          <cell r="G5458" t="str">
            <v>ASV16833</v>
          </cell>
          <cell r="H5458" t="str">
            <v>g__Bifidobacterium</v>
          </cell>
          <cell r="I5458" t="str">
            <v>s__unclassified_g__Bifidobacterium</v>
          </cell>
        </row>
        <row r="5459">
          <cell r="G5459" t="str">
            <v>ASV468</v>
          </cell>
          <cell r="H5459" t="str">
            <v>g__unclassified_c__Clostridia</v>
          </cell>
          <cell r="I5459" t="str">
            <v>s__unclassified_c__Clostridia</v>
          </cell>
        </row>
        <row r="5460">
          <cell r="G5460" t="str">
            <v>ASV13300</v>
          </cell>
          <cell r="H5460" t="str">
            <v>g__unclassified_c__Clostridia</v>
          </cell>
          <cell r="I5460" t="str">
            <v>s__unclassified_c__Clostridia</v>
          </cell>
        </row>
        <row r="5461">
          <cell r="G5461" t="str">
            <v>ASV11360</v>
          </cell>
          <cell r="H5461" t="str">
            <v>g__Subdoligranulum</v>
          </cell>
          <cell r="I5461" t="str">
            <v>s__unclassified_g__Subdoligranulum</v>
          </cell>
        </row>
        <row r="5462">
          <cell r="G5462" t="str">
            <v>ASV450</v>
          </cell>
          <cell r="H5462" t="str">
            <v>g__UCG-002</v>
          </cell>
          <cell r="I5462" t="str">
            <v>s__uncultured_bacterium_g__UCG-002</v>
          </cell>
        </row>
        <row r="5463">
          <cell r="G5463" t="str">
            <v>ASV22957</v>
          </cell>
          <cell r="H5463" t="str">
            <v>g__Collinsella</v>
          </cell>
          <cell r="I5463" t="str">
            <v>s__unclassified_g__Collinsella</v>
          </cell>
        </row>
        <row r="5464">
          <cell r="G5464" t="str">
            <v>ASV21177</v>
          </cell>
          <cell r="H5464" t="str">
            <v>g__Faecalibacterium</v>
          </cell>
          <cell r="I5464" t="str">
            <v>s__unclassified_g__Faecalibacterium</v>
          </cell>
        </row>
        <row r="5465">
          <cell r="G5465" t="str">
            <v>ASV9251</v>
          </cell>
          <cell r="H5465" t="str">
            <v>g__unclassified_f__Lachnospiraceae</v>
          </cell>
          <cell r="I5465" t="str">
            <v>s__unclassified_f__Lachnospiraceae</v>
          </cell>
        </row>
        <row r="5466">
          <cell r="G5466" t="str">
            <v>ASV3889</v>
          </cell>
          <cell r="H5466" t="str">
            <v>g__Collinsella</v>
          </cell>
          <cell r="I5466" t="str">
            <v>s__uncultured_bacterium_g__Collinsella</v>
          </cell>
        </row>
        <row r="5467">
          <cell r="G5467" t="str">
            <v>ASV17848</v>
          </cell>
          <cell r="H5467" t="str">
            <v>g__unclassified_f__Christensenellaceae</v>
          </cell>
          <cell r="I5467" t="str">
            <v>s__unclassified_f__Christensenellaceae</v>
          </cell>
        </row>
        <row r="5468">
          <cell r="G5468" t="str">
            <v>ASV2876</v>
          </cell>
          <cell r="H5468" t="str">
            <v>g__Pedobacter</v>
          </cell>
          <cell r="I5468" t="str">
            <v>s__unclassified_g__Pedobacter</v>
          </cell>
        </row>
        <row r="5469">
          <cell r="G5469" t="str">
            <v>ASV19332</v>
          </cell>
          <cell r="H5469" t="str">
            <v>g__norank_f__Muribaculaceae</v>
          </cell>
          <cell r="I5469" t="str">
            <v>s__uncultured_bacterium_g__norank_f__Muribaculaceae</v>
          </cell>
        </row>
        <row r="5470">
          <cell r="G5470" t="str">
            <v>ASV7333</v>
          </cell>
          <cell r="H5470" t="str">
            <v>g__Veillonella</v>
          </cell>
          <cell r="I5470" t="str">
            <v>s__unclassified_g__Veillonella</v>
          </cell>
        </row>
        <row r="5471">
          <cell r="G5471" t="str">
            <v>ASV3880</v>
          </cell>
          <cell r="H5471" t="str">
            <v>g__Bilophila</v>
          </cell>
          <cell r="I5471" t="str">
            <v>s__uncultured_delta_proteobacterium_g__Bilophila</v>
          </cell>
        </row>
        <row r="5472">
          <cell r="G5472" t="str">
            <v>ASV19357</v>
          </cell>
          <cell r="H5472" t="str">
            <v>g__unclassified_p__Firmicutes</v>
          </cell>
          <cell r="I5472" t="str">
            <v>s__unclassified_p__Firmicutes</v>
          </cell>
        </row>
        <row r="5473">
          <cell r="G5473" t="str">
            <v>ASV12599</v>
          </cell>
          <cell r="H5473" t="str">
            <v>g__Sharpea</v>
          </cell>
          <cell r="I5473" t="str">
            <v>s__unclassified_g__Sharpea</v>
          </cell>
        </row>
        <row r="5474">
          <cell r="G5474" t="str">
            <v>ASV1242</v>
          </cell>
          <cell r="H5474" t="str">
            <v>g__UCG-004</v>
          </cell>
          <cell r="I5474" t="str">
            <v>s__unclassified_g__UCG-004</v>
          </cell>
        </row>
        <row r="5475">
          <cell r="G5475" t="str">
            <v>ASV416</v>
          </cell>
          <cell r="H5475" t="str">
            <v>g__Parabacteroides</v>
          </cell>
          <cell r="I5475" t="str">
            <v>s__Porphyromonadaceae_bacterium_DJF_B175</v>
          </cell>
        </row>
        <row r="5476">
          <cell r="G5476" t="str">
            <v>ASV19158</v>
          </cell>
          <cell r="H5476" t="str">
            <v>g__unclassified_f__Microbacteriaceae</v>
          </cell>
          <cell r="I5476" t="str">
            <v>s__unclassified_f__Microbacteriaceae</v>
          </cell>
        </row>
        <row r="5477">
          <cell r="G5477" t="str">
            <v>ASV21981</v>
          </cell>
          <cell r="H5477" t="str">
            <v>g__Eubacterium_oxidoreducens_group</v>
          </cell>
          <cell r="I5477" t="str">
            <v>s__unclassified_g__Eubacterium_oxidoreducens_group</v>
          </cell>
        </row>
        <row r="5478">
          <cell r="G5478" t="str">
            <v>ASV24111</v>
          </cell>
          <cell r="H5478" t="str">
            <v>g__NK4A214_group</v>
          </cell>
          <cell r="I5478" t="str">
            <v>s__unclassified_g__NK4A214_group</v>
          </cell>
        </row>
        <row r="5479">
          <cell r="G5479" t="str">
            <v>ASV19336</v>
          </cell>
          <cell r="H5479" t="str">
            <v>g__unclassified_f__Lachnospiraceae</v>
          </cell>
          <cell r="I5479" t="str">
            <v>s__unclassified_f__Lachnospiraceae</v>
          </cell>
        </row>
        <row r="5480">
          <cell r="G5480" t="str">
            <v>ASV9254</v>
          </cell>
          <cell r="H5480" t="str">
            <v>g__unclassified_f__Lachnospiraceae</v>
          </cell>
          <cell r="I5480" t="str">
            <v>s__unclassified_f__Lachnospiraceae</v>
          </cell>
        </row>
        <row r="5481">
          <cell r="G5481" t="str">
            <v>ASV7168</v>
          </cell>
          <cell r="H5481" t="str">
            <v>g__Fusibacter</v>
          </cell>
          <cell r="I5481" t="str">
            <v>s__unclassified_g__Fusibacter</v>
          </cell>
        </row>
        <row r="5482">
          <cell r="G5482" t="str">
            <v>ASV16291</v>
          </cell>
          <cell r="H5482" t="str">
            <v>g__unclassified_c__Clostridia</v>
          </cell>
          <cell r="I5482" t="str">
            <v>s__unclassified_c__Clostridia</v>
          </cell>
        </row>
        <row r="5483">
          <cell r="G5483" t="str">
            <v>ASV5695</v>
          </cell>
          <cell r="H5483" t="str">
            <v>g__UCG-002</v>
          </cell>
          <cell r="I5483" t="str">
            <v>s__uncultured_bacterium_g__UCG-002</v>
          </cell>
        </row>
        <row r="5484">
          <cell r="G5484" t="str">
            <v>ASV17842</v>
          </cell>
          <cell r="H5484" t="str">
            <v>g__Bacteroides</v>
          </cell>
          <cell r="I5484" t="str">
            <v>s__Bacteroides_intestinalis_DSM_17393</v>
          </cell>
        </row>
        <row r="5485">
          <cell r="G5485" t="str">
            <v>ASV2604</v>
          </cell>
          <cell r="H5485" t="str">
            <v>g__Streptococcus</v>
          </cell>
          <cell r="I5485" t="str">
            <v>s__unclassified_g__Streptococcus</v>
          </cell>
        </row>
        <row r="5486">
          <cell r="G5486" t="str">
            <v>ASV14035</v>
          </cell>
          <cell r="H5486" t="str">
            <v>g__norank_f__Muribaculaceae</v>
          </cell>
          <cell r="I5486" t="str">
            <v>s__uncultured_bacterium_g__norank_f__Muribaculaceae</v>
          </cell>
        </row>
        <row r="5487">
          <cell r="G5487" t="str">
            <v>ASV18532</v>
          </cell>
          <cell r="H5487" t="str">
            <v>g__Lactobacillus</v>
          </cell>
          <cell r="I5487" t="str">
            <v>s__unclassified_g__Lactobacillus</v>
          </cell>
        </row>
        <row r="5488">
          <cell r="G5488" t="str">
            <v>ASV22914</v>
          </cell>
          <cell r="H5488" t="str">
            <v>g__Streptococcus</v>
          </cell>
          <cell r="I5488" t="str">
            <v>s__unclassified_g__Streptococcus</v>
          </cell>
        </row>
        <row r="5489">
          <cell r="G5489" t="str">
            <v>ASV14046</v>
          </cell>
          <cell r="H5489" t="str">
            <v>g__unclassified_f__Anaerovoracaceae</v>
          </cell>
          <cell r="I5489" t="str">
            <v>s__unclassified_f__Anaerovoracaceae</v>
          </cell>
        </row>
        <row r="5490">
          <cell r="G5490" t="str">
            <v>ASV23923</v>
          </cell>
          <cell r="H5490" t="str">
            <v>g__Mitsuokella</v>
          </cell>
          <cell r="I5490" t="str">
            <v>s__unclassified_g__Mitsuokella</v>
          </cell>
        </row>
        <row r="5491">
          <cell r="G5491" t="str">
            <v>ASV4603</v>
          </cell>
          <cell r="H5491" t="str">
            <v>g__Cloacibacillus</v>
          </cell>
          <cell r="I5491" t="str">
            <v>s__unclassified_g__Cloacibacillus</v>
          </cell>
        </row>
        <row r="5492">
          <cell r="G5492" t="str">
            <v>ASV1998</v>
          </cell>
          <cell r="H5492" t="str">
            <v>g__Escherichia-Shigella</v>
          </cell>
          <cell r="I5492" t="str">
            <v>s__unclassified_g__Escherichia-Shigella</v>
          </cell>
        </row>
        <row r="5493">
          <cell r="G5493" t="str">
            <v>ASV11341</v>
          </cell>
          <cell r="H5493" t="str">
            <v>g__Family_XIII_AD3011_group</v>
          </cell>
          <cell r="I5493" t="str">
            <v>s__unclassified_g__Family_XIII_AD3011_group</v>
          </cell>
        </row>
        <row r="5494">
          <cell r="G5494" t="str">
            <v>ASV17816</v>
          </cell>
          <cell r="H5494" t="str">
            <v>g__unclassified_o__Oscillospirales</v>
          </cell>
          <cell r="I5494" t="str">
            <v>s__unclassified_o__Oscillospirales</v>
          </cell>
        </row>
        <row r="5495">
          <cell r="G5495" t="str">
            <v>ASV11346</v>
          </cell>
          <cell r="H5495" t="str">
            <v>g__Negativibacillus</v>
          </cell>
          <cell r="I5495" t="str">
            <v>s__unclassified_g__Negativibacillus</v>
          </cell>
        </row>
        <row r="5496">
          <cell r="G5496" t="str">
            <v>ASV19361</v>
          </cell>
          <cell r="H5496" t="str">
            <v>g__unclassified_o__Oscillospirales</v>
          </cell>
          <cell r="I5496" t="str">
            <v>s__unclassified_o__Oscillospirales</v>
          </cell>
        </row>
        <row r="5497">
          <cell r="G5497" t="str">
            <v>ASV6497</v>
          </cell>
          <cell r="H5497" t="str">
            <v>g__norank_f__Mitochondria</v>
          </cell>
          <cell r="I5497" t="str">
            <v>s__uncultured_bacterium_g__norank_f__Mitochondria</v>
          </cell>
        </row>
        <row r="5498">
          <cell r="G5498" t="str">
            <v>ASV10480</v>
          </cell>
          <cell r="H5498" t="str">
            <v>g__norank_f__Muribaculaceae</v>
          </cell>
          <cell r="I5498" t="str">
            <v>s__unclassified_g__norank_f__Muribaculaceae</v>
          </cell>
        </row>
        <row r="5499">
          <cell r="G5499" t="str">
            <v>ASV2017</v>
          </cell>
          <cell r="H5499" t="str">
            <v>g__unclassified_f__Lachnospiraceae</v>
          </cell>
          <cell r="I5499" t="str">
            <v>s__unclassified_f__Lachnospiraceae</v>
          </cell>
        </row>
        <row r="5500">
          <cell r="G5500" t="str">
            <v>ASV7563</v>
          </cell>
          <cell r="H5500" t="str">
            <v>g__unclassified_f__Lachnospiraceae</v>
          </cell>
          <cell r="I5500" t="str">
            <v>s__unclassified_f__Lachnospiraceae</v>
          </cell>
        </row>
        <row r="5501">
          <cell r="G5501" t="str">
            <v>ASV13781</v>
          </cell>
          <cell r="H5501" t="str">
            <v>g__unclassified_c__Bacilli</v>
          </cell>
          <cell r="I5501" t="str">
            <v>s__unclassified_c__Bacilli</v>
          </cell>
        </row>
        <row r="5502">
          <cell r="G5502" t="str">
            <v>ASV5709</v>
          </cell>
          <cell r="H5502" t="str">
            <v>g__unclassified_f__Lachnospiraceae</v>
          </cell>
          <cell r="I5502" t="str">
            <v>s__unclassified_f__Lachnospiraceae</v>
          </cell>
        </row>
        <row r="5503">
          <cell r="G5503" t="str">
            <v>ASV19353</v>
          </cell>
          <cell r="H5503" t="str">
            <v>g__Bacteroides</v>
          </cell>
          <cell r="I5503" t="str">
            <v>s__unclassified_g__Bacteroides</v>
          </cell>
        </row>
        <row r="5504">
          <cell r="G5504" t="str">
            <v>ASV12609</v>
          </cell>
          <cell r="H5504" t="str">
            <v>g__norank_f__F082</v>
          </cell>
          <cell r="I5504" t="str">
            <v>s__uncultured_bacterium_g__norank_f__F082</v>
          </cell>
        </row>
        <row r="5505">
          <cell r="G5505" t="str">
            <v>ASV15052</v>
          </cell>
          <cell r="H5505" t="str">
            <v>g__Cellvibrio</v>
          </cell>
          <cell r="I5505" t="str">
            <v>s__Cellvibrio_gandavensis</v>
          </cell>
        </row>
        <row r="5506">
          <cell r="G5506" t="str">
            <v>ASV13325</v>
          </cell>
          <cell r="H5506" t="str">
            <v>g__unclassified_c__Clostridia</v>
          </cell>
          <cell r="I5506" t="str">
            <v>s__unclassified_c__Clostridia</v>
          </cell>
        </row>
        <row r="5507">
          <cell r="G5507" t="str">
            <v>ASV4622</v>
          </cell>
          <cell r="H5507" t="str">
            <v>g__unclassified_f__Spirochaetaceae</v>
          </cell>
          <cell r="I5507" t="str">
            <v>s__unclassified_f__Spirochaetaceae</v>
          </cell>
        </row>
        <row r="5508">
          <cell r="G5508" t="str">
            <v>ASV3142</v>
          </cell>
          <cell r="H5508" t="str">
            <v>g__Escherichia-Shigella</v>
          </cell>
          <cell r="I5508" t="str">
            <v>s__unclassified_g__Escherichia-Shigella</v>
          </cell>
        </row>
        <row r="5509">
          <cell r="G5509" t="str">
            <v>ASV16298</v>
          </cell>
          <cell r="H5509" t="str">
            <v>g__Rikenellaceae_RC9_gut_group</v>
          </cell>
          <cell r="I5509" t="str">
            <v>s__uncultured_bacterium_g__Rikenellaceae_RC9_gut_group</v>
          </cell>
        </row>
        <row r="5510">
          <cell r="G5510" t="str">
            <v>ASV7276</v>
          </cell>
          <cell r="H5510" t="str">
            <v>g__Erysipelotrichaceae_UCG-009</v>
          </cell>
          <cell r="I5510" t="str">
            <v>s__uncultured_rumen_bacterium_g__Erysipelotrichaceae_UCG-009</v>
          </cell>
        </row>
        <row r="5511">
          <cell r="G5511" t="str">
            <v>ASV12589</v>
          </cell>
          <cell r="H5511" t="str">
            <v>g__Treponema</v>
          </cell>
          <cell r="I5511" t="str">
            <v>s__Treponema_berlinense</v>
          </cell>
        </row>
        <row r="5512">
          <cell r="G5512" t="str">
            <v>ASV18533</v>
          </cell>
          <cell r="H5512" t="str">
            <v>g__UCG-003</v>
          </cell>
          <cell r="I5512" t="str">
            <v>s__unclassified_g__UCG-003</v>
          </cell>
        </row>
        <row r="5513">
          <cell r="G5513" t="str">
            <v>ASV11339</v>
          </cell>
          <cell r="H5513" t="str">
            <v>g__unclassified_c__Clostridia</v>
          </cell>
          <cell r="I5513" t="str">
            <v>s__unclassified_c__Clostridia</v>
          </cell>
        </row>
        <row r="5514">
          <cell r="G5514" t="str">
            <v>ASV20598</v>
          </cell>
          <cell r="H5514" t="str">
            <v>g__Christensenellaceae_R-7_group</v>
          </cell>
          <cell r="I5514" t="str">
            <v>s__unclassified_g__Christensenellaceae_R-7_group</v>
          </cell>
        </row>
        <row r="5515">
          <cell r="G5515" t="str">
            <v>ASV16844</v>
          </cell>
          <cell r="H5515" t="str">
            <v>g__norank_f__Oscillospiraceae</v>
          </cell>
          <cell r="I5515" t="str">
            <v>s__unclassified_g__norank_f__Oscillospiraceae</v>
          </cell>
        </row>
        <row r="5516">
          <cell r="G5516" t="str">
            <v>ASV7586</v>
          </cell>
          <cell r="H5516" t="str">
            <v>g__unclassified_p__Firmicutes</v>
          </cell>
          <cell r="I5516" t="str">
            <v>s__unclassified_p__Firmicutes</v>
          </cell>
        </row>
        <row r="5517">
          <cell r="G5517" t="str">
            <v>ASV7596</v>
          </cell>
          <cell r="H5517" t="str">
            <v>g__norank_f__Peptostreptococcaceae</v>
          </cell>
          <cell r="I5517" t="str">
            <v>s__unclassified_g__norank_f__Peptostreptococcaceae</v>
          </cell>
        </row>
        <row r="5518">
          <cell r="G5518" t="str">
            <v>ASV22958</v>
          </cell>
          <cell r="H5518" t="str">
            <v>g__Allisonella</v>
          </cell>
          <cell r="I5518" t="str">
            <v>s__uncultured_bacterium_g__Allisonella</v>
          </cell>
        </row>
        <row r="5519">
          <cell r="G5519" t="str">
            <v>ASV1617</v>
          </cell>
          <cell r="H5519" t="str">
            <v>g__UCG-005</v>
          </cell>
          <cell r="I5519" t="str">
            <v>s__unclassified_g__UCG-005</v>
          </cell>
        </row>
        <row r="5520">
          <cell r="G5520" t="str">
            <v>ASV6581</v>
          </cell>
          <cell r="H5520" t="str">
            <v>g__unclassified_f__Anaerovoracaceae</v>
          </cell>
          <cell r="I5520" t="str">
            <v>s__unclassified_f__Anaerovoracaceae</v>
          </cell>
        </row>
        <row r="5521">
          <cell r="G5521" t="str">
            <v>ASV9250</v>
          </cell>
          <cell r="H5521" t="str">
            <v>g__Christensenellaceae_R-7_group</v>
          </cell>
          <cell r="I5521" t="str">
            <v>s__unclassified_g__Christensenellaceae_R-7_group</v>
          </cell>
        </row>
        <row r="5522">
          <cell r="G5522" t="str">
            <v>ASV5666</v>
          </cell>
          <cell r="H5522" t="str">
            <v>g__norank_f__UCG-011</v>
          </cell>
          <cell r="I5522" t="str">
            <v>s__uncultured_bacterium_g__norank_f__UCG-011</v>
          </cell>
        </row>
        <row r="5523">
          <cell r="G5523" t="str">
            <v>ASV5716</v>
          </cell>
          <cell r="H5523" t="str">
            <v>g__Parabacteroides</v>
          </cell>
          <cell r="I5523" t="str">
            <v>s__unclassified_g__Parabacteroides</v>
          </cell>
        </row>
        <row r="5524">
          <cell r="G5524" t="str">
            <v>ASV21977</v>
          </cell>
          <cell r="H5524" t="str">
            <v>g__Parabacteroides</v>
          </cell>
          <cell r="I5524" t="str">
            <v>s__Porphyromonadaceae_bacterium_DJF_B175</v>
          </cell>
        </row>
        <row r="5525">
          <cell r="G5525" t="str">
            <v>ASV8274</v>
          </cell>
          <cell r="H5525" t="str">
            <v>g__Lactobacillus</v>
          </cell>
          <cell r="I5525" t="str">
            <v>s__unclassified_g__Lactobacillus</v>
          </cell>
        </row>
        <row r="5526">
          <cell r="G5526" t="str">
            <v>ASV23116</v>
          </cell>
          <cell r="H5526" t="str">
            <v>g__norank_f__Lachnospiraceae</v>
          </cell>
          <cell r="I5526" t="str">
            <v>s__butyrate-producing_bacterium_L2-10</v>
          </cell>
        </row>
        <row r="5527">
          <cell r="G5527" t="str">
            <v>ASV9987</v>
          </cell>
          <cell r="H5527" t="str">
            <v>g__norank_f__Erysipelotrichaceae</v>
          </cell>
          <cell r="I5527" t="str">
            <v>s__uncultured_bacterium_g__norank_f__Erysipelotrichaceae</v>
          </cell>
        </row>
        <row r="5528">
          <cell r="G5528" t="str">
            <v>ASV14050</v>
          </cell>
          <cell r="H5528" t="str">
            <v>g__unclassified_p__Firmicutes</v>
          </cell>
          <cell r="I5528" t="str">
            <v>s__unclassified_p__Firmicutes</v>
          </cell>
        </row>
        <row r="5529">
          <cell r="G5529" t="str">
            <v>ASV4624</v>
          </cell>
          <cell r="H5529" t="str">
            <v>g__Christensenellaceae_R-7_group</v>
          </cell>
          <cell r="I5529" t="str">
            <v>s__unclassified_g__Christensenellaceae_R-7_group</v>
          </cell>
        </row>
        <row r="5530">
          <cell r="G5530" t="str">
            <v>ASV5708</v>
          </cell>
          <cell r="H5530" t="str">
            <v>g__UCG-002</v>
          </cell>
          <cell r="I5530" t="str">
            <v>s__unclassified_g__UCG-002</v>
          </cell>
        </row>
        <row r="5531">
          <cell r="G5531" t="str">
            <v>ASV20226</v>
          </cell>
          <cell r="H5531" t="str">
            <v>g__unclassified_f__Prevotellaceae</v>
          </cell>
          <cell r="I5531" t="str">
            <v>s__unclassified_f__Prevotellaceae</v>
          </cell>
        </row>
        <row r="5532">
          <cell r="G5532" t="str">
            <v>ASV17819</v>
          </cell>
          <cell r="H5532" t="str">
            <v>g__unclassified_c__Clostridia</v>
          </cell>
          <cell r="I5532" t="str">
            <v>s__unclassified_c__Clostridia</v>
          </cell>
        </row>
        <row r="5533">
          <cell r="G5533" t="str">
            <v>ASV20603</v>
          </cell>
          <cell r="H5533" t="str">
            <v>g__norank_f__norank_o__Clostridia_UCG-014</v>
          </cell>
          <cell r="I5533" t="str">
            <v>s__uncultured_bacterium_g__norank_f__norank_o__Clostridia_UCG-014</v>
          </cell>
        </row>
        <row r="5534">
          <cell r="G5534" t="str">
            <v>ASV23118</v>
          </cell>
          <cell r="H5534" t="str">
            <v>g__Christensenellaceae_R-7_group</v>
          </cell>
          <cell r="I5534" t="str">
            <v>s__unclassified_g__Christensenellaceae_R-7_group</v>
          </cell>
        </row>
        <row r="5535">
          <cell r="G5535" t="str">
            <v>ASV20423</v>
          </cell>
          <cell r="H5535" t="str">
            <v>g__Aquabacterium</v>
          </cell>
          <cell r="I5535" t="str">
            <v>s__unclassified_g__Aquabacterium</v>
          </cell>
        </row>
        <row r="5536">
          <cell r="G5536" t="str">
            <v>ASV11337</v>
          </cell>
          <cell r="H5536" t="str">
            <v>g__unclassified_f__Oscillospiraceae</v>
          </cell>
          <cell r="I5536" t="str">
            <v>s__unclassified_f__Oscillospiraceae</v>
          </cell>
        </row>
        <row r="5537">
          <cell r="G5537" t="str">
            <v>ASV10161</v>
          </cell>
          <cell r="H5537" t="str">
            <v>g__Lactobacillus</v>
          </cell>
          <cell r="I5537" t="str">
            <v>s__unclassified_g__Lactobacillus</v>
          </cell>
        </row>
        <row r="5538">
          <cell r="G5538" t="str">
            <v>ASV9234</v>
          </cell>
          <cell r="H5538" t="str">
            <v>g__unclassified_f__Oscillospiraceae</v>
          </cell>
          <cell r="I5538" t="str">
            <v>s__unclassified_f__Oscillospiraceae</v>
          </cell>
        </row>
        <row r="5539">
          <cell r="G5539" t="str">
            <v>ASV16289</v>
          </cell>
          <cell r="H5539" t="str">
            <v>g__dgA-11_gut_group</v>
          </cell>
          <cell r="I5539" t="str">
            <v>s__uncultured_Bacteroidales_bacterium_g__dgA-11_gut_group</v>
          </cell>
        </row>
        <row r="5540">
          <cell r="G5540" t="str">
            <v>ASV2022</v>
          </cell>
          <cell r="H5540" t="str">
            <v>g__unclassified_o__Lactobacillales</v>
          </cell>
          <cell r="I5540" t="str">
            <v>s__unclassified_o__Lactobacillales</v>
          </cell>
        </row>
        <row r="5541">
          <cell r="G5541" t="str">
            <v>ASV2031</v>
          </cell>
          <cell r="H5541" t="str">
            <v>g__Lachnospiraceae_NC2004_group</v>
          </cell>
          <cell r="I5541" t="str">
            <v>s__uncultured_bacterium_g__Lachnospiraceae_NC2004_group</v>
          </cell>
        </row>
        <row r="5542">
          <cell r="G5542" t="str">
            <v>ASV5653</v>
          </cell>
          <cell r="H5542" t="str">
            <v>g__unclassified_c__Clostridia</v>
          </cell>
          <cell r="I5542" t="str">
            <v>s__unclassified_c__Clostridia</v>
          </cell>
        </row>
        <row r="5543">
          <cell r="G5543" t="str">
            <v>ASV23922</v>
          </cell>
          <cell r="H5543" t="str">
            <v>g__Fusobacterium</v>
          </cell>
          <cell r="I5543" t="str">
            <v>s__unclassified_g__Fusobacterium</v>
          </cell>
        </row>
        <row r="5544">
          <cell r="G5544" t="str">
            <v>ASV19043</v>
          </cell>
          <cell r="H5544" t="str">
            <v>g__Sharpea</v>
          </cell>
          <cell r="I5544" t="str">
            <v>s__unclassified_g__Sharpea</v>
          </cell>
        </row>
        <row r="5545">
          <cell r="G5545" t="str">
            <v>ASV467</v>
          </cell>
          <cell r="H5545" t="str">
            <v>g__Lactobacillus</v>
          </cell>
          <cell r="I5545" t="str">
            <v>s__unclassified_g__Lactobacillus</v>
          </cell>
        </row>
        <row r="5546">
          <cell r="G5546" t="str">
            <v>ASV13691</v>
          </cell>
          <cell r="H5546" t="str">
            <v>g__Acidaminococcus</v>
          </cell>
          <cell r="I5546" t="str">
            <v>s__unclassified_g__Acidaminococcus</v>
          </cell>
        </row>
        <row r="5547">
          <cell r="G5547" t="str">
            <v>ASV3899</v>
          </cell>
          <cell r="H5547" t="str">
            <v>g__Eubacterium_oxidoreducens_group</v>
          </cell>
          <cell r="I5547" t="str">
            <v>s__uncultured_bacterium_g__Eubacterium_oxidoreducens_group</v>
          </cell>
        </row>
        <row r="5548">
          <cell r="G5548" t="str">
            <v>ASV18749</v>
          </cell>
          <cell r="H5548" t="str">
            <v>g__unclassified_f__Kineosporiaceae</v>
          </cell>
          <cell r="I5548" t="str">
            <v>s__unclassified_f__Kineosporiaceae</v>
          </cell>
        </row>
        <row r="5549">
          <cell r="G5549" t="str">
            <v>ASV1616</v>
          </cell>
          <cell r="H5549" t="str">
            <v>g__Veillonella</v>
          </cell>
          <cell r="I5549" t="str">
            <v>s__unclassified_g__Veillonella</v>
          </cell>
        </row>
        <row r="5550">
          <cell r="G5550" t="str">
            <v>ASV5681</v>
          </cell>
          <cell r="H5550" t="str">
            <v>g__Bacteroides</v>
          </cell>
          <cell r="I5550" t="str">
            <v>s__Bacteroides_caecigallinarum</v>
          </cell>
        </row>
        <row r="5551">
          <cell r="G5551" t="str">
            <v>ASV20610</v>
          </cell>
          <cell r="H5551" t="str">
            <v>g__Christensenellaceae_R-7_group</v>
          </cell>
          <cell r="I5551" t="str">
            <v>s__unclassified_g__Christensenellaceae_R-7_group</v>
          </cell>
        </row>
        <row r="5552">
          <cell r="G5552" t="str">
            <v>ASV5705</v>
          </cell>
          <cell r="H5552" t="str">
            <v>g__Eubacterium</v>
          </cell>
          <cell r="I5552" t="str">
            <v>s__unclassified_g__Eubacterium</v>
          </cell>
        </row>
        <row r="5553">
          <cell r="G5553" t="str">
            <v>ASV7587</v>
          </cell>
          <cell r="H5553" t="str">
            <v>g__Corynebacterium</v>
          </cell>
          <cell r="I5553" t="str">
            <v>s__unclassified_g__Corynebacterium</v>
          </cell>
        </row>
        <row r="5554">
          <cell r="G5554" t="str">
            <v>ASV10486</v>
          </cell>
          <cell r="H5554" t="str">
            <v>g__UCG-009</v>
          </cell>
          <cell r="I5554" t="str">
            <v>s__uncultured_bacterium_g__UCG-009</v>
          </cell>
        </row>
        <row r="5555">
          <cell r="G5555" t="str">
            <v>ASV12605</v>
          </cell>
          <cell r="H5555" t="str">
            <v>g__norank_f__Eubacterium_coprostanoligenes_group</v>
          </cell>
          <cell r="I5555" t="str">
            <v>s__unclassified_g__norank_f__Eubacterium_coprostanoligenes_group</v>
          </cell>
        </row>
        <row r="5556">
          <cell r="G5556" t="str">
            <v>ASV14047</v>
          </cell>
          <cell r="H5556" t="str">
            <v>g__norank_f__Muribaculaceae</v>
          </cell>
          <cell r="I5556" t="str">
            <v>s__unclassified_g__norank_f__Muribaculaceae</v>
          </cell>
        </row>
        <row r="5557">
          <cell r="G5557" t="str">
            <v>ASV2015</v>
          </cell>
          <cell r="H5557" t="str">
            <v>g__Lactobacillus</v>
          </cell>
          <cell r="I5557" t="str">
            <v>s__unclassified_g__Lactobacillus</v>
          </cell>
        </row>
        <row r="5558">
          <cell r="G5558" t="str">
            <v>ASV12614</v>
          </cell>
          <cell r="H5558" t="str">
            <v>g__unclassified_c__Clostridia</v>
          </cell>
          <cell r="I5558" t="str">
            <v>s__unclassified_c__Clostridia</v>
          </cell>
        </row>
        <row r="5559">
          <cell r="G5559" t="str">
            <v>ASV3882</v>
          </cell>
          <cell r="H5559" t="str">
            <v>g__unclassified_f__Peptostreptococcaceae</v>
          </cell>
          <cell r="I5559" t="str">
            <v>s__unclassified_f__Peptostreptococcaceae</v>
          </cell>
        </row>
        <row r="5560">
          <cell r="G5560" t="str">
            <v>ASV20609</v>
          </cell>
          <cell r="H5560" t="str">
            <v>g__unclassified_c__Clostridia</v>
          </cell>
          <cell r="I5560" t="str">
            <v>s__unclassified_c__Clostridia</v>
          </cell>
        </row>
        <row r="5561">
          <cell r="G5561" t="str">
            <v>ASV14012</v>
          </cell>
          <cell r="H5561" t="str">
            <v>g__unclassified_f__Lachnospiraceae</v>
          </cell>
          <cell r="I5561" t="str">
            <v>s__unclassified_f__Lachnospiraceae</v>
          </cell>
        </row>
        <row r="5562">
          <cell r="G5562" t="str">
            <v>ASV7590</v>
          </cell>
          <cell r="H5562" t="str">
            <v>g__unclassified_c__Clostridia</v>
          </cell>
          <cell r="I5562" t="str">
            <v>s__unclassified_c__Clostridia</v>
          </cell>
        </row>
        <row r="5563">
          <cell r="G5563" t="str">
            <v>ASV15229</v>
          </cell>
          <cell r="H5563" t="str">
            <v>g__unclassified_p__Firmicutes</v>
          </cell>
          <cell r="I5563" t="str">
            <v>s__unclassified_p__Firmicutes</v>
          </cell>
        </row>
        <row r="5564">
          <cell r="G5564" t="str">
            <v>ASV15220</v>
          </cell>
          <cell r="H5564" t="str">
            <v>g__unclassified_f__Lachnospiraceae</v>
          </cell>
          <cell r="I5564" t="str">
            <v>s__unclassified_f__Lachnospiraceae</v>
          </cell>
        </row>
        <row r="5565">
          <cell r="G5565" t="str">
            <v>ASV13301</v>
          </cell>
          <cell r="H5565" t="str">
            <v>g__UCG-002</v>
          </cell>
          <cell r="I5565" t="str">
            <v>s__uncultured_bacterium_g__UCG-002</v>
          </cell>
        </row>
        <row r="5566">
          <cell r="G5566" t="str">
            <v>ASV4615</v>
          </cell>
          <cell r="H5566" t="str">
            <v>g__SP3-e08</v>
          </cell>
          <cell r="I5566" t="str">
            <v>s__uncultured_bacterium_g__SP3-e08</v>
          </cell>
        </row>
        <row r="5567">
          <cell r="G5567" t="str">
            <v>ASV15227</v>
          </cell>
          <cell r="H5567" t="str">
            <v>g__Eubacterium_nodatum_group</v>
          </cell>
          <cell r="I5567" t="str">
            <v>s__unclassified_g__Eubacterium_nodatum_group</v>
          </cell>
        </row>
        <row r="5568">
          <cell r="G5568" t="str">
            <v>ASV11362</v>
          </cell>
          <cell r="H5568" t="str">
            <v>g__Parabacteroides</v>
          </cell>
          <cell r="I5568" t="str">
            <v>s__Porphyromonadaceae_bacterium_DJF_B175</v>
          </cell>
        </row>
        <row r="5569">
          <cell r="G5569" t="str">
            <v>ASV17850</v>
          </cell>
          <cell r="H5569" t="str">
            <v>g__unclassified_f__Lachnospiraceae</v>
          </cell>
          <cell r="I5569" t="str">
            <v>s__unclassified_f__Lachnospiraceae</v>
          </cell>
        </row>
        <row r="5570">
          <cell r="G5570" t="str">
            <v>ASV17468</v>
          </cell>
          <cell r="H5570" t="str">
            <v>g__Lactobacillus</v>
          </cell>
          <cell r="I5570" t="str">
            <v>s__unclassified_g__Lactobacillus</v>
          </cell>
        </row>
        <row r="5571">
          <cell r="G5571" t="str">
            <v>ASV21727</v>
          </cell>
          <cell r="H5571" t="str">
            <v>g__unclassified_f__Rhodobacteraceae</v>
          </cell>
          <cell r="I5571" t="str">
            <v>s__unclassified_f__Rhodobacteraceae</v>
          </cell>
        </row>
        <row r="5572">
          <cell r="G5572" t="str">
            <v>ASV21971</v>
          </cell>
          <cell r="H5572" t="str">
            <v>g__norank_f__Peptostreptococcaceae</v>
          </cell>
          <cell r="I5572" t="str">
            <v>s__uncultured_bacterium_g__norank_f__Peptostreptococcaceae</v>
          </cell>
        </row>
        <row r="5573">
          <cell r="G5573" t="str">
            <v>ASV14030</v>
          </cell>
          <cell r="H5573" t="str">
            <v>g__Terrisporobacter</v>
          </cell>
          <cell r="I5573" t="str">
            <v>s__unclassified_g__Terrisporobacter</v>
          </cell>
        </row>
        <row r="5574">
          <cell r="G5574" t="str">
            <v>ASV10008</v>
          </cell>
          <cell r="H5574" t="str">
            <v>g__norank_f__norank_o__Izemoplasmatales</v>
          </cell>
          <cell r="I5574" t="str">
            <v>s__gut_metagenome_g__norank_f__norank_o__Izemoplasmatales</v>
          </cell>
        </row>
        <row r="5575">
          <cell r="G5575" t="str">
            <v>ASV3903</v>
          </cell>
          <cell r="H5575" t="str">
            <v>g__unclassified_f__Oscillospiraceae</v>
          </cell>
          <cell r="I5575" t="str">
            <v>s__unclassified_f__Oscillospiraceae</v>
          </cell>
        </row>
        <row r="5576">
          <cell r="G5576" t="str">
            <v>ASV14005</v>
          </cell>
          <cell r="H5576" t="str">
            <v>g__Prevotella</v>
          </cell>
          <cell r="I5576" t="str">
            <v>s__unclassified_g__Prevotella</v>
          </cell>
        </row>
        <row r="5577">
          <cell r="G5577" t="str">
            <v>ASV10495</v>
          </cell>
          <cell r="H5577" t="str">
            <v>g__Christensenellaceae_R-7_group</v>
          </cell>
          <cell r="I5577" t="str">
            <v>s__unclassified_g__Christensenellaceae_R-7_group</v>
          </cell>
        </row>
        <row r="5578">
          <cell r="G5578" t="str">
            <v>ASV3043</v>
          </cell>
          <cell r="H5578" t="str">
            <v>g__Staphylococcus</v>
          </cell>
          <cell r="I5578" t="str">
            <v>s__unclassified_g__Staphylococcus</v>
          </cell>
        </row>
        <row r="5579">
          <cell r="G5579" t="str">
            <v>ASV6589</v>
          </cell>
          <cell r="H5579" t="str">
            <v>g__Phascolarctobacterium</v>
          </cell>
          <cell r="I5579" t="str">
            <v>s__Ruminococcus_sp._N15.MGS-57_g__Phascolarctobacterium</v>
          </cell>
        </row>
        <row r="5580">
          <cell r="G5580" t="str">
            <v>ASV10476</v>
          </cell>
          <cell r="H5580" t="str">
            <v>g__norank_f__Eggerthellaceae</v>
          </cell>
          <cell r="I5580" t="str">
            <v>s__uncultured_bacterium_g__norank_f__Eggerthellaceae</v>
          </cell>
        </row>
        <row r="5581">
          <cell r="G5581" t="str">
            <v>ASV2033</v>
          </cell>
          <cell r="H5581" t="str">
            <v>g__Peptococcus</v>
          </cell>
          <cell r="I5581" t="str">
            <v>s__uncultured_bacterium_g__Peptococcus</v>
          </cell>
        </row>
        <row r="5582">
          <cell r="G5582" t="str">
            <v>ASV2023</v>
          </cell>
          <cell r="H5582" t="str">
            <v>g__unclassified_f__Lachnospiraceae</v>
          </cell>
          <cell r="I5582" t="str">
            <v>s__unclassified_f__Lachnospiraceae</v>
          </cell>
        </row>
        <row r="5583">
          <cell r="G5583" t="str">
            <v>ASV21942</v>
          </cell>
          <cell r="H5583" t="str">
            <v>g__norank_f__Eubacterium_coprostanoligenes_group</v>
          </cell>
          <cell r="I5583" t="str">
            <v>s__unclassified_g__norank_f__Eubacterium_coprostanoligenes_group</v>
          </cell>
        </row>
        <row r="5584">
          <cell r="G5584" t="str">
            <v>ASV5715</v>
          </cell>
          <cell r="H5584" t="str">
            <v>g__unclassified_f__Lachnospiraceae</v>
          </cell>
          <cell r="I5584" t="str">
            <v>s__unclassified_f__Lachnospiraceae</v>
          </cell>
        </row>
        <row r="5585">
          <cell r="G5585" t="str">
            <v>ASV10290</v>
          </cell>
          <cell r="H5585" t="str">
            <v>g__Escherichia-Shigella</v>
          </cell>
          <cell r="I5585" t="str">
            <v>s__unclassified_g__Escherichia-Shigella</v>
          </cell>
        </row>
        <row r="5586">
          <cell r="G5586" t="str">
            <v>ASV9986</v>
          </cell>
          <cell r="H5586" t="str">
            <v>g__Actinobacillus</v>
          </cell>
          <cell r="I5586" t="str">
            <v>s__Actinobacillus_rossii</v>
          </cell>
        </row>
        <row r="5587">
          <cell r="G5587" t="str">
            <v>ASV4610</v>
          </cell>
          <cell r="H5587" t="str">
            <v>g__unclassified_c__Clostridia</v>
          </cell>
          <cell r="I5587" t="str">
            <v>s__unclassified_c__Clostridia</v>
          </cell>
        </row>
        <row r="5588">
          <cell r="G5588" t="str">
            <v>ASV24099</v>
          </cell>
          <cell r="H5588" t="str">
            <v>g__norank_f__Eubacterium_coprostanoligenes_group</v>
          </cell>
          <cell r="I5588" t="str">
            <v>s__unclassified_g__norank_f__Eubacterium_coprostanoligenes_group</v>
          </cell>
        </row>
        <row r="5589">
          <cell r="G5589" t="str">
            <v>ASV23926</v>
          </cell>
          <cell r="H5589" t="str">
            <v>g__Enterococcus</v>
          </cell>
          <cell r="I5589" t="str">
            <v>s__unclassified_g__Enterococcus</v>
          </cell>
        </row>
        <row r="5590">
          <cell r="G5590" t="str">
            <v>ASV5975</v>
          </cell>
          <cell r="H5590" t="str">
            <v>g__norank_f__norank_o__Gastranaerophilales</v>
          </cell>
          <cell r="I5590" t="str">
            <v>s__Clostridium_sp._CAG306</v>
          </cell>
        </row>
        <row r="5591">
          <cell r="G5591" t="str">
            <v>ASV9252</v>
          </cell>
          <cell r="H5591" t="str">
            <v>g__Collinsella</v>
          </cell>
          <cell r="I5591" t="str">
            <v>s__uncultured_bacterium_g__Collinsella</v>
          </cell>
        </row>
        <row r="5592">
          <cell r="G5592" t="str">
            <v>ASV3905</v>
          </cell>
          <cell r="H5592" t="str">
            <v>g__unclassified_f__Synergistaceae</v>
          </cell>
          <cell r="I5592" t="str">
            <v>s__unclassified_f__Synergistaceae</v>
          </cell>
        </row>
        <row r="5593">
          <cell r="G5593" t="str">
            <v>ASV21941</v>
          </cell>
          <cell r="H5593" t="str">
            <v>g__unclassified_p__Firmicutes</v>
          </cell>
          <cell r="I5593" t="str">
            <v>s__unclassified_p__Firmicutes</v>
          </cell>
        </row>
        <row r="5594">
          <cell r="G5594" t="str">
            <v>ASV23079</v>
          </cell>
          <cell r="H5594" t="str">
            <v>g__Anaerorhabdus_furcosa_group</v>
          </cell>
          <cell r="I5594" t="str">
            <v>s__uncultured_bacterium_g__Anaerorhabdus_furcosa_group</v>
          </cell>
        </row>
        <row r="5595">
          <cell r="G5595" t="str">
            <v>ASV14038</v>
          </cell>
          <cell r="H5595" t="str">
            <v>g__unclassified_c__Clostridia</v>
          </cell>
          <cell r="I5595" t="str">
            <v>s__unclassified_c__Clostridia</v>
          </cell>
        </row>
        <row r="5596">
          <cell r="G5596" t="str">
            <v>ASV16310</v>
          </cell>
          <cell r="H5596" t="str">
            <v>g__Blautia</v>
          </cell>
          <cell r="I5596" t="str">
            <v>s__unclassified_g__Blautia</v>
          </cell>
        </row>
        <row r="5597">
          <cell r="G5597" t="str">
            <v>ASV17841</v>
          </cell>
          <cell r="H5597" t="str">
            <v>g__unclassified_c__Clostridia</v>
          </cell>
          <cell r="I5597" t="str">
            <v>s__unclassified_c__Clostridia</v>
          </cell>
        </row>
        <row r="5598">
          <cell r="G5598" t="str">
            <v>ASV11363</v>
          </cell>
          <cell r="H5598" t="str">
            <v>g__Collinsella</v>
          </cell>
          <cell r="I5598" t="str">
            <v>s__uncultured_bacterium_g__Collinsella</v>
          </cell>
        </row>
        <row r="5599">
          <cell r="G5599" t="str">
            <v>ASV17181</v>
          </cell>
          <cell r="H5599" t="str">
            <v>g__Clostridium_sensu_stricto_1</v>
          </cell>
          <cell r="I5599" t="str">
            <v>s__unclassified_g__Clostridium_sensu_stricto_1</v>
          </cell>
        </row>
        <row r="5600">
          <cell r="G5600" t="str">
            <v>ASV19356</v>
          </cell>
          <cell r="H5600" t="str">
            <v>g__Marvinbryantia</v>
          </cell>
          <cell r="I5600" t="str">
            <v>s__unclassified_g__Marvinbryantia</v>
          </cell>
        </row>
        <row r="5601">
          <cell r="G5601" t="str">
            <v>ASV17831</v>
          </cell>
          <cell r="H5601" t="str">
            <v>g__unclassified_c__Clostridia</v>
          </cell>
          <cell r="I5601" t="str">
            <v>s__unclassified_c__Clostridia</v>
          </cell>
        </row>
        <row r="5602">
          <cell r="G5602" t="str">
            <v>ASV5698</v>
          </cell>
          <cell r="H5602" t="str">
            <v>g__Helicobacter</v>
          </cell>
          <cell r="I5602" t="str">
            <v>s__Helicobacter_rodentium</v>
          </cell>
        </row>
        <row r="5603">
          <cell r="G5603" t="str">
            <v>ASV23824</v>
          </cell>
          <cell r="H5603" t="str">
            <v>g__Lactobacillus</v>
          </cell>
          <cell r="I5603" t="str">
            <v>s__unclassified_g__Lactobacillus</v>
          </cell>
        </row>
        <row r="5604">
          <cell r="G5604" t="str">
            <v>ASV14004</v>
          </cell>
          <cell r="H5604" t="str">
            <v>g__Lactobacillus</v>
          </cell>
          <cell r="I5604" t="str">
            <v>s__unclassified_g__Lactobacillus</v>
          </cell>
        </row>
        <row r="5605">
          <cell r="G5605" t="str">
            <v>ASV3670</v>
          </cell>
          <cell r="H5605" t="str">
            <v>g__Pedobacter</v>
          </cell>
          <cell r="I5605" t="str">
            <v>s__unclassified_g__Pedobacter</v>
          </cell>
        </row>
        <row r="5606">
          <cell r="G5606" t="str">
            <v>ASV6595</v>
          </cell>
          <cell r="H5606" t="str">
            <v>g__unclassified_c__Clostridia</v>
          </cell>
          <cell r="I5606" t="str">
            <v>s__unclassified_c__Clostridia</v>
          </cell>
        </row>
        <row r="5607">
          <cell r="G5607" t="str">
            <v>ASV22915</v>
          </cell>
          <cell r="H5607" t="str">
            <v>g__unclassified_f__Peptostreptococcaceae</v>
          </cell>
          <cell r="I5607" t="str">
            <v>s__unclassified_f__Peptostreptococcaceae</v>
          </cell>
        </row>
        <row r="5608">
          <cell r="G5608" t="str">
            <v>ASV16305</v>
          </cell>
          <cell r="H5608" t="str">
            <v>g__unclassified_c__Clostridia</v>
          </cell>
          <cell r="I5608" t="str">
            <v>s__unclassified_c__Clostridia</v>
          </cell>
        </row>
        <row r="5609">
          <cell r="G5609" t="str">
            <v>ASV4596</v>
          </cell>
          <cell r="H5609" t="str">
            <v>g__unclassified_o__Bacteroidales</v>
          </cell>
          <cell r="I5609" t="str">
            <v>s__unclassified_o__Bacteroidales</v>
          </cell>
        </row>
        <row r="5610">
          <cell r="G5610" t="str">
            <v>ASV5664</v>
          </cell>
          <cell r="H5610" t="str">
            <v>g__Monoglobus</v>
          </cell>
          <cell r="I5610" t="str">
            <v>s__uncultured_bacterium_g__Monoglobus</v>
          </cell>
        </row>
        <row r="5611">
          <cell r="G5611" t="str">
            <v>ASV11353</v>
          </cell>
          <cell r="H5611" t="str">
            <v>g__unclassified_f__Lachnospiraceae</v>
          </cell>
          <cell r="I5611" t="str">
            <v>s__unclassified_f__Lachnospiraceae</v>
          </cell>
        </row>
        <row r="5612">
          <cell r="G5612" t="str">
            <v>ASV9264</v>
          </cell>
          <cell r="H5612" t="str">
            <v>g__unclassified_f__Lachnospiraceae</v>
          </cell>
          <cell r="I5612" t="str">
            <v>s__unclassified_f__Lachnospiraceae</v>
          </cell>
        </row>
        <row r="5613">
          <cell r="G5613" t="str">
            <v>ASV428</v>
          </cell>
          <cell r="H5613" t="str">
            <v>g__unclassified_f__Ruminococcaceae</v>
          </cell>
          <cell r="I5613" t="str">
            <v>s__unclassified_f__Ruminococcaceae</v>
          </cell>
        </row>
        <row r="5614">
          <cell r="G5614" t="str">
            <v>ASV21724</v>
          </cell>
          <cell r="H5614" t="str">
            <v>g__Howardella</v>
          </cell>
          <cell r="I5614" t="str">
            <v>s__unclassified_g__Howardella</v>
          </cell>
        </row>
        <row r="5615">
          <cell r="G5615" t="str">
            <v>ASV21982</v>
          </cell>
          <cell r="H5615" t="str">
            <v>g__Lactobacillus</v>
          </cell>
          <cell r="I5615" t="str">
            <v>s__unclassified_g__Lactobacillus</v>
          </cell>
        </row>
        <row r="5616">
          <cell r="G5616" t="str">
            <v>ASV18812</v>
          </cell>
          <cell r="H5616" t="str">
            <v>g__Odoribacter</v>
          </cell>
          <cell r="I5616" t="str">
            <v>s__uncultured_bacterium_g__Odoribacter</v>
          </cell>
        </row>
        <row r="5617">
          <cell r="G5617" t="str">
            <v>ASV18565</v>
          </cell>
          <cell r="H5617" t="str">
            <v>g__unclassified_f__Lachnospiraceae</v>
          </cell>
          <cell r="I5617" t="str">
            <v>s__unclassified_f__Lachnospiraceae</v>
          </cell>
        </row>
        <row r="5618">
          <cell r="G5618" t="str">
            <v>ASV437</v>
          </cell>
          <cell r="H5618" t="str">
            <v>g__unclassified_f__Lachnospiraceae</v>
          </cell>
          <cell r="I5618" t="str">
            <v>s__unclassified_f__Lachnospiraceae</v>
          </cell>
        </row>
        <row r="5619">
          <cell r="G5619" t="str">
            <v>ASV16309</v>
          </cell>
          <cell r="H5619" t="str">
            <v>g__unclassified_c__Clostridia</v>
          </cell>
          <cell r="I5619" t="str">
            <v>s__unclassified_c__Clostridia</v>
          </cell>
        </row>
        <row r="5620">
          <cell r="G5620" t="str">
            <v>ASV18823</v>
          </cell>
          <cell r="H5620" t="str">
            <v>g__Fusobacterium</v>
          </cell>
          <cell r="I5620" t="str">
            <v>s__unclassified_g__Fusobacterium</v>
          </cell>
        </row>
        <row r="5621">
          <cell r="G5621" t="str">
            <v>ASV8449</v>
          </cell>
          <cell r="H5621" t="str">
            <v>g__Megasphaera</v>
          </cell>
          <cell r="I5621" t="str">
            <v>s__unclassified_g__Megasphaera</v>
          </cell>
        </row>
        <row r="5622">
          <cell r="G5622" t="str">
            <v>ASV4637</v>
          </cell>
          <cell r="H5622" t="str">
            <v>g__unclassified_c__Clostridia</v>
          </cell>
          <cell r="I5622" t="str">
            <v>s__unclassified_c__Clostridia</v>
          </cell>
        </row>
        <row r="5623">
          <cell r="G5623" t="str">
            <v>ASV17136</v>
          </cell>
          <cell r="H5623" t="str">
            <v>g__unclassified_k__norank_d__Bacteria</v>
          </cell>
          <cell r="I5623" t="str">
            <v>s__unclassified_k__norank_d__Bacteria</v>
          </cell>
        </row>
        <row r="5624">
          <cell r="G5624" t="str">
            <v>ASV11319</v>
          </cell>
          <cell r="H5624" t="str">
            <v>g__norank_f__norank_o__Clostridia_UCG-014</v>
          </cell>
          <cell r="I5624" t="str">
            <v>s__uncultured_bacterium_g__norank_f__norank_o__Clostridia_UCG-014</v>
          </cell>
        </row>
        <row r="5625">
          <cell r="G5625" t="str">
            <v>ASV6498</v>
          </cell>
          <cell r="H5625" t="str">
            <v>g__norank_f__Eubacterium_coprostanoligenes_group</v>
          </cell>
          <cell r="I5625" t="str">
            <v>s__human_gut_metagenome_g__norank_f__Eubacterium_coprostanoligenes_group</v>
          </cell>
        </row>
        <row r="5626">
          <cell r="G5626" t="str">
            <v>ASV6586</v>
          </cell>
          <cell r="H5626" t="str">
            <v>g__Fusobacterium</v>
          </cell>
          <cell r="I5626" t="str">
            <v>s__unclassified_g__Fusobacterium</v>
          </cell>
        </row>
        <row r="5627">
          <cell r="G5627" t="str">
            <v>ASV10167</v>
          </cell>
          <cell r="H5627" t="str">
            <v>g__Lactobacillus</v>
          </cell>
          <cell r="I5627" t="str">
            <v>s__unclassified_g__Lactobacillus</v>
          </cell>
        </row>
        <row r="5628">
          <cell r="G5628" t="str">
            <v>ASV23078</v>
          </cell>
          <cell r="H5628" t="str">
            <v>g__NK4A214_group</v>
          </cell>
          <cell r="I5628" t="str">
            <v>s__unclassified_g__NK4A214_group</v>
          </cell>
        </row>
        <row r="5629">
          <cell r="G5629" t="str">
            <v>ASV13782</v>
          </cell>
          <cell r="H5629" t="str">
            <v>g__Actinomyces</v>
          </cell>
          <cell r="I5629" t="str">
            <v>s__unclassified_g__Actinomyces</v>
          </cell>
        </row>
        <row r="5630">
          <cell r="G5630" t="str">
            <v>ASV12590</v>
          </cell>
          <cell r="H5630" t="str">
            <v>g__Helicobacter</v>
          </cell>
          <cell r="I5630" t="str">
            <v>s__unclassified_g__Helicobacter</v>
          </cell>
        </row>
        <row r="5631">
          <cell r="G5631" t="str">
            <v>ASV8348</v>
          </cell>
          <cell r="H5631" t="str">
            <v>g__Lactobacillus</v>
          </cell>
          <cell r="I5631" t="str">
            <v>s__unclassified_g__Lactobacillus</v>
          </cell>
        </row>
        <row r="5632">
          <cell r="G5632" t="str">
            <v>ASV1993</v>
          </cell>
          <cell r="H5632" t="str">
            <v>g__unclassified_c__Clostridia</v>
          </cell>
          <cell r="I5632" t="str">
            <v>s__unclassified_c__Clostridia</v>
          </cell>
        </row>
        <row r="5633">
          <cell r="G5633" t="str">
            <v>ASV12610</v>
          </cell>
          <cell r="H5633" t="str">
            <v>g__Marvinbryantia</v>
          </cell>
          <cell r="I5633" t="str">
            <v>s__unclassified_g__Marvinbryantia</v>
          </cell>
        </row>
        <row r="5634">
          <cell r="G5634" t="str">
            <v>ASV12602</v>
          </cell>
          <cell r="H5634" t="str">
            <v>g__Clostridium_sensu_stricto_1</v>
          </cell>
          <cell r="I5634" t="str">
            <v>s__unclassified_g__Clostridium_sensu_stricto_1</v>
          </cell>
        </row>
        <row r="5635">
          <cell r="G5635" t="str">
            <v>ASV7581</v>
          </cell>
          <cell r="H5635" t="str">
            <v>g__Christensenellaceae_R-7_group</v>
          </cell>
          <cell r="I5635" t="str">
            <v>s__unclassified_g__Christensenellaceae_R-7_group</v>
          </cell>
        </row>
        <row r="5636">
          <cell r="G5636" t="str">
            <v>ASV18526</v>
          </cell>
          <cell r="H5636" t="str">
            <v>g__UCG-002</v>
          </cell>
          <cell r="I5636" t="str">
            <v>s__unclassified_g__UCG-002</v>
          </cell>
        </row>
        <row r="5637">
          <cell r="G5637" t="str">
            <v>ASV7597</v>
          </cell>
          <cell r="H5637" t="str">
            <v>g__unclassified_f__Clostridiaceae</v>
          </cell>
          <cell r="I5637" t="str">
            <v>s__unclassified_f__Clostridiaceae</v>
          </cell>
        </row>
        <row r="5638">
          <cell r="G5638" t="str">
            <v>ASV18564</v>
          </cell>
          <cell r="H5638" t="str">
            <v>g__Olsenella</v>
          </cell>
          <cell r="I5638" t="str">
            <v>s__Olsenella_sp._GAM18</v>
          </cell>
        </row>
        <row r="5639">
          <cell r="G5639" t="str">
            <v>ASV21959</v>
          </cell>
          <cell r="H5639" t="str">
            <v>g__Oscillibacter</v>
          </cell>
          <cell r="I5639" t="str">
            <v>s__unclassified_g__Oscillibacter</v>
          </cell>
        </row>
        <row r="5640">
          <cell r="G5640" t="str">
            <v>ASV19320</v>
          </cell>
          <cell r="H5640" t="str">
            <v>g__unclassified_p__Firmicutes</v>
          </cell>
          <cell r="I5640" t="str">
            <v>s__unclassified_p__Firmicutes</v>
          </cell>
        </row>
        <row r="5641">
          <cell r="G5641" t="str">
            <v>ASV21577</v>
          </cell>
          <cell r="H5641" t="str">
            <v>g__Oribacterium</v>
          </cell>
          <cell r="I5641" t="str">
            <v>s__uncultured_bacterium_g__Oribacterium</v>
          </cell>
        </row>
        <row r="5642">
          <cell r="G5642" t="str">
            <v>ASV14010</v>
          </cell>
          <cell r="H5642" t="str">
            <v>g__norank_f__Paludibacteraceae</v>
          </cell>
          <cell r="I5642" t="str">
            <v>s__unclassified_g__norank_f__Paludibacteraceae</v>
          </cell>
        </row>
        <row r="5643">
          <cell r="G5643" t="str">
            <v>ASV20621</v>
          </cell>
          <cell r="H5643" t="str">
            <v>g__unclassified_c__Clostridia</v>
          </cell>
          <cell r="I5643" t="str">
            <v>s__unclassified_c__Clostridia</v>
          </cell>
        </row>
        <row r="5644">
          <cell r="G5644" t="str">
            <v>ASV15249</v>
          </cell>
          <cell r="H5644" t="str">
            <v>g__Eubacterium_oxidoreducens_group</v>
          </cell>
          <cell r="I5644" t="str">
            <v>s__uncultured_bacterium_g__Eubacterium_oxidoreducens_group</v>
          </cell>
        </row>
        <row r="5645">
          <cell r="G5645" t="str">
            <v>ASV16304</v>
          </cell>
          <cell r="H5645" t="str">
            <v>g__Bacteroides</v>
          </cell>
          <cell r="I5645" t="str">
            <v>s__unclassified_g__Bacteroides</v>
          </cell>
        </row>
        <row r="5646">
          <cell r="G5646" t="str">
            <v>ASV21175</v>
          </cell>
          <cell r="H5646" t="str">
            <v>g__Lactobacillus</v>
          </cell>
          <cell r="I5646" t="str">
            <v>s__unclassified_g__Lactobacillus</v>
          </cell>
        </row>
        <row r="5647">
          <cell r="G5647" t="str">
            <v>ASV16775</v>
          </cell>
          <cell r="H5647" t="str">
            <v>g__Clostridium_sensu_stricto_1</v>
          </cell>
          <cell r="I5647" t="str">
            <v>s__unclassified_g__Clostridium_sensu_stricto_1</v>
          </cell>
        </row>
        <row r="5648">
          <cell r="G5648" t="str">
            <v>ASV5692</v>
          </cell>
          <cell r="H5648" t="str">
            <v>g__Christensenellaceae_R-7_group</v>
          </cell>
          <cell r="I5648" t="str">
            <v>s__uncultured_bacterium_g__Christensenellaceae_R-7_group</v>
          </cell>
        </row>
        <row r="5649">
          <cell r="G5649" t="str">
            <v>ASV1741</v>
          </cell>
          <cell r="H5649" t="str">
            <v>g__unclassified_f__Lachnospiraceae</v>
          </cell>
          <cell r="I5649" t="str">
            <v>s__unclassified_f__Lachnospiraceae</v>
          </cell>
        </row>
        <row r="5650">
          <cell r="G5650" t="str">
            <v>ASV17835</v>
          </cell>
          <cell r="H5650" t="str">
            <v>g__unclassified_c__Clostridia</v>
          </cell>
          <cell r="I5650" t="str">
            <v>s__unclassified_c__Clostridia</v>
          </cell>
        </row>
        <row r="5651">
          <cell r="G5651" t="str">
            <v>ASV3146</v>
          </cell>
          <cell r="H5651" t="str">
            <v>g__Campylobacter</v>
          </cell>
          <cell r="I5651" t="str">
            <v>s__unclassified_g__Campylobacter</v>
          </cell>
        </row>
        <row r="5652">
          <cell r="G5652" t="str">
            <v>ASV10505</v>
          </cell>
          <cell r="H5652" t="str">
            <v>g__Lactobacillus</v>
          </cell>
          <cell r="I5652" t="str">
            <v>s__unclassified_g__Lactobacillus</v>
          </cell>
        </row>
        <row r="5653">
          <cell r="G5653" t="str">
            <v>ASV24096</v>
          </cell>
          <cell r="H5653" t="str">
            <v>g__Lachnospiraceae_NC2004_group</v>
          </cell>
          <cell r="I5653" t="str">
            <v>s__uncultured_bacterium_g__Lachnospiraceae_NC2004_group</v>
          </cell>
        </row>
        <row r="5654">
          <cell r="G5654" t="str">
            <v>ASV18530</v>
          </cell>
          <cell r="H5654" t="str">
            <v>g__unclassified_f__Lachnospiraceae</v>
          </cell>
          <cell r="I5654" t="str">
            <v>s__unclassified_f__Lachnospiraceae</v>
          </cell>
        </row>
        <row r="5655">
          <cell r="G5655" t="str">
            <v>ASV21934</v>
          </cell>
          <cell r="H5655" t="str">
            <v>g__Christensenellaceae_R-7_group</v>
          </cell>
          <cell r="I5655" t="str">
            <v>s__unclassified_g__Christensenellaceae_R-7_group</v>
          </cell>
        </row>
        <row r="5656">
          <cell r="G5656" t="str">
            <v>ASV23918</v>
          </cell>
          <cell r="H5656" t="str">
            <v>g__Lactobacillus</v>
          </cell>
          <cell r="I5656" t="str">
            <v>s__unclassified_g__Lactobacillus</v>
          </cell>
        </row>
        <row r="5657">
          <cell r="G5657" t="str">
            <v>ASV7594</v>
          </cell>
          <cell r="H5657" t="str">
            <v>g__Romboutsia</v>
          </cell>
          <cell r="I5657" t="str">
            <v>s__unclassified_g__Romboutsia</v>
          </cell>
        </row>
        <row r="5658">
          <cell r="G5658" t="str">
            <v>ASV15915</v>
          </cell>
          <cell r="H5658" t="str">
            <v>g__Campylobacter</v>
          </cell>
          <cell r="I5658" t="str">
            <v>s__unclassified_g__Campylobacter</v>
          </cell>
        </row>
        <row r="5659">
          <cell r="G5659" t="str">
            <v>ASV15917</v>
          </cell>
          <cell r="H5659" t="str">
            <v>g__Bacteroides</v>
          </cell>
          <cell r="I5659" t="str">
            <v>s__unclassified_g__Bacteroides</v>
          </cell>
        </row>
        <row r="5660">
          <cell r="G5660" t="str">
            <v>ASV18824</v>
          </cell>
          <cell r="H5660" t="str">
            <v>g__unclassified_c__Bacilli</v>
          </cell>
          <cell r="I5660" t="str">
            <v>s__unclassified_c__Bacilli</v>
          </cell>
        </row>
        <row r="5661">
          <cell r="G5661" t="str">
            <v>ASV14033</v>
          </cell>
          <cell r="H5661" t="str">
            <v>g__Colidextribacter</v>
          </cell>
          <cell r="I5661" t="str">
            <v>s__uncultured_bacterium_g__Colidextribacter</v>
          </cell>
        </row>
        <row r="5662">
          <cell r="G5662" t="str">
            <v>ASV23101</v>
          </cell>
          <cell r="H5662" t="str">
            <v>g__norank_f__Oscillospiraceae</v>
          </cell>
          <cell r="I5662" t="str">
            <v>s__unclassified_g__norank_f__Oscillospiraceae</v>
          </cell>
        </row>
        <row r="5663">
          <cell r="G5663" t="str">
            <v>ASV460</v>
          </cell>
          <cell r="H5663" t="str">
            <v>g__unclassified_c__Clostridia</v>
          </cell>
          <cell r="I5663" t="str">
            <v>s__unclassified_c__Clostridia</v>
          </cell>
        </row>
        <row r="5664">
          <cell r="G5664" t="str">
            <v>ASV17832</v>
          </cell>
          <cell r="H5664" t="str">
            <v>g__unclassified_f__Christensenellaceae</v>
          </cell>
          <cell r="I5664" t="str">
            <v>s__unclassified_f__Christensenellaceae</v>
          </cell>
        </row>
        <row r="5665">
          <cell r="G5665" t="str">
            <v>ASV1609</v>
          </cell>
          <cell r="H5665" t="str">
            <v>g__unclassified_o__Lactobacillales</v>
          </cell>
          <cell r="I5665" t="str">
            <v>s__unclassified_o__Lactobacillales</v>
          </cell>
        </row>
        <row r="5666">
          <cell r="G5666" t="str">
            <v>ASV4639</v>
          </cell>
          <cell r="H5666" t="str">
            <v>g__unclassified_c__Bacilli</v>
          </cell>
          <cell r="I5666" t="str">
            <v>s__unclassified_c__Bacilli</v>
          </cell>
        </row>
        <row r="5667">
          <cell r="G5667" t="str">
            <v>ASV7607</v>
          </cell>
          <cell r="H5667" t="str">
            <v>g__Megasphaera</v>
          </cell>
          <cell r="I5667" t="str">
            <v>s__unclassified_g__Megasphaera</v>
          </cell>
        </row>
        <row r="5668">
          <cell r="G5668" t="str">
            <v>ASV465</v>
          </cell>
          <cell r="H5668" t="str">
            <v>g__unclassified_f__Anaerovoracaceae</v>
          </cell>
          <cell r="I5668" t="str">
            <v>s__unclassified_f__Anaerovoracaceae</v>
          </cell>
        </row>
        <row r="5669">
          <cell r="G5669" t="str">
            <v>ASV11367</v>
          </cell>
          <cell r="H5669" t="str">
            <v>g__Campylobacter</v>
          </cell>
          <cell r="I5669" t="str">
            <v>s__unclassified_g__Campylobacter</v>
          </cell>
        </row>
        <row r="5670">
          <cell r="G5670" t="str">
            <v>ASV3134</v>
          </cell>
          <cell r="H5670" t="str">
            <v>g__unclassified_f__Lachnospiraceae</v>
          </cell>
          <cell r="I5670" t="str">
            <v>s__unclassified_f__Lachnospiraceae</v>
          </cell>
        </row>
        <row r="5671">
          <cell r="G5671" t="str">
            <v>ASV440</v>
          </cell>
          <cell r="H5671" t="str">
            <v>g__unclassified_c__Clostridia</v>
          </cell>
          <cell r="I5671" t="str">
            <v>s__unclassified_c__Clostridia</v>
          </cell>
        </row>
        <row r="5672">
          <cell r="G5672" t="str">
            <v>ASV11329</v>
          </cell>
          <cell r="H5672" t="str">
            <v>g__unclassified_f__Lachnospiraceae</v>
          </cell>
          <cell r="I5672" t="str">
            <v>s__unclassified_f__Lachnospiraceae</v>
          </cell>
        </row>
        <row r="5673">
          <cell r="G5673" t="str">
            <v>ASV10490</v>
          </cell>
          <cell r="H5673" t="str">
            <v>g__unclassified_c__Clostridia</v>
          </cell>
          <cell r="I5673" t="str">
            <v>s__unclassified_c__Clostridia</v>
          </cell>
        </row>
        <row r="5674">
          <cell r="G5674" t="str">
            <v>ASV8623</v>
          </cell>
          <cell r="H5674" t="str">
            <v>g__unclassified_f__Enterobacteriaceae</v>
          </cell>
          <cell r="I5674" t="str">
            <v>s__unclassified_f__Enterobacteriaceae</v>
          </cell>
        </row>
        <row r="5675">
          <cell r="G5675" t="str">
            <v>ASV2029</v>
          </cell>
          <cell r="H5675" t="str">
            <v>g__Peptococcus</v>
          </cell>
          <cell r="I5675" t="str">
            <v>s__uncultured_bacterium_g__Peptococcus</v>
          </cell>
        </row>
        <row r="5676">
          <cell r="G5676" t="str">
            <v>ASV3865</v>
          </cell>
          <cell r="H5676" t="str">
            <v>g__Butyricicoccus</v>
          </cell>
          <cell r="I5676" t="str">
            <v>s__Clostridiales_bacterium_DJF_B152</v>
          </cell>
        </row>
        <row r="5677">
          <cell r="G5677" t="str">
            <v>ASV8949</v>
          </cell>
          <cell r="H5677" t="str">
            <v>g__Prevotella</v>
          </cell>
          <cell r="I5677" t="str">
            <v>s__unclassified_g__Prevotella</v>
          </cell>
        </row>
        <row r="5678">
          <cell r="G5678" t="str">
            <v>ASV23109</v>
          </cell>
          <cell r="H5678" t="str">
            <v>g__unclassified_f__Lachnospiraceae</v>
          </cell>
          <cell r="I5678" t="str">
            <v>s__unclassified_f__Lachnospiraceae</v>
          </cell>
        </row>
        <row r="5679">
          <cell r="G5679" t="str">
            <v>ASV7589</v>
          </cell>
          <cell r="H5679" t="str">
            <v>g__Lactobacillus</v>
          </cell>
          <cell r="I5679" t="str">
            <v>s__unclassified_g__Lactobacillus</v>
          </cell>
        </row>
        <row r="5680">
          <cell r="G5680" t="str">
            <v>ASV5676</v>
          </cell>
          <cell r="H5680" t="str">
            <v>g__unclassified_c__Clostridia</v>
          </cell>
          <cell r="I5680" t="str">
            <v>s__unclassified_c__Clostridia</v>
          </cell>
        </row>
        <row r="5681">
          <cell r="G5681" t="str">
            <v>ASV3868</v>
          </cell>
          <cell r="H5681" t="str">
            <v>g__norank_f__Eubacterium_coprostanoligenes_group</v>
          </cell>
          <cell r="I5681" t="str">
            <v>s__unclassified_g__norank_f__Eubacterium_coprostanoligenes_group</v>
          </cell>
        </row>
        <row r="5682">
          <cell r="G5682" t="str">
            <v>ASV15914</v>
          </cell>
          <cell r="H5682" t="str">
            <v>g__Lactobacillus</v>
          </cell>
          <cell r="I5682" t="str">
            <v>s__unclassified_g__Lactobacillus</v>
          </cell>
        </row>
        <row r="5683">
          <cell r="G5683" t="str">
            <v>ASV1608</v>
          </cell>
          <cell r="H5683" t="str">
            <v>g__unclassified_o__Lactobacillales</v>
          </cell>
          <cell r="I5683" t="str">
            <v>s__unclassified_o__Lactobacillales</v>
          </cell>
        </row>
        <row r="5684">
          <cell r="G5684" t="str">
            <v>ASV3894</v>
          </cell>
          <cell r="H5684" t="str">
            <v>g__unclassified_c__Clostridia</v>
          </cell>
          <cell r="I5684" t="str">
            <v>s__unclassified_c__Clostridia</v>
          </cell>
        </row>
        <row r="5685">
          <cell r="G5685" t="str">
            <v>ASV459</v>
          </cell>
          <cell r="H5685" t="str">
            <v>g__unclassified_o__Lactobacillales</v>
          </cell>
          <cell r="I5685" t="str">
            <v>s__unclassified_o__Lactobacillales</v>
          </cell>
        </row>
        <row r="5686">
          <cell r="G5686" t="str">
            <v>ASV20626</v>
          </cell>
          <cell r="H5686" t="str">
            <v>g__Lactobacillus</v>
          </cell>
          <cell r="I5686" t="str">
            <v>s__unclassified_g__Lactobacillus</v>
          </cell>
        </row>
        <row r="5687">
          <cell r="G5687" t="str">
            <v>ASV20221</v>
          </cell>
          <cell r="H5687" t="str">
            <v>g__Parabacteroides</v>
          </cell>
          <cell r="I5687" t="str">
            <v>s__uncultured_organism_g__Parabacteroides</v>
          </cell>
        </row>
        <row r="5688">
          <cell r="G5688" t="str">
            <v>ASV5680</v>
          </cell>
          <cell r="H5688" t="str">
            <v>g__norank_f__Muribaculaceae</v>
          </cell>
          <cell r="I5688" t="str">
            <v>s__unclassified_g__norank_f__Muribaculaceae</v>
          </cell>
        </row>
        <row r="5689">
          <cell r="G5689" t="str">
            <v>ASV3449</v>
          </cell>
          <cell r="H5689" t="str">
            <v>g__unclassified_c__Bacilli</v>
          </cell>
          <cell r="I5689" t="str">
            <v>s__unclassified_c__Bacilli</v>
          </cell>
        </row>
        <row r="5690">
          <cell r="G5690" t="str">
            <v>ASV21725</v>
          </cell>
          <cell r="H5690" t="str">
            <v>g__unclassified_o__Micrococcales</v>
          </cell>
          <cell r="I5690" t="str">
            <v>s__unclassified_o__Micrococcales</v>
          </cell>
        </row>
        <row r="5691">
          <cell r="G5691" t="str">
            <v>ASV9261</v>
          </cell>
          <cell r="H5691" t="str">
            <v>g__norank_f__Ruminococcaceae</v>
          </cell>
          <cell r="I5691" t="str">
            <v>s__unclassified_g__norank_f__Ruminococcaceae</v>
          </cell>
        </row>
        <row r="5692">
          <cell r="G5692" t="str">
            <v>ASV7575</v>
          </cell>
          <cell r="H5692" t="str">
            <v>g__unclassified_c__Clostridia</v>
          </cell>
          <cell r="I5692" t="str">
            <v>s__unclassified_c__Clostridia</v>
          </cell>
        </row>
        <row r="5693">
          <cell r="G5693" t="str">
            <v>ASV13784</v>
          </cell>
          <cell r="H5693" t="str">
            <v>g__Fusobacterium</v>
          </cell>
          <cell r="I5693" t="str">
            <v>s__unclassified_g__Fusobacterium</v>
          </cell>
        </row>
        <row r="5694">
          <cell r="G5694" t="str">
            <v>ASV13787</v>
          </cell>
          <cell r="H5694" t="str">
            <v>g__Enterococcus</v>
          </cell>
          <cell r="I5694" t="str">
            <v>s__unclassified_g__Enterococcus</v>
          </cell>
        </row>
        <row r="5695">
          <cell r="G5695" t="str">
            <v>ASV4633</v>
          </cell>
          <cell r="H5695" t="str">
            <v>g__Eubacterium_oxidoreducens_group</v>
          </cell>
          <cell r="I5695" t="str">
            <v>s__uncultured_bacterium_g__Eubacterium_oxidoreducens_group</v>
          </cell>
        </row>
        <row r="5696">
          <cell r="G5696" t="str">
            <v>ASV17464</v>
          </cell>
          <cell r="H5696" t="str">
            <v>g__unclassified_f__Butyricicoccaceae</v>
          </cell>
          <cell r="I5696" t="str">
            <v>s__unclassified_f__Butyricicoccaceae</v>
          </cell>
        </row>
        <row r="5697">
          <cell r="G5697" t="str">
            <v>ASV3884</v>
          </cell>
          <cell r="H5697" t="str">
            <v>g__Christensenellaceae_R-7_group</v>
          </cell>
          <cell r="I5697" t="str">
            <v>s__unclassified_g__Christensenellaceae_R-7_group</v>
          </cell>
        </row>
        <row r="5698">
          <cell r="G5698" t="str">
            <v>ASV14025</v>
          </cell>
          <cell r="H5698" t="str">
            <v>g__unclassified_c__Clostridia</v>
          </cell>
          <cell r="I5698" t="str">
            <v>s__unclassified_c__Clostridia</v>
          </cell>
        </row>
        <row r="5699">
          <cell r="G5699" t="str">
            <v>ASV5710</v>
          </cell>
          <cell r="H5699" t="str">
            <v>g__UCG-002</v>
          </cell>
          <cell r="I5699" t="str">
            <v>s__uncultured_bacterium_g__UCG-002</v>
          </cell>
        </row>
        <row r="5700">
          <cell r="G5700" t="str">
            <v>ASV7599</v>
          </cell>
          <cell r="H5700" t="str">
            <v>g__unclassified_f__Lachnospiraceae</v>
          </cell>
          <cell r="I5700" t="str">
            <v>s__unclassified_f__Lachnospiraceae</v>
          </cell>
        </row>
        <row r="5701">
          <cell r="G5701" t="str">
            <v>ASV3144</v>
          </cell>
          <cell r="H5701" t="str">
            <v>g__unclassified_c__Bacilli</v>
          </cell>
          <cell r="I5701" t="str">
            <v>s__unclassified_c__Bacilli</v>
          </cell>
        </row>
        <row r="5702">
          <cell r="G5702" t="str">
            <v>ASV17268</v>
          </cell>
          <cell r="H5702" t="str">
            <v>g__Streptococcus</v>
          </cell>
          <cell r="I5702" t="str">
            <v>s__unclassified_g__Streptococcus</v>
          </cell>
        </row>
        <row r="5703">
          <cell r="G5703" t="str">
            <v>ASV18820</v>
          </cell>
          <cell r="H5703" t="str">
            <v>g__Fusobacterium</v>
          </cell>
          <cell r="I5703" t="str">
            <v>s__unclassified_g__Fusobacterium</v>
          </cell>
        </row>
        <row r="5704">
          <cell r="G5704" t="str">
            <v>ASV11328</v>
          </cell>
          <cell r="H5704" t="str">
            <v>g__unclassified_f__Lachnospiraceae</v>
          </cell>
          <cell r="I5704" t="str">
            <v>s__unclassified_f__Lachnospiraceae</v>
          </cell>
        </row>
        <row r="5705">
          <cell r="G5705" t="str">
            <v>ASV10504</v>
          </cell>
          <cell r="H5705" t="str">
            <v>g__unclassified_c__Clostridia</v>
          </cell>
          <cell r="I5705" t="str">
            <v>s__unclassified_c__Clostridia</v>
          </cell>
        </row>
        <row r="5706">
          <cell r="G5706" t="str">
            <v>ASV3626</v>
          </cell>
          <cell r="H5706" t="str">
            <v>g__unclassified_f__Peptostreptococcaceae</v>
          </cell>
          <cell r="I5706" t="str">
            <v>s__unclassified_f__Peptostreptococcaceae</v>
          </cell>
        </row>
        <row r="5707">
          <cell r="G5707" t="str">
            <v>ASV6592</v>
          </cell>
          <cell r="H5707" t="str">
            <v>g__unclassified_c__Clostridia</v>
          </cell>
          <cell r="I5707" t="str">
            <v>s__unclassified_c__Clostridia</v>
          </cell>
        </row>
        <row r="5708">
          <cell r="G5708" t="str">
            <v>ASV441</v>
          </cell>
          <cell r="H5708" t="str">
            <v>g__unclassified_f__Oscillospiraceae</v>
          </cell>
          <cell r="I5708" t="str">
            <v>s__unclassified_f__Oscillospiraceae</v>
          </cell>
        </row>
        <row r="5709">
          <cell r="G5709" t="str">
            <v>ASV23091</v>
          </cell>
          <cell r="H5709" t="str">
            <v>g__Sharpea</v>
          </cell>
          <cell r="I5709" t="str">
            <v>s__unclassified_g__Sharpea</v>
          </cell>
        </row>
        <row r="5710">
          <cell r="G5710" t="str">
            <v>ASV7591</v>
          </cell>
          <cell r="H5710" t="str">
            <v>g__norank_f__UCG-010</v>
          </cell>
          <cell r="I5710" t="str">
            <v>s__unclassified_g__norank_f__UCG-010</v>
          </cell>
        </row>
        <row r="5711">
          <cell r="G5711" t="str">
            <v>ASV4604</v>
          </cell>
          <cell r="H5711" t="str">
            <v>g__unclassified_p__Firmicutes</v>
          </cell>
          <cell r="I5711" t="str">
            <v>s__unclassified_p__Firmicutes</v>
          </cell>
        </row>
        <row r="5712">
          <cell r="G5712" t="str">
            <v>ASV1601</v>
          </cell>
          <cell r="H5712" t="str">
            <v>g__norank_f__Oscillospiraceae</v>
          </cell>
          <cell r="I5712" t="str">
            <v>s__unclassified_g__norank_f__Oscillospiraceae</v>
          </cell>
        </row>
        <row r="5713">
          <cell r="G5713" t="str">
            <v>ASV12606</v>
          </cell>
          <cell r="H5713" t="str">
            <v>g__NK4A214_group</v>
          </cell>
          <cell r="I5713" t="str">
            <v>s__uncultured_bacterium_g__NK4A214_group</v>
          </cell>
        </row>
        <row r="5714">
          <cell r="G5714" t="str">
            <v>ASV21968</v>
          </cell>
          <cell r="H5714" t="str">
            <v>g__unclassified_f__Lachnospiraceae</v>
          </cell>
          <cell r="I5714" t="str">
            <v>s__unclassified_f__Lachnospiraceae</v>
          </cell>
        </row>
        <row r="5715">
          <cell r="G5715" t="str">
            <v>ASV431</v>
          </cell>
          <cell r="H5715" t="str">
            <v>g__Christensenellaceae_R-7_group</v>
          </cell>
          <cell r="I5715" t="str">
            <v>s__unclassified_g__Christensenellaceae_R-7_group</v>
          </cell>
        </row>
        <row r="5716">
          <cell r="G5716" t="str">
            <v>ASV3450</v>
          </cell>
          <cell r="H5716" t="str">
            <v>g__Megasphaera</v>
          </cell>
          <cell r="I5716" t="str">
            <v>s__unclassified_g__Megasphaera</v>
          </cell>
        </row>
        <row r="5717">
          <cell r="G5717" t="str">
            <v>ASV21944</v>
          </cell>
          <cell r="H5717" t="str">
            <v>g__unclassified_f__Lachnospiraceae</v>
          </cell>
          <cell r="I5717" t="str">
            <v>s__unclassified_f__Lachnospiraceae</v>
          </cell>
        </row>
        <row r="5718">
          <cell r="G5718" t="str">
            <v>ASV23921</v>
          </cell>
          <cell r="H5718" t="str">
            <v>g__norank_f__Eggerthellaceae</v>
          </cell>
          <cell r="I5718" t="str">
            <v>s__uncultured_bacterium_g__norank_f__Eggerthellaceae</v>
          </cell>
        </row>
        <row r="5719">
          <cell r="G5719" t="str">
            <v>ASV12587</v>
          </cell>
          <cell r="H5719" t="str">
            <v>g__Lachnospiraceae_UCG-004</v>
          </cell>
          <cell r="I5719" t="str">
            <v>s__uncultured_bacterium_g__Lachnospiraceae_UCG-004</v>
          </cell>
        </row>
        <row r="5720">
          <cell r="G5720" t="str">
            <v>ASV17849</v>
          </cell>
          <cell r="H5720" t="str">
            <v>g__unclassified_f__Lachnospiraceae</v>
          </cell>
          <cell r="I5720" t="str">
            <v>s__unclassified_f__Lachnospiraceae</v>
          </cell>
        </row>
        <row r="5721">
          <cell r="G5721" t="str">
            <v>ASV14044</v>
          </cell>
          <cell r="H5721" t="str">
            <v>g__unclassified_c__Clostridia</v>
          </cell>
          <cell r="I5721" t="str">
            <v>s__unclassified_c__Clostridia</v>
          </cell>
        </row>
        <row r="5722">
          <cell r="G5722" t="str">
            <v>ASV17270</v>
          </cell>
          <cell r="H5722" t="str">
            <v>g__Corynebacterium</v>
          </cell>
          <cell r="I5722" t="str">
            <v>s__unclassified_g__Corynebacterium</v>
          </cell>
        </row>
        <row r="5723">
          <cell r="G5723" t="str">
            <v>ASV15232</v>
          </cell>
          <cell r="H5723" t="str">
            <v>g__unclassified_f__Lachnospiraceae</v>
          </cell>
          <cell r="I5723" t="str">
            <v>s__unclassified_f__Lachnospiraceae</v>
          </cell>
        </row>
        <row r="5724">
          <cell r="G5724" t="str">
            <v>ASV15236</v>
          </cell>
          <cell r="H5724" t="str">
            <v>g__unclassified_f__Anaerovoracaceae</v>
          </cell>
          <cell r="I5724" t="str">
            <v>s__unclassified_f__Anaerovoracaceae</v>
          </cell>
        </row>
        <row r="5725">
          <cell r="G5725" t="str">
            <v>ASV5689</v>
          </cell>
          <cell r="H5725" t="str">
            <v>g__unclassified_f__Peptostreptococcaceae</v>
          </cell>
          <cell r="I5725" t="str">
            <v>s__unclassified_f__Peptostreptococcaceae</v>
          </cell>
        </row>
        <row r="5726">
          <cell r="G5726" t="str">
            <v>ASV16842</v>
          </cell>
          <cell r="H5726" t="str">
            <v>g__NK4A214_group</v>
          </cell>
          <cell r="I5726" t="str">
            <v>s__unclassified_g__NK4A214_group</v>
          </cell>
        </row>
        <row r="5727">
          <cell r="G5727" t="str">
            <v>ASV3886</v>
          </cell>
          <cell r="H5727" t="str">
            <v>g__unclassified_p__Firmicutes</v>
          </cell>
          <cell r="I5727" t="str">
            <v>s__unclassified_p__Firmicutes</v>
          </cell>
        </row>
        <row r="5728">
          <cell r="G5728" t="str">
            <v>ASV18529</v>
          </cell>
          <cell r="H5728" t="str">
            <v>g__unclassified_f__Lachnospiraceae</v>
          </cell>
          <cell r="I5728" t="str">
            <v>s__unclassified_f__Lachnospiraceae</v>
          </cell>
        </row>
        <row r="5729">
          <cell r="G5729" t="str">
            <v>ASV21949</v>
          </cell>
          <cell r="H5729" t="str">
            <v>g__unclassified_c__Clostridia</v>
          </cell>
          <cell r="I5729" t="str">
            <v>s__unclassified_c__Clostridia</v>
          </cell>
        </row>
        <row r="5730">
          <cell r="G5730" t="str">
            <v>ASV19328</v>
          </cell>
          <cell r="H5730" t="str">
            <v>g__unclassified_f__Peptostreptococcaceae</v>
          </cell>
          <cell r="I5730" t="str">
            <v>s__unclassified_f__Peptostreptococcaceae</v>
          </cell>
        </row>
        <row r="5731">
          <cell r="G5731" t="str">
            <v>ASV3873</v>
          </cell>
          <cell r="H5731" t="str">
            <v>g__Christensenellaceae_R-7_group</v>
          </cell>
          <cell r="I5731" t="str">
            <v>s__unclassified_g__Christensenellaceae_R-7_group</v>
          </cell>
        </row>
        <row r="5732">
          <cell r="G5732" t="str">
            <v>ASV2020</v>
          </cell>
          <cell r="H5732" t="str">
            <v>g__unclassified_f__Lachnospiraceae</v>
          </cell>
          <cell r="I5732" t="str">
            <v>s__unclassified_f__Lachnospiraceae</v>
          </cell>
        </row>
        <row r="5733">
          <cell r="G5733" t="str">
            <v>ASV10292</v>
          </cell>
          <cell r="H5733" t="str">
            <v>g__Lactobacillus</v>
          </cell>
          <cell r="I5733" t="str">
            <v>s__unclassified_g__Lactobacillus</v>
          </cell>
        </row>
        <row r="5734">
          <cell r="G5734" t="str">
            <v>ASV13320</v>
          </cell>
          <cell r="H5734" t="str">
            <v>g__unclassified_f__Lachnospiraceae</v>
          </cell>
          <cell r="I5734" t="str">
            <v>s__unclassified_f__Lachnospiraceae</v>
          </cell>
        </row>
        <row r="5735">
          <cell r="G5735" t="str">
            <v>ASV3888</v>
          </cell>
          <cell r="H5735" t="str">
            <v>g__Cloacibacillus</v>
          </cell>
          <cell r="I5735" t="str">
            <v>s__unclassified_g__Cloacibacillus</v>
          </cell>
        </row>
        <row r="5736">
          <cell r="G5736" t="str">
            <v>ASV3901</v>
          </cell>
          <cell r="H5736" t="str">
            <v>g__unclassified_f__Peptostreptococcaceae</v>
          </cell>
          <cell r="I5736" t="str">
            <v>s__unclassified_f__Peptostreptococcaceae</v>
          </cell>
        </row>
        <row r="5737">
          <cell r="G5737" t="str">
            <v>ASV7582</v>
          </cell>
          <cell r="H5737" t="str">
            <v>g__Subdoligranulum</v>
          </cell>
          <cell r="I5737" t="str">
            <v>s__uncultured_bacterium_g__Subdoligranulum</v>
          </cell>
        </row>
        <row r="5738">
          <cell r="G5738" t="str">
            <v>ASV10162</v>
          </cell>
          <cell r="H5738" t="str">
            <v>g__Fusobacterium</v>
          </cell>
          <cell r="I5738" t="str">
            <v>s__unclassified_g__Fusobacterium</v>
          </cell>
        </row>
        <row r="5739">
          <cell r="G5739" t="str">
            <v>ASV5712</v>
          </cell>
          <cell r="H5739" t="str">
            <v>g__Eubacterium_oxidoreducens_group</v>
          </cell>
          <cell r="I5739" t="str">
            <v>s__uncultured_bacterium_g__Eubacterium_oxidoreducens_group</v>
          </cell>
        </row>
        <row r="5740">
          <cell r="G5740" t="str">
            <v>ASV7598</v>
          </cell>
          <cell r="H5740" t="str">
            <v>g__Christensenellaceae_R-7_group</v>
          </cell>
          <cell r="I5740" t="str">
            <v>s__unclassified_g__Christensenellaceae_R-7_group</v>
          </cell>
        </row>
        <row r="5741">
          <cell r="G5741" t="str">
            <v>ASV17354</v>
          </cell>
          <cell r="H5741" t="str">
            <v>g__Hymenobacter</v>
          </cell>
          <cell r="I5741" t="str">
            <v>s__unclassified_g__Hymenobacter</v>
          </cell>
        </row>
        <row r="5742">
          <cell r="G5742" t="str">
            <v>ASV11344</v>
          </cell>
          <cell r="H5742" t="str">
            <v>g__unclassified_k__norank_d__Bacteria</v>
          </cell>
          <cell r="I5742" t="str">
            <v>s__unclassified_k__norank_d__Bacteria</v>
          </cell>
        </row>
        <row r="5743">
          <cell r="G5743" t="str">
            <v>ASV15246</v>
          </cell>
          <cell r="H5743" t="str">
            <v>g__unclassified_f__Lachnospiraceae</v>
          </cell>
          <cell r="I5743" t="str">
            <v>s__unclassified_f__Lachnospiraceae</v>
          </cell>
        </row>
        <row r="5744">
          <cell r="G5744" t="str">
            <v>ASV1606</v>
          </cell>
          <cell r="H5744" t="str">
            <v>g__Clostridium_sensu_stricto_1</v>
          </cell>
          <cell r="I5744" t="str">
            <v>s__unclassified_g__Clostridium_sensu_stricto_1</v>
          </cell>
        </row>
        <row r="5745">
          <cell r="G5745" t="str">
            <v>ASV12618</v>
          </cell>
          <cell r="H5745" t="str">
            <v>g__Clostridium_sensu_stricto_1</v>
          </cell>
          <cell r="I5745" t="str">
            <v>s__unclassified_g__Clostridium_sensu_stricto_1</v>
          </cell>
        </row>
        <row r="5746">
          <cell r="G5746" t="str">
            <v>ASV446</v>
          </cell>
          <cell r="H5746" t="str">
            <v>g__unclassified_f__Oscillospiraceae</v>
          </cell>
          <cell r="I5746" t="str">
            <v>s__unclassified_f__Oscillospiraceae</v>
          </cell>
        </row>
        <row r="5747">
          <cell r="G5747" t="str">
            <v>ASV21938</v>
          </cell>
          <cell r="H5747" t="str">
            <v>g__Christensenellaceae_R-7_group</v>
          </cell>
          <cell r="I5747" t="str">
            <v>s__unclassified_g__Christensenellaceae_R-7_group</v>
          </cell>
        </row>
        <row r="5748">
          <cell r="G5748" t="str">
            <v>ASV16837</v>
          </cell>
          <cell r="H5748" t="str">
            <v>g__Defluviitaleaceae_UCG-011</v>
          </cell>
          <cell r="I5748" t="str">
            <v>s__uncultured_bacterium_g__Defluviitaleaceae_UCG-011</v>
          </cell>
        </row>
        <row r="5749">
          <cell r="G5749" t="str">
            <v>ASV18814</v>
          </cell>
          <cell r="H5749" t="str">
            <v>g__Pasteurella</v>
          </cell>
          <cell r="I5749" t="str">
            <v>s__Pasteurella_aerogenes</v>
          </cell>
        </row>
        <row r="5750">
          <cell r="G5750" t="str">
            <v>ASV7869</v>
          </cell>
          <cell r="H5750" t="str">
            <v>g__UCG-005</v>
          </cell>
          <cell r="I5750" t="str">
            <v>s__unclassified_g__UCG-005</v>
          </cell>
        </row>
        <row r="5751">
          <cell r="G5751" t="str">
            <v>ASV19326</v>
          </cell>
          <cell r="H5751" t="str">
            <v>g__UCG-002</v>
          </cell>
          <cell r="I5751" t="str">
            <v>s__uncultured_bacterium_g__UCG-002</v>
          </cell>
        </row>
        <row r="5752">
          <cell r="G5752" t="str">
            <v>ASV14017</v>
          </cell>
          <cell r="H5752" t="str">
            <v>g__Lactobacillus</v>
          </cell>
          <cell r="I5752" t="str">
            <v>s__unclassified_g__Lactobacillus</v>
          </cell>
        </row>
        <row r="5753">
          <cell r="G5753" t="str">
            <v>ASV3892</v>
          </cell>
          <cell r="H5753" t="str">
            <v>g__unclassified_f__Oscillospiraceae</v>
          </cell>
          <cell r="I5753" t="str">
            <v>s__unclassified_f__Oscillospiraceae</v>
          </cell>
        </row>
        <row r="5754">
          <cell r="G5754" t="str">
            <v>ASV13322</v>
          </cell>
          <cell r="H5754" t="str">
            <v>g__unclassified_o__Lactobacillales</v>
          </cell>
          <cell r="I5754" t="str">
            <v>s__unclassified_o__Lactobacillales</v>
          </cell>
        </row>
        <row r="5755">
          <cell r="G5755" t="str">
            <v>ASV15224</v>
          </cell>
          <cell r="H5755" t="str">
            <v>g__Christensenellaceae_R-7_group</v>
          </cell>
          <cell r="I5755" t="str">
            <v>s__unclassified_g__Christensenellaceae_R-7_group</v>
          </cell>
        </row>
        <row r="5756">
          <cell r="G5756" t="str">
            <v>ASV9236</v>
          </cell>
          <cell r="H5756" t="str">
            <v>g__Prevotella</v>
          </cell>
          <cell r="I5756" t="str">
            <v>s__unclassified_g__Prevotella</v>
          </cell>
        </row>
        <row r="5757">
          <cell r="G5757" t="str">
            <v>ASV17466</v>
          </cell>
          <cell r="H5757" t="str">
            <v>g__unclassified_c__Clostridia</v>
          </cell>
          <cell r="I5757" t="str">
            <v>s__unclassified_c__Clostridia</v>
          </cell>
        </row>
        <row r="5758">
          <cell r="G5758" t="str">
            <v>ASV14045</v>
          </cell>
          <cell r="H5758" t="str">
            <v>g__unclassified_f__Lachnospiraceae</v>
          </cell>
          <cell r="I5758" t="str">
            <v>s__unclassified_f__Lachnospiraceae</v>
          </cell>
        </row>
        <row r="5759">
          <cell r="G5759" t="str">
            <v>ASV24098</v>
          </cell>
          <cell r="H5759" t="str">
            <v>g__Parabacteroides</v>
          </cell>
          <cell r="I5759" t="str">
            <v>s__Porphyromonadaceae_bacterium_DJF_B175</v>
          </cell>
        </row>
        <row r="5760">
          <cell r="G5760" t="str">
            <v>ASV20619</v>
          </cell>
          <cell r="H5760" t="str">
            <v>g__unclassified_f__Lachnospiraceae</v>
          </cell>
          <cell r="I5760" t="str">
            <v>s__unclassified_f__Lachnospiraceae</v>
          </cell>
        </row>
        <row r="5761">
          <cell r="G5761" t="str">
            <v>ASV24094</v>
          </cell>
          <cell r="H5761" t="str">
            <v>g__unclassified_f__Lachnospiraceae</v>
          </cell>
          <cell r="I5761" t="str">
            <v>s__unclassified_f__Lachnospiraceae</v>
          </cell>
        </row>
        <row r="5762">
          <cell r="G5762" t="str">
            <v>ASV9267</v>
          </cell>
          <cell r="H5762" t="str">
            <v>g__unclassified_f__Lachnospiraceae</v>
          </cell>
          <cell r="I5762" t="str">
            <v>s__unclassified_f__Lachnospiraceae</v>
          </cell>
        </row>
        <row r="5763">
          <cell r="G5763" t="str">
            <v>ASV15243</v>
          </cell>
          <cell r="H5763" t="str">
            <v>g__unclassified_o__Oscillospirales</v>
          </cell>
          <cell r="I5763" t="str">
            <v>s__unclassified_o__Oscillospirales</v>
          </cell>
        </row>
        <row r="5764">
          <cell r="G5764" t="str">
            <v>ASV17845</v>
          </cell>
          <cell r="H5764" t="str">
            <v>g__norank_f__Ruminococcaceae</v>
          </cell>
          <cell r="I5764" t="str">
            <v>s__unclassified_g__norank_f__Ruminococcaceae</v>
          </cell>
        </row>
        <row r="5765">
          <cell r="G5765" t="str">
            <v>ASV20223</v>
          </cell>
          <cell r="H5765" t="str">
            <v>g__unclassified_c__Bacilli</v>
          </cell>
          <cell r="I5765" t="str">
            <v>s__unclassified_c__Bacilli</v>
          </cell>
        </row>
        <row r="5766">
          <cell r="G5766" t="str">
            <v>ASV3877</v>
          </cell>
          <cell r="H5766" t="str">
            <v>g__Desulfovibrio</v>
          </cell>
          <cell r="I5766" t="str">
            <v>s__unclassified_g__Desulfovibrio</v>
          </cell>
        </row>
        <row r="5767">
          <cell r="G5767" t="str">
            <v>ASV8946</v>
          </cell>
          <cell r="H5767" t="str">
            <v>g__Romboutsia</v>
          </cell>
          <cell r="I5767" t="str">
            <v>s__unclassified_g__Romboutsia</v>
          </cell>
        </row>
        <row r="5768">
          <cell r="G5768" t="str">
            <v>ASV4626</v>
          </cell>
          <cell r="H5768" t="str">
            <v>g__unclassified_k__norank_d__Bacteria</v>
          </cell>
          <cell r="I5768" t="str">
            <v>s__unclassified_k__norank_d__Bacteria</v>
          </cell>
        </row>
        <row r="5769">
          <cell r="G5769" t="str">
            <v>ASV3719</v>
          </cell>
          <cell r="H5769" t="str">
            <v>g__Prevotella</v>
          </cell>
          <cell r="I5769" t="str">
            <v>s__unclassified_g__Prevotella</v>
          </cell>
        </row>
        <row r="5770">
          <cell r="G5770" t="str">
            <v>ASV19154</v>
          </cell>
          <cell r="H5770" t="str">
            <v>g__Hahella</v>
          </cell>
          <cell r="I5770" t="str">
            <v>s__Allohahella_marinimesophila</v>
          </cell>
        </row>
        <row r="5771">
          <cell r="G5771" t="str">
            <v>ASV7603</v>
          </cell>
          <cell r="H5771" t="str">
            <v>g__Subdoligranulum</v>
          </cell>
          <cell r="I5771" t="str">
            <v>s__unclassified_g__Subdoligranulum</v>
          </cell>
        </row>
        <row r="5772">
          <cell r="G5772" t="str">
            <v>ASV2882</v>
          </cell>
          <cell r="H5772" t="str">
            <v>g__unclassified_f__Oscillospiraceae</v>
          </cell>
          <cell r="I5772" t="str">
            <v>s__unclassified_f__Oscillospiraceae</v>
          </cell>
        </row>
        <row r="5773">
          <cell r="G5773" t="str">
            <v>ASV435</v>
          </cell>
          <cell r="H5773" t="str">
            <v>g__Christensenellaceae_R-7_group</v>
          </cell>
          <cell r="I5773" t="str">
            <v>s__unclassified_g__Christensenellaceae_R-7_group</v>
          </cell>
        </row>
        <row r="5774">
          <cell r="G5774" t="str">
            <v>ASV2034</v>
          </cell>
          <cell r="H5774" t="str">
            <v>g__unclassified_f__Peptostreptococcaceae</v>
          </cell>
          <cell r="I5774" t="str">
            <v>s__unclassified_f__Peptostreptococcaceae</v>
          </cell>
        </row>
        <row r="5775">
          <cell r="G5775" t="str">
            <v>ASV11354</v>
          </cell>
          <cell r="H5775" t="str">
            <v>g__unclassified_f__Lachnospiraceae</v>
          </cell>
          <cell r="I5775" t="str">
            <v>s__unclassified_f__Lachnospiraceae</v>
          </cell>
        </row>
        <row r="5776">
          <cell r="G5776" t="str">
            <v>ASV3040</v>
          </cell>
          <cell r="H5776" t="str">
            <v>g__Anaerococcus</v>
          </cell>
          <cell r="I5776" t="str">
            <v>s__unclassified_g__Anaerococcus</v>
          </cell>
        </row>
        <row r="5777">
          <cell r="G5777" t="str">
            <v>ASV9266</v>
          </cell>
          <cell r="H5777" t="str">
            <v>g__unclassified_f__Lachnospiraceae</v>
          </cell>
          <cell r="I5777" t="str">
            <v>s__unclassified_f__Lachnospiraceae</v>
          </cell>
        </row>
        <row r="5778">
          <cell r="G5778" t="str">
            <v>ASV6195</v>
          </cell>
          <cell r="H5778" t="str">
            <v>g__Parasutterella</v>
          </cell>
          <cell r="I5778" t="str">
            <v>s__gut_metagenome_g__Parasutterella</v>
          </cell>
        </row>
        <row r="5779">
          <cell r="G5779" t="str">
            <v>ASV15918</v>
          </cell>
          <cell r="H5779" t="str">
            <v>g__Peptostreptococcus</v>
          </cell>
          <cell r="I5779" t="str">
            <v>s__unclassified_g__Peptostreptococcus</v>
          </cell>
        </row>
        <row r="5780">
          <cell r="G5780" t="str">
            <v>ASV24105</v>
          </cell>
          <cell r="H5780" t="str">
            <v>g__Lactobacillus</v>
          </cell>
          <cell r="I5780" t="str">
            <v>s__unclassified_g__Lactobacillus</v>
          </cell>
        </row>
        <row r="5781">
          <cell r="G5781" t="str">
            <v>ASV4648</v>
          </cell>
          <cell r="H5781" t="str">
            <v>g__unclassified_c__Clostridia</v>
          </cell>
          <cell r="I5781" t="str">
            <v>s__unclassified_c__Clostridia</v>
          </cell>
        </row>
        <row r="5782">
          <cell r="G5782" t="str">
            <v>ASV15238</v>
          </cell>
          <cell r="H5782" t="str">
            <v>g__unclassified_c__Clostridia</v>
          </cell>
          <cell r="I5782" t="str">
            <v>s__unclassified_c__Clostridia</v>
          </cell>
        </row>
        <row r="5783">
          <cell r="G5783" t="str">
            <v>ASV10506</v>
          </cell>
          <cell r="H5783" t="str">
            <v>g__Sharpea</v>
          </cell>
          <cell r="I5783" t="str">
            <v>s__unclassified_g__Sharpea</v>
          </cell>
        </row>
        <row r="5784">
          <cell r="G5784" t="str">
            <v>ASV19178</v>
          </cell>
          <cell r="H5784" t="str">
            <v>g__unclassified_k__norank_d__Bacteria</v>
          </cell>
          <cell r="I5784" t="str">
            <v>s__unclassified_k__norank_d__Bacteria</v>
          </cell>
        </row>
        <row r="5785">
          <cell r="G5785" t="str">
            <v>ASV20611</v>
          </cell>
          <cell r="H5785" t="str">
            <v>g__unclassified_f__Ruminococcaceae</v>
          </cell>
          <cell r="I5785" t="str">
            <v>s__unclassified_f__Ruminococcaceae</v>
          </cell>
        </row>
        <row r="5786">
          <cell r="G5786" t="str">
            <v>ASV20613</v>
          </cell>
          <cell r="H5786" t="str">
            <v>g__unclassified_c__Clostridia</v>
          </cell>
          <cell r="I5786" t="str">
            <v>s__unclassified_c__Clostridia</v>
          </cell>
        </row>
        <row r="5787">
          <cell r="G5787" t="str">
            <v>ASV20222</v>
          </cell>
          <cell r="H5787" t="str">
            <v>g__Lactobacillus</v>
          </cell>
          <cell r="I5787" t="str">
            <v>s__unclassified_g__Lactobacillus</v>
          </cell>
        </row>
        <row r="5788">
          <cell r="G5788" t="str">
            <v>ASV464</v>
          </cell>
          <cell r="H5788" t="str">
            <v>g__unclassified_f__Oscillospiraceae</v>
          </cell>
          <cell r="I5788" t="str">
            <v>s__unclassified_f__Oscillospiraceae</v>
          </cell>
        </row>
        <row r="5789">
          <cell r="G5789" t="str">
            <v>ASV23086</v>
          </cell>
          <cell r="H5789" t="str">
            <v>g__Cloacibacillus</v>
          </cell>
          <cell r="I5789" t="str">
            <v>s__unclassified_g__Cloacibacillus</v>
          </cell>
        </row>
        <row r="5790">
          <cell r="G5790" t="str">
            <v>ASV20599</v>
          </cell>
          <cell r="H5790" t="str">
            <v>g__Lactobacillus</v>
          </cell>
          <cell r="I5790" t="str">
            <v>s__unclassified_g__Lactobacillus</v>
          </cell>
        </row>
        <row r="5791">
          <cell r="G5791" t="str">
            <v>ASV399</v>
          </cell>
          <cell r="H5791" t="str">
            <v>g__unclassified_f__Lachnospiraceae</v>
          </cell>
          <cell r="I5791" t="str">
            <v>s__unclassified_f__Lachnospiraceae</v>
          </cell>
        </row>
        <row r="5792">
          <cell r="G5792" t="str">
            <v>ASV19343</v>
          </cell>
          <cell r="H5792" t="str">
            <v>g__Subdoligranulum</v>
          </cell>
          <cell r="I5792" t="str">
            <v>s__uncultured_Subdoligranulum_sp.</v>
          </cell>
        </row>
        <row r="5793">
          <cell r="G5793" t="str">
            <v>ASV14007</v>
          </cell>
          <cell r="H5793" t="str">
            <v>g__unclassified_f__Lachnospiraceae</v>
          </cell>
          <cell r="I5793" t="str">
            <v>s__unclassified_f__Lachnospiraceae</v>
          </cell>
        </row>
        <row r="5794">
          <cell r="G5794" t="str">
            <v>ASV3878</v>
          </cell>
          <cell r="H5794" t="str">
            <v>g__unclassified_f__Peptostreptococcaceae</v>
          </cell>
          <cell r="I5794" t="str">
            <v>s__unclassified_f__Peptostreptococcaceae</v>
          </cell>
        </row>
        <row r="5795">
          <cell r="G5795" t="str">
            <v>ASV9244</v>
          </cell>
          <cell r="H5795" t="str">
            <v>g__unclassified_c__Clostridia</v>
          </cell>
          <cell r="I5795" t="str">
            <v>s__unclassified_c__Clostridia</v>
          </cell>
        </row>
        <row r="5796">
          <cell r="G5796" t="str">
            <v>ASV7034</v>
          </cell>
          <cell r="H5796" t="str">
            <v>g__unclassified_p__Firmicutes</v>
          </cell>
          <cell r="I5796" t="str">
            <v>s__unclassified_p__Firmicutes</v>
          </cell>
        </row>
        <row r="5797">
          <cell r="G5797" t="str">
            <v>ASV21951</v>
          </cell>
          <cell r="H5797" t="str">
            <v>g__Lachnospiraceae_NC2004_group</v>
          </cell>
          <cell r="I5797" t="str">
            <v>s__uncultured_bacterium_g__Lachnospiraceae_NC2004_group</v>
          </cell>
        </row>
        <row r="5798">
          <cell r="G5798" t="str">
            <v>ASV4600</v>
          </cell>
          <cell r="H5798" t="str">
            <v>g__Cloacibacillus</v>
          </cell>
          <cell r="I5798" t="str">
            <v>s__unclassified_g__Cloacibacillus</v>
          </cell>
        </row>
        <row r="5799">
          <cell r="G5799" t="str">
            <v>ASV20602</v>
          </cell>
          <cell r="H5799" t="str">
            <v>g__unclassified_c__Clostridia</v>
          </cell>
          <cell r="I5799" t="str">
            <v>s__unclassified_c__Clostridia</v>
          </cell>
        </row>
        <row r="5800">
          <cell r="G5800" t="str">
            <v>ASV20624</v>
          </cell>
          <cell r="H5800" t="str">
            <v>g__Ruminococcus</v>
          </cell>
          <cell r="I5800" t="str">
            <v>s__uncultured_bacterium_g__Ruminococcus</v>
          </cell>
        </row>
        <row r="5801">
          <cell r="G5801" t="str">
            <v>ASV10293</v>
          </cell>
          <cell r="H5801" t="str">
            <v>g__norank_f__Muribaculaceae</v>
          </cell>
          <cell r="I5801" t="str">
            <v>s__unclassified_g__norank_f__Muribaculaceae</v>
          </cell>
        </row>
        <row r="5802">
          <cell r="G5802" t="str">
            <v>ASV3881</v>
          </cell>
          <cell r="H5802" t="str">
            <v>g__unclassified_f__Lachnospiraceae</v>
          </cell>
          <cell r="I5802" t="str">
            <v>s__unclassified_f__Lachnospiraceae</v>
          </cell>
        </row>
        <row r="5803">
          <cell r="G5803" t="str">
            <v>ASV438</v>
          </cell>
          <cell r="H5803" t="str">
            <v>g__norank_f__UCG-010</v>
          </cell>
          <cell r="I5803" t="str">
            <v>s__unclassified_g__norank_f__UCG-010</v>
          </cell>
        </row>
        <row r="5804">
          <cell r="G5804" t="str">
            <v>ASV16946</v>
          </cell>
          <cell r="H5804" t="str">
            <v>g__Sutterella</v>
          </cell>
          <cell r="I5804" t="str">
            <v>s__unclassified_g__Sutterella</v>
          </cell>
        </row>
        <row r="5805">
          <cell r="G5805" t="str">
            <v>ASV449</v>
          </cell>
          <cell r="H5805" t="str">
            <v>g__Escherichia-Shigella</v>
          </cell>
          <cell r="I5805" t="str">
            <v>s__unclassified_g__Escherichia-Shigella</v>
          </cell>
        </row>
        <row r="5806">
          <cell r="G5806" t="str">
            <v>ASV420</v>
          </cell>
          <cell r="H5806" t="str">
            <v>g__unclassified_c__Clostridia</v>
          </cell>
          <cell r="I5806" t="str">
            <v>s__unclassified_c__Clostridia</v>
          </cell>
        </row>
        <row r="5807">
          <cell r="G5807" t="str">
            <v>ASV11340</v>
          </cell>
          <cell r="H5807" t="str">
            <v>g__norank_f__Eubacterium_coprostanoligenes_group</v>
          </cell>
          <cell r="I5807" t="str">
            <v>s__uncultured_bacterium_g__norank_f__Eubacterium_coprostanoligenes_group</v>
          </cell>
        </row>
        <row r="5808">
          <cell r="G5808" t="str">
            <v>ASV11044</v>
          </cell>
          <cell r="H5808" t="str">
            <v>g__Clostridium_sensu_stricto_1</v>
          </cell>
          <cell r="I5808" t="str">
            <v>s__unclassified_g__Clostridium_sensu_stricto_1</v>
          </cell>
        </row>
        <row r="5809">
          <cell r="G5809" t="str">
            <v>ASV17844</v>
          </cell>
          <cell r="H5809" t="str">
            <v>g__Eubacterium_oxidoreducens_group</v>
          </cell>
          <cell r="I5809" t="str">
            <v>s__uncultured_bacterium_g__Eubacterium_oxidoreducens_group</v>
          </cell>
        </row>
        <row r="5810">
          <cell r="G5810" t="str">
            <v>ASV9247</v>
          </cell>
          <cell r="H5810" t="str">
            <v>g__unclassified_p__Firmicutes</v>
          </cell>
          <cell r="I5810" t="str">
            <v>s__unclassified_p__Firmicutes</v>
          </cell>
        </row>
        <row r="5811">
          <cell r="G5811" t="str">
            <v>ASV9985</v>
          </cell>
          <cell r="H5811" t="str">
            <v>g__norank_f__Peptococcaceae</v>
          </cell>
          <cell r="I5811" t="str">
            <v>s__unclassified_g__norank_f__Peptococcaceae</v>
          </cell>
        </row>
        <row r="5812">
          <cell r="G5812" t="str">
            <v>ASV3890</v>
          </cell>
          <cell r="H5812" t="str">
            <v>g__unclassified_o__Oscillospirales</v>
          </cell>
          <cell r="I5812" t="str">
            <v>s__unclassified_o__Oscillospirales</v>
          </cell>
        </row>
        <row r="5813">
          <cell r="G5813" t="str">
            <v>ASV453</v>
          </cell>
          <cell r="H5813" t="str">
            <v>g__unclassified_f__Lachnospiraceae</v>
          </cell>
          <cell r="I5813" t="str">
            <v>s__unclassified_f__Lachnospiraceae</v>
          </cell>
        </row>
        <row r="5814">
          <cell r="G5814" t="str">
            <v>ASV15921</v>
          </cell>
          <cell r="H5814" t="str">
            <v>g__Fusobacterium</v>
          </cell>
          <cell r="I5814" t="str">
            <v>s__unclassified_g__Fusobacterium</v>
          </cell>
        </row>
        <row r="5815">
          <cell r="G5815" t="str">
            <v>ASV21991</v>
          </cell>
          <cell r="H5815" t="str">
            <v>g__unclassified_c__Clostridia</v>
          </cell>
          <cell r="I5815" t="str">
            <v>s__unclassified_c__Clostridia</v>
          </cell>
        </row>
        <row r="5816">
          <cell r="G5816" t="str">
            <v>ASV10507</v>
          </cell>
          <cell r="H5816" t="str">
            <v>g__unclassified_f__Lachnospiraceae</v>
          </cell>
          <cell r="I5816" t="str">
            <v>s__unclassified_f__Lachnospiraceae</v>
          </cell>
        </row>
        <row r="5817">
          <cell r="G5817" t="str">
            <v>ASV18537</v>
          </cell>
          <cell r="H5817" t="str">
            <v>g__Lactobacillus</v>
          </cell>
          <cell r="I5817" t="str">
            <v>s__unclassified_g__Lactobacillus</v>
          </cell>
        </row>
        <row r="5818">
          <cell r="G5818" t="str">
            <v>ASV14006</v>
          </cell>
          <cell r="H5818" t="str">
            <v>g__Howardella</v>
          </cell>
          <cell r="I5818" t="str">
            <v>s__unclassified_g__Howardella</v>
          </cell>
        </row>
        <row r="5819">
          <cell r="G5819" t="str">
            <v>ASV20608</v>
          </cell>
          <cell r="H5819" t="str">
            <v>g__Christensenellaceae_R-7_group</v>
          </cell>
          <cell r="I5819" t="str">
            <v>s__unclassified_g__Christensenellaceae_R-7_group</v>
          </cell>
        </row>
        <row r="5820">
          <cell r="G5820" t="str">
            <v>ASV5434</v>
          </cell>
          <cell r="H5820" t="str">
            <v>g__Treponema</v>
          </cell>
          <cell r="I5820" t="str">
            <v>s__uncultured_bacterium_g__Treponema</v>
          </cell>
        </row>
        <row r="5821">
          <cell r="G5821" t="str">
            <v>ASV5702</v>
          </cell>
          <cell r="H5821" t="str">
            <v>g__Bacteroides</v>
          </cell>
          <cell r="I5821" t="str">
            <v>s__unclassified_g__Bacteroides</v>
          </cell>
        </row>
        <row r="5822">
          <cell r="G5822" t="str">
            <v>ASV10515</v>
          </cell>
          <cell r="H5822" t="str">
            <v>g__unclassified_c__Clostridia</v>
          </cell>
          <cell r="I5822" t="str">
            <v>s__unclassified_c__Clostridia</v>
          </cell>
        </row>
        <row r="5823">
          <cell r="G5823" t="str">
            <v>ASV10501</v>
          </cell>
          <cell r="H5823" t="str">
            <v>g__unclassified_f__Ruminococcaceae</v>
          </cell>
          <cell r="I5823" t="str">
            <v>s__unclassified_f__Ruminococcaceae</v>
          </cell>
        </row>
        <row r="5824">
          <cell r="G5824" t="str">
            <v>ASV21980</v>
          </cell>
          <cell r="H5824" t="str">
            <v>g__Eubacterium_oxidoreducens_group</v>
          </cell>
          <cell r="I5824" t="str">
            <v>s__uncultured_bacterium_g__Eubacterium_oxidoreducens_group</v>
          </cell>
        </row>
        <row r="5825">
          <cell r="G5825" t="str">
            <v>ASV445</v>
          </cell>
          <cell r="H5825" t="str">
            <v>g__unclassified_p__Firmicutes</v>
          </cell>
          <cell r="I5825" t="str">
            <v>s__unclassified_p__Firmicutes</v>
          </cell>
        </row>
        <row r="5826">
          <cell r="G5826" t="str">
            <v>ASV21415</v>
          </cell>
          <cell r="H5826" t="str">
            <v>g__Escherichia-Shigella</v>
          </cell>
          <cell r="I5826" t="str">
            <v>s__unclassified_g__Escherichia-Shigella</v>
          </cell>
        </row>
        <row r="5827">
          <cell r="G5827" t="str">
            <v>ASV6591</v>
          </cell>
          <cell r="H5827" t="str">
            <v>g__Holdemanella</v>
          </cell>
          <cell r="I5827" t="str">
            <v>s__unclassified_g__Holdemanella</v>
          </cell>
        </row>
        <row r="5828">
          <cell r="G5828" t="str">
            <v>ASV7592</v>
          </cell>
          <cell r="H5828" t="str">
            <v>g__unclassified_f__Peptostreptococcaceae</v>
          </cell>
          <cell r="I5828" t="str">
            <v>s__unclassified_f__Peptostreptococcaceae</v>
          </cell>
        </row>
        <row r="5829">
          <cell r="G5829" t="str">
            <v>ASV19329</v>
          </cell>
          <cell r="H5829" t="str">
            <v>g__Prevotella</v>
          </cell>
          <cell r="I5829" t="str">
            <v>s__unclassified_g__Prevotella</v>
          </cell>
        </row>
        <row r="5830">
          <cell r="G5830" t="str">
            <v>ASV18536</v>
          </cell>
          <cell r="H5830" t="str">
            <v>g__unclassified_f__Veillonellaceae</v>
          </cell>
          <cell r="I5830" t="str">
            <v>s__unclassified_f__Veillonellaceae</v>
          </cell>
        </row>
        <row r="5831">
          <cell r="G5831" t="str">
            <v>ASV4642</v>
          </cell>
          <cell r="H5831" t="str">
            <v>g__unclassified_f__Oscillospiraceae</v>
          </cell>
          <cell r="I5831" t="str">
            <v>s__unclassified_f__Oscillospiraceae</v>
          </cell>
        </row>
        <row r="5832">
          <cell r="G5832" t="str">
            <v>ASV23920</v>
          </cell>
          <cell r="H5832" t="str">
            <v>g__Lactobacillus</v>
          </cell>
          <cell r="I5832" t="str">
            <v>s__unclassified_g__Lactobacillus</v>
          </cell>
        </row>
        <row r="5833">
          <cell r="G5833" t="str">
            <v>ASV13314</v>
          </cell>
          <cell r="H5833" t="str">
            <v>g__Parabacteroides</v>
          </cell>
          <cell r="I5833" t="str">
            <v>s__Porphyromonadaceae_bacterium_DJF_B175</v>
          </cell>
        </row>
        <row r="5834">
          <cell r="G5834" t="str">
            <v>ASV3150</v>
          </cell>
          <cell r="H5834" t="str">
            <v>g__Lachnospiraceae_UCG-004</v>
          </cell>
          <cell r="I5834" t="str">
            <v>s__uncultured_bacterium_g__Lachnospiraceae_UCG-004</v>
          </cell>
        </row>
        <row r="5835">
          <cell r="G5835" t="str">
            <v>ASV10061</v>
          </cell>
          <cell r="H5835" t="str">
            <v>g__Parabacteroides</v>
          </cell>
          <cell r="I5835" t="str">
            <v>s__Porphyromonadaceae_bacterium_DJF_B175</v>
          </cell>
        </row>
        <row r="5836">
          <cell r="G5836" t="str">
            <v>ASV426</v>
          </cell>
          <cell r="H5836" t="str">
            <v>g__Intestinimonas</v>
          </cell>
          <cell r="I5836" t="str">
            <v>s__unclassified_g__Intestinimonas</v>
          </cell>
        </row>
        <row r="5837">
          <cell r="G5837" t="str">
            <v>ASV1612</v>
          </cell>
          <cell r="H5837" t="str">
            <v>g__Veillonella</v>
          </cell>
          <cell r="I5837" t="str">
            <v>s__unclassified_g__Veillonella</v>
          </cell>
        </row>
        <row r="5838">
          <cell r="G5838" t="str">
            <v>ASV3883</v>
          </cell>
          <cell r="H5838" t="str">
            <v>g__Enterococcus</v>
          </cell>
          <cell r="I5838" t="str">
            <v>s__unclassified_g__Enterococcus</v>
          </cell>
        </row>
        <row r="5839">
          <cell r="G5839" t="str">
            <v>ASV2000</v>
          </cell>
          <cell r="H5839" t="str">
            <v>g__norank_f__Lachnospiraceae</v>
          </cell>
          <cell r="I5839" t="str">
            <v>s__uncultured_organism_g__norank_f__Lachnospiraceae</v>
          </cell>
        </row>
        <row r="5840">
          <cell r="G5840" t="str">
            <v>ASV398</v>
          </cell>
          <cell r="H5840" t="str">
            <v>g__norank_f__norank_o__Clostridia_vadinBB60_group</v>
          </cell>
          <cell r="I5840" t="str">
            <v>s__uncultured_bacterium_g__norank_f__norank_o__Clostridia_vadinBB60_group</v>
          </cell>
        </row>
        <row r="5841">
          <cell r="G5841" t="str">
            <v>ASV11361</v>
          </cell>
          <cell r="H5841" t="str">
            <v>g__norank_f__Eubacterium_coprostanoligenes_group</v>
          </cell>
          <cell r="I5841" t="str">
            <v>s__unclassified_g__norank_f__Eubacterium_coprostanoligenes_group</v>
          </cell>
        </row>
        <row r="5842">
          <cell r="G5842" t="str">
            <v>ASV13312</v>
          </cell>
          <cell r="H5842" t="str">
            <v>g__unclassified_o__Oscillospirales</v>
          </cell>
          <cell r="I5842" t="str">
            <v>s__unclassified_o__Oscillospirales</v>
          </cell>
        </row>
        <row r="5843">
          <cell r="G5843" t="str">
            <v>ASV21950</v>
          </cell>
          <cell r="H5843" t="str">
            <v>g__norank_f__Eubacterium_coprostanoligenes_group</v>
          </cell>
          <cell r="I5843" t="str">
            <v>s__unclassified_g__norank_f__Eubacterium_coprostanoligenes_group</v>
          </cell>
        </row>
        <row r="5844">
          <cell r="G5844" t="str">
            <v>ASV24112</v>
          </cell>
          <cell r="H5844" t="str">
            <v>g__unclassified_p__Firmicutes</v>
          </cell>
          <cell r="I5844" t="str">
            <v>s__unclassified_p__Firmicutes</v>
          </cell>
        </row>
        <row r="5845">
          <cell r="G5845" t="str">
            <v>ASV23119</v>
          </cell>
          <cell r="H5845" t="str">
            <v>g__Streptococcus</v>
          </cell>
          <cell r="I5845" t="str">
            <v>s__unclassified_g__Streptococcus</v>
          </cell>
        </row>
        <row r="5846">
          <cell r="G5846" t="str">
            <v>ASV20424</v>
          </cell>
          <cell r="H5846" t="str">
            <v>g__Patulibacter</v>
          </cell>
          <cell r="I5846" t="str">
            <v>s__Patulibacter_minatonensis</v>
          </cell>
        </row>
        <row r="5847">
          <cell r="G5847" t="str">
            <v>ASV5713</v>
          </cell>
          <cell r="H5847" t="str">
            <v>g__unclassified_f__Lachnospiraceae</v>
          </cell>
          <cell r="I5847" t="str">
            <v>s__unclassified_f__Lachnospiraceae</v>
          </cell>
        </row>
        <row r="5848">
          <cell r="G5848" t="str">
            <v>ASV18828</v>
          </cell>
          <cell r="H5848" t="str">
            <v>g__unclassified_f__Lachnospiraceae</v>
          </cell>
          <cell r="I5848" t="str">
            <v>s__unclassified_f__Lachnospiraceae</v>
          </cell>
        </row>
        <row r="5849">
          <cell r="G5849" t="str">
            <v>ASV461</v>
          </cell>
          <cell r="H5849" t="str">
            <v>g__UCG-002</v>
          </cell>
          <cell r="I5849" t="str">
            <v>s__unclassified_g__UCG-002</v>
          </cell>
        </row>
        <row r="5850">
          <cell r="G5850" t="str">
            <v>ASV10487</v>
          </cell>
          <cell r="H5850" t="str">
            <v>g__Peptococcus</v>
          </cell>
          <cell r="I5850" t="str">
            <v>s__uncultured_bacterium_g__Peptococcus</v>
          </cell>
        </row>
        <row r="5851">
          <cell r="G5851" t="str">
            <v>ASV9263</v>
          </cell>
          <cell r="H5851" t="str">
            <v>g__Eubacterium_oxidoreducens_group</v>
          </cell>
          <cell r="I5851" t="str">
            <v>s__uncultured_bacterium_g__Eubacterium_oxidoreducens_group</v>
          </cell>
        </row>
        <row r="5852">
          <cell r="G5852" t="str">
            <v>ASV21983</v>
          </cell>
          <cell r="H5852" t="str">
            <v>g__norank_f__Ruminococcaceae</v>
          </cell>
          <cell r="I5852" t="str">
            <v>s__unclassified_g__norank_f__Ruminococcaceae</v>
          </cell>
        </row>
        <row r="5853">
          <cell r="G5853" t="str">
            <v>ASV469</v>
          </cell>
          <cell r="H5853" t="str">
            <v>g__unclassified_c__Clostridia</v>
          </cell>
          <cell r="I5853" t="str">
            <v>s__unclassified_c__Clostridia</v>
          </cell>
        </row>
        <row r="5854">
          <cell r="G5854" t="str">
            <v>ASV23084</v>
          </cell>
          <cell r="H5854" t="str">
            <v>g__unclassified_p__Firmicutes</v>
          </cell>
          <cell r="I5854" t="str">
            <v>s__unclassified_p__Firmicutes</v>
          </cell>
        </row>
        <row r="5855">
          <cell r="G5855" t="str">
            <v>ASV8456</v>
          </cell>
          <cell r="H5855" t="str">
            <v>g__Lactobacillus</v>
          </cell>
          <cell r="I5855" t="str">
            <v>s__unclassified_g__Lactobacillus</v>
          </cell>
        </row>
        <row r="5856">
          <cell r="G5856" t="str">
            <v>ASV9256</v>
          </cell>
          <cell r="H5856" t="str">
            <v>g__unclassified_p__Firmicutes</v>
          </cell>
          <cell r="I5856" t="str">
            <v>s__unclassified_p__Firmicutes</v>
          </cell>
        </row>
        <row r="5857">
          <cell r="G5857" t="str">
            <v>ASV9242</v>
          </cell>
          <cell r="H5857" t="str">
            <v>g__Lactobacillus</v>
          </cell>
          <cell r="I5857" t="str">
            <v>s__unclassified_g__Lactobacillus</v>
          </cell>
        </row>
        <row r="5858">
          <cell r="G5858" t="str">
            <v>ASV13310</v>
          </cell>
          <cell r="H5858" t="str">
            <v>g__Rikenellaceae_RC9_gut_group</v>
          </cell>
          <cell r="I5858" t="str">
            <v>s__uncultured_bacterium_g__Rikenellaceae_RC9_gut_group</v>
          </cell>
        </row>
        <row r="5859">
          <cell r="G5859" t="str">
            <v>ASV14048</v>
          </cell>
          <cell r="H5859" t="str">
            <v>g__Lactobacillus</v>
          </cell>
          <cell r="I5859" t="str">
            <v>s__unclassified_g__Lactobacillus</v>
          </cell>
        </row>
        <row r="5860">
          <cell r="G5860" t="str">
            <v>ASV23094</v>
          </cell>
          <cell r="H5860" t="str">
            <v>g__norank_f__Peptostreptococcaceae</v>
          </cell>
          <cell r="I5860" t="str">
            <v>s__unclassified_g__norank_f__Peptostreptococcaceae</v>
          </cell>
        </row>
        <row r="5861">
          <cell r="G5861" t="str">
            <v>ASV23090</v>
          </cell>
          <cell r="H5861" t="str">
            <v>g__unclassified_c__Clostridia</v>
          </cell>
          <cell r="I5861" t="str">
            <v>s__unclassified_c__Clostridia</v>
          </cell>
        </row>
        <row r="5862">
          <cell r="G5862" t="str">
            <v>ASV14000</v>
          </cell>
          <cell r="H5862" t="str">
            <v>g__unclassified_c__Clostridia</v>
          </cell>
          <cell r="I5862" t="str">
            <v>s__unclassified_c__Clostridia</v>
          </cell>
        </row>
        <row r="5863">
          <cell r="G5863" t="str">
            <v>ASV14028</v>
          </cell>
          <cell r="H5863" t="str">
            <v>g__unclassified_k__norank_d__Bacteria</v>
          </cell>
          <cell r="I5863" t="str">
            <v>s__unclassified_k__norank_d__Bacteria</v>
          </cell>
        </row>
        <row r="5864">
          <cell r="G5864" t="str">
            <v>ASV20227</v>
          </cell>
          <cell r="H5864" t="str">
            <v>g__Fusobacterium</v>
          </cell>
          <cell r="I5864" t="str">
            <v>s__unclassified_g__Fusobacterium</v>
          </cell>
        </row>
        <row r="5865">
          <cell r="G5865" t="str">
            <v>ASV17858</v>
          </cell>
          <cell r="H5865" t="str">
            <v>g__unclassified_o__Oscillospirales</v>
          </cell>
          <cell r="I5865" t="str">
            <v>s__unclassified_o__Oscillospirales</v>
          </cell>
        </row>
        <row r="5866">
          <cell r="G5866" t="str">
            <v>ASV17467</v>
          </cell>
          <cell r="H5866" t="str">
            <v>g__Collinsella</v>
          </cell>
          <cell r="I5866" t="str">
            <v>s__unclassified_g__Collinsella</v>
          </cell>
        </row>
        <row r="5867">
          <cell r="G5867" t="str">
            <v>ASV23919</v>
          </cell>
          <cell r="H5867" t="str">
            <v>g__unclassified_c__Bacilli</v>
          </cell>
          <cell r="I5867" t="str">
            <v>s__unclassified_c__Bacilli</v>
          </cell>
        </row>
        <row r="5868">
          <cell r="G5868" t="str">
            <v>ASV11317</v>
          </cell>
          <cell r="H5868" t="str">
            <v>g__unclassified_f__Lachnospiraceae</v>
          </cell>
          <cell r="I5868" t="str">
            <v>s__unclassified_f__Lachnospiraceae</v>
          </cell>
        </row>
        <row r="5869">
          <cell r="G5869" t="str">
            <v>ASV23100</v>
          </cell>
          <cell r="H5869" t="str">
            <v>g__unclassified_f__Peptostreptococcaceae</v>
          </cell>
          <cell r="I5869" t="str">
            <v>s__unclassified_f__Peptostreptococcaceae</v>
          </cell>
        </row>
        <row r="5870">
          <cell r="G5870" t="str">
            <v>ASV23117</v>
          </cell>
          <cell r="H5870" t="str">
            <v>g__Bifidobacterium</v>
          </cell>
          <cell r="I5870" t="str">
            <v>s__unclassified_g__Bifidobacterium</v>
          </cell>
        </row>
        <row r="5871">
          <cell r="G5871" t="str">
            <v>ASV21965</v>
          </cell>
          <cell r="H5871" t="str">
            <v>g__Parabacteroides</v>
          </cell>
          <cell r="I5871" t="str">
            <v>s__Porphyromonadaceae_bacterium_DJF_B175</v>
          </cell>
        </row>
        <row r="5872">
          <cell r="G5872" t="str">
            <v>ASV20623</v>
          </cell>
          <cell r="H5872" t="str">
            <v>g__unclassified_c__Clostridia</v>
          </cell>
          <cell r="I5872" t="str">
            <v>s__unclassified_c__Clostridia</v>
          </cell>
        </row>
        <row r="5873">
          <cell r="G5873" t="str">
            <v>ASV10294</v>
          </cell>
          <cell r="H5873" t="str">
            <v>g__Lactobacillus</v>
          </cell>
          <cell r="I5873" t="str">
            <v>s__unclassified_g__Lactobacillus</v>
          </cell>
        </row>
        <row r="5874">
          <cell r="G5874" t="str">
            <v>ASV3444</v>
          </cell>
          <cell r="H5874" t="str">
            <v>g__Lactobacillus</v>
          </cell>
          <cell r="I5874" t="str">
            <v>s__unclassified_g__Lactobacillus</v>
          </cell>
        </row>
        <row r="5875">
          <cell r="G5875" t="str">
            <v>ASV11351</v>
          </cell>
          <cell r="H5875" t="str">
            <v>g__Megasphaera</v>
          </cell>
          <cell r="I5875" t="str">
            <v>s__unclassified_g__Megasphaera</v>
          </cell>
        </row>
        <row r="5876">
          <cell r="G5876" t="str">
            <v>ASV18827</v>
          </cell>
          <cell r="H5876" t="str">
            <v>g__unclassified_c__Clostridia</v>
          </cell>
          <cell r="I5876" t="str">
            <v>s__unclassified_c__Clostridia</v>
          </cell>
        </row>
        <row r="5877">
          <cell r="G5877" t="str">
            <v>ASV12593</v>
          </cell>
          <cell r="H5877" t="str">
            <v>g__Prevotellaceae_UCG-003</v>
          </cell>
          <cell r="I5877" t="str">
            <v>s__uncultured_bacterium_g__Prevotellaceae_UCG-003</v>
          </cell>
        </row>
        <row r="5878">
          <cell r="G5878" t="str">
            <v>ASV10494</v>
          </cell>
          <cell r="H5878" t="str">
            <v>g__unclassified_f__Lachnospiraceae</v>
          </cell>
          <cell r="I5878" t="str">
            <v>s__unclassified_f__Lachnospiraceae</v>
          </cell>
        </row>
        <row r="5879">
          <cell r="G5879" t="str">
            <v>ASV3872</v>
          </cell>
          <cell r="H5879" t="str">
            <v>g__unclassified_k__norank_d__Bacteria</v>
          </cell>
          <cell r="I5879" t="str">
            <v>s__unclassified_k__norank_d__Bacteria</v>
          </cell>
        </row>
        <row r="5880">
          <cell r="G5880" t="str">
            <v>ASV24104</v>
          </cell>
          <cell r="H5880" t="str">
            <v>g__unclassified_c__Clostridia</v>
          </cell>
          <cell r="I5880" t="str">
            <v>s__unclassified_c__Clostridia</v>
          </cell>
        </row>
        <row r="5881">
          <cell r="G5881" t="str">
            <v>ASV3869</v>
          </cell>
          <cell r="H5881" t="str">
            <v>g__unclassified_f__Peptostreptococcaceae</v>
          </cell>
          <cell r="I5881" t="str">
            <v>s__unclassified_f__Peptostreptococcaceae</v>
          </cell>
        </row>
        <row r="5882">
          <cell r="G5882" t="str">
            <v>ASV19350</v>
          </cell>
          <cell r="H5882" t="str">
            <v>g__unclassified_f__Lachnospiraceae</v>
          </cell>
          <cell r="I5882" t="str">
            <v>s__unclassified_f__Lachnospiraceae</v>
          </cell>
        </row>
        <row r="5883">
          <cell r="G5883" t="str">
            <v>ASV5703</v>
          </cell>
          <cell r="H5883" t="str">
            <v>g__unclassified_k__norank_d__Bacteria</v>
          </cell>
          <cell r="I5883" t="str">
            <v>s__unclassified_k__norank_d__Bacteria</v>
          </cell>
        </row>
        <row r="5884">
          <cell r="G5884" t="str">
            <v>ASV13173</v>
          </cell>
          <cell r="H5884" t="str">
            <v>g__norank_f__norank_o__WCHB1-41</v>
          </cell>
          <cell r="I5884" t="str">
            <v>s__uncultured_bacterium_g__norank_f__norank_o__WCHB1-41</v>
          </cell>
        </row>
        <row r="5885">
          <cell r="G5885" t="str">
            <v>ASV2016</v>
          </cell>
          <cell r="H5885" t="str">
            <v>g__Lactobacillus</v>
          </cell>
          <cell r="I5885" t="str">
            <v>s__unclassified_g__Lactobacillus</v>
          </cell>
        </row>
        <row r="5886">
          <cell r="G5886" t="str">
            <v>ASV17595</v>
          </cell>
          <cell r="H5886" t="str">
            <v>g__unclassified_c__Bacilli</v>
          </cell>
          <cell r="I5886" t="str">
            <v>s__unclassified_c__Bacilli</v>
          </cell>
        </row>
        <row r="5887">
          <cell r="G5887" t="str">
            <v>ASV21182</v>
          </cell>
          <cell r="H5887" t="str">
            <v>g__UCG-003</v>
          </cell>
          <cell r="I5887" t="str">
            <v>s__unclassified_g__UCG-003</v>
          </cell>
        </row>
        <row r="5888">
          <cell r="G5888" t="str">
            <v>ASV2013</v>
          </cell>
          <cell r="H5888" t="str">
            <v>g__unclassified_f__Oscillospiraceae</v>
          </cell>
          <cell r="I5888" t="str">
            <v>s__unclassified_f__Oscillospiraceae</v>
          </cell>
        </row>
        <row r="5889">
          <cell r="G5889" t="str">
            <v>ASV4616</v>
          </cell>
          <cell r="H5889" t="str">
            <v>g__unclassified_p__Firmicutes</v>
          </cell>
          <cell r="I5889" t="str">
            <v>s__unclassified_p__Firmicutes</v>
          </cell>
        </row>
        <row r="5890">
          <cell r="G5890" t="str">
            <v>ASV21578</v>
          </cell>
          <cell r="H5890" t="str">
            <v>g__Prevotella</v>
          </cell>
          <cell r="I5890" t="str">
            <v>s__unclassified_g__Prevotella</v>
          </cell>
        </row>
        <row r="5891">
          <cell r="G5891" t="str">
            <v>ASV21954</v>
          </cell>
          <cell r="H5891" t="str">
            <v>g__Eubacterium_oxidoreducens_group</v>
          </cell>
          <cell r="I5891" t="str">
            <v>s__uncultured_bacterium_g__Eubacterium_oxidoreducens_group</v>
          </cell>
        </row>
        <row r="5892">
          <cell r="G5892" t="str">
            <v>ASV10510</v>
          </cell>
          <cell r="H5892" t="str">
            <v>g__unclassified_f__Lachnospiraceae</v>
          </cell>
          <cell r="I5892" t="str">
            <v>s__unclassified_f__Lachnospiraceae</v>
          </cell>
        </row>
        <row r="5893">
          <cell r="G5893" t="str">
            <v>ASV17860</v>
          </cell>
          <cell r="H5893" t="str">
            <v>g__norank_f__Eubacterium_coprostanoligenes_group</v>
          </cell>
          <cell r="I5893" t="str">
            <v>s__unclassified_g__norank_f__Eubacterium_coprostanoligenes_group</v>
          </cell>
        </row>
        <row r="5894">
          <cell r="G5894" t="str">
            <v>ASV12600</v>
          </cell>
          <cell r="H5894" t="str">
            <v>g__Eubacterium_oxidoreducens_group</v>
          </cell>
          <cell r="I5894" t="str">
            <v>s__uncultured_bacterium_g__Eubacterium_oxidoreducens_group</v>
          </cell>
        </row>
        <row r="5895">
          <cell r="G5895" t="str">
            <v>ASV3904</v>
          </cell>
          <cell r="H5895" t="str">
            <v>g__Eubacterium_oxidoreducens_group</v>
          </cell>
          <cell r="I5895" t="str">
            <v>s__uncultured_bacterium_g__Eubacterium_oxidoreducens_group</v>
          </cell>
        </row>
        <row r="5896">
          <cell r="G5896" t="str">
            <v>ASV8786</v>
          </cell>
          <cell r="H5896" t="str">
            <v>g__Lactobacillus</v>
          </cell>
          <cell r="I5896" t="str">
            <v>s__unclassified_g__Lactobacillus</v>
          </cell>
        </row>
        <row r="5897">
          <cell r="G5897" t="str">
            <v>ASV19322</v>
          </cell>
          <cell r="H5897" t="str">
            <v>g__Lactobacillus</v>
          </cell>
          <cell r="I5897" t="str">
            <v>s__unclassified_g__Lactobacillus</v>
          </cell>
        </row>
        <row r="5898">
          <cell r="G5898" t="str">
            <v>ASV9253</v>
          </cell>
          <cell r="H5898" t="str">
            <v>g__Escherichia-Shigella</v>
          </cell>
          <cell r="I5898" t="str">
            <v>s__unclassified_g__Escherichia-Shigella</v>
          </cell>
        </row>
        <row r="5899">
          <cell r="G5899" t="str">
            <v>ASV20415</v>
          </cell>
          <cell r="H5899" t="str">
            <v>g__Pedobacter</v>
          </cell>
          <cell r="I5899" t="str">
            <v>s__Pedobacter_sp._HME6451</v>
          </cell>
        </row>
        <row r="5900">
          <cell r="G5900" t="str">
            <v>ASV14041</v>
          </cell>
          <cell r="H5900" t="str">
            <v>g__unclassified_o__Peptostreptococcales-Tissierellales</v>
          </cell>
          <cell r="I5900" t="str">
            <v>s__unclassified_o__Peptostreptococcales-Tissierellales</v>
          </cell>
        </row>
        <row r="5901">
          <cell r="G5901" t="str">
            <v>ASV12591</v>
          </cell>
          <cell r="H5901" t="str">
            <v>g__Actinomyces</v>
          </cell>
          <cell r="I5901" t="str">
            <v>s__unclassified_g__Actinomyces</v>
          </cell>
        </row>
        <row r="5902">
          <cell r="G5902" t="str">
            <v>ASV23925</v>
          </cell>
          <cell r="H5902" t="str">
            <v>g__unclassified_p__Firmicutes</v>
          </cell>
          <cell r="I5902" t="str">
            <v>s__unclassified_p__Firmicutes</v>
          </cell>
        </row>
        <row r="5903">
          <cell r="G5903" t="str">
            <v>ASV19348</v>
          </cell>
          <cell r="H5903" t="str">
            <v>g__unclassified_f__Prevotellaceae</v>
          </cell>
          <cell r="I5903" t="str">
            <v>s__unclassified_f__Prevotellaceae</v>
          </cell>
        </row>
        <row r="5904">
          <cell r="G5904" t="str">
            <v>ASV19157</v>
          </cell>
          <cell r="H5904" t="str">
            <v>g__norank_f__norank_o__mle1-27</v>
          </cell>
          <cell r="I5904" t="str">
            <v>s__unclassified_g__norank_f__norank_o__mle1-27</v>
          </cell>
        </row>
        <row r="5905">
          <cell r="G5905" t="str">
            <v>ASV12608</v>
          </cell>
          <cell r="H5905" t="str">
            <v>g__Christensenellaceae_R-7_group</v>
          </cell>
          <cell r="I5905" t="str">
            <v>s__unclassified_g__Christensenellaceae_R-7_group</v>
          </cell>
        </row>
        <row r="5906">
          <cell r="G5906" t="str">
            <v>ASV11342</v>
          </cell>
          <cell r="H5906" t="str">
            <v>g__unclassified_o__Oscillospirales</v>
          </cell>
          <cell r="I5906" t="str">
            <v>s__unclassified_o__Oscillospirales</v>
          </cell>
        </row>
        <row r="5907">
          <cell r="G5907" t="str">
            <v>ASV23110</v>
          </cell>
          <cell r="H5907" t="str">
            <v>g__Collinsella</v>
          </cell>
          <cell r="I5907" t="str">
            <v>s__unclassified_g__Collinsella</v>
          </cell>
        </row>
        <row r="5908">
          <cell r="G5908" t="str">
            <v>ASV4629</v>
          </cell>
          <cell r="H5908" t="str">
            <v>g__Ruminococcus</v>
          </cell>
          <cell r="I5908" t="str">
            <v>s__unclassified_g__Ruminococcus</v>
          </cell>
        </row>
        <row r="5909">
          <cell r="G5909" t="str">
            <v>ASV7605</v>
          </cell>
          <cell r="H5909" t="str">
            <v>g__Streptococcus</v>
          </cell>
          <cell r="I5909" t="str">
            <v>s__unclassified_g__Streptococcus</v>
          </cell>
        </row>
        <row r="5910">
          <cell r="G5910" t="str">
            <v>ASV17470</v>
          </cell>
          <cell r="H5910" t="str">
            <v>g__unclassified_k__norank_d__Bacteria</v>
          </cell>
          <cell r="I5910" t="str">
            <v>s__unclassified_k__norank_d__Bacteria</v>
          </cell>
        </row>
        <row r="5911">
          <cell r="G5911" t="str">
            <v>ASV21966</v>
          </cell>
          <cell r="H5911" t="str">
            <v>g__Lactobacillus</v>
          </cell>
          <cell r="I5911" t="str">
            <v>s__unclassified_g__Lactobacillus</v>
          </cell>
        </row>
        <row r="5912">
          <cell r="G5912" t="str">
            <v>ASV3148</v>
          </cell>
          <cell r="H5912" t="str">
            <v>g__Streptococcus</v>
          </cell>
          <cell r="I5912" t="str">
            <v>s__unclassified_g__Streptococcus</v>
          </cell>
        </row>
        <row r="5913">
          <cell r="G5913" t="str">
            <v>ASV20596</v>
          </cell>
          <cell r="H5913" t="str">
            <v>g__unclassified_f__Lachnospiraceae</v>
          </cell>
          <cell r="I5913" t="str">
            <v>s__unclassified_f__Lachnospiraceae</v>
          </cell>
        </row>
        <row r="5914">
          <cell r="G5914" t="str">
            <v>ASV6496</v>
          </cell>
          <cell r="H5914" t="str">
            <v>g__SM1A02</v>
          </cell>
          <cell r="I5914" t="str">
            <v>s__uncultured_bacterium_g__SM1A02</v>
          </cell>
        </row>
        <row r="5915">
          <cell r="G5915" t="str">
            <v>ASV19349</v>
          </cell>
          <cell r="H5915" t="str">
            <v>g__unclassified_f__Lachnospiraceae</v>
          </cell>
          <cell r="I5915" t="str">
            <v>s__unclassified_f__Lachnospiraceae</v>
          </cell>
        </row>
        <row r="5916">
          <cell r="G5916" t="str">
            <v>ASV21184</v>
          </cell>
          <cell r="H5916" t="str">
            <v>g__Mogibacterium</v>
          </cell>
          <cell r="I5916" t="str">
            <v>s__uncultured_bacterium_g__Mogibacterium</v>
          </cell>
        </row>
        <row r="5917">
          <cell r="G5917" t="str">
            <v>ASV10513</v>
          </cell>
          <cell r="H5917" t="str">
            <v>g__UCG-002</v>
          </cell>
          <cell r="I5917" t="str">
            <v>s__uncultured_bacterium_g__UCG-002</v>
          </cell>
        </row>
        <row r="5918">
          <cell r="G5918" t="str">
            <v>ASV16175</v>
          </cell>
          <cell r="H5918" t="str">
            <v>g__unclassified_o__Lactobacillales</v>
          </cell>
          <cell r="I5918" t="str">
            <v>s__unclassified_o__Lactobacillales</v>
          </cell>
        </row>
        <row r="5919">
          <cell r="G5919" t="str">
            <v>ASV3152</v>
          </cell>
          <cell r="H5919" t="str">
            <v>g__Ruminococcus_torques_group</v>
          </cell>
          <cell r="I5919" t="str">
            <v>s__unclassified_g__Ruminococcus_torques_group</v>
          </cell>
        </row>
        <row r="5920">
          <cell r="G5920" t="str">
            <v>ASV12603</v>
          </cell>
          <cell r="H5920" t="str">
            <v>g__unclassified_f__Lachnospiraceae</v>
          </cell>
          <cell r="I5920" t="str">
            <v>s__unclassified_f__Lachnospiraceae</v>
          </cell>
        </row>
        <row r="5921">
          <cell r="G5921" t="str">
            <v>ASV17825</v>
          </cell>
          <cell r="H5921" t="str">
            <v>g__UCG-002</v>
          </cell>
          <cell r="I5921" t="str">
            <v>s__uncultured_bacterium_g__UCG-002</v>
          </cell>
        </row>
        <row r="5922">
          <cell r="G5922" t="str">
            <v>ASV11348</v>
          </cell>
          <cell r="H5922" t="str">
            <v>g__Clostridium_sensu_stricto_1</v>
          </cell>
          <cell r="I5922" t="str">
            <v>s__unclassified_g__Clostridium_sensu_stricto_1</v>
          </cell>
        </row>
        <row r="5923">
          <cell r="G5923" t="str">
            <v>ASV23114</v>
          </cell>
          <cell r="H5923" t="str">
            <v>g__Peptococcus</v>
          </cell>
          <cell r="I5923" t="str">
            <v>s__uncultured_bacterium_g__Peptococcus</v>
          </cell>
        </row>
        <row r="5924">
          <cell r="G5924" t="str">
            <v>ASV23083</v>
          </cell>
          <cell r="H5924" t="str">
            <v>g__unclassified_f__Rikenellaceae</v>
          </cell>
          <cell r="I5924" t="str">
            <v>s__unclassified_f__Rikenellaceae</v>
          </cell>
        </row>
        <row r="5925">
          <cell r="G5925" t="str">
            <v>ASV21178</v>
          </cell>
          <cell r="H5925" t="str">
            <v>g__Megasphaera</v>
          </cell>
          <cell r="I5925" t="str">
            <v>s__unclassified_g__Megasphaera</v>
          </cell>
        </row>
        <row r="5926">
          <cell r="G5926" t="str">
            <v>ASV14052</v>
          </cell>
          <cell r="H5926" t="str">
            <v>g__UCG-005</v>
          </cell>
          <cell r="I5926" t="str">
            <v>s__unclassified_g__UCG-005</v>
          </cell>
        </row>
        <row r="5927">
          <cell r="G5927" t="str">
            <v>ASV7585</v>
          </cell>
          <cell r="H5927" t="str">
            <v>g__unclassified_c__Clostridia</v>
          </cell>
          <cell r="I5927" t="str">
            <v>s__unclassified_c__Clostridia</v>
          </cell>
        </row>
        <row r="5928">
          <cell r="G5928" t="str">
            <v>ASV2027</v>
          </cell>
          <cell r="H5928" t="str">
            <v>g__unclassified_f__Lachnospiraceae</v>
          </cell>
          <cell r="I5928" t="str">
            <v>s__unclassified_f__Lachnospiraceae</v>
          </cell>
        </row>
        <row r="5929">
          <cell r="G5929" t="str">
            <v>ASV17815</v>
          </cell>
          <cell r="H5929" t="str">
            <v>g__Helicobacter</v>
          </cell>
          <cell r="I5929" t="str">
            <v>s__unclassified_g__Helicobacter</v>
          </cell>
        </row>
        <row r="5930">
          <cell r="G5930" t="str">
            <v>ASV4625</v>
          </cell>
          <cell r="H5930" t="str">
            <v>g__norank_f__UCG-011</v>
          </cell>
          <cell r="I5930" t="str">
            <v>s__uncultured_bacterium_g__norank_f__UCG-011</v>
          </cell>
        </row>
        <row r="5931">
          <cell r="G5931" t="str">
            <v>ASV5667</v>
          </cell>
          <cell r="H5931" t="str">
            <v>g__CAG-873</v>
          </cell>
          <cell r="I5931" t="str">
            <v>s__Bacteroidales_bacterium_H4</v>
          </cell>
        </row>
        <row r="5932">
          <cell r="G5932" t="str">
            <v>ASV7572</v>
          </cell>
          <cell r="H5932" t="str">
            <v>g__unclassified_c__Clostridia</v>
          </cell>
          <cell r="I5932" t="str">
            <v>s__unclassified_c__Clostridia</v>
          </cell>
        </row>
        <row r="5933">
          <cell r="G5933" t="str">
            <v>ASV10166</v>
          </cell>
          <cell r="H5933" t="str">
            <v>g__unclassified_f__Lachnospiraceae</v>
          </cell>
          <cell r="I5933" t="str">
            <v>s__unclassified_f__Lachnospiraceae</v>
          </cell>
        </row>
        <row r="5934">
          <cell r="G5934" t="str">
            <v>ASV8830</v>
          </cell>
          <cell r="H5934" t="str">
            <v>g__Bacteroides</v>
          </cell>
          <cell r="I5934" t="str">
            <v>s__unclassified_g__Bacteroides</v>
          </cell>
        </row>
        <row r="5935">
          <cell r="G5935" t="str">
            <v>ASV10503</v>
          </cell>
          <cell r="H5935" t="str">
            <v>g__unclassified_o__Lactobacillales</v>
          </cell>
          <cell r="I5935" t="str">
            <v>s__unclassified_o__Lactobacillales</v>
          </cell>
        </row>
        <row r="5936">
          <cell r="G5936" t="str">
            <v>ASV18813</v>
          </cell>
          <cell r="H5936" t="str">
            <v>g__Veillonella</v>
          </cell>
          <cell r="I5936" t="str">
            <v>s__unclassified_g__Veillonella</v>
          </cell>
        </row>
        <row r="5937">
          <cell r="G5937" t="str">
            <v>ASV9265</v>
          </cell>
          <cell r="H5937" t="str">
            <v>g__unclassified_o__Oscillospirales</v>
          </cell>
          <cell r="I5937" t="str">
            <v>s__unclassified_o__Oscillospirales</v>
          </cell>
        </row>
        <row r="5938">
          <cell r="G5938" t="str">
            <v>ASV11350</v>
          </cell>
          <cell r="H5938" t="str">
            <v>g__unclassified_o__Oscillospirales</v>
          </cell>
          <cell r="I5938" t="str">
            <v>s__unclassified_o__Oscillospirales</v>
          </cell>
        </row>
        <row r="5939">
          <cell r="G5939" t="str">
            <v>ASV11365</v>
          </cell>
          <cell r="H5939" t="str">
            <v>g__unclassified_f__Peptostreptococcaceae</v>
          </cell>
          <cell r="I5939" t="str">
            <v>s__unclassified_f__Peptostreptococcaceae</v>
          </cell>
        </row>
        <row r="5940">
          <cell r="G5940" t="str">
            <v>ASV23093</v>
          </cell>
          <cell r="H5940" t="str">
            <v>g__Clostridium_sensu_stricto_1</v>
          </cell>
          <cell r="I5940" t="str">
            <v>s__unclassified_g__Clostridium_sensu_stricto_1</v>
          </cell>
        </row>
        <row r="5941">
          <cell r="G5941" t="str">
            <v>ASV5659</v>
          </cell>
          <cell r="H5941" t="str">
            <v>g__unclassified_f__Lachnospiraceae</v>
          </cell>
          <cell r="I5941" t="str">
            <v>s__unclassified_f__Lachnospiraceae</v>
          </cell>
        </row>
        <row r="5942">
          <cell r="G5942" t="str">
            <v>ASV21957</v>
          </cell>
          <cell r="H5942" t="str">
            <v>g__unclassified_c__Bacilli</v>
          </cell>
          <cell r="I5942" t="str">
            <v>s__unclassified_c__Bacilli</v>
          </cell>
        </row>
        <row r="5943">
          <cell r="G5943" t="str">
            <v>ASV15784</v>
          </cell>
          <cell r="H5943" t="str">
            <v>g__unclassified_f__Lachnospiraceae</v>
          </cell>
          <cell r="I5943" t="str">
            <v>s__unclassified_f__Lachnospiraceae</v>
          </cell>
        </row>
        <row r="5944">
          <cell r="G5944" t="str">
            <v>ASV414</v>
          </cell>
          <cell r="H5944" t="str">
            <v>g__unclassified_c__Clostridia</v>
          </cell>
          <cell r="I5944" t="str">
            <v>s__unclassified_c__Clostridia</v>
          </cell>
        </row>
        <row r="5945">
          <cell r="G5945" t="str">
            <v>ASV19351</v>
          </cell>
          <cell r="H5945" t="str">
            <v>g__unclassified_c__Clostridia</v>
          </cell>
          <cell r="I5945" t="str">
            <v>s__unclassified_c__Clostridia</v>
          </cell>
        </row>
        <row r="5946">
          <cell r="G5946" t="str">
            <v>ASV16785</v>
          </cell>
          <cell r="H5946" t="str">
            <v>g__Treponema</v>
          </cell>
          <cell r="I5946" t="str">
            <v>s__unclassified_g__Treponema</v>
          </cell>
        </row>
        <row r="5947">
          <cell r="G5947" t="str">
            <v>ASV3864</v>
          </cell>
          <cell r="H5947" t="str">
            <v>g__unclassified_c__Clostridia</v>
          </cell>
          <cell r="I5947" t="str">
            <v>s__unclassified_c__Clostridia</v>
          </cell>
        </row>
        <row r="5948">
          <cell r="G5948" t="str">
            <v>ASV427</v>
          </cell>
          <cell r="H5948" t="str">
            <v>g__unclassified_f__Oscillospiraceae</v>
          </cell>
          <cell r="I5948" t="str">
            <v>s__unclassified_f__Oscillospiraceae</v>
          </cell>
        </row>
        <row r="5949">
          <cell r="G5949" t="str">
            <v>ASV4618</v>
          </cell>
          <cell r="H5949" t="str">
            <v>g__Clostridium_sensu_stricto_1</v>
          </cell>
          <cell r="I5949" t="str">
            <v>s__unclassified_g__Clostridium_sensu_stricto_1</v>
          </cell>
        </row>
        <row r="5950">
          <cell r="G5950" t="str">
            <v>ASV444</v>
          </cell>
          <cell r="H5950" t="str">
            <v>g__unclassified_o__Oscillospirales</v>
          </cell>
          <cell r="I5950" t="str">
            <v>s__unclassified_o__Oscillospirales</v>
          </cell>
        </row>
        <row r="5951">
          <cell r="G5951" t="str">
            <v>ASV2006</v>
          </cell>
          <cell r="H5951" t="str">
            <v>g__norank_f__Eubacterium_coprostanoligenes_group</v>
          </cell>
          <cell r="I5951" t="str">
            <v>s__Eubacterium_coprostanoligenes</v>
          </cell>
        </row>
        <row r="5952">
          <cell r="G5952" t="str">
            <v>ASV436</v>
          </cell>
          <cell r="H5952" t="str">
            <v>g__Prevotella</v>
          </cell>
          <cell r="I5952" t="str">
            <v>s__unclassified_g__Prevotella</v>
          </cell>
        </row>
        <row r="5953">
          <cell r="G5953" t="str">
            <v>ASV9240</v>
          </cell>
          <cell r="H5953" t="str">
            <v>g__unclassified_c__Clostridia</v>
          </cell>
          <cell r="I5953" t="str">
            <v>s__unclassified_c__Clostridia</v>
          </cell>
        </row>
        <row r="5954">
          <cell r="G5954" t="str">
            <v>ASV425</v>
          </cell>
          <cell r="H5954" t="str">
            <v>g__unclassified_f__Lachnospiraceae</v>
          </cell>
          <cell r="I5954" t="str">
            <v>s__unclassified_f__Lachnospiraceae</v>
          </cell>
        </row>
        <row r="5955">
          <cell r="G5955" t="str">
            <v>ASV3885</v>
          </cell>
          <cell r="H5955" t="str">
            <v>g__Cloacibacillus</v>
          </cell>
          <cell r="I5955" t="str">
            <v>s__unclassified_g__Cloacibacillus</v>
          </cell>
        </row>
        <row r="5956">
          <cell r="G5956" t="str">
            <v>ASV8452</v>
          </cell>
          <cell r="H5956" t="str">
            <v>g__Veillonella</v>
          </cell>
          <cell r="I5956" t="str">
            <v>s__unclassified_g__Veillonella</v>
          </cell>
        </row>
        <row r="5957">
          <cell r="G5957" t="str">
            <v>ASV3875</v>
          </cell>
          <cell r="H5957" t="str">
            <v>g__unclassified_p__Firmicutes</v>
          </cell>
          <cell r="I5957" t="str">
            <v>s__unclassified_p__Firmicutes</v>
          </cell>
        </row>
        <row r="5958">
          <cell r="G5958" t="str">
            <v>ASV21978</v>
          </cell>
          <cell r="H5958" t="str">
            <v>g__Clostridium_sensu_stricto_1</v>
          </cell>
          <cell r="I5958" t="str">
            <v>s__unclassified_g__Clostridium_sensu_stricto_1</v>
          </cell>
        </row>
        <row r="5959">
          <cell r="G5959" t="str">
            <v>ASV15241</v>
          </cell>
          <cell r="H5959" t="str">
            <v>g__norank_f__Muribaculaceae</v>
          </cell>
          <cell r="I5959" t="str">
            <v>s__uncultured_bacterium_g__norank_f__Muribaculaceae</v>
          </cell>
        </row>
        <row r="5960">
          <cell r="G5960" t="str">
            <v>ASV21960</v>
          </cell>
          <cell r="H5960" t="str">
            <v>g__unclassified_c__Clostridia</v>
          </cell>
          <cell r="I5960" t="str">
            <v>s__unclassified_c__Clostridia</v>
          </cell>
        </row>
        <row r="5961">
          <cell r="G5961" t="str">
            <v>ASV3898</v>
          </cell>
          <cell r="H5961" t="str">
            <v>g__unclassified_c__Clostridia</v>
          </cell>
          <cell r="I5961" t="str">
            <v>s__unclassified_c__Clostridia</v>
          </cell>
        </row>
        <row r="5962">
          <cell r="G5962" t="str">
            <v>ASV15913</v>
          </cell>
          <cell r="H5962" t="str">
            <v>g__Alistipes</v>
          </cell>
          <cell r="I5962" t="str">
            <v>s__Alistipes_shahii</v>
          </cell>
        </row>
        <row r="5963">
          <cell r="G5963" t="str">
            <v>ASV2014</v>
          </cell>
          <cell r="H5963" t="str">
            <v>g__Collinsella</v>
          </cell>
          <cell r="I5963" t="str">
            <v>s__unclassified_g__Collinsella</v>
          </cell>
        </row>
        <row r="5964">
          <cell r="G5964" t="str">
            <v>ASV415</v>
          </cell>
          <cell r="H5964" t="str">
            <v>g__norank_f__Muribaculaceae</v>
          </cell>
          <cell r="I5964" t="str">
            <v>s__uncultured_bacterium_g__norank_f__Muribaculaceae</v>
          </cell>
        </row>
        <row r="5965">
          <cell r="G5965" t="str">
            <v>ASV10482</v>
          </cell>
          <cell r="H5965" t="str">
            <v>g__Lactobacillus</v>
          </cell>
          <cell r="I5965" t="str">
            <v>s__unclassified_g__Lactobacillus</v>
          </cell>
        </row>
        <row r="5966">
          <cell r="G5966" t="str">
            <v>ASV5696</v>
          </cell>
          <cell r="H5966" t="str">
            <v>g__NK4A214_group</v>
          </cell>
          <cell r="I5966" t="str">
            <v>s__unclassified_g__NK4A214_group</v>
          </cell>
        </row>
        <row r="5967">
          <cell r="G5967" t="str">
            <v>ASV423</v>
          </cell>
          <cell r="H5967" t="str">
            <v>g__unclassified_f__Lachnospiraceae</v>
          </cell>
          <cell r="I5967" t="str">
            <v>s__unclassified_f__Lachnospiraceae</v>
          </cell>
        </row>
        <row r="5968">
          <cell r="G5968" t="str">
            <v>ASV7033</v>
          </cell>
          <cell r="H5968" t="str">
            <v>g__Megasphaera</v>
          </cell>
          <cell r="I5968" t="str">
            <v>s__unclassified_g__Megasphaera</v>
          </cell>
        </row>
        <row r="5969">
          <cell r="G5969" t="str">
            <v>ASV19342</v>
          </cell>
          <cell r="H5969" t="str">
            <v>g__Phascolarctobacterium</v>
          </cell>
          <cell r="I5969" t="str">
            <v>s__uncultured_bacterium_g__Phascolarctobacterium</v>
          </cell>
        </row>
        <row r="5970">
          <cell r="G5970" t="str">
            <v>ASV3863</v>
          </cell>
          <cell r="H5970" t="str">
            <v>g__Eubacterium_oxidoreducens_group</v>
          </cell>
          <cell r="I5970" t="str">
            <v>s__uncultured_bacterium_g__Eubacterium_oxidoreducens_group</v>
          </cell>
        </row>
        <row r="5971">
          <cell r="G5971" t="str">
            <v>ASV14932</v>
          </cell>
          <cell r="H5971" t="str">
            <v>g__Stenotrophomonas</v>
          </cell>
          <cell r="I5971" t="str">
            <v>s__unclassified_g__Stenotrophomonas</v>
          </cell>
        </row>
        <row r="5972">
          <cell r="G5972" t="str">
            <v>ASV20612</v>
          </cell>
          <cell r="H5972" t="str">
            <v>g__Christensenellaceae_R-7_group</v>
          </cell>
          <cell r="I5972" t="str">
            <v>s__unclassified_g__Christensenellaceae_R-7_group</v>
          </cell>
        </row>
        <row r="5973">
          <cell r="G5973" t="str">
            <v>ASV5672</v>
          </cell>
          <cell r="H5973" t="str">
            <v>g__Clostridium_sensu_stricto_1</v>
          </cell>
          <cell r="I5973" t="str">
            <v>s__unclassified_g__Clostridium_sensu_stricto_1</v>
          </cell>
        </row>
        <row r="5974">
          <cell r="G5974" t="str">
            <v>ASV21418</v>
          </cell>
          <cell r="H5974" t="str">
            <v>g__Cloacibacillus</v>
          </cell>
          <cell r="I5974" t="str">
            <v>s__unclassified_g__Cloacibacillus</v>
          </cell>
        </row>
        <row r="5975">
          <cell r="G5975" t="str">
            <v>ASV12619</v>
          </cell>
          <cell r="H5975" t="str">
            <v>g__Christensenellaceae_R-7_group</v>
          </cell>
          <cell r="I5975" t="str">
            <v>s__unclassified_g__Christensenellaceae_R-7_group</v>
          </cell>
        </row>
        <row r="5976">
          <cell r="G5976" t="str">
            <v>ASV11331</v>
          </cell>
          <cell r="H5976" t="str">
            <v>g__unclassified_o__Oscillospirales</v>
          </cell>
          <cell r="I5976" t="str">
            <v>s__unclassified_o__Oscillospirales</v>
          </cell>
        </row>
        <row r="5977">
          <cell r="G5977" t="str">
            <v>ASV9246</v>
          </cell>
          <cell r="H5977" t="str">
            <v>g__norank_f__Peptococcaceae</v>
          </cell>
          <cell r="I5977" t="str">
            <v>s__uncultured_bacterium_g__norank_f__Peptococcaceae</v>
          </cell>
        </row>
        <row r="5978">
          <cell r="G5978" t="str">
            <v>ASV14043</v>
          </cell>
          <cell r="H5978" t="str">
            <v>g__Eubacterium_oxidoreducens_group</v>
          </cell>
          <cell r="I5978" t="str">
            <v>s__uncultured_bacterium_g__Eubacterium_oxidoreducens_group</v>
          </cell>
        </row>
        <row r="5979">
          <cell r="G5979" t="str">
            <v>ASV7570</v>
          </cell>
          <cell r="H5979" t="str">
            <v>g__Lactobacillus</v>
          </cell>
          <cell r="I5979" t="str">
            <v>s__uncultured_bacterium_g__Lactobacillus</v>
          </cell>
        </row>
        <row r="5980">
          <cell r="G5980" t="str">
            <v>ASV16302</v>
          </cell>
          <cell r="H5980" t="str">
            <v>g__unclassified_c__Clostridia</v>
          </cell>
          <cell r="I5980" t="str">
            <v>s__unclassified_c__Clostridia</v>
          </cell>
        </row>
        <row r="5981">
          <cell r="G5981" t="str">
            <v>ASV9877</v>
          </cell>
          <cell r="H5981" t="str">
            <v>g__Prevotella</v>
          </cell>
          <cell r="I5981" t="str">
            <v>s__unclassified_g__Prevotella</v>
          </cell>
        </row>
        <row r="5982">
          <cell r="G5982" t="str">
            <v>ASV19327</v>
          </cell>
          <cell r="H5982" t="str">
            <v>g__unclassified_f__Oscillospiraceae</v>
          </cell>
          <cell r="I5982" t="str">
            <v>s__unclassified_f__Oscillospiraceae</v>
          </cell>
        </row>
        <row r="5983">
          <cell r="G5983" t="str">
            <v>ASV4643</v>
          </cell>
          <cell r="H5983" t="str">
            <v>g__NK4A214_group</v>
          </cell>
          <cell r="I5983" t="str">
            <v>s__uncultured_bacterium_g__NK4A214_group</v>
          </cell>
        </row>
        <row r="5984">
          <cell r="G5984" t="str">
            <v>ASV14027</v>
          </cell>
          <cell r="H5984" t="str">
            <v>g__unclassified_c__Clostridia</v>
          </cell>
          <cell r="I5984" t="str">
            <v>s__unclassified_c__Clostridia</v>
          </cell>
        </row>
        <row r="5985">
          <cell r="G5985" t="str">
            <v>ASV13323</v>
          </cell>
          <cell r="H5985" t="str">
            <v>g__Enterococcus</v>
          </cell>
          <cell r="I5985" t="str">
            <v>s__unclassified_g__Enterococcus</v>
          </cell>
        </row>
        <row r="5986">
          <cell r="G5986" t="str">
            <v>ASV4649</v>
          </cell>
          <cell r="H5986" t="str">
            <v>g__Enterococcus</v>
          </cell>
          <cell r="I5986" t="str">
            <v>s__unclassified_g__Enterococcus</v>
          </cell>
        </row>
        <row r="5987">
          <cell r="G5987" t="str">
            <v>ASV3149</v>
          </cell>
          <cell r="H5987" t="str">
            <v>g__Fusobacterium</v>
          </cell>
          <cell r="I5987" t="str">
            <v>s__unclassified_g__Fusobacterium</v>
          </cell>
        </row>
        <row r="5988">
          <cell r="G5988" t="str">
            <v>ASV21729</v>
          </cell>
          <cell r="H5988" t="str">
            <v>g__Chthonomonas</v>
          </cell>
          <cell r="I5988" t="str">
            <v>s__uncultured_bacterium_g__Chthonomonas</v>
          </cell>
        </row>
        <row r="5989">
          <cell r="G5989" t="str">
            <v>ASV12597</v>
          </cell>
          <cell r="H5989" t="str">
            <v>g__unclassified_o__Oscillospirales</v>
          </cell>
          <cell r="I5989" t="str">
            <v>s__unclassified_o__Oscillospirales</v>
          </cell>
        </row>
        <row r="5990">
          <cell r="G5990" t="str">
            <v>ASV15053</v>
          </cell>
          <cell r="H5990" t="str">
            <v>g__Cellulosilyticum</v>
          </cell>
          <cell r="I5990" t="str">
            <v>s__uncultured_bacterium_g__Cellulosilyticum</v>
          </cell>
        </row>
        <row r="5991">
          <cell r="G5991" t="str">
            <v>ASV14021</v>
          </cell>
          <cell r="H5991" t="str">
            <v>g__Faecalibacterium</v>
          </cell>
          <cell r="I5991" t="str">
            <v>s__uncultured_bacterium_g__Faecalibacterium</v>
          </cell>
        </row>
        <row r="5992">
          <cell r="G5992" t="str">
            <v>ASV19325</v>
          </cell>
          <cell r="H5992" t="str">
            <v>g__unclassified_c__Clostridia</v>
          </cell>
          <cell r="I5992" t="str">
            <v>s__unclassified_c__Clostridia</v>
          </cell>
        </row>
        <row r="5993">
          <cell r="G5993" t="str">
            <v>ASV10511</v>
          </cell>
          <cell r="H5993" t="str">
            <v>g__Terrisporobacter</v>
          </cell>
          <cell r="I5993" t="str">
            <v>s__unclassified_g__Terrisporobacter</v>
          </cell>
        </row>
        <row r="5994">
          <cell r="G5994" t="str">
            <v>ASV15916</v>
          </cell>
          <cell r="H5994" t="str">
            <v>g__Escherichia-Shigella</v>
          </cell>
          <cell r="I5994" t="str">
            <v>s__unclassified_g__Escherichia-Shigella</v>
          </cell>
        </row>
        <row r="5995">
          <cell r="G5995" t="str">
            <v>ASV2878</v>
          </cell>
          <cell r="H5995" t="str">
            <v>g__unclassified_f__Xanthobacteraceae</v>
          </cell>
          <cell r="I5995" t="str">
            <v>s__unclassified_f__Xanthobacteraceae</v>
          </cell>
        </row>
        <row r="5996">
          <cell r="G5996" t="str">
            <v>ASV2010</v>
          </cell>
          <cell r="H5996" t="str">
            <v>g__Clostridium_sensu_stricto_1</v>
          </cell>
          <cell r="I5996" t="str">
            <v>s__unclassified_g__Clostridium_sensu_stricto_1</v>
          </cell>
        </row>
        <row r="5997">
          <cell r="G5997" t="str">
            <v>ASV13318</v>
          </cell>
          <cell r="H5997" t="str">
            <v>g__Collinsella</v>
          </cell>
          <cell r="I5997" t="str">
            <v>s__unclassified_g__Collinsella</v>
          </cell>
        </row>
        <row r="5998">
          <cell r="G5998" t="str">
            <v>ASV7595</v>
          </cell>
          <cell r="H5998" t="str">
            <v>g__Lactobacillus</v>
          </cell>
          <cell r="I5998" t="str">
            <v>s__unclassified_g__Lactobacillus</v>
          </cell>
        </row>
        <row r="5999">
          <cell r="G5999" t="str">
            <v>ASV6583</v>
          </cell>
          <cell r="H5999" t="str">
            <v>g__Phascolarctobacterium</v>
          </cell>
          <cell r="I5999" t="str">
            <v>s__unclassified_g__Phascolarctobacterium</v>
          </cell>
        </row>
        <row r="6000">
          <cell r="G6000" t="str">
            <v>ASV432</v>
          </cell>
          <cell r="H6000" t="str">
            <v>g__Lactobacillus</v>
          </cell>
          <cell r="I6000" t="str">
            <v>s__unclassified_g__Lactobacillus</v>
          </cell>
        </row>
        <row r="6001">
          <cell r="G6001" t="str">
            <v>ASV14014</v>
          </cell>
          <cell r="H6001" t="str">
            <v>g__Prevotella</v>
          </cell>
          <cell r="I6001" t="str">
            <v>s__unclassified_g__Prevotella</v>
          </cell>
        </row>
        <row r="6002">
          <cell r="G6002" t="str">
            <v>ASV14026</v>
          </cell>
          <cell r="H6002" t="str">
            <v>g__Ruminococcus</v>
          </cell>
          <cell r="I6002" t="str">
            <v>s__unclassified_g__Ruminococcus</v>
          </cell>
        </row>
        <row r="6003">
          <cell r="G6003" t="str">
            <v>ASV11364</v>
          </cell>
          <cell r="H6003" t="str">
            <v>g__Phascolarctobacterium</v>
          </cell>
          <cell r="I6003" t="str">
            <v>s__unclassified_g__Phascolarctobacterium</v>
          </cell>
        </row>
        <row r="6004">
          <cell r="G6004" t="str">
            <v>ASV443</v>
          </cell>
          <cell r="H6004" t="str">
            <v>g__Lachnospiraceae_UCG-004</v>
          </cell>
          <cell r="I6004" t="str">
            <v>s__uncultured_Lachnospiraceae_bacterium_g__Lachnospiraceae_UCG-004</v>
          </cell>
        </row>
        <row r="6005">
          <cell r="G6005" t="str">
            <v>ASV20417</v>
          </cell>
          <cell r="H6005" t="str">
            <v>g__Luteimonas</v>
          </cell>
          <cell r="I6005" t="str">
            <v>s__unclassified_g__Luteimonas</v>
          </cell>
        </row>
        <row r="6006">
          <cell r="G6006" t="str">
            <v>ASV5700</v>
          </cell>
          <cell r="H6006" t="str">
            <v>g__unclassified_c__Clostridia</v>
          </cell>
          <cell r="I6006" t="str">
            <v>s__unclassified_c__Clostridia</v>
          </cell>
        </row>
        <row r="6007">
          <cell r="G6007" t="str">
            <v>ASV21964</v>
          </cell>
          <cell r="H6007" t="str">
            <v>g__unclassified_c__Clostridia</v>
          </cell>
          <cell r="I6007" t="str">
            <v>s__unclassified_c__Clostridia</v>
          </cell>
        </row>
        <row r="6008">
          <cell r="G6008" t="str">
            <v>ASV20604</v>
          </cell>
          <cell r="H6008" t="str">
            <v>g__unclassified_f__Lachnospiraceae</v>
          </cell>
          <cell r="I6008" t="str">
            <v>s__unclassified_f__Lachnospiraceae</v>
          </cell>
        </row>
        <row r="6009">
          <cell r="G6009" t="str">
            <v>ASV24108</v>
          </cell>
          <cell r="H6009" t="str">
            <v>g__Enterococcus</v>
          </cell>
          <cell r="I6009" t="str">
            <v>s__unclassified_g__Enterococcus</v>
          </cell>
        </row>
        <row r="6010">
          <cell r="G6010" t="str">
            <v>ASV17348</v>
          </cell>
          <cell r="H6010" t="str">
            <v>g__Deinococcus</v>
          </cell>
          <cell r="I6010" t="str">
            <v>s__Deinococcus_radiodurans_R1</v>
          </cell>
        </row>
        <row r="6011">
          <cell r="G6011" t="str">
            <v>ASV7579</v>
          </cell>
          <cell r="H6011" t="str">
            <v>g__Escherichia-Shigella</v>
          </cell>
          <cell r="I6011" t="str">
            <v>s__unclassified_g__Escherichia-Shigella</v>
          </cell>
        </row>
        <row r="6012">
          <cell r="G6012" t="str">
            <v>ASV20419</v>
          </cell>
          <cell r="H6012" t="str">
            <v>g__Anaerococcus</v>
          </cell>
          <cell r="I6012" t="str">
            <v>s__unclassified_g__Anaerococcus</v>
          </cell>
        </row>
        <row r="6013">
          <cell r="G6013" t="str">
            <v>ASV7030</v>
          </cell>
          <cell r="H6013" t="str">
            <v>g__Peptostreptococcus</v>
          </cell>
          <cell r="I6013" t="str">
            <v>s__unclassified_g__Peptostreptococcus</v>
          </cell>
        </row>
        <row r="6014">
          <cell r="G6014" t="str">
            <v>ASV21985</v>
          </cell>
          <cell r="H6014" t="str">
            <v>g__UCG-002</v>
          </cell>
          <cell r="I6014" t="str">
            <v>s__uncultured_bacterium_g__UCG-002</v>
          </cell>
        </row>
        <row r="6015">
          <cell r="G6015" t="str">
            <v>ASV16307</v>
          </cell>
          <cell r="H6015" t="str">
            <v>g__Bacteroides</v>
          </cell>
          <cell r="I6015" t="str">
            <v>s__unclassified_g__Bacteroides</v>
          </cell>
        </row>
        <row r="6016">
          <cell r="G6016" t="str">
            <v>ASV11359</v>
          </cell>
          <cell r="H6016" t="str">
            <v>g__unclassified_f__Lachnospiraceae</v>
          </cell>
          <cell r="I6016" t="str">
            <v>s__unclassified_f__Lachnospiraceae</v>
          </cell>
        </row>
        <row r="6017">
          <cell r="G6017" t="str">
            <v>ASV22959</v>
          </cell>
          <cell r="H6017" t="str">
            <v>g__Lactobacillus</v>
          </cell>
          <cell r="I6017" t="str">
            <v>s__unclassified_g__Lactobacillus</v>
          </cell>
        </row>
        <row r="6018">
          <cell r="G6018" t="str">
            <v>ASV7573</v>
          </cell>
          <cell r="H6018" t="str">
            <v>g__Clostridium_sensu_stricto_1</v>
          </cell>
          <cell r="I6018" t="str">
            <v>s__uncultured_bacterium_g__Clostridium_sensu_stricto_1</v>
          </cell>
        </row>
        <row r="6019">
          <cell r="G6019" t="str">
            <v>ASV15060</v>
          </cell>
          <cell r="H6019" t="str">
            <v>g__Streptococcus</v>
          </cell>
          <cell r="I6019" t="str">
            <v>s__unclassified_g__Streptococcus</v>
          </cell>
        </row>
        <row r="6020">
          <cell r="G6020" t="str">
            <v>ASV21953</v>
          </cell>
          <cell r="H6020" t="str">
            <v>g__Lactobacillus</v>
          </cell>
          <cell r="I6020" t="str">
            <v>s__unclassified_g__Lactobacillus</v>
          </cell>
        </row>
        <row r="6021">
          <cell r="G6021" t="str">
            <v>ASV2713</v>
          </cell>
          <cell r="H6021" t="str">
            <v>g__unclassified_o__Lactobacillales</v>
          </cell>
          <cell r="I6021" t="str">
            <v>s__unclassified_o__Lactobacillales</v>
          </cell>
        </row>
        <row r="6022">
          <cell r="G6022" t="str">
            <v>ASV21176</v>
          </cell>
          <cell r="H6022" t="str">
            <v>g__unclassified_f__Lachnospiraceae</v>
          </cell>
          <cell r="I6022" t="str">
            <v>s__unclassified_f__Lachnospiraceae</v>
          </cell>
        </row>
        <row r="6023">
          <cell r="G6023" t="str">
            <v>ASV12150</v>
          </cell>
          <cell r="H6023" t="str">
            <v>g__Anaerotruncus</v>
          </cell>
          <cell r="I6023" t="str">
            <v>s__Anaerotruncus_sp._AT3</v>
          </cell>
        </row>
        <row r="6024">
          <cell r="G6024" t="str">
            <v>ASV11322</v>
          </cell>
          <cell r="H6024" t="str">
            <v>g__unclassified_c__Clostridia</v>
          </cell>
          <cell r="I6024" t="str">
            <v>s__unclassified_c__Clostridia</v>
          </cell>
        </row>
        <row r="6025">
          <cell r="G6025" t="str">
            <v>ASV19184</v>
          </cell>
          <cell r="H6025" t="str">
            <v>g__Clostridium_sensu_stricto_1</v>
          </cell>
          <cell r="I6025" t="str">
            <v>s__unclassified_g__Clostridium_sensu_stricto_1</v>
          </cell>
        </row>
        <row r="6026">
          <cell r="G6026" t="str">
            <v>ASV9255</v>
          </cell>
          <cell r="H6026" t="str">
            <v>g__unclassified_c__Clostridia</v>
          </cell>
          <cell r="I6026" t="str">
            <v>s__unclassified_c__Clostridia</v>
          </cell>
        </row>
        <row r="6027">
          <cell r="G6027" t="str">
            <v>ASV17843</v>
          </cell>
          <cell r="H6027" t="str">
            <v>g__norank_f__Oscillospiraceae</v>
          </cell>
          <cell r="I6027" t="str">
            <v>s__unclassified_g__norank_f__Oscillospiraceae</v>
          </cell>
        </row>
        <row r="6028">
          <cell r="G6028" t="str">
            <v>ASV448</v>
          </cell>
          <cell r="H6028" t="str">
            <v>g__Acetitomaculum</v>
          </cell>
          <cell r="I6028" t="str">
            <v>s__uncultured_bacterium_g__Acetitomaculum</v>
          </cell>
        </row>
        <row r="6029">
          <cell r="G6029" t="str">
            <v>ASV15251</v>
          </cell>
          <cell r="H6029" t="str">
            <v>g__Clostridium_sensu_stricto_1</v>
          </cell>
          <cell r="I6029" t="str">
            <v>s__unclassified_g__Clostridium_sensu_stricto_1</v>
          </cell>
        </row>
        <row r="6030">
          <cell r="G6030" t="str">
            <v>ASV21939</v>
          </cell>
          <cell r="H6030" t="str">
            <v>g__unclassified_o__Oscillospirales</v>
          </cell>
          <cell r="I6030" t="str">
            <v>s__unclassified_o__Oscillospirales</v>
          </cell>
        </row>
        <row r="6031">
          <cell r="G6031" t="str">
            <v>ASV16293</v>
          </cell>
          <cell r="H6031" t="str">
            <v>g__Eubacterium_oxidoreducens_group</v>
          </cell>
          <cell r="I6031" t="str">
            <v>s__uncultured_bacterium_g__Eubacterium_oxidoreducens_group</v>
          </cell>
        </row>
        <row r="6032">
          <cell r="G6032" t="str">
            <v>ASV14011</v>
          </cell>
          <cell r="H6032" t="str">
            <v>g__unclassified_f__Peptostreptococcaceae</v>
          </cell>
          <cell r="I6032" t="str">
            <v>s__unclassified_f__Peptostreptococcaceae</v>
          </cell>
        </row>
        <row r="6033">
          <cell r="G6033" t="str">
            <v>ASV2005</v>
          </cell>
          <cell r="H6033" t="str">
            <v>g__unclassified_o__Peptostreptococcales-Tissierellales</v>
          </cell>
          <cell r="I6033" t="str">
            <v>s__unclassified_o__Peptostreptococcales-Tissierellales</v>
          </cell>
        </row>
        <row r="6034">
          <cell r="G6034" t="str">
            <v>ASV3151</v>
          </cell>
          <cell r="H6034" t="str">
            <v>g__Escherichia-Shigella</v>
          </cell>
          <cell r="I6034" t="str">
            <v>s__unclassified_g__Escherichia-Shigella</v>
          </cell>
        </row>
        <row r="6035">
          <cell r="G6035" t="str">
            <v>ASV12592</v>
          </cell>
          <cell r="H6035" t="str">
            <v>g__Alloprevotella</v>
          </cell>
          <cell r="I6035" t="str">
            <v>s__uncultured_bacterium_g__Alloprevotella</v>
          </cell>
        </row>
        <row r="6036">
          <cell r="G6036" t="str">
            <v>ASV20622</v>
          </cell>
          <cell r="H6036" t="str">
            <v>g__Christensenellaceae_R-7_group</v>
          </cell>
          <cell r="I6036" t="str">
            <v>s__unclassified_g__Christensenellaceae_R-7_group</v>
          </cell>
        </row>
        <row r="6037">
          <cell r="G6037" t="str">
            <v>ASV21933</v>
          </cell>
          <cell r="H6037" t="str">
            <v>g__Streptococcus</v>
          </cell>
          <cell r="I6037" t="str">
            <v>s__unclassified_g__Streptococcus</v>
          </cell>
        </row>
        <row r="6038">
          <cell r="G6038" t="str">
            <v>ASV16841</v>
          </cell>
          <cell r="H6038" t="str">
            <v>g__Phascolarctobacterium</v>
          </cell>
          <cell r="I6038" t="str">
            <v>s__unclassified_g__Phascolarctobacterium</v>
          </cell>
        </row>
        <row r="6039">
          <cell r="G6039" t="str">
            <v>ASV15223</v>
          </cell>
          <cell r="H6039" t="str">
            <v>g__norank_f__Eubacterium_coprostanoligenes_group</v>
          </cell>
          <cell r="I6039" t="str">
            <v>s__uncultured_bacterium_g__norank_f__Eubacterium_coprostanoligenes_group</v>
          </cell>
        </row>
        <row r="6040">
          <cell r="G6040" t="str">
            <v>ASV16303</v>
          </cell>
          <cell r="H6040" t="str">
            <v>g__unclassified_o__Bacteroidales</v>
          </cell>
          <cell r="I6040" t="str">
            <v>s__unclassified_o__Bacteroidales</v>
          </cell>
        </row>
        <row r="6041">
          <cell r="G6041" t="str">
            <v>ASV5694</v>
          </cell>
          <cell r="H6041" t="str">
            <v>g__unclassified_o__Oscillospirales</v>
          </cell>
          <cell r="I6041" t="str">
            <v>s__unclassified_o__Oscillospirales</v>
          </cell>
        </row>
        <row r="6042">
          <cell r="G6042" t="str">
            <v>ASV15228</v>
          </cell>
          <cell r="H6042" t="str">
            <v>g__unclassified_c__Clostridia</v>
          </cell>
          <cell r="I6042" t="str">
            <v>s__unclassified_c__Clostridia</v>
          </cell>
        </row>
        <row r="6043">
          <cell r="G6043" t="str">
            <v>ASV21419</v>
          </cell>
          <cell r="H6043" t="str">
            <v>g__Megasphaera</v>
          </cell>
          <cell r="I6043" t="str">
            <v>s__unclassified_g__Megasphaera</v>
          </cell>
        </row>
        <row r="6044">
          <cell r="G6044" t="str">
            <v>ASV21993</v>
          </cell>
          <cell r="H6044" t="str">
            <v>g__unclassified_f__Oscillospiraceae</v>
          </cell>
          <cell r="I6044" t="str">
            <v>s__unclassified_f__Oscillospiraceae</v>
          </cell>
        </row>
        <row r="6045">
          <cell r="G6045" t="str">
            <v>ASV20420</v>
          </cell>
          <cell r="H6045" t="str">
            <v>g__Neisseria</v>
          </cell>
          <cell r="I6045" t="str">
            <v>s__unclassified_g__Neisseria</v>
          </cell>
        </row>
        <row r="6046">
          <cell r="G6046" t="str">
            <v>ASV17859</v>
          </cell>
          <cell r="H6046" t="str">
            <v>g__UCG-005</v>
          </cell>
          <cell r="I6046" t="str">
            <v>s__unclassified_g__UCG-005</v>
          </cell>
        </row>
        <row r="6047">
          <cell r="G6047" t="str">
            <v>ASV10165</v>
          </cell>
          <cell r="H6047" t="str">
            <v>g__Acidaminococcus</v>
          </cell>
          <cell r="I6047" t="str">
            <v>s__unclassified_g__Acidaminococcus</v>
          </cell>
        </row>
        <row r="6048">
          <cell r="G6048" t="str">
            <v>ASV451</v>
          </cell>
          <cell r="H6048" t="str">
            <v>g__unclassified_f__Lachnospiraceae</v>
          </cell>
          <cell r="I6048" t="str">
            <v>s__unclassified_f__Lachnospiraceae</v>
          </cell>
        </row>
        <row r="6049">
          <cell r="G6049" t="str">
            <v>ASV5701</v>
          </cell>
          <cell r="H6049" t="str">
            <v>g__Escherichia-Shigella</v>
          </cell>
          <cell r="I6049" t="str">
            <v>s__unclassified_g__Escherichia-Shigella</v>
          </cell>
        </row>
        <row r="6050">
          <cell r="G6050" t="str">
            <v>ASV23823</v>
          </cell>
          <cell r="H6050" t="str">
            <v>g__Lactobacillus</v>
          </cell>
          <cell r="I6050" t="str">
            <v>s__unclassified_g__Lactobacillus</v>
          </cell>
        </row>
        <row r="6051">
          <cell r="G6051" t="str">
            <v>ASV8451</v>
          </cell>
          <cell r="H6051" t="str">
            <v>g__Lactobacillus</v>
          </cell>
          <cell r="I6051" t="str">
            <v>s__unclassified_g__Lactobacillus</v>
          </cell>
        </row>
        <row r="6052">
          <cell r="G6052" t="str">
            <v>ASV4628</v>
          </cell>
          <cell r="H6052" t="str">
            <v>g__UCG-002</v>
          </cell>
          <cell r="I6052" t="str">
            <v>s__unclassified_g__UCG-002</v>
          </cell>
        </row>
        <row r="6053">
          <cell r="G6053" t="str">
            <v>ASV10517</v>
          </cell>
          <cell r="H6053" t="str">
            <v>g__Christensenellaceae_R-7_group</v>
          </cell>
          <cell r="I6053" t="str">
            <v>s__unclassified_g__Christensenellaceae_R-7_group</v>
          </cell>
        </row>
        <row r="6054">
          <cell r="G6054" t="str">
            <v>ASV11068</v>
          </cell>
          <cell r="H6054" t="str">
            <v>g__Aeromicrobium</v>
          </cell>
          <cell r="I6054" t="str">
            <v>s__unclassified_g__Aeromicrobium</v>
          </cell>
        </row>
        <row r="6055">
          <cell r="G6055" t="str">
            <v>ASV23822</v>
          </cell>
          <cell r="H6055" t="str">
            <v>g__Bacteroides</v>
          </cell>
          <cell r="I6055" t="str">
            <v>s__unclassified_g__Bacteroides</v>
          </cell>
        </row>
        <row r="6056">
          <cell r="G6056" t="str">
            <v>ASV12615</v>
          </cell>
          <cell r="H6056" t="str">
            <v>g__Parabacteroides</v>
          </cell>
          <cell r="I6056" t="str">
            <v>s__Porphyromonadaceae_bacterium_DJF_B175</v>
          </cell>
        </row>
        <row r="6057">
          <cell r="G6057" t="str">
            <v>ASV3448</v>
          </cell>
          <cell r="H6057" t="str">
            <v>g__Clostridium_sensu_stricto_1</v>
          </cell>
          <cell r="I6057" t="str">
            <v>s__unclassified_g__Clostridium_sensu_stricto_1</v>
          </cell>
        </row>
        <row r="6058">
          <cell r="G6058" t="str">
            <v>ASV6590</v>
          </cell>
          <cell r="H6058" t="str">
            <v>g__Enterococcus</v>
          </cell>
          <cell r="I6058" t="str">
            <v>s__unclassified_g__Enterococcus</v>
          </cell>
        </row>
        <row r="6059">
          <cell r="G6059" t="str">
            <v>ASV9325</v>
          </cell>
          <cell r="H6059" t="str">
            <v>g__Helicobacter</v>
          </cell>
          <cell r="I6059" t="str">
            <v>s__unclassified_g__Helicobacter</v>
          </cell>
        </row>
        <row r="6060">
          <cell r="G6060" t="str">
            <v>ASV2714</v>
          </cell>
          <cell r="H6060" t="str">
            <v>g__Staphylococcus</v>
          </cell>
          <cell r="I6060" t="str">
            <v>s__unclassified_g__Staphylococcus</v>
          </cell>
        </row>
        <row r="6061">
          <cell r="G6061" t="str">
            <v>ASV14003</v>
          </cell>
          <cell r="H6061" t="str">
            <v>g__unclassified_o__Lactobacillales</v>
          </cell>
          <cell r="I6061" t="str">
            <v>s__unclassified_o__Lactobacillales</v>
          </cell>
        </row>
        <row r="6062">
          <cell r="G6062" t="str">
            <v>ASV16630</v>
          </cell>
          <cell r="H6062" t="str">
            <v>g__Candidatus_Soleaferrea</v>
          </cell>
          <cell r="I6062" t="str">
            <v>s__uncultured_bacterium_g__Candidatus_Soleaferrea</v>
          </cell>
        </row>
        <row r="6063">
          <cell r="G6063" t="str">
            <v>ASV21179</v>
          </cell>
          <cell r="H6063" t="str">
            <v>g__Fusobacterium</v>
          </cell>
          <cell r="I6063" t="str">
            <v>s__unclassified_g__Fusobacterium</v>
          </cell>
        </row>
        <row r="6064">
          <cell r="G6064" t="str">
            <v>ASV7583</v>
          </cell>
          <cell r="H6064" t="str">
            <v>g__Christensenellaceae_R-7_group</v>
          </cell>
          <cell r="I6064" t="str">
            <v>s__unclassified_g__Christensenellaceae_R-7_group</v>
          </cell>
        </row>
        <row r="6065">
          <cell r="G6065" t="str">
            <v>ASV4599</v>
          </cell>
          <cell r="H6065" t="str">
            <v>g__Peptococcus</v>
          </cell>
          <cell r="I6065" t="str">
            <v>s__uncultured_bacterium_g__Peptococcus</v>
          </cell>
        </row>
        <row r="6066">
          <cell r="G6066" t="str">
            <v>ASV429</v>
          </cell>
          <cell r="H6066" t="str">
            <v>g__norank_f__norank_o__Clostridia_vadinBB60_group</v>
          </cell>
          <cell r="I6066" t="str">
            <v>s__unclassified_g__norank_f__norank_o__Clostridia_vadinBB60_group</v>
          </cell>
        </row>
        <row r="6067">
          <cell r="G6067" t="str">
            <v>ASV4614</v>
          </cell>
          <cell r="H6067" t="str">
            <v>g__NK4A214_group</v>
          </cell>
          <cell r="I6067" t="str">
            <v>s__unclassified_g__NK4A214_group</v>
          </cell>
        </row>
        <row r="6068">
          <cell r="G6068" t="str">
            <v>ASV17824</v>
          </cell>
          <cell r="H6068" t="str">
            <v>g__Rikenellaceae_RC9_gut_group</v>
          </cell>
          <cell r="I6068" t="str">
            <v>s__uncultured_bacterium_g__Rikenellaceae_RC9_gut_group</v>
          </cell>
        </row>
        <row r="6069">
          <cell r="G6069" t="str">
            <v>ASV17851</v>
          </cell>
          <cell r="H6069" t="str">
            <v>g__norank_f__Muribaculaceae</v>
          </cell>
          <cell r="I6069" t="str">
            <v>s__uncultured_bacterium_g__norank_f__Muribaculaceae</v>
          </cell>
        </row>
        <row r="6070">
          <cell r="G6070" t="str">
            <v>ASV16840</v>
          </cell>
          <cell r="H6070" t="str">
            <v>g__Campylobacter</v>
          </cell>
          <cell r="I6070" t="str">
            <v>s__unclassified_g__Campylobacter</v>
          </cell>
        </row>
        <row r="6071">
          <cell r="G6071" t="str">
            <v>ASV21988</v>
          </cell>
          <cell r="H6071" t="str">
            <v>g__UCG-005</v>
          </cell>
          <cell r="I6071" t="str">
            <v>s__uncultured_bacterium_g__UCG-005</v>
          </cell>
        </row>
        <row r="6072">
          <cell r="G6072" t="str">
            <v>ASV20607</v>
          </cell>
          <cell r="H6072" t="str">
            <v>g__unclassified_c__Clostridia</v>
          </cell>
          <cell r="I6072" t="str">
            <v>s__unclassified_c__Clostridia</v>
          </cell>
        </row>
        <row r="6073">
          <cell r="G6073" t="str">
            <v>ASV9238</v>
          </cell>
          <cell r="H6073" t="str">
            <v>g__unclassified_c__Clostridia</v>
          </cell>
          <cell r="I6073" t="str">
            <v>s__unclassified_c__Clostridia</v>
          </cell>
        </row>
        <row r="6074">
          <cell r="G6074" t="str">
            <v>ASV13308</v>
          </cell>
          <cell r="H6074" t="str">
            <v>g__Enterococcus</v>
          </cell>
          <cell r="I6074" t="str">
            <v>s__unclassified_g__Enterococcus</v>
          </cell>
        </row>
        <row r="6075">
          <cell r="G6075" t="str">
            <v>ASV16301</v>
          </cell>
          <cell r="H6075" t="str">
            <v>g__unclassified_f__Ruminococcaceae</v>
          </cell>
          <cell r="I6075" t="str">
            <v>s__unclassified_f__Ruminococcaceae</v>
          </cell>
        </row>
        <row r="6076">
          <cell r="G6076" t="str">
            <v>ASV13321</v>
          </cell>
          <cell r="H6076" t="str">
            <v>g__unclassified_f__Peptostreptococcaceae</v>
          </cell>
          <cell r="I6076" t="str">
            <v>s__unclassified_f__Peptostreptococcaceae</v>
          </cell>
        </row>
        <row r="6077">
          <cell r="G6077" t="str">
            <v>ASV11315</v>
          </cell>
          <cell r="H6077" t="str">
            <v>g__unclassified_p__Firmicutes</v>
          </cell>
          <cell r="I6077" t="str">
            <v>s__unclassified_p__Firmicutes</v>
          </cell>
        </row>
        <row r="6078">
          <cell r="G6078" t="str">
            <v>ASV10483</v>
          </cell>
          <cell r="H6078" t="str">
            <v>g__UCG-005</v>
          </cell>
          <cell r="I6078" t="str">
            <v>s__uncultured_bacterium_g__UCG-005</v>
          </cell>
        </row>
        <row r="6079">
          <cell r="G6079" t="str">
            <v>ASV17830</v>
          </cell>
          <cell r="H6079" t="str">
            <v>g__norank_f__norank_o__norank_c__Clostridia</v>
          </cell>
          <cell r="I6079" t="str">
            <v>s__uncultured_bacterium_g__norank_f__norank_o__norank_c__Clostridia</v>
          </cell>
        </row>
        <row r="6080">
          <cell r="G6080" t="str">
            <v>ASV15253</v>
          </cell>
          <cell r="H6080" t="str">
            <v>g__Fournierella</v>
          </cell>
          <cell r="I6080" t="str">
            <v>s__uncultured_organism_g__Fournierella</v>
          </cell>
        </row>
        <row r="6081">
          <cell r="G6081" t="str">
            <v>ASV5687</v>
          </cell>
          <cell r="H6081" t="str">
            <v>g__UCG-005</v>
          </cell>
          <cell r="I6081" t="str">
            <v>s__unclassified_g__UCG-005</v>
          </cell>
        </row>
        <row r="6082">
          <cell r="G6082" t="str">
            <v>ASV8622</v>
          </cell>
          <cell r="H6082" t="str">
            <v>g__Sphingomonas</v>
          </cell>
          <cell r="I6082" t="str">
            <v>s__unclassified_g__Sphingomonas</v>
          </cell>
        </row>
        <row r="6083">
          <cell r="G6083" t="str">
            <v>ASV17465</v>
          </cell>
          <cell r="H6083" t="str">
            <v>g__Streptococcus</v>
          </cell>
          <cell r="I6083" t="str">
            <v>s__unclassified_g__Streptococcus</v>
          </cell>
        </row>
        <row r="6084">
          <cell r="G6084" t="str">
            <v>ASV6588</v>
          </cell>
          <cell r="H6084" t="str">
            <v>g__unclassified_f__Lachnospiraceae</v>
          </cell>
          <cell r="I6084" t="str">
            <v>s__unclassified_f__Lachnospiraceae</v>
          </cell>
        </row>
        <row r="6085">
          <cell r="G6085" t="str">
            <v>ASV7031</v>
          </cell>
          <cell r="H6085" t="str">
            <v>g__unclassified_f__Lachnospiraceae</v>
          </cell>
          <cell r="I6085" t="str">
            <v>s__unclassified_f__Lachnospiraceae</v>
          </cell>
        </row>
        <row r="6086">
          <cell r="G6086" t="str">
            <v>ASV3902</v>
          </cell>
          <cell r="H6086" t="str">
            <v>g__unclassified_f__Lachnospiraceae</v>
          </cell>
          <cell r="I6086" t="str">
            <v>s__unclassified_f__Lachnospiraceae</v>
          </cell>
        </row>
        <row r="6087">
          <cell r="G6087" t="str">
            <v>ASV16296</v>
          </cell>
          <cell r="H6087" t="str">
            <v>g__norank_f__Muribaculaceae</v>
          </cell>
          <cell r="I6087" t="str">
            <v>s__uncultured_bacterium_g__norank_f__Muribaculaceae</v>
          </cell>
        </row>
        <row r="6088">
          <cell r="G6088" t="str">
            <v>ASV10478</v>
          </cell>
          <cell r="H6088" t="str">
            <v>g__Faecalicoccus</v>
          </cell>
          <cell r="I6088" t="str">
            <v>s__Faecalicoccus_pleomorphus</v>
          </cell>
        </row>
        <row r="6089">
          <cell r="G6089" t="str">
            <v>ASV23099</v>
          </cell>
          <cell r="H6089" t="str">
            <v>g__Mitsuokella</v>
          </cell>
          <cell r="I6089" t="str">
            <v>s__unclassified_g__Mitsuokella</v>
          </cell>
        </row>
        <row r="6090">
          <cell r="G6090" t="str">
            <v>ASV13316</v>
          </cell>
          <cell r="H6090" t="str">
            <v>g__unclassified_c__Clostridia</v>
          </cell>
          <cell r="I6090" t="str">
            <v>s__unclassified_c__Clostridia</v>
          </cell>
        </row>
        <row r="6091">
          <cell r="G6091" t="str">
            <v>ASV15054</v>
          </cell>
          <cell r="H6091" t="str">
            <v>g__Sva0081_sediment_group</v>
          </cell>
          <cell r="I6091" t="str">
            <v>s__unclassified_g__Sva0081_sediment_group</v>
          </cell>
        </row>
        <row r="6092">
          <cell r="G6092" t="str">
            <v>ASV19617</v>
          </cell>
          <cell r="H6092" t="str">
            <v>g__norank_f__norank_o__WCHB1-41</v>
          </cell>
          <cell r="I6092" t="str">
            <v>s__uncultured_bacterium_g__norank_f__norank_o__WCHB1-41</v>
          </cell>
        </row>
        <row r="6093">
          <cell r="G6093" t="str">
            <v>ASV3701</v>
          </cell>
          <cell r="H6093" t="str">
            <v>g__Eubacterium_nodatum_group</v>
          </cell>
          <cell r="I6093" t="str">
            <v>s__unclassified_g__Eubacterium_nodatum_group</v>
          </cell>
        </row>
        <row r="6094">
          <cell r="G6094" t="str">
            <v>ASV7562</v>
          </cell>
          <cell r="H6094" t="str">
            <v>g__norank_f__Muribaculaceae</v>
          </cell>
          <cell r="I6094" t="str">
            <v>s__uncultured_bacterium_g__norank_f__Muribaculaceae</v>
          </cell>
        </row>
        <row r="6095">
          <cell r="G6095" t="str">
            <v>ASV12594</v>
          </cell>
          <cell r="H6095" t="str">
            <v>g__Lactobacillus</v>
          </cell>
          <cell r="I6095" t="str">
            <v>s__unclassified_g__Lactobacillus</v>
          </cell>
        </row>
        <row r="6096">
          <cell r="G6096" t="str">
            <v>ASV8455</v>
          </cell>
          <cell r="H6096" t="str">
            <v>g__Megasphaera</v>
          </cell>
          <cell r="I6096" t="str">
            <v>s__unclassified_g__Megasphaera</v>
          </cell>
        </row>
        <row r="6097">
          <cell r="G6097" t="str">
            <v>ASV5662</v>
          </cell>
          <cell r="H6097" t="str">
            <v>g__unclassified_k__norank_d__Bacteria</v>
          </cell>
          <cell r="I6097" t="str">
            <v>s__unclassified_k__norank_d__Bacteria</v>
          </cell>
        </row>
        <row r="6098">
          <cell r="G6098" t="str">
            <v>ASV5683</v>
          </cell>
          <cell r="H6098" t="str">
            <v>g__Cloacibacillus</v>
          </cell>
          <cell r="I6098" t="str">
            <v>s__unclassified_g__Cloacibacillus</v>
          </cell>
        </row>
        <row r="6099">
          <cell r="G6099" t="str">
            <v>ASV23106</v>
          </cell>
          <cell r="H6099" t="str">
            <v>g__Megasphaera</v>
          </cell>
          <cell r="I6099" t="str">
            <v>s__unclassified_g__Megasphaera</v>
          </cell>
        </row>
        <row r="6100">
          <cell r="G6100" t="str">
            <v>ASV21579</v>
          </cell>
          <cell r="H6100" t="str">
            <v>g__Fusobacterium</v>
          </cell>
          <cell r="I6100" t="str">
            <v>s__unclassified_g__Fusobacterium</v>
          </cell>
        </row>
        <row r="6101">
          <cell r="G6101" t="str">
            <v>ASV17855</v>
          </cell>
          <cell r="H6101" t="str">
            <v>g__norank_f__Eubacterium_coprostanoligenes_group</v>
          </cell>
          <cell r="I6101" t="str">
            <v>s__uncultured_bacterium_g__norank_f__Eubacterium_coprostanoligenes_group</v>
          </cell>
        </row>
        <row r="6102">
          <cell r="G6102" t="str">
            <v>ASV7332</v>
          </cell>
          <cell r="H6102" t="str">
            <v>g__Mogibacterium</v>
          </cell>
          <cell r="I6102" t="str">
            <v>s__uncultured_Enterococcus_sp._g__Mogibacterium</v>
          </cell>
        </row>
        <row r="6103">
          <cell r="G6103" t="str">
            <v>ASV17854</v>
          </cell>
          <cell r="H6103" t="str">
            <v>g__norank_f__Ruminococcaceae</v>
          </cell>
          <cell r="I6103" t="str">
            <v>s__gut_metagenome_g__norank_f__Ruminococcaceae</v>
          </cell>
        </row>
        <row r="6104">
          <cell r="G6104" t="str">
            <v>ASV6582</v>
          </cell>
          <cell r="H6104" t="str">
            <v>g__Pasteurella</v>
          </cell>
          <cell r="I6104" t="str">
            <v>s__Pasteurella_aerogenes</v>
          </cell>
        </row>
        <row r="6105">
          <cell r="G6105" t="str">
            <v>ASV4638</v>
          </cell>
          <cell r="H6105" t="str">
            <v>g__Lactobacillus</v>
          </cell>
          <cell r="I6105" t="str">
            <v>s__unclassified_g__Lactobacillus</v>
          </cell>
        </row>
        <row r="6106">
          <cell r="G6106" t="str">
            <v>ASV3895</v>
          </cell>
          <cell r="H6106" t="str">
            <v>g__Bacteroides</v>
          </cell>
          <cell r="I6106" t="str">
            <v>s__unclassified_g__Bacteroides</v>
          </cell>
        </row>
        <row r="6107">
          <cell r="G6107" t="str">
            <v>ASV14024</v>
          </cell>
          <cell r="H6107" t="str">
            <v>g__Roseburia</v>
          </cell>
          <cell r="I6107" t="str">
            <v>s__unclassified_g__Roseburia</v>
          </cell>
        </row>
        <row r="6108">
          <cell r="G6108" t="str">
            <v>ASV14053</v>
          </cell>
          <cell r="H6108" t="str">
            <v>g__unclassified_f__Lachnospiraceae</v>
          </cell>
          <cell r="I6108" t="str">
            <v>s__unclassified_f__Lachnospiraceae</v>
          </cell>
        </row>
        <row r="6109">
          <cell r="G6109" t="str">
            <v>ASV21421</v>
          </cell>
          <cell r="H6109" t="str">
            <v>g__Lactobacillus</v>
          </cell>
          <cell r="I6109" t="str">
            <v>s__unclassified_g__Lactobacillus</v>
          </cell>
        </row>
        <row r="6110">
          <cell r="G6110" t="str">
            <v>ASV5660</v>
          </cell>
          <cell r="H6110" t="str">
            <v>g__unclassified_f__Ruminococcaceae</v>
          </cell>
          <cell r="I6110" t="str">
            <v>s__unclassified_f__Ruminococcaceae</v>
          </cell>
        </row>
        <row r="6111">
          <cell r="G6111" t="str">
            <v>ASV21181</v>
          </cell>
          <cell r="H6111" t="str">
            <v>g__unclassified_c__Bacilli</v>
          </cell>
          <cell r="I6111" t="str">
            <v>s__unclassified_c__Bacilli</v>
          </cell>
        </row>
        <row r="6112">
          <cell r="G6112" t="str">
            <v>ASV2025</v>
          </cell>
          <cell r="H6112" t="str">
            <v>g__Clostridium_sensu_stricto_1</v>
          </cell>
          <cell r="I6112" t="str">
            <v>s__unclassified_g__Clostridium_sensu_stricto_1</v>
          </cell>
        </row>
        <row r="6113">
          <cell r="G6113" t="str">
            <v>ASV7593</v>
          </cell>
          <cell r="H6113" t="str">
            <v>g__unclassified_f__Oscillospiraceae</v>
          </cell>
          <cell r="I6113" t="str">
            <v>s__unclassified_f__Oscillospiraceae</v>
          </cell>
        </row>
        <row r="6114">
          <cell r="G6114" t="str">
            <v>ASV21731</v>
          </cell>
          <cell r="H6114" t="str">
            <v>g__Moraxella</v>
          </cell>
          <cell r="I6114" t="str">
            <v>s__unclassified_g__Moraxella</v>
          </cell>
        </row>
        <row r="6115">
          <cell r="G6115" t="str">
            <v>ASV21945</v>
          </cell>
          <cell r="H6115" t="str">
            <v>g__UCG-002</v>
          </cell>
          <cell r="I6115" t="str">
            <v>s__uncultured_bacterium_g__UCG-002</v>
          </cell>
        </row>
        <row r="6116">
          <cell r="G6116" t="str">
            <v>ASV3135</v>
          </cell>
          <cell r="H6116" t="str">
            <v>g__Streptococcus</v>
          </cell>
          <cell r="I6116" t="str">
            <v>s__unclassified_g__Streptococcus</v>
          </cell>
        </row>
        <row r="6117">
          <cell r="G6117" t="str">
            <v>ASV13692</v>
          </cell>
          <cell r="H6117" t="str">
            <v>g__Megasphaera</v>
          </cell>
          <cell r="I6117" t="str">
            <v>s__unclassified_g__Megasphaera</v>
          </cell>
        </row>
        <row r="6118">
          <cell r="G6118" t="str">
            <v>ASV15920</v>
          </cell>
          <cell r="H6118" t="str">
            <v>g__Lactobacillus</v>
          </cell>
          <cell r="I6118" t="str">
            <v>s__unclassified_g__Lactobacillus</v>
          </cell>
        </row>
        <row r="6119">
          <cell r="G6119" t="str">
            <v>ASV17820</v>
          </cell>
          <cell r="H6119" t="str">
            <v>g__unclassified_o__Bacteroidales</v>
          </cell>
          <cell r="I6119" t="str">
            <v>s__unclassified_o__Bacteroidales</v>
          </cell>
        </row>
        <row r="6120">
          <cell r="G6120" t="str">
            <v>ASV13786</v>
          </cell>
          <cell r="H6120" t="str">
            <v>g__Streptococcus</v>
          </cell>
          <cell r="I6120" t="str">
            <v>s__unclassified_g__Streptococcus</v>
          </cell>
        </row>
        <row r="6121">
          <cell r="G6121" t="str">
            <v>ASV11043</v>
          </cell>
          <cell r="H6121" t="str">
            <v>g__unclassified_p__Firmicutes</v>
          </cell>
          <cell r="I6121" t="str">
            <v>s__unclassified_p__Firmicutes</v>
          </cell>
        </row>
        <row r="6122">
          <cell r="G6122" t="str">
            <v>ASV2009</v>
          </cell>
          <cell r="H6122" t="str">
            <v>g__unclassified_c__Clostridia</v>
          </cell>
          <cell r="I6122" t="str">
            <v>s__unclassified_c__Clostridia</v>
          </cell>
        </row>
        <row r="6123">
          <cell r="G6123" t="str">
            <v>ASV403</v>
          </cell>
          <cell r="H6123" t="str">
            <v>g__Lactobacillus</v>
          </cell>
          <cell r="I6123" t="str">
            <v>s__unclassified_g__Lactobacillus</v>
          </cell>
        </row>
        <row r="6124">
          <cell r="G6124" t="str">
            <v>ASV452</v>
          </cell>
          <cell r="H6124" t="str">
            <v>g__Sharpea</v>
          </cell>
          <cell r="I6124" t="str">
            <v>s__unclassified_g__Sharpea</v>
          </cell>
        </row>
        <row r="6125">
          <cell r="G6125" t="str">
            <v>ASV4620</v>
          </cell>
          <cell r="H6125" t="str">
            <v>g__norank_f__Eubacterium_coprostanoligenes_group</v>
          </cell>
          <cell r="I6125" t="str">
            <v>s__uncultured_bacterium_g__norank_f__Eubacterium_coprostanoligenes_group</v>
          </cell>
        </row>
        <row r="6126">
          <cell r="G6126" t="str">
            <v>ASV21979</v>
          </cell>
          <cell r="H6126" t="str">
            <v>g__unclassified_o__Oscillospirales</v>
          </cell>
          <cell r="I6126" t="str">
            <v>s__unclassified_o__Oscillospirales</v>
          </cell>
        </row>
        <row r="6127">
          <cell r="G6127" t="str">
            <v>ASV13313</v>
          </cell>
          <cell r="H6127" t="str">
            <v>g__Lactobacillus</v>
          </cell>
          <cell r="I6127" t="str">
            <v>s__unclassified_g__Lactobacillus</v>
          </cell>
        </row>
        <row r="6128">
          <cell r="G6128" t="str">
            <v>ASV3862</v>
          </cell>
          <cell r="H6128" t="str">
            <v>g__Rikenellaceae_RC9_gut_group</v>
          </cell>
          <cell r="I6128" t="str">
            <v>s__uncultured_bacterium_g__Rikenellaceae_RC9_gut_group</v>
          </cell>
        </row>
        <row r="6129">
          <cell r="G6129" t="str">
            <v>ASV17821</v>
          </cell>
          <cell r="H6129" t="str">
            <v>g__unclassified_f__Lachnospiraceae</v>
          </cell>
          <cell r="I6129" t="str">
            <v>s__unclassified_f__Lachnospiraceae</v>
          </cell>
        </row>
        <row r="6130">
          <cell r="G6130" t="str">
            <v>ASV21992</v>
          </cell>
          <cell r="H6130" t="str">
            <v>g__unclassified_f__Lachnospiraceae</v>
          </cell>
          <cell r="I6130" t="str">
            <v>s__unclassified_f__Lachnospiraceae</v>
          </cell>
        </row>
        <row r="6131">
          <cell r="G6131" t="str">
            <v>ASV15235</v>
          </cell>
          <cell r="H6131" t="str">
            <v>g__Lachnospiraceae_NC2004_group</v>
          </cell>
          <cell r="I6131" t="str">
            <v>s__uncultured_bacterium_g__Lachnospiraceae_NC2004_group</v>
          </cell>
        </row>
        <row r="6132">
          <cell r="G6132" t="str">
            <v>ASV7278</v>
          </cell>
          <cell r="H6132" t="str">
            <v>g__Chryseobacterium</v>
          </cell>
          <cell r="I6132" t="str">
            <v>s__unclassified_g__Chryseobacterium</v>
          </cell>
        </row>
        <row r="6133">
          <cell r="G6133" t="str">
            <v>ASV455</v>
          </cell>
          <cell r="H6133" t="str">
            <v>g__unclassified_f__Peptostreptococcaceae</v>
          </cell>
          <cell r="I6133" t="str">
            <v>s__unclassified_f__Peptostreptococcaceae</v>
          </cell>
        </row>
        <row r="6134">
          <cell r="G6134" t="str">
            <v>ASV16306</v>
          </cell>
          <cell r="H6134" t="str">
            <v>g__Prevotellaceae_NK3B31_group</v>
          </cell>
          <cell r="I6134" t="str">
            <v>s__uncultured_bacterium_g__Prevotellaceae_NK3B31_group</v>
          </cell>
        </row>
        <row r="6135">
          <cell r="G6135" t="str">
            <v>ASV16300</v>
          </cell>
          <cell r="H6135" t="str">
            <v>g__Christensenellaceae_R-7_group</v>
          </cell>
          <cell r="I6135" t="str">
            <v>s__unclassified_g__Christensenellaceae_R-7_group</v>
          </cell>
        </row>
        <row r="6136">
          <cell r="G6136" t="str">
            <v>ASV4607</v>
          </cell>
          <cell r="H6136" t="str">
            <v>g__unclassified_f__Lachnospiraceae</v>
          </cell>
          <cell r="I6136" t="str">
            <v>s__unclassified_f__Lachnospiraceae</v>
          </cell>
        </row>
        <row r="6137">
          <cell r="G6137" t="str">
            <v>ASV3145</v>
          </cell>
          <cell r="H6137" t="str">
            <v>g__unclassified_c__Clostridia</v>
          </cell>
          <cell r="I6137" t="str">
            <v>s__unclassified_c__Clostridia</v>
          </cell>
        </row>
        <row r="6138">
          <cell r="G6138" t="str">
            <v>ASV15244</v>
          </cell>
          <cell r="H6138" t="str">
            <v>g__unclassified_f__Anaerovoracaceae</v>
          </cell>
          <cell r="I6138" t="str">
            <v>s__unclassified_f__Anaerovoracaceae</v>
          </cell>
        </row>
        <row r="6139">
          <cell r="G6139" t="str">
            <v>ASV3138</v>
          </cell>
          <cell r="H6139" t="str">
            <v>g__unclassified_f__Pasteurellaceae</v>
          </cell>
          <cell r="I6139" t="str">
            <v>s__unclassified_f__Pasteurellaceae</v>
          </cell>
        </row>
        <row r="6140">
          <cell r="G6140" t="str">
            <v>ASV14019</v>
          </cell>
          <cell r="H6140" t="str">
            <v>g__unclassified_c__Clostridia</v>
          </cell>
          <cell r="I6140" t="str">
            <v>s__unclassified_c__Clostridia</v>
          </cell>
        </row>
        <row r="6141">
          <cell r="G6141" t="str">
            <v>ASV19347</v>
          </cell>
          <cell r="H6141" t="str">
            <v>g__unclassified_f__Lachnospiraceae</v>
          </cell>
          <cell r="I6141" t="str">
            <v>s__unclassified_f__Lachnospiraceae</v>
          </cell>
        </row>
        <row r="6142">
          <cell r="G6142" t="str">
            <v>ASV17463</v>
          </cell>
          <cell r="H6142" t="str">
            <v>g__unclassified_f__Oscillospiraceae</v>
          </cell>
          <cell r="I6142" t="str">
            <v>s__unclassified_f__Oscillospiraceae</v>
          </cell>
        </row>
        <row r="6143">
          <cell r="G6143" t="str">
            <v>ASV16308</v>
          </cell>
          <cell r="H6143" t="str">
            <v>g__unclassified_o__Oscillospirales</v>
          </cell>
          <cell r="I6143" t="str">
            <v>s__unclassified_o__Oscillospirales</v>
          </cell>
        </row>
        <row r="6144">
          <cell r="G6144" t="str">
            <v>ASV6584</v>
          </cell>
          <cell r="H6144" t="str">
            <v>g__Enterococcus</v>
          </cell>
          <cell r="I6144" t="str">
            <v>s__unclassified_g__Enterococcus</v>
          </cell>
        </row>
        <row r="6145">
          <cell r="G6145" t="str">
            <v>ASV20225</v>
          </cell>
          <cell r="H6145" t="str">
            <v>g__Lactobacillus</v>
          </cell>
          <cell r="I6145" t="str">
            <v>s__unclassified_g__Lactobacillus</v>
          </cell>
        </row>
        <row r="6146">
          <cell r="G6146" t="str">
            <v>ASV16839</v>
          </cell>
          <cell r="H6146" t="str">
            <v>g__Streptococcus</v>
          </cell>
          <cell r="I6146" t="str">
            <v>s__unclassified_g__Streptococcus</v>
          </cell>
        </row>
        <row r="6147">
          <cell r="G6147" t="str">
            <v>ASV24106</v>
          </cell>
          <cell r="H6147" t="str">
            <v>g__unclassified_f__Ruminococcaceae</v>
          </cell>
          <cell r="I6147" t="str">
            <v>s__unclassified_f__Ruminococcaceae</v>
          </cell>
        </row>
        <row r="6148">
          <cell r="G6148" t="str">
            <v>ASV10502</v>
          </cell>
          <cell r="H6148" t="str">
            <v>g__unclassified_c__Clostridia</v>
          </cell>
          <cell r="I6148" t="str">
            <v>s__unclassified_c__Clostridia</v>
          </cell>
        </row>
        <row r="6149">
          <cell r="G6149" t="str">
            <v>ASV14009</v>
          </cell>
          <cell r="H6149" t="str">
            <v>g__unclassified_o__Peptostreptococcales-Tissierellales</v>
          </cell>
          <cell r="I6149" t="str">
            <v>s__unclassified_o__Peptostreptococcales-Tissierellales</v>
          </cell>
        </row>
        <row r="6150">
          <cell r="G6150" t="str">
            <v>ASV17828</v>
          </cell>
          <cell r="H6150" t="str">
            <v>g__norank_f__Ruminococcaceae</v>
          </cell>
          <cell r="I6150" t="str">
            <v>s__gut_metagenome_g__norank_f__Ruminococcaceae</v>
          </cell>
        </row>
        <row r="6151">
          <cell r="G6151" t="str">
            <v>ASV4621</v>
          </cell>
          <cell r="H6151" t="str">
            <v>g__Terrisporobacter</v>
          </cell>
          <cell r="I6151" t="str">
            <v>s__unclassified_g__Terrisporobacter</v>
          </cell>
        </row>
        <row r="6152">
          <cell r="G6152" t="str">
            <v>ASV20413</v>
          </cell>
          <cell r="H6152" t="str">
            <v>g__Pigmentiphaga</v>
          </cell>
          <cell r="I6152" t="str">
            <v>s__unclassified_g__Pigmentiphaga</v>
          </cell>
        </row>
        <row r="6153">
          <cell r="G6153" t="str">
            <v>ASV2886</v>
          </cell>
          <cell r="H6153" t="str">
            <v>g__Devosia</v>
          </cell>
          <cell r="I6153" t="str">
            <v>s__unclassified_g__Devosia</v>
          </cell>
        </row>
        <row r="6154">
          <cell r="G6154" t="str">
            <v>ASV4609</v>
          </cell>
          <cell r="H6154" t="str">
            <v>g__unclassified_f__Lachnospiraceae</v>
          </cell>
          <cell r="I6154" t="str">
            <v>s__unclassified_f__Lachnospiraceae</v>
          </cell>
        </row>
        <row r="6155">
          <cell r="G6155" t="str">
            <v>ASV4635</v>
          </cell>
          <cell r="H6155" t="str">
            <v>g__Parabacteroides</v>
          </cell>
          <cell r="I6155" t="str">
            <v>s__Porphyromonadaceae_bacterium_DJF_B175</v>
          </cell>
        </row>
        <row r="6156">
          <cell r="G6156" t="str">
            <v>ASV5706</v>
          </cell>
          <cell r="H6156" t="str">
            <v>g__unclassified_c__Clostridia</v>
          </cell>
          <cell r="I6156" t="str">
            <v>s__unclassified_c__Clostridia</v>
          </cell>
        </row>
        <row r="6157">
          <cell r="G6157" t="str">
            <v>ASV21932</v>
          </cell>
          <cell r="H6157" t="str">
            <v>g__norank_f__norank_o__Clostridia_vadinBB60_group</v>
          </cell>
          <cell r="I6157" t="str">
            <v>s__uncultured_bacterium_g__norank_f__norank_o__Clostridia_vadinBB60_group</v>
          </cell>
        </row>
        <row r="6158">
          <cell r="G6158" t="str">
            <v>ASV8021</v>
          </cell>
          <cell r="H6158" t="str">
            <v>g__norank_f__norank_o__RF39</v>
          </cell>
          <cell r="I6158" t="str">
            <v>s__uncultured_bacterium_g__norank_f__norank_o__RF39</v>
          </cell>
        </row>
        <row r="6159">
          <cell r="G6159" t="str">
            <v>ASV4640</v>
          </cell>
          <cell r="H6159" t="str">
            <v>g__Romboutsia</v>
          </cell>
          <cell r="I6159" t="str">
            <v>s__unclassified_g__Romboutsia</v>
          </cell>
        </row>
        <row r="6160">
          <cell r="G6160" t="str">
            <v>ASV11323</v>
          </cell>
          <cell r="H6160" t="str">
            <v>g__Candidatus_Saccharimonas</v>
          </cell>
          <cell r="I6160" t="str">
            <v>s__unclassified_g__Candidatus_Saccharimonas</v>
          </cell>
        </row>
        <row r="6161">
          <cell r="G6161" t="str">
            <v>ASV2011</v>
          </cell>
          <cell r="H6161" t="str">
            <v>g__unclassified_c__Clostridia</v>
          </cell>
          <cell r="I6161" t="str">
            <v>s__unclassified_c__Clostridia</v>
          </cell>
        </row>
        <row r="6162">
          <cell r="G6162" t="str">
            <v>ASV19042</v>
          </cell>
          <cell r="H6162" t="str">
            <v>g__Fusobacterium</v>
          </cell>
          <cell r="I6162" t="str">
            <v>s__unclassified_g__Fusobacterium</v>
          </cell>
        </row>
        <row r="6163">
          <cell r="G6163" t="str">
            <v>ASV23081</v>
          </cell>
          <cell r="H6163" t="str">
            <v>g__Megasphaera</v>
          </cell>
          <cell r="I6163" t="str">
            <v>s__unclassified_g__Megasphaera</v>
          </cell>
        </row>
        <row r="6164">
          <cell r="G6164" t="str">
            <v>ASV17852</v>
          </cell>
          <cell r="H6164" t="str">
            <v>g__unclassified_c__Clostridia</v>
          </cell>
          <cell r="I6164" t="str">
            <v>s__unclassified_c__Clostridia</v>
          </cell>
        </row>
        <row r="6165">
          <cell r="G6165" t="str">
            <v>ASV15242</v>
          </cell>
          <cell r="H6165" t="str">
            <v>g__unclassified_o__Peptostreptococcales-Tissierellales</v>
          </cell>
          <cell r="I6165" t="str">
            <v>s__unclassified_o__Peptostreptococcales-Tissierellales</v>
          </cell>
        </row>
        <row r="6166">
          <cell r="G6166" t="str">
            <v>ASV15922</v>
          </cell>
          <cell r="H6166" t="str">
            <v>g__Lactobacillus</v>
          </cell>
          <cell r="I6166" t="str">
            <v>s__unclassified_g__Lactobacillus</v>
          </cell>
        </row>
        <row r="6167">
          <cell r="G6167" t="str">
            <v>ASV11356</v>
          </cell>
          <cell r="H6167" t="str">
            <v>g__NK4A214_group</v>
          </cell>
          <cell r="I6167" t="str">
            <v>s__unclassified_g__NK4A214_group</v>
          </cell>
        </row>
        <row r="6168">
          <cell r="G6168" t="str">
            <v>ASV4627</v>
          </cell>
          <cell r="H6168" t="str">
            <v>g__unclassified_f__Lachnospiraceae</v>
          </cell>
          <cell r="I6168" t="str">
            <v>s__unclassified_f__Lachnospiraceae</v>
          </cell>
        </row>
        <row r="6169">
          <cell r="G6169" t="str">
            <v>ASV17837</v>
          </cell>
          <cell r="H6169" t="str">
            <v>g__Phascolarctobacterium</v>
          </cell>
          <cell r="I6169" t="str">
            <v>s__unclassified_g__Phascolarctobacterium</v>
          </cell>
        </row>
        <row r="6170">
          <cell r="G6170" t="str">
            <v>ASV5671</v>
          </cell>
          <cell r="H6170" t="str">
            <v>g__Parabacteroides</v>
          </cell>
          <cell r="I6170" t="str">
            <v>s__Porphyromonadaceae_bacterium_DJF_B175</v>
          </cell>
        </row>
        <row r="6171">
          <cell r="G6171" t="str">
            <v>ASV23917</v>
          </cell>
          <cell r="H6171" t="str">
            <v>g__Lactobacillus</v>
          </cell>
          <cell r="I6171" t="str">
            <v>s__unclassified_g__Lactobacillus</v>
          </cell>
        </row>
        <row r="6172">
          <cell r="G6172" t="str">
            <v>ASV10519</v>
          </cell>
          <cell r="H6172" t="str">
            <v>g__Terrisporobacter</v>
          </cell>
          <cell r="I6172" t="str">
            <v>s__unclassified_g__Terrisporobacter</v>
          </cell>
        </row>
        <row r="6173">
          <cell r="G6173" t="str">
            <v>ASV17267</v>
          </cell>
          <cell r="H6173" t="str">
            <v>g__Gemella</v>
          </cell>
          <cell r="I6173" t="str">
            <v>s__unclassified_g__Gemella</v>
          </cell>
        </row>
        <row r="6174">
          <cell r="G6174" t="str">
            <v>ASV19346</v>
          </cell>
          <cell r="H6174" t="str">
            <v>g__unclassified_f__Lachnospiraceae</v>
          </cell>
          <cell r="I6174" t="str">
            <v>s__unclassified_f__Lachnospiraceae</v>
          </cell>
        </row>
        <row r="6175">
          <cell r="G6175" t="str">
            <v>ASV16299</v>
          </cell>
          <cell r="H6175" t="str">
            <v>g__Clostridium_sensu_stricto_1</v>
          </cell>
          <cell r="I6175" t="str">
            <v>s__uncultured_bacterium_g__Clostridium_sensu_stricto_1</v>
          </cell>
        </row>
        <row r="6176">
          <cell r="G6176" t="str">
            <v>ASV13304</v>
          </cell>
          <cell r="H6176" t="str">
            <v>g__unclassified_f__Ruminococcaceae</v>
          </cell>
          <cell r="I6176" t="str">
            <v>s__unclassified_f__Ruminococcaceae</v>
          </cell>
        </row>
        <row r="6177">
          <cell r="G6177" t="str">
            <v>ASV7167</v>
          </cell>
          <cell r="H6177" t="str">
            <v>g__Bacteroides</v>
          </cell>
          <cell r="I6177" t="str">
            <v>s__unclassified_g__Bacteroides</v>
          </cell>
        </row>
        <row r="6178">
          <cell r="G6178" t="str">
            <v>ASV9237</v>
          </cell>
          <cell r="H6178" t="str">
            <v>g__unclassified_o__Bacteroidales</v>
          </cell>
          <cell r="I6178" t="str">
            <v>s__unclassified_o__Bacteroidales</v>
          </cell>
        </row>
        <row r="6179">
          <cell r="G6179" t="str">
            <v>ASV19160</v>
          </cell>
          <cell r="H6179" t="str">
            <v>g__Lactobacillus</v>
          </cell>
          <cell r="I6179" t="str">
            <v>s__Lactobacillus_pontis</v>
          </cell>
        </row>
        <row r="6180">
          <cell r="G6180" t="str">
            <v>ASV15252</v>
          </cell>
          <cell r="H6180" t="str">
            <v>g__unclassified_o__Peptostreptococcales-Tissierellales</v>
          </cell>
          <cell r="I6180" t="str">
            <v>s__unclassified_o__Peptostreptococcales-Tissierellales</v>
          </cell>
        </row>
        <row r="6181">
          <cell r="G6181" t="str">
            <v>ASV21972</v>
          </cell>
          <cell r="H6181" t="str">
            <v>g__unclassified_f__Lachnospiraceae</v>
          </cell>
          <cell r="I6181" t="str">
            <v>s__unclassified_f__Lachnospiraceae</v>
          </cell>
        </row>
        <row r="6182">
          <cell r="G6182" t="str">
            <v>ASV17656</v>
          </cell>
          <cell r="H6182" t="str">
            <v>g__unclassified_c__Bacilli</v>
          </cell>
          <cell r="I6182" t="str">
            <v>s__unclassified_c__Bacilli</v>
          </cell>
        </row>
        <row r="6183">
          <cell r="G6183" t="str">
            <v>ASV2019</v>
          </cell>
          <cell r="H6183" t="str">
            <v>g__unclassified_c__Clostridia</v>
          </cell>
          <cell r="I6183" t="str">
            <v>s__unclassified_c__Clostridia</v>
          </cell>
        </row>
        <row r="6184">
          <cell r="G6184" t="str">
            <v>ASV5704</v>
          </cell>
          <cell r="H6184" t="str">
            <v>g__norank_f__Ruminococcaceae</v>
          </cell>
          <cell r="I6184" t="str">
            <v>s__gut_metagenome_g__norank_f__Ruminococcaceae</v>
          </cell>
        </row>
        <row r="6185">
          <cell r="G6185" t="str">
            <v>ASV20418</v>
          </cell>
          <cell r="H6185" t="str">
            <v>g__Edaphobaculum</v>
          </cell>
          <cell r="I6185" t="str">
            <v>s__unclassified_g__Edaphobaculum</v>
          </cell>
        </row>
        <row r="6186">
          <cell r="G6186" t="str">
            <v>ASV442</v>
          </cell>
          <cell r="H6186" t="str">
            <v>g__Lactobacillus</v>
          </cell>
          <cell r="I6186" t="str">
            <v>s__unclassified_g__Lactobacillus</v>
          </cell>
        </row>
        <row r="6187">
          <cell r="G6187" t="str">
            <v>ASV13324</v>
          </cell>
          <cell r="H6187" t="str">
            <v>g__Lactobacillus</v>
          </cell>
          <cell r="I6187" t="str">
            <v>s__unclassified_g__Lactobacillus</v>
          </cell>
        </row>
        <row r="6188">
          <cell r="G6188" t="str">
            <v>ASV1604</v>
          </cell>
          <cell r="H6188" t="str">
            <v>g__unclassified_c__Bacilli</v>
          </cell>
          <cell r="I6188" t="str">
            <v>s__unclassified_c__Bacilli</v>
          </cell>
        </row>
        <row r="6189">
          <cell r="G6189" t="str">
            <v>ASV21931</v>
          </cell>
          <cell r="H6189" t="str">
            <v>g__norank_f__Ruminococcaceae</v>
          </cell>
          <cell r="I6189" t="str">
            <v>s__unclassified_g__norank_f__Ruminococcaceae</v>
          </cell>
        </row>
        <row r="6190">
          <cell r="G6190" t="str">
            <v>ASV2024</v>
          </cell>
          <cell r="H6190" t="str">
            <v>g__Family_XIII_AD3011_group</v>
          </cell>
          <cell r="I6190" t="str">
            <v>s__uncultured_bacterium_g__Family_XIII_AD3011_group</v>
          </cell>
        </row>
        <row r="6191">
          <cell r="G6191" t="str">
            <v>ASV19339</v>
          </cell>
          <cell r="H6191" t="str">
            <v>g__unclassified_p__Firmicutes</v>
          </cell>
          <cell r="I6191" t="str">
            <v>s__unclassified_p__Firmicutes</v>
          </cell>
        </row>
        <row r="6192">
          <cell r="G6192" t="str">
            <v>ASV17856</v>
          </cell>
          <cell r="H6192" t="str">
            <v>g__UCG-007</v>
          </cell>
          <cell r="I6192" t="str">
            <v>s__uncultured_bacterium_g__UCG-007</v>
          </cell>
        </row>
        <row r="6193">
          <cell r="G6193" t="str">
            <v>ASV20614</v>
          </cell>
          <cell r="H6193" t="str">
            <v>g__unclassified_f__Christensenellaceae</v>
          </cell>
          <cell r="I6193" t="str">
            <v>s__unclassified_f__Christensenellaceae</v>
          </cell>
        </row>
        <row r="6194">
          <cell r="G6194" t="str">
            <v>ASV3136</v>
          </cell>
          <cell r="H6194" t="str">
            <v>g__unclassified_f__Ruminococcaceae</v>
          </cell>
          <cell r="I6194" t="str">
            <v>s__unclassified_f__Ruminococcaceae</v>
          </cell>
        </row>
        <row r="6195">
          <cell r="G6195" t="str">
            <v>ASV18817</v>
          </cell>
          <cell r="H6195" t="str">
            <v>g__unclassified_f__Oscillospiraceae</v>
          </cell>
          <cell r="I6195" t="str">
            <v>s__unclassified_f__Oscillospiraceae</v>
          </cell>
        </row>
        <row r="6196">
          <cell r="G6196" t="str">
            <v>ASV9248</v>
          </cell>
          <cell r="H6196" t="str">
            <v>g__norank_f__Muribaculaceae</v>
          </cell>
          <cell r="I6196" t="str">
            <v>s__uncultured_organism_g__norank_f__Muribaculaceae</v>
          </cell>
        </row>
        <row r="6197">
          <cell r="G6197" t="str">
            <v>ASV17661</v>
          </cell>
          <cell r="H6197" t="str">
            <v>g__unclassified_f__Peptostreptococcaceae</v>
          </cell>
          <cell r="I6197" t="str">
            <v>s__unclassified_f__Peptostreptococcaceae</v>
          </cell>
        </row>
        <row r="6198">
          <cell r="G6198" t="str">
            <v>ASV9245</v>
          </cell>
          <cell r="H6198" t="str">
            <v>g__unclassified_o__Peptostreptococcales-Tissierellales</v>
          </cell>
          <cell r="I6198" t="str">
            <v>s__unclassified_o__Peptostreptococcales-Tissierellales</v>
          </cell>
        </row>
        <row r="6199">
          <cell r="G6199" t="str">
            <v>ASV1610</v>
          </cell>
          <cell r="H6199" t="str">
            <v>g__Lactobacillus</v>
          </cell>
          <cell r="I6199" t="str">
            <v>s__unclassified_g__Lactobacillus</v>
          </cell>
        </row>
        <row r="6200">
          <cell r="G6200" t="str">
            <v>ASV17861</v>
          </cell>
          <cell r="H6200" t="str">
            <v>g__unclassified_c__Clostridia</v>
          </cell>
          <cell r="I6200" t="str">
            <v>s__unclassified_c__Clostridia</v>
          </cell>
        </row>
        <row r="6201">
          <cell r="G6201" t="str">
            <v>ASV21967</v>
          </cell>
          <cell r="H6201" t="str">
            <v>g__unclassified_f__Lachnospiraceae</v>
          </cell>
          <cell r="I6201" t="str">
            <v>s__unclassified_f__Lachnospiraceae</v>
          </cell>
        </row>
        <row r="6202">
          <cell r="G6202" t="str">
            <v>ASV17818</v>
          </cell>
          <cell r="H6202" t="str">
            <v>g__Christensenellaceae_R-7_group</v>
          </cell>
          <cell r="I6202" t="str">
            <v>s__unclassified_g__Christensenellaceae_R-7_group</v>
          </cell>
        </row>
        <row r="6203">
          <cell r="G6203" t="str">
            <v>ASV17404</v>
          </cell>
          <cell r="H6203" t="str">
            <v>g__Proteocatella</v>
          </cell>
          <cell r="I6203" t="str">
            <v>s__Frigovirgula_sp._canine_oral_taxon_058</v>
          </cell>
        </row>
        <row r="6204">
          <cell r="G6204" t="str">
            <v>ASV12616</v>
          </cell>
          <cell r="H6204" t="str">
            <v>g__unclassified_f__Lachnospiraceae</v>
          </cell>
          <cell r="I6204" t="str">
            <v>s__unclassified_f__Lachnospiraceae</v>
          </cell>
        </row>
        <row r="6205">
          <cell r="G6205" t="str">
            <v>ASV21422</v>
          </cell>
          <cell r="H6205" t="str">
            <v>g__unclassified_c__Bacilli</v>
          </cell>
          <cell r="I6205" t="str">
            <v>s__unclassified_c__Bacilli</v>
          </cell>
        </row>
        <row r="6206">
          <cell r="G6206" t="str">
            <v>ASV17658</v>
          </cell>
          <cell r="H6206" t="str">
            <v>g__Lactobacillus</v>
          </cell>
          <cell r="I6206" t="str">
            <v>s__unclassified_g__Lactobacillus</v>
          </cell>
        </row>
        <row r="6207">
          <cell r="G6207" t="str">
            <v>ASV14023</v>
          </cell>
          <cell r="H6207" t="str">
            <v>g__Ruminococcus</v>
          </cell>
          <cell r="I6207" t="str">
            <v>s__unclassified_g__Ruminococcus</v>
          </cell>
        </row>
        <row r="6208">
          <cell r="G6208" t="str">
            <v>ASV1600</v>
          </cell>
          <cell r="H6208" t="str">
            <v>g__Erysipelotrichaceae_UCG-003</v>
          </cell>
          <cell r="I6208" t="str">
            <v>s__uncultured_bacterium_g__Erysipelotrichaceae_UCG-003</v>
          </cell>
        </row>
        <row r="6209">
          <cell r="G6209" t="str">
            <v>ASV23752</v>
          </cell>
          <cell r="H6209" t="str">
            <v>g__norank_f__Erysipelotrichaceae</v>
          </cell>
          <cell r="I6209" t="str">
            <v>s__uncultured_bacterium_g__norank_f__Erysipelotrichaceae</v>
          </cell>
        </row>
        <row r="6210">
          <cell r="G6210" t="str">
            <v>ASV11333</v>
          </cell>
          <cell r="H6210" t="str">
            <v>g__unclassified_k__norank_d__Bacteria</v>
          </cell>
          <cell r="I6210" t="str">
            <v>s__unclassified_k__norank_d__Bacteria</v>
          </cell>
        </row>
        <row r="6211">
          <cell r="G6211" t="str">
            <v>ASV8447</v>
          </cell>
          <cell r="H6211" t="str">
            <v>g__unclassified_c__Negativicutes</v>
          </cell>
          <cell r="I6211" t="str">
            <v>s__unclassified_c__Negativicutes</v>
          </cell>
        </row>
        <row r="6212">
          <cell r="G6212" t="str">
            <v>ASV19155</v>
          </cell>
          <cell r="H6212" t="str">
            <v>g__unclassified_o__Saccharimonadales</v>
          </cell>
          <cell r="I6212" t="str">
            <v>s__unclassified_o__Saccharimonadales</v>
          </cell>
        </row>
        <row r="6213">
          <cell r="G6213" t="str">
            <v>ASV10497</v>
          </cell>
          <cell r="H6213" t="str">
            <v>g__unclassified_f__Lachnospiraceae</v>
          </cell>
          <cell r="I6213" t="str">
            <v>s__unclassified_f__Lachnospiraceae</v>
          </cell>
        </row>
        <row r="6214">
          <cell r="G6214" t="str">
            <v>ASV13326</v>
          </cell>
          <cell r="H6214" t="str">
            <v>g__Christensenellaceae_R-7_group</v>
          </cell>
          <cell r="I6214" t="str">
            <v>s__unclassified_g__Christensenellaceae_R-7_group</v>
          </cell>
        </row>
        <row r="6215">
          <cell r="G6215" t="str">
            <v>ASV11332</v>
          </cell>
          <cell r="H6215" t="str">
            <v>g__unclassified_f__Lachnospiraceae</v>
          </cell>
          <cell r="I6215" t="str">
            <v>s__unclassified_f__Lachnospiraceae</v>
          </cell>
        </row>
        <row r="6216">
          <cell r="G6216" t="str">
            <v>ASV15912</v>
          </cell>
          <cell r="H6216" t="str">
            <v>g__Lactobacillus</v>
          </cell>
          <cell r="I6216" t="str">
            <v>s__unclassified_g__Lactobacillus</v>
          </cell>
        </row>
        <row r="6217">
          <cell r="G6217" t="str">
            <v>ASV17817</v>
          </cell>
          <cell r="H6217" t="str">
            <v>g__norank_f__UCG-011</v>
          </cell>
          <cell r="I6217" t="str">
            <v>s__uncultured_bacterium_g__norank_f__UCG-011</v>
          </cell>
        </row>
        <row r="6218">
          <cell r="G6218" t="str">
            <v>ASV7574</v>
          </cell>
          <cell r="H6218" t="str">
            <v>g__Clostridium_sensu_stricto_1</v>
          </cell>
          <cell r="I6218" t="str">
            <v>s__unclassified_g__Clostridium_sensu_stricto_1</v>
          </cell>
        </row>
        <row r="6219">
          <cell r="G6219" t="str">
            <v>ASV17847</v>
          </cell>
          <cell r="H6219" t="str">
            <v>g__unclassified_f__Peptostreptococcaceae</v>
          </cell>
          <cell r="I6219" t="str">
            <v>s__unclassified_f__Peptostreptococcaceae</v>
          </cell>
        </row>
        <row r="6220">
          <cell r="G6220" t="str">
            <v>ASV15221</v>
          </cell>
          <cell r="H6220" t="str">
            <v>g__Pyramidobacter</v>
          </cell>
          <cell r="I6220" t="str">
            <v>s__uncultured_bacterium_g__Pyramidobacter</v>
          </cell>
        </row>
        <row r="6221">
          <cell r="G6221" t="str">
            <v>ASV17180</v>
          </cell>
          <cell r="H6221" t="str">
            <v>g__Turicibacter</v>
          </cell>
          <cell r="I6221" t="str">
            <v>s__uncultured_bacterium_g__Turicibacter</v>
          </cell>
        </row>
        <row r="6222">
          <cell r="G6222" t="str">
            <v>ASV19341</v>
          </cell>
          <cell r="H6222" t="str">
            <v>g__Lactobacillus</v>
          </cell>
          <cell r="I6222" t="str">
            <v>s__unclassified_g__Lactobacillus</v>
          </cell>
        </row>
        <row r="6223">
          <cell r="G6223" t="str">
            <v>ASV21940</v>
          </cell>
          <cell r="H6223" t="str">
            <v>g__UCG-008</v>
          </cell>
          <cell r="I6223" t="str">
            <v>s__uncultured_bacterium_g__UCG-008</v>
          </cell>
        </row>
        <row r="6224">
          <cell r="G6224" t="str">
            <v>ASV4645</v>
          </cell>
          <cell r="H6224" t="str">
            <v>g__unclassified_c__Clostridia</v>
          </cell>
          <cell r="I6224" t="str">
            <v>s__unclassified_c__Clostridia</v>
          </cell>
        </row>
        <row r="6225">
          <cell r="G6225" t="str">
            <v>ASV11357</v>
          </cell>
          <cell r="H6225" t="str">
            <v>g__unclassified_p__Firmicutes</v>
          </cell>
          <cell r="I6225" t="str">
            <v>s__unclassified_p__Firmicutes</v>
          </cell>
        </row>
        <row r="6226">
          <cell r="G6226" t="str">
            <v>ASV433</v>
          </cell>
          <cell r="H6226" t="str">
            <v>g__unclassified_c__Clostridia</v>
          </cell>
          <cell r="I6226" t="str">
            <v>s__unclassified_c__Clostridia</v>
          </cell>
        </row>
        <row r="6227">
          <cell r="G6227" t="str">
            <v>ASV7334</v>
          </cell>
          <cell r="H6227" t="str">
            <v>g__Veillonella</v>
          </cell>
          <cell r="I6227" t="str">
            <v>s__unclassified_g__Veillonella</v>
          </cell>
        </row>
        <row r="6228">
          <cell r="G6228" t="str">
            <v>ASV12611</v>
          </cell>
          <cell r="H6228" t="str">
            <v>g__unclassified_f__Peptostreptococcaceae</v>
          </cell>
          <cell r="I6228" t="str">
            <v>s__unclassified_f__Peptostreptococcaceae</v>
          </cell>
        </row>
        <row r="6229">
          <cell r="G6229" t="str">
            <v>ASV14032</v>
          </cell>
          <cell r="H6229" t="str">
            <v>g__Christensenellaceae_R-7_group</v>
          </cell>
          <cell r="I6229" t="str">
            <v>s__unclassified_g__Christensenellaceae_R-7_group</v>
          </cell>
        </row>
        <row r="6230">
          <cell r="G6230" t="str">
            <v>ASV11325</v>
          </cell>
          <cell r="H6230" t="str">
            <v>g__unclassified_c__Clostridia</v>
          </cell>
          <cell r="I6230" t="str">
            <v>s__unclassified_c__Clostridia</v>
          </cell>
        </row>
        <row r="6231">
          <cell r="G6231" t="str">
            <v>ASV457</v>
          </cell>
          <cell r="H6231" t="str">
            <v>g__norank_f__Oscillospiraceae</v>
          </cell>
          <cell r="I6231" t="str">
            <v>s__unclassified_g__norank_f__Oscillospiraceae</v>
          </cell>
        </row>
        <row r="6232">
          <cell r="G6232" t="str">
            <v>ASV3871</v>
          </cell>
          <cell r="H6232" t="str">
            <v>g__Lactobacillus</v>
          </cell>
          <cell r="I6232" t="str">
            <v>s__unclassified_g__Lactobacillus</v>
          </cell>
        </row>
        <row r="6233">
          <cell r="G6233" t="str">
            <v>ASV10508</v>
          </cell>
          <cell r="H6233" t="str">
            <v>g__unclassified_c__Clostridia</v>
          </cell>
          <cell r="I6233" t="str">
            <v>s__unclassified_c__Clostridia</v>
          </cell>
        </row>
        <row r="6234">
          <cell r="G6234" t="str">
            <v>ASV14013</v>
          </cell>
          <cell r="H6234" t="str">
            <v>g__unclassified_f__Prevotellaceae</v>
          </cell>
          <cell r="I6234" t="str">
            <v>s__unclassified_f__Prevotellaceae</v>
          </cell>
        </row>
        <row r="6235">
          <cell r="G6235" t="str">
            <v>ASV9015</v>
          </cell>
          <cell r="H6235" t="str">
            <v>g__unclassified_f__Prevotellaceae</v>
          </cell>
          <cell r="I6235" t="str">
            <v>s__unclassified_f__Prevotellaceae</v>
          </cell>
        </row>
        <row r="6236">
          <cell r="G6236" t="str">
            <v>ASV17846</v>
          </cell>
          <cell r="H6236" t="str">
            <v>g__unclassified_c__Clostridia</v>
          </cell>
          <cell r="I6236" t="str">
            <v>s__unclassified_c__Clostridia</v>
          </cell>
        </row>
        <row r="6237">
          <cell r="G6237" t="str">
            <v>ASV23096</v>
          </cell>
          <cell r="H6237" t="str">
            <v>g__unclassified_f__Ruminococcaceae</v>
          </cell>
          <cell r="I6237" t="str">
            <v>s__unclassified_f__Ruminococcaceae</v>
          </cell>
        </row>
        <row r="6238">
          <cell r="G6238" t="str">
            <v>ASV24100</v>
          </cell>
          <cell r="H6238" t="str">
            <v>g__Bacillus</v>
          </cell>
          <cell r="I6238" t="str">
            <v>s__Lactobacillus_vaginalis_g__Bacillus</v>
          </cell>
        </row>
        <row r="6239">
          <cell r="G6239" t="str">
            <v>ASV13315</v>
          </cell>
          <cell r="H6239" t="str">
            <v>g__unclassified_f__Peptostreptococcaceae</v>
          </cell>
          <cell r="I6239" t="str">
            <v>s__unclassified_f__Peptostreptococcaceae</v>
          </cell>
        </row>
        <row r="6240">
          <cell r="G6240" t="str">
            <v>ASV21989</v>
          </cell>
          <cell r="H6240" t="str">
            <v>g__unclassified_f__Lachnospiraceae</v>
          </cell>
          <cell r="I6240" t="str">
            <v>s__unclassified_f__Lachnospiraceae</v>
          </cell>
        </row>
        <row r="6241">
          <cell r="G6241" t="str">
            <v>ASV21961</v>
          </cell>
          <cell r="H6241" t="str">
            <v>g__Megasphaera</v>
          </cell>
          <cell r="I6241" t="str">
            <v>s__unclassified_g__Megasphaera</v>
          </cell>
        </row>
        <row r="6242">
          <cell r="G6242" t="str">
            <v>ASV18822</v>
          </cell>
          <cell r="H6242" t="str">
            <v>g__unclassified_f__Oscillospiraceae</v>
          </cell>
          <cell r="I6242" t="str">
            <v>s__unclassified_f__Oscillospiraceae</v>
          </cell>
        </row>
        <row r="6243">
          <cell r="G6243" t="str">
            <v>ASV19355</v>
          </cell>
          <cell r="H6243" t="str">
            <v>g__unclassified_f__Lachnospiraceae</v>
          </cell>
          <cell r="I6243" t="str">
            <v>s__unclassified_f__Lachnospiraceae</v>
          </cell>
        </row>
        <row r="6244">
          <cell r="G6244" t="str">
            <v>ASV22885</v>
          </cell>
          <cell r="H6244" t="str">
            <v>g__Corynebacterium</v>
          </cell>
          <cell r="I6244" t="str">
            <v>s__unclassified_g__Corynebacterium</v>
          </cell>
        </row>
        <row r="6245">
          <cell r="G6245" t="str">
            <v>ASV407</v>
          </cell>
          <cell r="H6245" t="str">
            <v>g__Parabacteroides</v>
          </cell>
          <cell r="I6245" t="str">
            <v>s__Porphyromonadaceae_bacterium_DJF_B175</v>
          </cell>
        </row>
        <row r="6246">
          <cell r="G6246" t="str">
            <v>ASV3446</v>
          </cell>
          <cell r="H6246" t="str">
            <v>g__Howardella</v>
          </cell>
          <cell r="I6246" t="str">
            <v>s__unclassified_g__Howardella</v>
          </cell>
        </row>
        <row r="6247">
          <cell r="G6247" t="str">
            <v>ASV24103</v>
          </cell>
          <cell r="H6247" t="str">
            <v>g__Lactobacillus</v>
          </cell>
          <cell r="I6247" t="str">
            <v>s__unclassified_g__Lactobacillus</v>
          </cell>
        </row>
        <row r="6248">
          <cell r="G6248" t="str">
            <v>ASV21987</v>
          </cell>
          <cell r="H6248" t="str">
            <v>g__unclassified_f__Lachnospiraceae</v>
          </cell>
          <cell r="I6248" t="str">
            <v>s__unclassified_f__Lachnospiraceae</v>
          </cell>
        </row>
        <row r="6249">
          <cell r="G6249" t="str">
            <v>ASV5685</v>
          </cell>
          <cell r="H6249" t="str">
            <v>g__unclassified_c__Clostridia</v>
          </cell>
          <cell r="I6249" t="str">
            <v>s__unclassified_c__Clostridia</v>
          </cell>
        </row>
        <row r="6250">
          <cell r="G6250" t="str">
            <v>ASV3861</v>
          </cell>
          <cell r="H6250" t="str">
            <v>g__norank_f__Synergistaceae</v>
          </cell>
          <cell r="I6250" t="str">
            <v>s__uncultured_bacterium_g__norank_f__Synergistaceae</v>
          </cell>
        </row>
        <row r="6251">
          <cell r="G6251" t="str">
            <v>ASV10164</v>
          </cell>
          <cell r="H6251" t="str">
            <v>g__Fusobacterium</v>
          </cell>
          <cell r="I6251" t="str">
            <v>s__unclassified_g__Fusobacterium</v>
          </cell>
        </row>
        <row r="6252">
          <cell r="G6252" t="str">
            <v>ASV4641</v>
          </cell>
          <cell r="H6252" t="str">
            <v>g__unclassified_p__Firmicutes</v>
          </cell>
          <cell r="I6252" t="str">
            <v>s__unclassified_p__Firmicutes</v>
          </cell>
        </row>
        <row r="6253">
          <cell r="G6253" t="str">
            <v>ASV21935</v>
          </cell>
          <cell r="H6253" t="str">
            <v>g__unclassified_c__Clostridia</v>
          </cell>
          <cell r="I6253" t="str">
            <v>s__unclassified_c__Clostridia</v>
          </cell>
        </row>
        <row r="6254">
          <cell r="G6254" t="str">
            <v>ASV2030</v>
          </cell>
          <cell r="H6254" t="str">
            <v>g__norank_f__Eubacterium_coprostanoligenes_group</v>
          </cell>
          <cell r="I6254" t="str">
            <v>s__unclassified_g__norank_f__Eubacterium_coprostanoligenes_group</v>
          </cell>
        </row>
        <row r="6255">
          <cell r="G6255" t="str">
            <v>ASV3891</v>
          </cell>
          <cell r="H6255" t="str">
            <v>g__unclassified_c__Clostridia</v>
          </cell>
          <cell r="I6255" t="str">
            <v>s__unclassified_c__Clostridia</v>
          </cell>
        </row>
        <row r="6256">
          <cell r="G6256" t="str">
            <v>ASV21726</v>
          </cell>
          <cell r="H6256" t="str">
            <v>g__Chryseobacterium</v>
          </cell>
          <cell r="I6256" t="str">
            <v>s__unclassified_g__Chryseobacterium</v>
          </cell>
        </row>
        <row r="6257">
          <cell r="G6257" t="str">
            <v>ASV21955</v>
          </cell>
          <cell r="H6257" t="str">
            <v>g__Family_XIII_UCG-001</v>
          </cell>
          <cell r="I6257" t="str">
            <v>s__uncultured_bacterium_g__Family_XIII_UCG-001</v>
          </cell>
        </row>
        <row r="6258">
          <cell r="G6258" t="str">
            <v>ASV4646</v>
          </cell>
          <cell r="H6258" t="str">
            <v>g__unclassified_c__Clostridia</v>
          </cell>
          <cell r="I6258" t="str">
            <v>s__unclassified_c__Clostridia</v>
          </cell>
        </row>
        <row r="6259">
          <cell r="G6259" t="str">
            <v>ASV10512</v>
          </cell>
          <cell r="H6259" t="str">
            <v>g__Clostridium_sensu_stricto_1</v>
          </cell>
          <cell r="I6259" t="str">
            <v>s__unclassified_g__Clostridium_sensu_stricto_1</v>
          </cell>
        </row>
        <row r="6260">
          <cell r="G6260" t="str">
            <v>ASV19321</v>
          </cell>
          <cell r="H6260" t="str">
            <v>g__norank_f__Peptococcaceae</v>
          </cell>
          <cell r="I6260" t="str">
            <v>s__uncultured_bacterium_g__norank_f__Peptococcaceae</v>
          </cell>
        </row>
        <row r="6261">
          <cell r="G6261" t="str">
            <v>ASV18825</v>
          </cell>
          <cell r="H6261" t="str">
            <v>g__unclassified_f__Lachnospiraceae</v>
          </cell>
          <cell r="I6261" t="str">
            <v>s__unclassified_f__Lachnospiraceae</v>
          </cell>
        </row>
        <row r="6262">
          <cell r="G6262" t="str">
            <v>ASV4608</v>
          </cell>
          <cell r="H6262" t="str">
            <v>g__unclassified_p__Firmicutes</v>
          </cell>
          <cell r="I6262" t="str">
            <v>s__unclassified_p__Firmicutes</v>
          </cell>
        </row>
        <row r="6263">
          <cell r="G6263" t="str">
            <v>ASV8453</v>
          </cell>
          <cell r="H6263" t="str">
            <v>g__Lactobacillus</v>
          </cell>
          <cell r="I6263" t="str">
            <v>s__unclassified_g__Lactobacillus</v>
          </cell>
        </row>
        <row r="6264">
          <cell r="G6264" t="str">
            <v>ASV19340</v>
          </cell>
          <cell r="H6264" t="str">
            <v>g__Bacteroides</v>
          </cell>
          <cell r="I6264" t="str">
            <v>s__unclassified_g__Bacteroides</v>
          </cell>
        </row>
        <row r="6265">
          <cell r="G6265" t="str">
            <v>ASV14036</v>
          </cell>
          <cell r="H6265" t="str">
            <v>g__Eubacterium_oxidoreducens_group</v>
          </cell>
          <cell r="I6265" t="str">
            <v>s__uncultured_bacterium_g__Eubacterium_oxidoreducens_group</v>
          </cell>
        </row>
        <row r="6266">
          <cell r="G6266" t="str">
            <v>ASV2028</v>
          </cell>
          <cell r="H6266" t="str">
            <v>g__norank_f__Eubacterium_coprostanoligenes_group</v>
          </cell>
          <cell r="I6266" t="str">
            <v>s__Eubacterium_coprostanoligenes</v>
          </cell>
        </row>
        <row r="6267">
          <cell r="G6267" t="str">
            <v>ASV19324</v>
          </cell>
          <cell r="H6267" t="str">
            <v>g__Ruminococcus</v>
          </cell>
          <cell r="I6267" t="str">
            <v>s__unclassified_g__Ruminococcus</v>
          </cell>
        </row>
        <row r="6268">
          <cell r="G6268" t="str">
            <v>ASV18818</v>
          </cell>
          <cell r="H6268" t="str">
            <v>g__Bacillus</v>
          </cell>
          <cell r="I6268" t="str">
            <v>s__Lactobacillus_vaginalis_g__Bacillus</v>
          </cell>
        </row>
        <row r="6269">
          <cell r="G6269" t="str">
            <v>ASV2018</v>
          </cell>
          <cell r="H6269" t="str">
            <v>g__Ruminococcus</v>
          </cell>
          <cell r="I6269" t="str">
            <v>s__unclassified_g__Ruminococcus</v>
          </cell>
        </row>
        <row r="6270">
          <cell r="G6270" t="str">
            <v>ASV11791</v>
          </cell>
          <cell r="H6270" t="str">
            <v>g__Lachnospiraceae_UCG-010</v>
          </cell>
          <cell r="I6270" t="str">
            <v>s__uncultured_bacterium_g__Lachnospiraceae_UCG-010</v>
          </cell>
        </row>
        <row r="6271">
          <cell r="G6271" t="str">
            <v>ASV23105</v>
          </cell>
          <cell r="H6271" t="str">
            <v>g__unclassified_c__Clostridia</v>
          </cell>
          <cell r="I6271" t="str">
            <v>s__unclassified_c__Clostridia</v>
          </cell>
        </row>
        <row r="6272">
          <cell r="G6272" t="str">
            <v>ASV8618</v>
          </cell>
          <cell r="H6272" t="str">
            <v>g__unclassified_k__norank_d__Bacteria</v>
          </cell>
          <cell r="I6272" t="str">
            <v>s__unclassified_k__norank_d__Bacteria</v>
          </cell>
        </row>
        <row r="6273">
          <cell r="G6273" t="str">
            <v>ASV18534</v>
          </cell>
          <cell r="H6273" t="str">
            <v>g__Lactobacillus</v>
          </cell>
          <cell r="I6273" t="str">
            <v>s__unclassified_g__Lactobacillus</v>
          </cell>
        </row>
        <row r="6274">
          <cell r="G6274" t="str">
            <v>ASV18535</v>
          </cell>
          <cell r="H6274" t="str">
            <v>g__Lactobacillus</v>
          </cell>
          <cell r="I6274" t="str">
            <v>s__unclassified_g__Lactobacillus</v>
          </cell>
        </row>
        <row r="6275">
          <cell r="G6275" t="str">
            <v>ASV21976</v>
          </cell>
          <cell r="H6275" t="str">
            <v>g__Enterococcus</v>
          </cell>
          <cell r="I6275" t="str">
            <v>s__unclassified_g__Enterococcus</v>
          </cell>
        </row>
        <row r="6276">
          <cell r="G6276" t="str">
            <v>ASV4602</v>
          </cell>
          <cell r="H6276" t="str">
            <v>g__Treponema</v>
          </cell>
          <cell r="I6276" t="str">
            <v>s__uncultured_bacterium_g__Treponema</v>
          </cell>
        </row>
        <row r="6277">
          <cell r="G6277" t="str">
            <v>ASV21963</v>
          </cell>
          <cell r="H6277" t="str">
            <v>g__norank_f__Eubacterium_coprostanoligenes_group</v>
          </cell>
          <cell r="I6277" t="str">
            <v>s__unclassified_g__norank_f__Eubacterium_coprostanoligenes_group</v>
          </cell>
        </row>
        <row r="6278">
          <cell r="G6278" t="str">
            <v>ASV21970</v>
          </cell>
          <cell r="H6278" t="str">
            <v>g__unclassified_c__Clostridia</v>
          </cell>
          <cell r="I6278" t="str">
            <v>s__unclassified_c__Clostridia</v>
          </cell>
        </row>
        <row r="6279">
          <cell r="G6279" t="str">
            <v>ASV1999</v>
          </cell>
          <cell r="H6279" t="str">
            <v>g__Christensenellaceae_R-7_group</v>
          </cell>
          <cell r="I6279" t="str">
            <v>s__unclassified_g__Christensenellaceae_R-7_group</v>
          </cell>
        </row>
        <row r="6280">
          <cell r="G6280" t="str">
            <v>ASV12612</v>
          </cell>
          <cell r="H6280" t="str">
            <v>g__unclassified_p__Firmicutes</v>
          </cell>
          <cell r="I6280" t="str">
            <v>s__unclassified_p__Firmicutes</v>
          </cell>
        </row>
        <row r="6281">
          <cell r="G6281" t="str">
            <v>ASV19354</v>
          </cell>
          <cell r="H6281" t="str">
            <v>g__unclassified_c__Clostridia</v>
          </cell>
          <cell r="I6281" t="str">
            <v>s__unclassified_c__Clostridia</v>
          </cell>
        </row>
        <row r="6282">
          <cell r="G6282" t="str">
            <v>ASV18811</v>
          </cell>
          <cell r="H6282" t="str">
            <v>g__Megasphaera</v>
          </cell>
          <cell r="I6282" t="str">
            <v>s__unclassified_g__Megasphaera</v>
          </cell>
        </row>
        <row r="6283">
          <cell r="G6283" t="str">
            <v>ASV5699</v>
          </cell>
          <cell r="H6283" t="str">
            <v>g__UCG-005</v>
          </cell>
          <cell r="I6283" t="str">
            <v>s__unclassified_g__UCG-005</v>
          </cell>
        </row>
        <row r="6284">
          <cell r="G6284" t="str">
            <v>ASV22913</v>
          </cell>
          <cell r="H6284" t="str">
            <v>g__unclassified_c__Bacilli</v>
          </cell>
          <cell r="I6284" t="str">
            <v>s__unclassified_c__Bacilli</v>
          </cell>
        </row>
        <row r="6285">
          <cell r="G6285" t="str">
            <v>ASV4597</v>
          </cell>
          <cell r="H6285" t="str">
            <v>g__Ruminococcus</v>
          </cell>
          <cell r="I6285" t="str">
            <v>s__unclassified_g__Ruminococcus</v>
          </cell>
        </row>
        <row r="6286">
          <cell r="G6286" t="str">
            <v>ASV17403</v>
          </cell>
          <cell r="H6286" t="str">
            <v>g__Lactobacillus</v>
          </cell>
          <cell r="I6286" t="str">
            <v>s__Lactobacillus_coleohominis</v>
          </cell>
        </row>
        <row r="6287">
          <cell r="G6287" t="str">
            <v>ASV18815</v>
          </cell>
          <cell r="H6287" t="str">
            <v>g__norank_f__Oscillospiraceae</v>
          </cell>
          <cell r="I6287" t="str">
            <v>s__unclassified_g__norank_f__Oscillospiraceae</v>
          </cell>
        </row>
        <row r="6288">
          <cell r="G6288" t="str">
            <v>ASV19333</v>
          </cell>
          <cell r="H6288" t="str">
            <v>g__Lachnoclostridium</v>
          </cell>
          <cell r="I6288" t="str">
            <v>s__unclassified_g__Lachnoclostridium</v>
          </cell>
        </row>
        <row r="6289">
          <cell r="G6289" t="str">
            <v>ASV16834</v>
          </cell>
          <cell r="H6289" t="str">
            <v>g__unclassified_k__norank_d__Bacteria</v>
          </cell>
          <cell r="I6289" t="str">
            <v>s__unclassified_k__norank_d__Bacteria</v>
          </cell>
        </row>
        <row r="6290">
          <cell r="G6290" t="str">
            <v>ASV5693</v>
          </cell>
          <cell r="H6290" t="str">
            <v>g__norank_f__norank_o__Clostridia_vadinBB60_group</v>
          </cell>
          <cell r="I6290" t="str">
            <v>s__unclassified_g__norank_f__norank_o__Clostridia_vadinBB60_group</v>
          </cell>
        </row>
        <row r="6291">
          <cell r="G6291" t="str">
            <v>ASV2386</v>
          </cell>
          <cell r="H6291" t="str">
            <v>g__Acetitomaculum</v>
          </cell>
          <cell r="I6291" t="str">
            <v>s__Firmicutes_bacterium_CAG_194_44_15</v>
          </cell>
        </row>
        <row r="6292">
          <cell r="G6292" t="str">
            <v>ASV19360</v>
          </cell>
          <cell r="H6292" t="str">
            <v>g__unclassified_c__Clostridia</v>
          </cell>
          <cell r="I6292" t="str">
            <v>s__unclassified_c__Clostridia</v>
          </cell>
        </row>
        <row r="6293">
          <cell r="G6293" t="str">
            <v>ASV16312</v>
          </cell>
          <cell r="H6293" t="str">
            <v>g__unclassified_f__Lachnospiraceae</v>
          </cell>
          <cell r="I6293" t="str">
            <v>s__unclassified_f__Lachnospiraceae</v>
          </cell>
        </row>
        <row r="6294">
          <cell r="G6294" t="str">
            <v>ASV21183</v>
          </cell>
          <cell r="H6294" t="str">
            <v>g__unclassified_c__Bacilli</v>
          </cell>
          <cell r="I6294" t="str">
            <v>s__unclassified_c__Bacilli</v>
          </cell>
        </row>
        <row r="6295">
          <cell r="G6295" t="str">
            <v>ASV4623</v>
          </cell>
          <cell r="H6295" t="str">
            <v>g__Clostridium_sensu_stricto_1</v>
          </cell>
          <cell r="I6295" t="str">
            <v>s__unclassified_g__Clostridium_sensu_stricto_1</v>
          </cell>
        </row>
        <row r="6296">
          <cell r="G6296" t="str">
            <v>ASV3896</v>
          </cell>
          <cell r="H6296" t="str">
            <v>g__Bacteroides</v>
          </cell>
          <cell r="I6296" t="str">
            <v>s__unclassified_g__Bacteroides</v>
          </cell>
        </row>
        <row r="6297">
          <cell r="G6297" t="str">
            <v>ASV7576</v>
          </cell>
          <cell r="H6297" t="str">
            <v>g__unclassified_p__Firmicutes</v>
          </cell>
          <cell r="I6297" t="str">
            <v>s__unclassified_p__Firmicutes</v>
          </cell>
        </row>
        <row r="6298">
          <cell r="G6298" t="str">
            <v>ASV5688</v>
          </cell>
          <cell r="H6298" t="str">
            <v>g__norank_f__Erysipelotrichaceae</v>
          </cell>
          <cell r="I6298" t="str">
            <v>s__uncultured_bacterium_g__norank_f__Erysipelotrichaceae</v>
          </cell>
        </row>
        <row r="6299">
          <cell r="G6299" t="str">
            <v>ASV10509</v>
          </cell>
          <cell r="H6299" t="str">
            <v>g__Lactobacillus</v>
          </cell>
          <cell r="I6299" t="str">
            <v>s__unclassified_g__Lactobacillus</v>
          </cell>
        </row>
        <row r="6300">
          <cell r="G6300" t="str">
            <v>ASV14008</v>
          </cell>
          <cell r="H6300" t="str">
            <v>g__unclassified_c__Clostridia</v>
          </cell>
          <cell r="I6300" t="str">
            <v>s__unclassified_c__Clostridia</v>
          </cell>
        </row>
        <row r="6301">
          <cell r="G6301" t="str">
            <v>ASV10489</v>
          </cell>
          <cell r="H6301" t="str">
            <v>g__Sharpea</v>
          </cell>
          <cell r="I6301" t="str">
            <v>s__unclassified_g__Sharpea</v>
          </cell>
        </row>
        <row r="6302">
          <cell r="G6302" t="str">
            <v>ASV24101</v>
          </cell>
          <cell r="H6302" t="str">
            <v>g__Christensenellaceae_R-7_group</v>
          </cell>
          <cell r="I6302" t="str">
            <v>s__unclassified_g__Christensenellaceae_R-7_group</v>
          </cell>
        </row>
        <row r="6303">
          <cell r="G6303" t="str">
            <v>ASV17838</v>
          </cell>
          <cell r="H6303" t="str">
            <v>g__CAG-873</v>
          </cell>
          <cell r="I6303" t="str">
            <v>s__Bacteroidales_bacterium_H4</v>
          </cell>
        </row>
        <row r="6304">
          <cell r="G6304" t="str">
            <v>ASV12595</v>
          </cell>
          <cell r="H6304" t="str">
            <v>g__unclassified_f__Peptostreptococcaceae</v>
          </cell>
          <cell r="I6304" t="str">
            <v>s__unclassified_f__Peptostreptococcaceae</v>
          </cell>
        </row>
        <row r="6305">
          <cell r="G6305" t="str">
            <v>ASV4619</v>
          </cell>
          <cell r="H6305" t="str">
            <v>g__unclassified_p__Firmicutes</v>
          </cell>
          <cell r="I6305" t="str">
            <v>s__unclassified_p__Firmicutes</v>
          </cell>
        </row>
        <row r="6306">
          <cell r="G6306" t="str">
            <v>ASV21172</v>
          </cell>
          <cell r="H6306" t="str">
            <v>g__norank_f__Muribaculaceae</v>
          </cell>
          <cell r="I6306" t="str">
            <v>s__uncultured_bacterium_g__norank_f__Muribaculaceae</v>
          </cell>
        </row>
        <row r="6307">
          <cell r="G6307" t="str">
            <v>ASV21990</v>
          </cell>
          <cell r="H6307" t="str">
            <v>g__Collinsella</v>
          </cell>
          <cell r="I6307" t="str">
            <v>s__uncultured_bacterium_g__Collinsella</v>
          </cell>
        </row>
        <row r="6308">
          <cell r="G6308" t="str">
            <v>ASV14022</v>
          </cell>
          <cell r="H6308" t="str">
            <v>g__Christensenellaceae_R-7_group</v>
          </cell>
          <cell r="I6308" t="str">
            <v>s__unclassified_g__Christensenellaceae_R-7_group</v>
          </cell>
        </row>
        <row r="6309">
          <cell r="G6309" t="str">
            <v>ASV9980</v>
          </cell>
          <cell r="H6309" t="str">
            <v>g__norank_f__norank_o__Rickettsiales</v>
          </cell>
          <cell r="I6309" t="str">
            <v>s__uncultured_Alphaproteobacteria_bacterium_g__norank_f__norank</v>
          </cell>
        </row>
        <row r="6310">
          <cell r="G6310" t="str">
            <v>ASV19337</v>
          </cell>
          <cell r="H6310" t="str">
            <v>g__unclassified_c__Clostridia</v>
          </cell>
          <cell r="I6310" t="str">
            <v>s__unclassified_c__Clostridia</v>
          </cell>
        </row>
        <row r="6311">
          <cell r="G6311" t="str">
            <v>ASV16843</v>
          </cell>
          <cell r="H6311" t="str">
            <v>g__Lactobacillus</v>
          </cell>
          <cell r="I6311" t="str">
            <v>s__unclassified_g__Lactobacillus</v>
          </cell>
        </row>
        <row r="6312">
          <cell r="G6312" t="str">
            <v>ASV14031</v>
          </cell>
          <cell r="H6312" t="str">
            <v>g__unclassified_c__Bacilli</v>
          </cell>
          <cell r="I6312" t="str">
            <v>s__unclassified_c__Bacilli</v>
          </cell>
        </row>
        <row r="6313">
          <cell r="G6313" t="str">
            <v>ASV458</v>
          </cell>
          <cell r="H6313" t="str">
            <v>g__Lactobacillus</v>
          </cell>
          <cell r="I6313" t="str">
            <v>s__unclassified_g__Lactobacillus</v>
          </cell>
        </row>
        <row r="6314">
          <cell r="G6314" t="str">
            <v>ASV17826</v>
          </cell>
          <cell r="H6314" t="str">
            <v>g__unclassified_p__Firmicutes</v>
          </cell>
          <cell r="I6314" t="str">
            <v>s__unclassified_p__Firmicutes</v>
          </cell>
        </row>
        <row r="6315">
          <cell r="G6315" t="str">
            <v>ASV10774</v>
          </cell>
          <cell r="H6315" t="str">
            <v>g__norank_f__Eggerthellaceae</v>
          </cell>
          <cell r="I6315" t="str">
            <v>s__uncultured_bacterium_g__norank_f__Eggerthellaceae</v>
          </cell>
        </row>
        <row r="6316">
          <cell r="G6316" t="str">
            <v>ASV4617</v>
          </cell>
          <cell r="H6316" t="str">
            <v>g__unclassified_c__Clostridia</v>
          </cell>
          <cell r="I6316" t="str">
            <v>s__unclassified_c__Clostridia</v>
          </cell>
        </row>
        <row r="6317">
          <cell r="G6317" t="str">
            <v>ASV15230</v>
          </cell>
          <cell r="H6317" t="str">
            <v>g__unclassified_c__Clostridia</v>
          </cell>
          <cell r="I6317" t="str">
            <v>s__unclassified_c__Clostridia</v>
          </cell>
        </row>
        <row r="6318">
          <cell r="G6318" t="str">
            <v>ASV19159</v>
          </cell>
          <cell r="H6318" t="str">
            <v>g__Dorea</v>
          </cell>
          <cell r="I6318" t="str">
            <v>s__unclassified_g__Dorea</v>
          </cell>
        </row>
        <row r="6319">
          <cell r="G6319" t="str">
            <v>ASV4634</v>
          </cell>
          <cell r="H6319" t="str">
            <v>g__Bacteroides</v>
          </cell>
          <cell r="I6319" t="str">
            <v>s__unclassified_g__Bacteroides</v>
          </cell>
        </row>
        <row r="6320">
          <cell r="G6320" t="str">
            <v>ASV20595</v>
          </cell>
          <cell r="H6320" t="str">
            <v>g__unclassified_p__Firmicutes</v>
          </cell>
          <cell r="I6320" t="str">
            <v>s__unclassified_p__Firmicutes</v>
          </cell>
        </row>
        <row r="6321">
          <cell r="G6321" t="str">
            <v>ASV17836</v>
          </cell>
          <cell r="H6321" t="str">
            <v>g__Christensenellaceae_R-7_group</v>
          </cell>
          <cell r="I6321" t="str">
            <v>s__gut_metagenome_g__Christensenellaceae_R-7_group</v>
          </cell>
        </row>
        <row r="6322">
          <cell r="G6322" t="str">
            <v>ASV6596</v>
          </cell>
          <cell r="H6322" t="str">
            <v>g__Cloacibacillus</v>
          </cell>
          <cell r="I6322" t="str">
            <v>s__unclassified_g__Cloacibacillus</v>
          </cell>
        </row>
        <row r="6323">
          <cell r="G6323" t="str">
            <v>ASV19352</v>
          </cell>
          <cell r="H6323" t="str">
            <v>g__norank_f__Muribaculaceae</v>
          </cell>
          <cell r="I6323" t="str">
            <v>s__uncultured_bacterium_g__norank_f__Muribaculaceae</v>
          </cell>
        </row>
        <row r="6324">
          <cell r="G6324" t="str">
            <v>ASV15055</v>
          </cell>
          <cell r="H6324" t="str">
            <v>g__unclassified_f__Comamonadaceae</v>
          </cell>
          <cell r="I6324" t="str">
            <v>s__unclassified_f__Comamonadaceae</v>
          </cell>
        </row>
        <row r="6325">
          <cell r="G6325" t="str">
            <v>ASV13317</v>
          </cell>
          <cell r="H6325" t="str">
            <v>g__Turicibacter</v>
          </cell>
          <cell r="I6325" t="str">
            <v>s__uncultured_bacterium_g__Turicibacter</v>
          </cell>
        </row>
        <row r="6326">
          <cell r="G6326" t="str">
            <v>ASV17833</v>
          </cell>
          <cell r="H6326" t="str">
            <v>g__Phascolarctobacterium</v>
          </cell>
          <cell r="I6326" t="str">
            <v>s__Ruminococcus_sp._N15.MGS-57_g__Phascolarctobacterium</v>
          </cell>
        </row>
        <row r="6327">
          <cell r="G6327" t="str">
            <v>ASV23098</v>
          </cell>
          <cell r="H6327" t="str">
            <v>g__unclassified_p__Firmicutes</v>
          </cell>
          <cell r="I6327" t="str">
            <v>s__unclassified_p__Firmicutes</v>
          </cell>
        </row>
        <row r="6328">
          <cell r="G6328" t="str">
            <v>ASV21420</v>
          </cell>
          <cell r="H6328" t="str">
            <v>g__unclassified_f__Lachnospiraceae</v>
          </cell>
          <cell r="I6328" t="str">
            <v>s__unclassified_f__Lachnospiraceae</v>
          </cell>
        </row>
        <row r="6329">
          <cell r="G6329" t="str">
            <v>ASV16836</v>
          </cell>
          <cell r="H6329" t="str">
            <v>g__unclassified_f__Prevotellaceae</v>
          </cell>
          <cell r="I6329" t="str">
            <v>s__unclassified_f__Prevotellaceae</v>
          </cell>
        </row>
        <row r="6330">
          <cell r="G6330" t="str">
            <v>ASV9259</v>
          </cell>
          <cell r="H6330" t="str">
            <v>g__Eubacterium_oxidoreducens_group</v>
          </cell>
          <cell r="I6330" t="str">
            <v>s__uncultured_bacterium_g__Eubacterium_oxidoreducens_group</v>
          </cell>
        </row>
        <row r="6331">
          <cell r="G6331" t="str">
            <v>ASV4636</v>
          </cell>
          <cell r="H6331" t="str">
            <v>g__Prevotella</v>
          </cell>
          <cell r="I6331" t="str">
            <v>s__unclassified_g__Prevotella</v>
          </cell>
        </row>
        <row r="6332">
          <cell r="G6332" t="str">
            <v>ASV9243</v>
          </cell>
          <cell r="H6332" t="str">
            <v>g__unclassified_c__Clostridia</v>
          </cell>
          <cell r="I6332" t="str">
            <v>s__unclassified_c__Clostridia</v>
          </cell>
        </row>
        <row r="6333">
          <cell r="G6333" t="str">
            <v>ASV8619</v>
          </cell>
          <cell r="H6333" t="str">
            <v>g__Simplicispira</v>
          </cell>
          <cell r="I6333" t="str">
            <v>s__Simplicispira_metamorpha</v>
          </cell>
        </row>
        <row r="6334">
          <cell r="G6334" t="str">
            <v>ASV20600</v>
          </cell>
          <cell r="H6334" t="str">
            <v>g__unclassified_f__Clostridiaceae</v>
          </cell>
          <cell r="I6334" t="str">
            <v>s__unclassified_f__Clostridiaceae</v>
          </cell>
        </row>
        <row r="6335">
          <cell r="G6335" t="str">
            <v>ASV10289</v>
          </cell>
          <cell r="H6335" t="str">
            <v>g__Bacillus</v>
          </cell>
          <cell r="I6335" t="str">
            <v>s__Lactobacillus_vaginalis_g__Bacillus</v>
          </cell>
        </row>
        <row r="6336">
          <cell r="G6336" t="str">
            <v>ASV3624</v>
          </cell>
          <cell r="H6336" t="str">
            <v>g__unclassified_f__Pasteurellaceae</v>
          </cell>
          <cell r="I6336" t="str">
            <v>s__unclassified_f__Pasteurellaceae</v>
          </cell>
        </row>
        <row r="6337">
          <cell r="G6337" t="str">
            <v>ASV7032</v>
          </cell>
          <cell r="H6337" t="str">
            <v>g__unclassified_f__Lachnospiraceae</v>
          </cell>
          <cell r="I6337" t="str">
            <v>s__unclassified_f__Lachnospiraceae</v>
          </cell>
        </row>
        <row r="6338">
          <cell r="G6338" t="str">
            <v>ASV2021</v>
          </cell>
          <cell r="H6338" t="str">
            <v>g__unclassified_f__Lachnospiraceae</v>
          </cell>
          <cell r="I6338" t="str">
            <v>s__unclassified_f__Lachnospiraceae</v>
          </cell>
        </row>
        <row r="6339">
          <cell r="G6339" t="str">
            <v>ASV12598</v>
          </cell>
          <cell r="H6339" t="str">
            <v>g__norank_f__Ruminococcaceae</v>
          </cell>
          <cell r="I6339" t="str">
            <v>s__unclassified_g__norank_f__Ruminococcaceae</v>
          </cell>
        </row>
        <row r="6340">
          <cell r="G6340" t="str">
            <v>ASV11320</v>
          </cell>
          <cell r="H6340" t="str">
            <v>g__Treponema</v>
          </cell>
          <cell r="I6340" t="str">
            <v>s__Treponema_sp._SF74</v>
          </cell>
        </row>
        <row r="6341">
          <cell r="G6341" t="str">
            <v>ASV21952</v>
          </cell>
          <cell r="H6341" t="str">
            <v>g__unclassified_c__Clostridia</v>
          </cell>
          <cell r="I6341" t="str">
            <v>s__unclassified_c__Clostridia</v>
          </cell>
        </row>
        <row r="6342">
          <cell r="G6342" t="str">
            <v>ASV5658</v>
          </cell>
          <cell r="H6342" t="str">
            <v>g__unclassified_f__Lachnospiraceae</v>
          </cell>
          <cell r="I6342" t="str">
            <v>s__unclassified_f__Lachnospiraceae</v>
          </cell>
        </row>
        <row r="6343">
          <cell r="G6343" t="str">
            <v>ASV17657</v>
          </cell>
          <cell r="H6343" t="str">
            <v>g__unclassified_p__Firmicutes</v>
          </cell>
          <cell r="I6343" t="str">
            <v>s__unclassified_p__Firmicutes</v>
          </cell>
        </row>
        <row r="6344">
          <cell r="G6344" t="str">
            <v>ASV18527</v>
          </cell>
          <cell r="H6344" t="str">
            <v>g__unclassified_f__Veillonellaceae</v>
          </cell>
          <cell r="I6344" t="str">
            <v>s__unclassified_f__Veillonellaceae</v>
          </cell>
        </row>
        <row r="6345">
          <cell r="G6345" t="str">
            <v>ASV10074</v>
          </cell>
          <cell r="H6345" t="str">
            <v>g__unclassified_p__Firmicutes</v>
          </cell>
          <cell r="I6345" t="str">
            <v>s__unclassified_p__Firmicutes</v>
          </cell>
        </row>
        <row r="6346">
          <cell r="G6346" t="str">
            <v>ASV9258</v>
          </cell>
          <cell r="H6346" t="str">
            <v>g__unclassified_f__Lachnospiraceae</v>
          </cell>
          <cell r="I6346" t="str">
            <v>s__unclassified_f__Lachnospiraceae</v>
          </cell>
        </row>
        <row r="6347">
          <cell r="G6347" t="str">
            <v>ASV15056</v>
          </cell>
          <cell r="H6347" t="str">
            <v>g__Alloprevotella</v>
          </cell>
          <cell r="I6347" t="str">
            <v>s__uncultured_bacterium_g__Alloprevotella</v>
          </cell>
        </row>
        <row r="6348">
          <cell r="G6348" t="str">
            <v>ASV11335</v>
          </cell>
          <cell r="H6348" t="str">
            <v>g__Monoglobus</v>
          </cell>
          <cell r="I6348" t="str">
            <v>s__uncultured_bacterium_g__Monoglobus</v>
          </cell>
        </row>
        <row r="6349">
          <cell r="G6349" t="str">
            <v>ASV20620</v>
          </cell>
          <cell r="H6349" t="str">
            <v>g__unclassified_o__Oscillospirales</v>
          </cell>
          <cell r="I6349" t="str">
            <v>s__unclassified_o__Oscillospirales</v>
          </cell>
        </row>
        <row r="6350">
          <cell r="G6350" t="str">
            <v>ASV13309</v>
          </cell>
          <cell r="H6350" t="str">
            <v>g__Collinsella</v>
          </cell>
          <cell r="I6350" t="str">
            <v>s__unclassified_g__Collinsella</v>
          </cell>
        </row>
        <row r="6351">
          <cell r="G6351" t="str">
            <v>ASV11334</v>
          </cell>
          <cell r="H6351" t="str">
            <v>g__Collinsella</v>
          </cell>
          <cell r="I6351" t="str">
            <v>s__uncultured_bacterium_g__Collinsella</v>
          </cell>
        </row>
        <row r="6352">
          <cell r="G6352" t="str">
            <v>ASV20422</v>
          </cell>
          <cell r="H6352" t="str">
            <v>g__unclassified_f__Micrococcaceae</v>
          </cell>
          <cell r="I6352" t="str">
            <v>s__unclassified_f__Micrococcaceae</v>
          </cell>
        </row>
        <row r="6353">
          <cell r="G6353" t="str">
            <v>ASV8454</v>
          </cell>
          <cell r="H6353" t="str">
            <v>g__Lactobacillus</v>
          </cell>
          <cell r="I6353" t="str">
            <v>s__unclassified_g__Lactobacillus</v>
          </cell>
        </row>
        <row r="6354">
          <cell r="G6354" t="str">
            <v>ASV3897</v>
          </cell>
          <cell r="H6354" t="str">
            <v>g__Paludicola</v>
          </cell>
          <cell r="I6354" t="str">
            <v>s__unclassified_g__Paludicola</v>
          </cell>
        </row>
        <row r="6355">
          <cell r="G6355" t="str">
            <v>ASV23115</v>
          </cell>
          <cell r="H6355" t="str">
            <v>g__unclassified_f__Anaerovoracaceae</v>
          </cell>
          <cell r="I6355" t="str">
            <v>s__unclassified_f__Anaerovoracaceae</v>
          </cell>
        </row>
        <row r="6356">
          <cell r="G6356" t="str">
            <v>ASV17269</v>
          </cell>
          <cell r="H6356" t="str">
            <v>g__Lactobacillus</v>
          </cell>
          <cell r="I6356" t="str">
            <v>s__unclassified_g__Lactobacillus</v>
          </cell>
        </row>
        <row r="6357">
          <cell r="G6357" t="str">
            <v>ASV21962</v>
          </cell>
          <cell r="H6357" t="str">
            <v>g__norank_f__Oscillospiraceae</v>
          </cell>
          <cell r="I6357" t="str">
            <v>s__unclassified_g__norank_f__Oscillospiraceae</v>
          </cell>
        </row>
        <row r="6358">
          <cell r="G6358" t="str">
            <v>ASV9257</v>
          </cell>
          <cell r="H6358" t="str">
            <v>g__Parabacteroides</v>
          </cell>
          <cell r="I6358" t="str">
            <v>s__Porphyromonadaceae_bacterium_DJF_B175</v>
          </cell>
        </row>
        <row r="6359">
          <cell r="G6359" t="str">
            <v>ASV21984</v>
          </cell>
          <cell r="H6359" t="str">
            <v>g__unclassified_f__Lachnospiraceae</v>
          </cell>
          <cell r="I6359" t="str">
            <v>s__unclassified_f__Lachnospiraceae</v>
          </cell>
        </row>
        <row r="6360">
          <cell r="G6360" t="str">
            <v>ASV2032</v>
          </cell>
          <cell r="H6360" t="str">
            <v>g__unclassified_o__Bacillales</v>
          </cell>
          <cell r="I6360" t="str">
            <v>s__unclassified_o__Bacillales</v>
          </cell>
        </row>
        <row r="6361">
          <cell r="G6361" t="str">
            <v>ASV8445</v>
          </cell>
          <cell r="H6361" t="str">
            <v>g__Lactobacillus</v>
          </cell>
          <cell r="I6361" t="str">
            <v>s__unclassified_g__Lactobacillus</v>
          </cell>
        </row>
        <row r="6362">
          <cell r="G6362" t="str">
            <v>ASV2007</v>
          </cell>
          <cell r="H6362" t="str">
            <v>g__unclassified_f__Peptostreptococcaceae</v>
          </cell>
          <cell r="I6362" t="str">
            <v>s__unclassified_f__Peptostreptococcaceae</v>
          </cell>
        </row>
        <row r="6363">
          <cell r="G6363" t="str">
            <v>ASV24097</v>
          </cell>
          <cell r="H6363" t="str">
            <v>g__norank_f__norank_o__Clostridia_vadinBB60_group</v>
          </cell>
          <cell r="I6363" t="str">
            <v>s__unclassified_g__norank_f__norank_o__Clostridia_vadinBB60_group</v>
          </cell>
        </row>
        <row r="6364">
          <cell r="G6364" t="str">
            <v>ASV2774</v>
          </cell>
          <cell r="H6364" t="str">
            <v>g__Eubacterium_ruminantium_group</v>
          </cell>
          <cell r="I6364" t="str">
            <v>s__uncultured_bacterium_g__Eubacterium_ruminantium_group</v>
          </cell>
        </row>
        <row r="6365">
          <cell r="G6365" t="str">
            <v>ASV8950</v>
          </cell>
          <cell r="H6365" t="str">
            <v>g__Terrisporobacter</v>
          </cell>
          <cell r="I6365" t="str">
            <v>s__uncultured_bacterium_g__Terrisporobacter</v>
          </cell>
        </row>
        <row r="6366">
          <cell r="G6366" t="str">
            <v>ASV470</v>
          </cell>
          <cell r="H6366" t="str">
            <v>g__Lactobacillus</v>
          </cell>
          <cell r="I6366" t="str">
            <v>s__unclassified_g__Lactobacillus</v>
          </cell>
        </row>
        <row r="6367">
          <cell r="G6367" t="str">
            <v>ASV3870</v>
          </cell>
          <cell r="H6367" t="str">
            <v>g__Lactobacillus</v>
          </cell>
          <cell r="I6367" t="str">
            <v>s__Lactobacillus_agilis</v>
          </cell>
        </row>
        <row r="6368">
          <cell r="G6368" t="str">
            <v>ASV20416</v>
          </cell>
          <cell r="H6368" t="str">
            <v>g__Cereibacter</v>
          </cell>
          <cell r="I6368" t="str">
            <v>s__unclassified_g__Cereibacter</v>
          </cell>
        </row>
        <row r="6369">
          <cell r="G6369" t="str">
            <v>ASV4612</v>
          </cell>
          <cell r="H6369" t="str">
            <v>g__UCG-002</v>
          </cell>
          <cell r="I6369" t="str">
            <v>s__uncultured_bacterium_g__UCG-002</v>
          </cell>
        </row>
        <row r="6370">
          <cell r="G6370" t="str">
            <v>ASV24110</v>
          </cell>
          <cell r="H6370" t="str">
            <v>g__Lactobacillus</v>
          </cell>
          <cell r="I6370" t="str">
            <v>s__unclassified_g__Lactobacillus</v>
          </cell>
        </row>
        <row r="6371">
          <cell r="G6371" t="str">
            <v>ASV21425</v>
          </cell>
          <cell r="H6371" t="str">
            <v>g__Lactobacillus</v>
          </cell>
          <cell r="I6371" t="str">
            <v>s__unclassified_g__Lactobacillus</v>
          </cell>
        </row>
        <row r="6372">
          <cell r="G6372" t="str">
            <v>ASV430</v>
          </cell>
          <cell r="H6372" t="str">
            <v>g__Lactobacillus</v>
          </cell>
          <cell r="I6372" t="str">
            <v>s__unclassified_g__Lactobacillus</v>
          </cell>
        </row>
        <row r="6373">
          <cell r="G6373" t="str">
            <v>ASV17659</v>
          </cell>
          <cell r="H6373" t="str">
            <v>g__Terrisporobacter</v>
          </cell>
          <cell r="I6373" t="str">
            <v>s__unclassified_g__Terrisporobacter</v>
          </cell>
        </row>
        <row r="6374">
          <cell r="G6374" t="str">
            <v>ASV7588</v>
          </cell>
          <cell r="H6374" t="str">
            <v>g__unclassified_f__Ruminococcaceae</v>
          </cell>
          <cell r="I6374" t="str">
            <v>s__unclassified_f__Ruminococcaceae</v>
          </cell>
        </row>
        <row r="6375">
          <cell r="G6375" t="str">
            <v>ASV18531</v>
          </cell>
          <cell r="H6375" t="str">
            <v>g__Lactobacillus</v>
          </cell>
          <cell r="I6375" t="str">
            <v>s__unclassified_g__Lactobacillus</v>
          </cell>
        </row>
        <row r="6376">
          <cell r="G6376" t="str">
            <v>ASV454</v>
          </cell>
          <cell r="H6376" t="str">
            <v>g__Phascolarctobacterium</v>
          </cell>
          <cell r="I6376" t="str">
            <v>s__uncultured_bacterium_g__Phascolarctobacterium</v>
          </cell>
        </row>
        <row r="6377">
          <cell r="G6377" t="str">
            <v>ASV10287</v>
          </cell>
          <cell r="H6377" t="str">
            <v>g__unclassified_f__Prevotellaceae</v>
          </cell>
          <cell r="I6377" t="str">
            <v>s__unclassified_f__Prevotellaceae</v>
          </cell>
        </row>
        <row r="6378">
          <cell r="G6378" t="str">
            <v>ASV15237</v>
          </cell>
          <cell r="H6378" t="str">
            <v>g__unclassified_f__Oscillospiraceae</v>
          </cell>
          <cell r="I6378" t="str">
            <v>s__unclassified_f__Oscillospiraceae</v>
          </cell>
        </row>
        <row r="6379">
          <cell r="G6379" t="str">
            <v>ASV7608</v>
          </cell>
          <cell r="H6379" t="str">
            <v>g__unclassified_c__Clostridia</v>
          </cell>
          <cell r="I6379" t="str">
            <v>s__unclassified_c__Clostridia</v>
          </cell>
        </row>
        <row r="6380">
          <cell r="G6380" t="str">
            <v>ASV10496</v>
          </cell>
          <cell r="H6380" t="str">
            <v>g__unclassified_f__Peptostreptococcaceae</v>
          </cell>
          <cell r="I6380" t="str">
            <v>s__unclassified_f__Peptostreptococcaceae</v>
          </cell>
        </row>
        <row r="6381">
          <cell r="G6381" t="str">
            <v>ASV23754</v>
          </cell>
          <cell r="H6381" t="str">
            <v>g__Lactobacillus</v>
          </cell>
          <cell r="I6381" t="str">
            <v>s__unclassified_g__Lactobacillus</v>
          </cell>
        </row>
        <row r="6382">
          <cell r="G6382" t="str">
            <v>ASV5679</v>
          </cell>
          <cell r="H6382" t="str">
            <v>g__unclassified_f__Lachnospiraceae</v>
          </cell>
          <cell r="I6382" t="str">
            <v>s__unclassified_f__Lachnospiraceae</v>
          </cell>
        </row>
        <row r="6383">
          <cell r="G6383" t="str">
            <v>ASV10500</v>
          </cell>
          <cell r="H6383" t="str">
            <v>g__Lactobacillus</v>
          </cell>
          <cell r="I6383" t="str">
            <v>s__unclassified_g__Lactobacillus</v>
          </cell>
        </row>
        <row r="6384">
          <cell r="G6384" t="str">
            <v>ASV21173</v>
          </cell>
          <cell r="H6384" t="str">
            <v>g__unclassified_f__Ruminococcaceae</v>
          </cell>
          <cell r="I6384" t="str">
            <v>s__unclassified_f__Ruminococcaceae</v>
          </cell>
        </row>
        <row r="6385">
          <cell r="G6385" t="str">
            <v>ASV11349</v>
          </cell>
          <cell r="H6385" t="str">
            <v>g__norank_f__Eubacterium_coprostanoligenes_group</v>
          </cell>
          <cell r="I6385" t="str">
            <v>s__unclassified_g__norank_f__Eubacterium_coprostanoligenes_group</v>
          </cell>
        </row>
        <row r="6386">
          <cell r="G6386" t="str">
            <v>ASV15250</v>
          </cell>
          <cell r="H6386" t="str">
            <v>g__unclassified_c__Clostridia</v>
          </cell>
          <cell r="I6386" t="str">
            <v>s__unclassified_c__Clostridia</v>
          </cell>
        </row>
        <row r="6387">
          <cell r="G6387" t="str">
            <v>ASV14018</v>
          </cell>
          <cell r="H6387" t="str">
            <v>g__Lachnoclostridium</v>
          </cell>
          <cell r="I6387" t="str">
            <v>s__unclassified_g__Lachnoclostridium</v>
          </cell>
        </row>
        <row r="6388">
          <cell r="G6388" t="str">
            <v>ASV402</v>
          </cell>
          <cell r="H6388" t="str">
            <v>g__unclassified_c__Clostridia</v>
          </cell>
          <cell r="I6388" t="str">
            <v>s__unclassified_c__Clostridia</v>
          </cell>
        </row>
        <row r="6389">
          <cell r="G6389" t="str">
            <v>ASV7164</v>
          </cell>
          <cell r="H6389" t="str">
            <v>g__Lactobacillus</v>
          </cell>
          <cell r="I6389" t="str">
            <v>s__unclassified_g__Lactobacillus</v>
          </cell>
        </row>
        <row r="6390">
          <cell r="G6390" t="str">
            <v>ASV23924</v>
          </cell>
          <cell r="H6390" t="str">
            <v>g__Lactobacillus</v>
          </cell>
          <cell r="I6390" t="str">
            <v>s__unclassified_g__Lactobacillus</v>
          </cell>
        </row>
        <row r="6391">
          <cell r="G6391" t="str">
            <v>ASV24102</v>
          </cell>
          <cell r="H6391" t="str">
            <v>g__Clostridium_sensu_stricto_1</v>
          </cell>
          <cell r="I6391" t="str">
            <v>s__unclassified_g__Clostridium_sensu_stricto_1</v>
          </cell>
        </row>
        <row r="6392">
          <cell r="G6392" t="str">
            <v>ASV18528</v>
          </cell>
          <cell r="H6392" t="str">
            <v>g__unclassified_f__Lachnospiraceae</v>
          </cell>
          <cell r="I6392" t="str">
            <v>s__unclassified_f__Lachnospiraceae</v>
          </cell>
        </row>
        <row r="6393">
          <cell r="G6393" t="str">
            <v>ASV14042</v>
          </cell>
          <cell r="H6393" t="str">
            <v>g__norank_f__Muribaculaceae</v>
          </cell>
          <cell r="I6393" t="str">
            <v>s__uncultured_bacterium_g__norank_f__Muribaculaceae</v>
          </cell>
        </row>
        <row r="6394">
          <cell r="G6394" t="str">
            <v>ASV14039</v>
          </cell>
          <cell r="H6394" t="str">
            <v>g__Ruminococcus</v>
          </cell>
          <cell r="I6394" t="str">
            <v>s__unclassified_g__Ruminococcus</v>
          </cell>
        </row>
        <row r="6395">
          <cell r="G6395" t="str">
            <v>ASV3141</v>
          </cell>
          <cell r="H6395" t="str">
            <v>g__unclassified_f__Veillonellaceae</v>
          </cell>
          <cell r="I6395" t="str">
            <v>s__unclassified_f__Veillonellaceae</v>
          </cell>
        </row>
        <row r="6396">
          <cell r="G6396" t="str">
            <v>ASV22960</v>
          </cell>
          <cell r="H6396" t="str">
            <v>g__Lactobacillus</v>
          </cell>
          <cell r="I6396" t="str">
            <v>s__unclassified_g__Lactobacillus</v>
          </cell>
        </row>
        <row r="6397">
          <cell r="G6397" t="str">
            <v>ASV8275</v>
          </cell>
          <cell r="H6397" t="str">
            <v>g__Lactobacillus</v>
          </cell>
          <cell r="I6397" t="str">
            <v>s__unclassified_g__Lactobacillus</v>
          </cell>
        </row>
        <row r="6398">
          <cell r="G6398" t="str">
            <v>ASV11316</v>
          </cell>
          <cell r="H6398" t="str">
            <v>g__Acidaminococcus</v>
          </cell>
          <cell r="I6398" t="str">
            <v>s__Acidaminococcus_sp._Marseille-P2828</v>
          </cell>
        </row>
        <row r="6399">
          <cell r="G6399" t="str">
            <v>ASV4644</v>
          </cell>
          <cell r="H6399" t="str">
            <v>g__Parabacteroides</v>
          </cell>
          <cell r="I6399" t="str">
            <v>s__Porphyromonadaceae_bacterium_DJF_B175</v>
          </cell>
        </row>
        <row r="6400">
          <cell r="G6400" t="str">
            <v>ASV20627</v>
          </cell>
          <cell r="H6400" t="str">
            <v>g__unclassified_f__Lachnospiraceae</v>
          </cell>
          <cell r="I6400" t="str">
            <v>s__unclassified_f__Lachnospiraceae</v>
          </cell>
        </row>
        <row r="6401">
          <cell r="G6401" t="str">
            <v>ASV3143</v>
          </cell>
          <cell r="H6401" t="str">
            <v>g__Colidextribacter</v>
          </cell>
          <cell r="I6401" t="str">
            <v>s__uncultured_bacterium_g__Colidextribacter</v>
          </cell>
        </row>
        <row r="6402">
          <cell r="G6402" t="str">
            <v>ASV21424</v>
          </cell>
          <cell r="H6402" t="str">
            <v>g__Lactobacillus</v>
          </cell>
          <cell r="I6402" t="str">
            <v>s__unclassified_g__Lactobacillus</v>
          </cell>
        </row>
        <row r="6403">
          <cell r="G6403" t="str">
            <v>ASV10286</v>
          </cell>
          <cell r="H6403" t="str">
            <v>g__Lactobacillus</v>
          </cell>
          <cell r="I6403" t="str">
            <v>s__unclassified_g__Lactobacillus</v>
          </cell>
        </row>
        <row r="6404">
          <cell r="G6404" t="str">
            <v>ASV13631</v>
          </cell>
          <cell r="H6404" t="str">
            <v>g__norank_f__UCG-010</v>
          </cell>
          <cell r="I6404" t="str">
            <v>s__unclassified_g__norank_f__UCG-010</v>
          </cell>
        </row>
        <row r="6405">
          <cell r="G6405" t="str">
            <v>ASV1618</v>
          </cell>
          <cell r="H6405" t="str">
            <v>g__Collinsella</v>
          </cell>
          <cell r="I6405" t="str">
            <v>s__unclassified_g__Collinsella</v>
          </cell>
        </row>
        <row r="6406">
          <cell r="G6406" t="str">
            <v>ASV21937</v>
          </cell>
          <cell r="H6406" t="str">
            <v>g__unclassified_c__Clostridia</v>
          </cell>
          <cell r="I6406" t="str">
            <v>s__unclassified_c__Clostridia</v>
          </cell>
        </row>
        <row r="6407">
          <cell r="G6407" t="str">
            <v>ASV21180</v>
          </cell>
          <cell r="H6407" t="str">
            <v>g__Lactobacillus</v>
          </cell>
          <cell r="I6407" t="str">
            <v>s__unclassified_g__Lactobacillus</v>
          </cell>
        </row>
        <row r="6408">
          <cell r="G6408" t="str">
            <v>ASV7600</v>
          </cell>
          <cell r="H6408" t="str">
            <v>g__Megasphaera</v>
          </cell>
          <cell r="I6408" t="str">
            <v>s__unclassified_g__Megasphaera</v>
          </cell>
        </row>
        <row r="6409">
          <cell r="G6409" t="str">
            <v>ASV20615</v>
          </cell>
          <cell r="H6409" t="str">
            <v>g__unclassified_c__Bacilli</v>
          </cell>
          <cell r="I6409" t="str">
            <v>s__unclassified_c__Bacilli</v>
          </cell>
        </row>
        <row r="6410">
          <cell r="G6410" t="str">
            <v>ASV23111</v>
          </cell>
          <cell r="H6410" t="str">
            <v>g__Escherichia-Shigella</v>
          </cell>
          <cell r="I6410" t="str">
            <v>s__unclassified_g__Escherichia-Shigella</v>
          </cell>
        </row>
        <row r="6411">
          <cell r="G6411" t="str">
            <v>ASV7337</v>
          </cell>
          <cell r="H6411" t="str">
            <v>g__Veillonella</v>
          </cell>
          <cell r="I6411" t="str">
            <v>s__unclassified_g__Veillonella</v>
          </cell>
        </row>
        <row r="6412">
          <cell r="G6412" t="str">
            <v>ASV21417</v>
          </cell>
          <cell r="H6412" t="str">
            <v>g__unclassified_f__Veillonellaceae</v>
          </cell>
          <cell r="I6412" t="str">
            <v>s__unclassified_f__Veillonellaceae</v>
          </cell>
        </row>
        <row r="6413">
          <cell r="G6413" t="str">
            <v>ASV12588</v>
          </cell>
          <cell r="H6413" t="str">
            <v>g__unclassified_k__norank_d__Bacteria</v>
          </cell>
          <cell r="I6413" t="str">
            <v>s__unclassified_k__norank_d__Bacteria</v>
          </cell>
        </row>
        <row r="6414">
          <cell r="G6414" t="str">
            <v>ASV23087</v>
          </cell>
          <cell r="H6414" t="str">
            <v>g__Lactobacillus</v>
          </cell>
          <cell r="I6414" t="str">
            <v>s__unclassified_g__Lactobacillus</v>
          </cell>
        </row>
        <row r="6415">
          <cell r="G6415" t="str">
            <v>ASV12617</v>
          </cell>
          <cell r="H6415" t="str">
            <v>g__unclassified_c__Clostridia</v>
          </cell>
          <cell r="I6415" t="str">
            <v>s__unclassified_c__Clostridia</v>
          </cell>
        </row>
        <row r="6416">
          <cell r="G6416" t="str">
            <v>ASV16297</v>
          </cell>
          <cell r="H6416" t="str">
            <v>g__UCG-004</v>
          </cell>
          <cell r="I6416" t="str">
            <v>s__uncultured_bacterium_g__UCG-004</v>
          </cell>
        </row>
        <row r="6417">
          <cell r="G6417" t="str">
            <v>ASV20630</v>
          </cell>
          <cell r="H6417" t="str">
            <v>g__Ruminococcus</v>
          </cell>
          <cell r="I6417" t="str">
            <v>s__uncultured_bacterium_g__Ruminococcus</v>
          </cell>
        </row>
        <row r="6418">
          <cell r="G6418" t="str">
            <v>ASV14034</v>
          </cell>
          <cell r="H6418" t="str">
            <v>g__Lactobacillus</v>
          </cell>
          <cell r="I6418" t="str">
            <v>s__unclassified_g__Lactobacillus</v>
          </cell>
        </row>
        <row r="6419">
          <cell r="G6419" t="str">
            <v>ASV5711</v>
          </cell>
          <cell r="H6419" t="str">
            <v>g__unclassified_c__Clostridia</v>
          </cell>
          <cell r="I6419" t="str">
            <v>s__unclassified_c__Clostridia</v>
          </cell>
        </row>
        <row r="6420">
          <cell r="G6420" t="str">
            <v>ASV6580</v>
          </cell>
          <cell r="H6420" t="str">
            <v>g__Fusobacterium</v>
          </cell>
          <cell r="I6420" t="str">
            <v>s__unclassified_g__Fusobacterium</v>
          </cell>
        </row>
        <row r="6421">
          <cell r="G6421" t="str">
            <v>ASV11326</v>
          </cell>
          <cell r="H6421" t="str">
            <v>g__Lachnospiraceae_NC2004_group</v>
          </cell>
          <cell r="I6421" t="str">
            <v>s__unclassified_g__Lachnospiraceae_NC2004_group</v>
          </cell>
        </row>
        <row r="6422">
          <cell r="G6422" t="str">
            <v>ASV20625</v>
          </cell>
          <cell r="H6422" t="str">
            <v>g__Terrisporobacter</v>
          </cell>
          <cell r="I6422" t="str">
            <v>s__unclassified_g__Terrisporobacter</v>
          </cell>
        </row>
        <row r="6423">
          <cell r="G6423" t="str">
            <v>ASV3900</v>
          </cell>
          <cell r="H6423" t="str">
            <v>g__unclassified_f__Peptostreptococcaceae</v>
          </cell>
          <cell r="I6423" t="str">
            <v>s__unclassified_f__Peptostreptococcaceae</v>
          </cell>
        </row>
        <row r="6424">
          <cell r="G6424" t="str">
            <v>ASV21958</v>
          </cell>
          <cell r="H6424" t="str">
            <v>g__unclassified_p__Firmicutes</v>
          </cell>
          <cell r="I6424" t="str">
            <v>s__unclassified_p__Firmicutes</v>
          </cell>
        </row>
        <row r="6425">
          <cell r="G6425" t="str">
            <v>ASV17823</v>
          </cell>
          <cell r="H6425" t="str">
            <v>g__unclassified_c__Clostridia</v>
          </cell>
          <cell r="I6425" t="str">
            <v>s__unclassified_c__Clostridia</v>
          </cell>
        </row>
        <row r="6426">
          <cell r="G6426" t="str">
            <v>ASV10168</v>
          </cell>
          <cell r="H6426" t="str">
            <v>g__Streptococcus</v>
          </cell>
          <cell r="I6426" t="str">
            <v>s__unclassified_g__Streptococcus</v>
          </cell>
        </row>
        <row r="6427">
          <cell r="G6427" t="str">
            <v>ASV6579</v>
          </cell>
          <cell r="H6427" t="str">
            <v>g__unclassified_k__norank_d__Bacteria</v>
          </cell>
          <cell r="I6427" t="str">
            <v>s__unclassified_k__norank_d__Bacteria</v>
          </cell>
        </row>
        <row r="6428">
          <cell r="G6428" t="str">
            <v>ASV1602</v>
          </cell>
          <cell r="H6428" t="str">
            <v>g__unclassified_o__Oscillospirales</v>
          </cell>
          <cell r="I6428" t="str">
            <v>s__unclassified_o__Oscillospirales</v>
          </cell>
        </row>
        <row r="6429">
          <cell r="G6429" t="str">
            <v>ASV5697</v>
          </cell>
          <cell r="H6429" t="str">
            <v>g__unclassified_c__Clostridia</v>
          </cell>
          <cell r="I6429" t="str">
            <v>s__unclassified_c__Clostridia</v>
          </cell>
        </row>
        <row r="6430">
          <cell r="G6430" t="str">
            <v>ASV5669</v>
          </cell>
          <cell r="H6430" t="str">
            <v>g__unclassified_f__Ruminococcaceae</v>
          </cell>
          <cell r="I6430" t="str">
            <v>s__unclassified_f__Ruminococcaceae</v>
          </cell>
        </row>
        <row r="6431">
          <cell r="G6431" t="str">
            <v>ASV10477</v>
          </cell>
          <cell r="H6431" t="str">
            <v>g__unclassified_c__Bacilli</v>
          </cell>
          <cell r="I6431" t="str">
            <v>s__unclassified_c__Bacilli</v>
          </cell>
        </row>
        <row r="6432">
          <cell r="G6432" t="str">
            <v>ASV21947</v>
          </cell>
          <cell r="H6432" t="str">
            <v>g__Oscillospira</v>
          </cell>
          <cell r="I6432" t="str">
            <v>s__unclassified_g__Oscillospira</v>
          </cell>
        </row>
        <row r="6433">
          <cell r="G6433" t="str">
            <v>ASV439</v>
          </cell>
          <cell r="H6433" t="str">
            <v>g__unclassified_c__Clostridia</v>
          </cell>
          <cell r="I6433" t="str">
            <v>s__unclassified_c__Clostridia</v>
          </cell>
        </row>
        <row r="6434">
          <cell r="G6434" t="str">
            <v>ASV4611</v>
          </cell>
          <cell r="H6434" t="str">
            <v>g__unclassified_c__Clostridia</v>
          </cell>
          <cell r="I6434" t="str">
            <v>s__unclassified_c__Clostridia</v>
          </cell>
        </row>
        <row r="6435">
          <cell r="G6435" t="str">
            <v>ASV21416</v>
          </cell>
          <cell r="H6435" t="str">
            <v>g__Lactobacillus</v>
          </cell>
          <cell r="I6435" t="str">
            <v>s__unclassified_g__Lactobacillus</v>
          </cell>
        </row>
        <row r="6436">
          <cell r="G6436" t="str">
            <v>ASV12613</v>
          </cell>
          <cell r="H6436" t="str">
            <v>g__norank_f__Eubacterium_coprostanoligenes_group</v>
          </cell>
          <cell r="I6436" t="str">
            <v>s__uncultured_bacterium_g__norank_f__Eubacterium_coprostanoligenes_group</v>
          </cell>
        </row>
        <row r="6437">
          <cell r="G6437" t="str">
            <v>ASV23088</v>
          </cell>
          <cell r="H6437" t="str">
            <v>g__unclassified_f__Lachnospiraceae</v>
          </cell>
          <cell r="I6437" t="str">
            <v>s__unclassified_f__Lachnospiraceae</v>
          </cell>
        </row>
        <row r="6438">
          <cell r="G6438" t="str">
            <v>ASV4632</v>
          </cell>
          <cell r="H6438" t="str">
            <v>g__unclassified_f__Lachnospiraceae</v>
          </cell>
          <cell r="I6438" t="str">
            <v>s__unclassified_f__Lachnospiraceae</v>
          </cell>
        </row>
        <row r="6439">
          <cell r="G6439" t="str">
            <v>ASV9262</v>
          </cell>
          <cell r="H6439" t="str">
            <v>g__UCG-002</v>
          </cell>
          <cell r="I6439" t="str">
            <v>s__uncultured_bacterium_g__UCG-002</v>
          </cell>
        </row>
        <row r="6440">
          <cell r="G6440" t="str">
            <v>ASV5678</v>
          </cell>
          <cell r="H6440" t="str">
            <v>g__Rikenellaceae_RC9_gut_group</v>
          </cell>
          <cell r="I6440" t="str">
            <v>s__gut_metagenome_g__Rikenellaceae_RC9_gut_group</v>
          </cell>
        </row>
        <row r="6441">
          <cell r="G6441" t="str">
            <v>ASV9239</v>
          </cell>
          <cell r="H6441" t="str">
            <v>g__Bacillus</v>
          </cell>
          <cell r="I6441" t="str">
            <v>s__Lactobacillus_vaginalis_g__Bacillus</v>
          </cell>
        </row>
        <row r="6442">
          <cell r="G6442" t="str">
            <v>ASV5675</v>
          </cell>
          <cell r="H6442" t="str">
            <v>g__Prevotella</v>
          </cell>
          <cell r="I6442" t="str">
            <v>s__Prevotella_sp._DJF_LS16</v>
          </cell>
        </row>
        <row r="6443">
          <cell r="G6443" t="str">
            <v>ASV23113</v>
          </cell>
          <cell r="H6443" t="str">
            <v>g__Christensenellaceae_R-7_group</v>
          </cell>
          <cell r="I6443" t="str">
            <v>s__unclassified_g__Christensenellaceae_R-7_group</v>
          </cell>
        </row>
        <row r="6444">
          <cell r="G6444" t="str">
            <v>ASV15234</v>
          </cell>
          <cell r="H6444" t="str">
            <v>g__unclassified_f__Lachnospiraceae</v>
          </cell>
          <cell r="I6444" t="str">
            <v>s__unclassified_f__Lachnospiraceae</v>
          </cell>
        </row>
        <row r="6445">
          <cell r="G6445" t="str">
            <v>ASV14002</v>
          </cell>
          <cell r="H6445" t="str">
            <v>g__unclassified_p__Firmicutes</v>
          </cell>
          <cell r="I6445" t="str">
            <v>s__unclassified_p__Firmicutes</v>
          </cell>
        </row>
        <row r="6446">
          <cell r="G6446" t="str">
            <v>ASV8450</v>
          </cell>
          <cell r="H6446" t="str">
            <v>g__Lactobacillus</v>
          </cell>
          <cell r="I6446" t="str">
            <v>s__unclassified_g__Lactobacillus</v>
          </cell>
        </row>
        <row r="6447">
          <cell r="G6447" t="str">
            <v>ASV10514</v>
          </cell>
          <cell r="H6447" t="str">
            <v>g__UCG-002</v>
          </cell>
          <cell r="I6447" t="str">
            <v>s__uncultured_bacterium_g__UCG-002</v>
          </cell>
        </row>
        <row r="6448">
          <cell r="G6448" t="str">
            <v>ASV10163</v>
          </cell>
          <cell r="H6448" t="str">
            <v>g__unclassified_f__Lachnospiraceae</v>
          </cell>
          <cell r="I6448" t="str">
            <v>s__unclassified_f__Lachnospiraceae</v>
          </cell>
        </row>
        <row r="6449">
          <cell r="G6449" t="str">
            <v>ASV9855</v>
          </cell>
          <cell r="H6449" t="str">
            <v>g__Veillonella</v>
          </cell>
          <cell r="I6449" t="str">
            <v>s__unclassified_g__Veillonella</v>
          </cell>
        </row>
        <row r="6450">
          <cell r="G6450" t="str">
            <v>ASV23082</v>
          </cell>
          <cell r="H6450" t="str">
            <v>g__unclassified_k__norank_d__Bacteria</v>
          </cell>
          <cell r="I6450" t="str">
            <v>s__unclassified_k__norank_d__Bacteria</v>
          </cell>
        </row>
        <row r="6451">
          <cell r="G6451" t="str">
            <v>ASV7601</v>
          </cell>
          <cell r="H6451" t="str">
            <v>g__unclassified_p__Firmicutes</v>
          </cell>
          <cell r="I6451" t="str">
            <v>s__unclassified_p__Firmicutes</v>
          </cell>
        </row>
        <row r="6452">
          <cell r="G6452" t="str">
            <v>ASV20425</v>
          </cell>
          <cell r="H6452" t="str">
            <v>g__Clostridium_sensu_stricto_1</v>
          </cell>
          <cell r="I6452" t="str">
            <v>s__unclassified_g__Clostridium_sensu_stricto_1</v>
          </cell>
        </row>
        <row r="6453">
          <cell r="G6453" t="str">
            <v>ASV17471</v>
          </cell>
          <cell r="H6453" t="str">
            <v>g__Bacteroides</v>
          </cell>
          <cell r="I6453" t="str">
            <v>s__unclassified_g__Bacteroides</v>
          </cell>
        </row>
        <row r="6454">
          <cell r="G6454" t="str">
            <v>ASV15058</v>
          </cell>
          <cell r="H6454" t="str">
            <v>g__Blautia</v>
          </cell>
          <cell r="I6454" t="str">
            <v>s__unclassified_g__Blautia</v>
          </cell>
        </row>
        <row r="6455">
          <cell r="G6455" t="str">
            <v>ASV2008</v>
          </cell>
          <cell r="H6455" t="str">
            <v>g__Christensenellaceae_R-7_group</v>
          </cell>
          <cell r="I6455" t="str">
            <v>s__unclassified_g__Christensenellaceae_R-7_group</v>
          </cell>
        </row>
        <row r="6456">
          <cell r="G6456" t="str">
            <v>ASV19323</v>
          </cell>
          <cell r="H6456" t="str">
            <v>g__norank_f__UCG-011</v>
          </cell>
          <cell r="I6456" t="str">
            <v>s__uncultured_bacterium_g__norank_f__UCG-011</v>
          </cell>
        </row>
        <row r="6457">
          <cell r="G6457" t="str">
            <v>ASV11324</v>
          </cell>
          <cell r="H6457" t="str">
            <v>g__unclassified_c__Clostridia</v>
          </cell>
          <cell r="I6457" t="str">
            <v>s__unclassified_c__Clostridia</v>
          </cell>
        </row>
        <row r="6458">
          <cell r="G6458" t="str">
            <v>ASV23108</v>
          </cell>
          <cell r="H6458" t="str">
            <v>g__unclassified_p__Firmicutes</v>
          </cell>
          <cell r="I6458" t="str">
            <v>s__unclassified_p__Firmicutes</v>
          </cell>
        </row>
        <row r="6459">
          <cell r="G6459" t="str">
            <v>ASV8947</v>
          </cell>
          <cell r="H6459" t="str">
            <v>g__Parabacteroides</v>
          </cell>
          <cell r="I6459" t="str">
            <v>s__Porphyromonadaceae_bacterium_DJF_B175</v>
          </cell>
        </row>
        <row r="6460">
          <cell r="G6460" t="str">
            <v>ASV13305</v>
          </cell>
          <cell r="H6460" t="str">
            <v>g__Christensenellaceae_R-7_group</v>
          </cell>
          <cell r="I6460" t="str">
            <v>s__unclassified_g__Christensenellaceae_R-7_group</v>
          </cell>
        </row>
        <row r="6461">
          <cell r="G6461" t="str">
            <v>ASV15247</v>
          </cell>
          <cell r="H6461" t="str">
            <v>g__unclassified_f__Lachnospiraceae</v>
          </cell>
          <cell r="I6461" t="str">
            <v>s__unclassified_f__Lachnospiraceae</v>
          </cell>
        </row>
        <row r="6462">
          <cell r="G6462" t="str">
            <v>ASV406</v>
          </cell>
          <cell r="H6462" t="str">
            <v>g__Lactobacillus</v>
          </cell>
          <cell r="I6462" t="str">
            <v>s__unclassified_g__Lactobacillus</v>
          </cell>
        </row>
        <row r="6463">
          <cell r="G6463" t="str">
            <v>ASV23089</v>
          </cell>
          <cell r="H6463" t="str">
            <v>g__Escherichia-Shigella</v>
          </cell>
          <cell r="I6463" t="str">
            <v>s__unclassified_g__Escherichia-Shigella</v>
          </cell>
        </row>
        <row r="6464">
          <cell r="G6464" t="str">
            <v>ASV417</v>
          </cell>
          <cell r="H6464" t="str">
            <v>g__Clostridium_sensu_stricto_6</v>
          </cell>
          <cell r="I6464" t="str">
            <v>s__Clostridium_bornimense</v>
          </cell>
        </row>
        <row r="6465">
          <cell r="G6465" t="str">
            <v>ASV15245</v>
          </cell>
          <cell r="H6465" t="str">
            <v>g__Clostridium_sensu_stricto_1</v>
          </cell>
          <cell r="I6465" t="str">
            <v>s__unclassified_g__Clostridium_sensu_stricto_1</v>
          </cell>
        </row>
        <row r="6466">
          <cell r="G6466" t="str">
            <v>ASV19334</v>
          </cell>
          <cell r="H6466" t="str">
            <v>g__unclassified_o__Bacteroidales</v>
          </cell>
          <cell r="I6466" t="str">
            <v>s__unclassified_o__Bacteroidales</v>
          </cell>
        </row>
        <row r="6467">
          <cell r="G6467" t="str">
            <v>ASV21936</v>
          </cell>
          <cell r="H6467" t="str">
            <v>g__unclassified_c__Clostridia</v>
          </cell>
          <cell r="I6467" t="str">
            <v>s__unclassified_c__Clostridia</v>
          </cell>
        </row>
        <row r="6468">
          <cell r="G6468" t="str">
            <v>ASV21986</v>
          </cell>
          <cell r="H6468" t="str">
            <v>g__unclassified_f__Lachnospiraceae</v>
          </cell>
          <cell r="I6468" t="str">
            <v>s__unclassified_f__Lachnospiraceae</v>
          </cell>
        </row>
        <row r="6469">
          <cell r="G6469" t="str">
            <v>ASV21728</v>
          </cell>
          <cell r="H6469" t="str">
            <v>g__Zoogloea</v>
          </cell>
          <cell r="I6469" t="str">
            <v>s__uncultured_Rhodocyclaceae_bacterium_g__Zoogloea</v>
          </cell>
        </row>
        <row r="6470">
          <cell r="G6470" t="str">
            <v>ASV8704</v>
          </cell>
          <cell r="H6470" t="str">
            <v>g__Kocuria</v>
          </cell>
          <cell r="I6470" t="str">
            <v>s__unclassified_g__Kocuria</v>
          </cell>
        </row>
        <row r="6471">
          <cell r="G6471" t="str">
            <v>ASV1613</v>
          </cell>
          <cell r="H6471" t="str">
            <v>g__unclassified_f__Peptostreptococcaceae</v>
          </cell>
          <cell r="I6471" t="str">
            <v>s__unclassified_f__Peptostreptococcaceae</v>
          </cell>
        </row>
        <row r="6472">
          <cell r="G6472" t="str">
            <v>ASV5690</v>
          </cell>
          <cell r="H6472" t="str">
            <v>g__norank_f__Ruminococcaceae</v>
          </cell>
          <cell r="I6472" t="str">
            <v>s__unclassified_g__norank_f__Ruminococcaceae</v>
          </cell>
        </row>
        <row r="6473">
          <cell r="G6473" t="str">
            <v>ASV17829</v>
          </cell>
          <cell r="H6473" t="str">
            <v>g__unclassified_c__Clostridia</v>
          </cell>
          <cell r="I6473" t="str">
            <v>s__unclassified_c__Clostridia</v>
          </cell>
        </row>
        <row r="6474">
          <cell r="G6474" t="str">
            <v>ASV13783</v>
          </cell>
          <cell r="H6474" t="str">
            <v>g__Enterococcus</v>
          </cell>
          <cell r="I6474" t="str">
            <v>s__unclassified_g__Enterococcus</v>
          </cell>
        </row>
        <row r="6475">
          <cell r="G6475" t="str">
            <v>ASV20606</v>
          </cell>
          <cell r="H6475" t="str">
            <v>g__unclassified_o__Oscillospirales</v>
          </cell>
          <cell r="I6475" t="str">
            <v>s__unclassified_o__Oscillospirales</v>
          </cell>
        </row>
        <row r="6476">
          <cell r="G6476" t="str">
            <v>ASV8446</v>
          </cell>
          <cell r="H6476" t="str">
            <v>g__unclassified_k__norank_d__Bacteria</v>
          </cell>
          <cell r="I6476" t="str">
            <v>s__unclassified_k__norank_d__Bacteria</v>
          </cell>
        </row>
        <row r="6477">
          <cell r="G6477" t="str">
            <v>ASV7584</v>
          </cell>
          <cell r="H6477" t="str">
            <v>g__UCG-002</v>
          </cell>
          <cell r="I6477" t="str">
            <v>s__uncultured_bacterium_g__UCG-002</v>
          </cell>
        </row>
        <row r="6478">
          <cell r="G6478" t="str">
            <v>ASV14040</v>
          </cell>
          <cell r="H6478" t="str">
            <v>g__Lactobacillus</v>
          </cell>
          <cell r="I6478" t="str">
            <v>s__unclassified_g__Lactobacillus</v>
          </cell>
        </row>
        <row r="6479">
          <cell r="G6479" t="str">
            <v>ASV7580</v>
          </cell>
          <cell r="H6479" t="str">
            <v>g__unclassified_p__Firmicutes</v>
          </cell>
          <cell r="I6479" t="str">
            <v>s__unclassified_p__Firmicutes</v>
          </cell>
        </row>
        <row r="6480">
          <cell r="G6480" t="str">
            <v>ASV14029</v>
          </cell>
          <cell r="H6480" t="str">
            <v>g__unclassified_c__Clostridia</v>
          </cell>
          <cell r="I6480" t="str">
            <v>s__unclassified_c__Clostridia</v>
          </cell>
        </row>
        <row r="6481">
          <cell r="G6481" t="str">
            <v>ASV6593</v>
          </cell>
          <cell r="H6481" t="str">
            <v>g__Sharpea</v>
          </cell>
          <cell r="I6481" t="str">
            <v>s__unclassified_g__Sharpea</v>
          </cell>
        </row>
        <row r="6482">
          <cell r="G6482" t="str">
            <v>ASV3139</v>
          </cell>
          <cell r="H6482" t="str">
            <v>g__unclassified_f__Lachnospiraceae</v>
          </cell>
          <cell r="I6482" t="str">
            <v>s__unclassified_f__Lachnospiraceae</v>
          </cell>
        </row>
        <row r="6483">
          <cell r="G6483" t="str">
            <v>ASV17349</v>
          </cell>
          <cell r="H6483" t="str">
            <v>g__Lactobacillus</v>
          </cell>
          <cell r="I6483" t="str">
            <v>s__unclassified_g__Lactobacillus</v>
          </cell>
        </row>
        <row r="6484">
          <cell r="G6484" t="str">
            <v>ASV20224</v>
          </cell>
          <cell r="H6484" t="str">
            <v>g__unclassified_c__Bacilli</v>
          </cell>
          <cell r="I6484" t="str">
            <v>s__unclassified_c__Bacilli</v>
          </cell>
        </row>
        <row r="6485">
          <cell r="G6485" t="str">
            <v>ASV3443</v>
          </cell>
          <cell r="H6485" t="str">
            <v>g__Lactobacillus</v>
          </cell>
          <cell r="I6485" t="str">
            <v>s__unclassified_g__Lactobacillus</v>
          </cell>
        </row>
        <row r="6486">
          <cell r="G6486" t="str">
            <v>ASV11338</v>
          </cell>
          <cell r="H6486" t="str">
            <v>g__unclassified_c__Clostridia</v>
          </cell>
          <cell r="I6486" t="str">
            <v>s__unclassified_c__Clostridia</v>
          </cell>
        </row>
        <row r="6487">
          <cell r="G6487" t="str">
            <v>ASV20628</v>
          </cell>
          <cell r="H6487" t="str">
            <v>g__UCG-005</v>
          </cell>
          <cell r="I6487" t="str">
            <v>s__unclassified_g__UCG-005</v>
          </cell>
        </row>
        <row r="6488">
          <cell r="G6488" t="str">
            <v>ASV17839</v>
          </cell>
          <cell r="H6488" t="str">
            <v>g__unclassified_c__Clostridia</v>
          </cell>
          <cell r="I6488" t="str">
            <v>s__unclassified_c__Clostridia</v>
          </cell>
        </row>
        <row r="6489">
          <cell r="G6489" t="str">
            <v>ASV3694</v>
          </cell>
          <cell r="H6489" t="str">
            <v>g__Arenimonas</v>
          </cell>
          <cell r="I6489" t="str">
            <v>s__Arenimonas_taoyuanensis</v>
          </cell>
        </row>
        <row r="6490">
          <cell r="G6490" t="str">
            <v>ASV14037</v>
          </cell>
          <cell r="H6490" t="str">
            <v>g__unclassified_k__norank_d__Bacteria</v>
          </cell>
          <cell r="I6490" t="str">
            <v>s__unclassified_k__norank_d__Bacteria</v>
          </cell>
        </row>
        <row r="6491">
          <cell r="G6491" t="str">
            <v>ASV409</v>
          </cell>
          <cell r="H6491" t="str">
            <v>g__Christensenellaceae_R-7_group</v>
          </cell>
          <cell r="I6491" t="str">
            <v>s__unclassified_g__Christensenellaceae_R-7_group</v>
          </cell>
        </row>
        <row r="6492">
          <cell r="G6492" t="str">
            <v>ASV2012</v>
          </cell>
          <cell r="H6492" t="str">
            <v>g__unclassified_f__Ruminococcaceae</v>
          </cell>
          <cell r="I6492" t="str">
            <v>s__unclassified_f__Ruminococcaceae</v>
          </cell>
        </row>
        <row r="6493">
          <cell r="G6493" t="str">
            <v>ASV20629</v>
          </cell>
          <cell r="H6493" t="str">
            <v>g__Ruminococcus</v>
          </cell>
          <cell r="I6493" t="str">
            <v>s__uncultured_bacterium_g__Ruminococcus</v>
          </cell>
        </row>
        <row r="6494">
          <cell r="G6494" t="str">
            <v>ASV7569</v>
          </cell>
          <cell r="H6494" t="str">
            <v>g__unclassified_c__Clostridia</v>
          </cell>
          <cell r="I6494" t="str">
            <v>s__unclassified_c__Clostridia</v>
          </cell>
        </row>
        <row r="6495">
          <cell r="G6495" t="str">
            <v>ASV19338</v>
          </cell>
          <cell r="H6495" t="str">
            <v>g__unclassified_c__Clostridia</v>
          </cell>
          <cell r="I6495" t="str">
            <v>s__unclassified_c__Clostridia</v>
          </cell>
        </row>
        <row r="6496">
          <cell r="G6496" t="str">
            <v>ASV408</v>
          </cell>
          <cell r="H6496" t="str">
            <v>g__unclassified_c__Clostridia</v>
          </cell>
          <cell r="I6496" t="str">
            <v>s__unclassified_c__Clostridia</v>
          </cell>
        </row>
        <row r="6497">
          <cell r="G6497" t="str">
            <v>ASV3879</v>
          </cell>
          <cell r="H6497" t="str">
            <v>g__unclassified_f__Lachnospiraceae</v>
          </cell>
          <cell r="I6497" t="str">
            <v>s__unclassified_f__Lachnospiraceae</v>
          </cell>
        </row>
        <row r="6498">
          <cell r="G6498" t="str">
            <v>ASV3866</v>
          </cell>
          <cell r="H6498" t="str">
            <v>g__Akkermansia</v>
          </cell>
          <cell r="I6498" t="str">
            <v>s__unclassified_g__Akkermansia</v>
          </cell>
        </row>
        <row r="6499">
          <cell r="G6499" t="str">
            <v>ASV463</v>
          </cell>
          <cell r="H6499" t="str">
            <v>g__norank_f__Muribaculaceae</v>
          </cell>
          <cell r="I6499" t="str">
            <v>s__uncultured_bacterium_g__norank_f__Muribaculaceae</v>
          </cell>
        </row>
        <row r="6500">
          <cell r="G6500" t="str">
            <v>ASV1614</v>
          </cell>
          <cell r="H6500" t="str">
            <v>g__Veillonella</v>
          </cell>
          <cell r="I6500" t="str">
            <v>s__unclassified_g__Veillonella</v>
          </cell>
        </row>
        <row r="6501">
          <cell r="G6501" t="str">
            <v>ASV14051</v>
          </cell>
          <cell r="H6501" t="str">
            <v>g__unclassified_f__Oscillospiraceae</v>
          </cell>
          <cell r="I6501" t="str">
            <v>s__unclassified_f__Oscillospiraceae</v>
          </cell>
        </row>
        <row r="6502">
          <cell r="G6502" t="str">
            <v>ASV24382</v>
          </cell>
          <cell r="H6502" t="str">
            <v>g__Lactobacillus</v>
          </cell>
          <cell r="I6502" t="str">
            <v>s__unclassified_g__Lactobacillus</v>
          </cell>
        </row>
        <row r="6503">
          <cell r="G6503" t="str">
            <v>ASV20594</v>
          </cell>
          <cell r="H6503" t="str">
            <v>g__unclassified_f__Ruminococcaceae</v>
          </cell>
          <cell r="I6503" t="str">
            <v>s__unclassified_f__Ruminococcaceae</v>
          </cell>
        </row>
        <row r="6504">
          <cell r="G6504" t="str">
            <v>ASV23107</v>
          </cell>
          <cell r="H6504" t="str">
            <v>g__unclassified_c__Clostridia</v>
          </cell>
          <cell r="I6504" t="str">
            <v>s__unclassified_c__Clostridia</v>
          </cell>
        </row>
        <row r="6505">
          <cell r="G6505" t="str">
            <v>ASV7566</v>
          </cell>
          <cell r="H6505" t="str">
            <v>g__norank_f__Muribaculaceae</v>
          </cell>
          <cell r="I6505" t="str">
            <v>s__uncultured_organism_g__norank_f__Muribaculaceae</v>
          </cell>
        </row>
        <row r="6506">
          <cell r="G6506" t="str">
            <v>ASV21969</v>
          </cell>
          <cell r="H6506" t="str">
            <v>g__norank_f__Eubacterium_coprostanoligenes_group</v>
          </cell>
          <cell r="I6506" t="str">
            <v>s__uncultured_bacterium_g__norank_f__Eubacterium_coprostanoligenes_group</v>
          </cell>
        </row>
        <row r="6507">
          <cell r="G6507" t="str">
            <v>ASV21423</v>
          </cell>
          <cell r="H6507" t="str">
            <v>g__Lactobacillus</v>
          </cell>
          <cell r="I6507" t="str">
            <v>s__unclassified_g__Lactobacillus</v>
          </cell>
        </row>
        <row r="6508">
          <cell r="G6508" t="str">
            <v>ASV13690</v>
          </cell>
          <cell r="H6508" t="str">
            <v>g__Acidaminococcus</v>
          </cell>
          <cell r="I6508" t="str">
            <v>s__Acidaminococcus_sp._Marseille-P2828</v>
          </cell>
        </row>
        <row r="6509">
          <cell r="G6509" t="str">
            <v>ASV7602</v>
          </cell>
          <cell r="H6509" t="str">
            <v>g__Streptococcus</v>
          </cell>
          <cell r="I6509" t="str">
            <v>s__unclassified_g__Streptococcus</v>
          </cell>
        </row>
        <row r="6510">
          <cell r="G6510" t="str">
            <v>ASV16292</v>
          </cell>
          <cell r="H6510" t="str">
            <v>g__unclassified_c__Clostridia</v>
          </cell>
          <cell r="I6510" t="str">
            <v>s__unclassified_c__Clostridia</v>
          </cell>
        </row>
        <row r="6511">
          <cell r="G6511" t="str">
            <v>ASV11336</v>
          </cell>
          <cell r="H6511" t="str">
            <v>g__unclassified_c__Bacilli</v>
          </cell>
          <cell r="I6511" t="str">
            <v>s__unclassified_c__Bacilli</v>
          </cell>
        </row>
        <row r="6512">
          <cell r="G6512" t="str">
            <v>ASV13319</v>
          </cell>
          <cell r="H6512" t="str">
            <v>g__unclassified_f__Lachnospiraceae</v>
          </cell>
          <cell r="I6512" t="str">
            <v>s__unclassified_f__Lachnospiraceae</v>
          </cell>
        </row>
        <row r="6513">
          <cell r="G6513" t="str">
            <v>ASV1759</v>
          </cell>
          <cell r="H6513" t="str">
            <v>g__norank_f__Eubacterium_coprostanoligenes_group</v>
          </cell>
          <cell r="I6513" t="str">
            <v>s__unclassified_g__norank_f__Eubacterium_coprostanoligenes_group</v>
          </cell>
        </row>
        <row r="6514">
          <cell r="G6514" t="str">
            <v>ASV400</v>
          </cell>
          <cell r="H6514" t="str">
            <v>g__unclassified_c__Clostridia</v>
          </cell>
          <cell r="I6514" t="str">
            <v>s__unclassified_c__Clostridia</v>
          </cell>
        </row>
        <row r="6515">
          <cell r="G6515" t="str">
            <v>ASV10479</v>
          </cell>
          <cell r="H6515" t="str">
            <v>g__unclassified_c__Bacilli</v>
          </cell>
          <cell r="I6515" t="str">
            <v>s__unclassified_c__Bacilli</v>
          </cell>
        </row>
        <row r="6516">
          <cell r="G6516" t="str">
            <v>ASV4685</v>
          </cell>
          <cell r="H6516" t="str">
            <v>g__Enterococcus</v>
          </cell>
          <cell r="I6516" t="str">
            <v>s__unclassified_g__Enterococcus</v>
          </cell>
        </row>
        <row r="6517">
          <cell r="G6517" t="str">
            <v>ASV11393</v>
          </cell>
          <cell r="H6517" t="str">
            <v>g__norank_f__Selenomonadaceae</v>
          </cell>
          <cell r="I6517" t="str">
            <v>s__swine_fecal_bacterium_SD-Cel5</v>
          </cell>
        </row>
        <row r="6518">
          <cell r="G6518" t="str">
            <v>ASV2734</v>
          </cell>
          <cell r="H6518" t="str">
            <v>g__Corynebacterium</v>
          </cell>
          <cell r="I6518" t="str">
            <v>s__unclassified_g__Corynebacterium</v>
          </cell>
        </row>
        <row r="6519">
          <cell r="G6519" t="str">
            <v>ASV22054</v>
          </cell>
          <cell r="H6519" t="str">
            <v>g__unclassified_f__Lachnospiraceae</v>
          </cell>
          <cell r="I6519" t="str">
            <v>s__unclassified_f__Lachnospiraceae</v>
          </cell>
        </row>
        <row r="6520">
          <cell r="G6520" t="str">
            <v>ASV22917</v>
          </cell>
          <cell r="H6520" t="str">
            <v>g__Streptococcus</v>
          </cell>
          <cell r="I6520" t="str">
            <v>s__unclassified_g__Streptococcus</v>
          </cell>
        </row>
        <row r="6521">
          <cell r="G6521" t="str">
            <v>ASV14075</v>
          </cell>
          <cell r="H6521" t="str">
            <v>g__unclassified_f__Lachnospiraceae</v>
          </cell>
          <cell r="I6521" t="str">
            <v>s__unclassified_f__Lachnospiraceae</v>
          </cell>
        </row>
        <row r="6522">
          <cell r="G6522" t="str">
            <v>ASV485</v>
          </cell>
          <cell r="H6522" t="str">
            <v>g__Prevotella</v>
          </cell>
          <cell r="I6522" t="str">
            <v>s__unclassified_g__Prevotella</v>
          </cell>
        </row>
        <row r="6523">
          <cell r="G6523" t="str">
            <v>ASV2065</v>
          </cell>
          <cell r="H6523" t="str">
            <v>g__unclassified_f__Lachnospiraceae</v>
          </cell>
          <cell r="I6523" t="str">
            <v>s__unclassified_f__Lachnospiraceae</v>
          </cell>
        </row>
        <row r="6524">
          <cell r="G6524" t="str">
            <v>ASV7613</v>
          </cell>
          <cell r="H6524" t="str">
            <v>g__unclassified_f__Lachnospiraceae</v>
          </cell>
          <cell r="I6524" t="str">
            <v>s__unclassified_f__Lachnospiraceae</v>
          </cell>
        </row>
        <row r="6525">
          <cell r="G6525" t="str">
            <v>ASV2043</v>
          </cell>
          <cell r="H6525" t="str">
            <v>g__unclassified_f__Lachnospiraceae</v>
          </cell>
          <cell r="I6525" t="str">
            <v>s__unclassified_f__Lachnospiraceae</v>
          </cell>
        </row>
        <row r="6526">
          <cell r="G6526" t="str">
            <v>ASV20643</v>
          </cell>
          <cell r="H6526" t="str">
            <v>g__Christensenellaceae_R-7_group</v>
          </cell>
          <cell r="I6526" t="str">
            <v>s__unclassified_g__Christensenellaceae_R-7_group</v>
          </cell>
        </row>
        <row r="6527">
          <cell r="G6527" t="str">
            <v>ASV17871</v>
          </cell>
          <cell r="H6527" t="str">
            <v>g__norank_f__Ruminococcaceae</v>
          </cell>
          <cell r="I6527" t="str">
            <v>s__unclassified_g__norank_f__Ruminococcaceae</v>
          </cell>
        </row>
        <row r="6528">
          <cell r="G6528" t="str">
            <v>ASV6622</v>
          </cell>
          <cell r="H6528" t="str">
            <v>g__unclassified_f__Lachnospiraceae</v>
          </cell>
          <cell r="I6528" t="str">
            <v>s__unclassified_f__Lachnospiraceae</v>
          </cell>
        </row>
        <row r="6529">
          <cell r="G6529" t="str">
            <v>ASV3156</v>
          </cell>
          <cell r="H6529" t="str">
            <v>g__Veillonella</v>
          </cell>
          <cell r="I6529" t="str">
            <v>s__unclassified_g__Veillonella</v>
          </cell>
        </row>
        <row r="6530">
          <cell r="G6530" t="str">
            <v>ASV12623</v>
          </cell>
          <cell r="H6530" t="str">
            <v>g__unclassified_c__Clostridia</v>
          </cell>
          <cell r="I6530" t="str">
            <v>s__unclassified_c__Clostridia</v>
          </cell>
        </row>
        <row r="6531">
          <cell r="G6531" t="str">
            <v>ASV23129</v>
          </cell>
          <cell r="H6531" t="str">
            <v>g__unclassified_c__Clostridia</v>
          </cell>
          <cell r="I6531" t="str">
            <v>s__unclassified_c__Clostridia</v>
          </cell>
        </row>
        <row r="6532">
          <cell r="G6532" t="str">
            <v>ASV17892</v>
          </cell>
          <cell r="H6532" t="str">
            <v>g__unclassified_f__Ruminococcaceae</v>
          </cell>
          <cell r="I6532" t="str">
            <v>s__unclassified_f__Ruminococcaceae</v>
          </cell>
        </row>
        <row r="6533">
          <cell r="G6533" t="str">
            <v>ASV16862</v>
          </cell>
          <cell r="H6533" t="str">
            <v>g__Prevotella</v>
          </cell>
          <cell r="I6533" t="str">
            <v>s__uncultured_bacterium_g__Prevotella</v>
          </cell>
        </row>
        <row r="6534">
          <cell r="G6534" t="str">
            <v>ASV4672</v>
          </cell>
          <cell r="H6534" t="str">
            <v>g__Enterococcus</v>
          </cell>
          <cell r="I6534" t="str">
            <v>s__unclassified_g__Enterococcus</v>
          </cell>
        </row>
        <row r="6535">
          <cell r="G6535" t="str">
            <v>ASV9293</v>
          </cell>
          <cell r="H6535" t="str">
            <v>g__unclassified_c__Clostridia</v>
          </cell>
          <cell r="I6535" t="str">
            <v>s__unclassified_c__Clostridia</v>
          </cell>
        </row>
        <row r="6536">
          <cell r="G6536" t="str">
            <v>ASV21583</v>
          </cell>
          <cell r="H6536" t="str">
            <v>g__Lactobacillus</v>
          </cell>
          <cell r="I6536" t="str">
            <v>s__unclassified_g__Lactobacillus</v>
          </cell>
        </row>
        <row r="6537">
          <cell r="G6537" t="str">
            <v>ASV12642</v>
          </cell>
          <cell r="H6537" t="str">
            <v>g__Helicobacter</v>
          </cell>
          <cell r="I6537" t="str">
            <v>s__unclassified_g__Helicobacter</v>
          </cell>
        </row>
        <row r="6538">
          <cell r="G6538" t="str">
            <v>ASV2730</v>
          </cell>
          <cell r="H6538" t="str">
            <v>g__Lactobacillus</v>
          </cell>
          <cell r="I6538" t="str">
            <v>s__unclassified_g__Lactobacillus</v>
          </cell>
        </row>
        <row r="6539">
          <cell r="G6539" t="str">
            <v>ASV19407</v>
          </cell>
          <cell r="H6539" t="str">
            <v>g__Prevotellaceae_UCG-003</v>
          </cell>
          <cell r="I6539" t="str">
            <v>s__uncultured_bacterium_g__Prevotellaceae_UCG-003</v>
          </cell>
        </row>
        <row r="6540">
          <cell r="G6540" t="str">
            <v>ASV20647</v>
          </cell>
          <cell r="H6540" t="str">
            <v>g__Christensenellaceae_R-7_group</v>
          </cell>
          <cell r="I6540" t="str">
            <v>s__unclassified_g__Christensenellaceae_R-7_group</v>
          </cell>
        </row>
        <row r="6541">
          <cell r="G6541" t="str">
            <v>ASV19372</v>
          </cell>
          <cell r="H6541" t="str">
            <v>g__unclassified_c__Clostridia</v>
          </cell>
          <cell r="I6541" t="str">
            <v>s__unclassified_c__Clostridia</v>
          </cell>
        </row>
        <row r="6542">
          <cell r="G6542" t="str">
            <v>ASV7622</v>
          </cell>
          <cell r="H6542" t="str">
            <v>g__Phascolarctobacterium</v>
          </cell>
          <cell r="I6542" t="str">
            <v>s__unclassified_g__Phascolarctobacterium</v>
          </cell>
        </row>
        <row r="6543">
          <cell r="G6543" t="str">
            <v>ASV8464</v>
          </cell>
          <cell r="H6543" t="str">
            <v>g__Acidaminococcus</v>
          </cell>
          <cell r="I6543" t="str">
            <v>s__unclassified_g__Acidaminococcus</v>
          </cell>
        </row>
        <row r="6544">
          <cell r="G6544" t="str">
            <v>ASV1622</v>
          </cell>
          <cell r="H6544" t="str">
            <v>g__unclassified_c__Clostridia</v>
          </cell>
          <cell r="I6544" t="str">
            <v>s__unclassified_c__Clostridia</v>
          </cell>
        </row>
        <row r="6545">
          <cell r="G6545" t="str">
            <v>ASV478</v>
          </cell>
          <cell r="H6545" t="str">
            <v>g__Lactobacillus</v>
          </cell>
          <cell r="I6545" t="str">
            <v>s__unclassified_g__Lactobacillus</v>
          </cell>
        </row>
        <row r="6546">
          <cell r="G6546" t="str">
            <v>ASV13330</v>
          </cell>
          <cell r="H6546" t="str">
            <v>g__unclassified_o__Oscillospirales</v>
          </cell>
          <cell r="I6546" t="str">
            <v>s__unclassified_o__Oscillospirales</v>
          </cell>
        </row>
        <row r="6547">
          <cell r="G6547" t="str">
            <v>ASV3940</v>
          </cell>
          <cell r="H6547" t="str">
            <v>g__unclassified_f__Lachnospiraceae</v>
          </cell>
          <cell r="I6547" t="str">
            <v>s__unclassified_f__Lachnospiraceae</v>
          </cell>
        </row>
        <row r="6548">
          <cell r="G6548" t="str">
            <v>ASV23758</v>
          </cell>
          <cell r="H6548" t="str">
            <v>g__Peptostreptococcus</v>
          </cell>
          <cell r="I6548" t="str">
            <v>s__unclassified_g__Peptostreptococcus</v>
          </cell>
        </row>
        <row r="6549">
          <cell r="G6549" t="str">
            <v>ASV3913</v>
          </cell>
          <cell r="H6549" t="str">
            <v>g__unclassified_f__Oscillospiraceae</v>
          </cell>
          <cell r="I6549" t="str">
            <v>s__unclassified_f__Oscillospiraceae</v>
          </cell>
        </row>
        <row r="6550">
          <cell r="G6550" t="str">
            <v>ASV9314</v>
          </cell>
          <cell r="H6550" t="str">
            <v>g__Succiniclasticum</v>
          </cell>
          <cell r="I6550" t="str">
            <v>s__uncultured_bacterium_g__Succiniclasticum</v>
          </cell>
        </row>
        <row r="6551">
          <cell r="G6551" t="str">
            <v>ASV11464</v>
          </cell>
          <cell r="H6551" t="str">
            <v>g__Sharpea</v>
          </cell>
          <cell r="I6551" t="str">
            <v>s__unclassified_g__Sharpea</v>
          </cell>
        </row>
        <row r="6552">
          <cell r="G6552" t="str">
            <v>ASV487</v>
          </cell>
          <cell r="H6552" t="str">
            <v>g__Prevotellaceae_UCG-003</v>
          </cell>
          <cell r="I6552" t="str">
            <v>s__uncultured_bacterium_g__Prevotellaceae_UCG-003</v>
          </cell>
        </row>
        <row r="6553">
          <cell r="G6553" t="str">
            <v>ASV17880</v>
          </cell>
          <cell r="H6553" t="str">
            <v>g__unclassified_f__Lachnospiraceae</v>
          </cell>
          <cell r="I6553" t="str">
            <v>s__unclassified_f__Lachnospiraceae</v>
          </cell>
        </row>
        <row r="6554">
          <cell r="G6554" t="str">
            <v>ASV2071</v>
          </cell>
          <cell r="H6554" t="str">
            <v>g__unclassified_f__Lachnospiraceae</v>
          </cell>
          <cell r="I6554" t="str">
            <v>s__unclassified_f__Lachnospiraceae</v>
          </cell>
        </row>
        <row r="6555">
          <cell r="G6555" t="str">
            <v>ASV3911</v>
          </cell>
          <cell r="H6555" t="str">
            <v>g__norank_f__norank_o__Clostridia_UCG-014</v>
          </cell>
          <cell r="I6555" t="str">
            <v>s__Clostridiales_bacterium_canine_oral_taxon_100</v>
          </cell>
        </row>
        <row r="6556">
          <cell r="G6556" t="str">
            <v>ASV15268</v>
          </cell>
          <cell r="H6556" t="str">
            <v>g__unclassified_f__Lachnospiraceae</v>
          </cell>
          <cell r="I6556" t="str">
            <v>s__unclassified_f__Lachnospiraceae</v>
          </cell>
        </row>
        <row r="6557">
          <cell r="G6557" t="str">
            <v>ASV13357</v>
          </cell>
          <cell r="H6557" t="str">
            <v>g__Christensenellaceae_R-7_group</v>
          </cell>
          <cell r="I6557" t="str">
            <v>s__unclassified_g__Christensenellaceae_R-7_group</v>
          </cell>
        </row>
        <row r="6558">
          <cell r="G6558" t="str">
            <v>ASV19050</v>
          </cell>
          <cell r="H6558" t="str">
            <v>g__unclassified_f__Lachnospiraceae</v>
          </cell>
          <cell r="I6558" t="str">
            <v>s__unclassified_f__Lachnospiraceae</v>
          </cell>
        </row>
        <row r="6559">
          <cell r="G6559" t="str">
            <v>ASV20240</v>
          </cell>
          <cell r="H6559" t="str">
            <v>g__unclassified_f__Lachnospiraceae</v>
          </cell>
          <cell r="I6559" t="str">
            <v>s__unclassified_f__Lachnospiraceae</v>
          </cell>
        </row>
        <row r="6560">
          <cell r="G6560" t="str">
            <v>ASV11462</v>
          </cell>
          <cell r="H6560" t="str">
            <v>g__unclassified_c__Clostridia</v>
          </cell>
          <cell r="I6560" t="str">
            <v>s__unclassified_c__Clostridia</v>
          </cell>
        </row>
        <row r="6561">
          <cell r="G6561" t="str">
            <v>ASV18544</v>
          </cell>
          <cell r="H6561" t="str">
            <v>g__unclassified_f__Lachnospiraceae</v>
          </cell>
          <cell r="I6561" t="str">
            <v>s__unclassified_f__Lachnospiraceae</v>
          </cell>
        </row>
        <row r="6562">
          <cell r="G6562" t="str">
            <v>ASV15256</v>
          </cell>
          <cell r="H6562" t="str">
            <v>g__unclassified_c__Clostridia</v>
          </cell>
          <cell r="I6562" t="str">
            <v>s__unclassified_c__Clostridia</v>
          </cell>
        </row>
        <row r="6563">
          <cell r="G6563" t="str">
            <v>ASV15936</v>
          </cell>
          <cell r="H6563" t="str">
            <v>g__Fusobacterium</v>
          </cell>
          <cell r="I6563" t="str">
            <v>s__unclassified_g__Fusobacterium</v>
          </cell>
        </row>
        <row r="6564">
          <cell r="G6564" t="str">
            <v>ASV2097</v>
          </cell>
          <cell r="H6564" t="str">
            <v>g__norank_f__norank_o__Clostridia_UCG-014</v>
          </cell>
          <cell r="I6564" t="str">
            <v>s__uncultured_bacterium_g__norank_f__norank_o__Clostridia_UCG-014</v>
          </cell>
        </row>
        <row r="6565">
          <cell r="G6565" t="str">
            <v>ASV8473</v>
          </cell>
          <cell r="H6565" t="str">
            <v>g__unclassified_o__Veillonellales-Selenomonadales</v>
          </cell>
          <cell r="I6565" t="str">
            <v>s__unclassified_o__Veillonellales-Selenomonadales</v>
          </cell>
        </row>
        <row r="6566">
          <cell r="G6566" t="str">
            <v>ASV14095</v>
          </cell>
          <cell r="H6566" t="str">
            <v>g__unclassified_f__Christensenellaceae</v>
          </cell>
          <cell r="I6566" t="str">
            <v>s__unclassified_f__Christensenellaceae</v>
          </cell>
        </row>
        <row r="6567">
          <cell r="G6567" t="str">
            <v>ASV11443</v>
          </cell>
          <cell r="H6567" t="str">
            <v>g__unclassified_c__Clostridia</v>
          </cell>
          <cell r="I6567" t="str">
            <v>s__unclassified_c__Clostridia</v>
          </cell>
        </row>
        <row r="6568">
          <cell r="G6568" t="str">
            <v>ASV24121</v>
          </cell>
          <cell r="H6568" t="str">
            <v>g__unclassified_f__Lachnospiraceae</v>
          </cell>
          <cell r="I6568" t="str">
            <v>s__unclassified_f__Lachnospiraceae</v>
          </cell>
        </row>
        <row r="6569">
          <cell r="G6569" t="str">
            <v>ASV3948</v>
          </cell>
          <cell r="H6569" t="str">
            <v>g__unclassified_p__Firmicutes</v>
          </cell>
          <cell r="I6569" t="str">
            <v>s__unclassified_p__Firmicutes</v>
          </cell>
        </row>
        <row r="6570">
          <cell r="G6570" t="str">
            <v>ASV19404</v>
          </cell>
          <cell r="H6570" t="str">
            <v>g__Megasphaera</v>
          </cell>
          <cell r="I6570" t="str">
            <v>s__unclassified_g__Megasphaera</v>
          </cell>
        </row>
        <row r="6571">
          <cell r="G6571" t="str">
            <v>ASV10297</v>
          </cell>
          <cell r="H6571" t="str">
            <v>g__Finegoldia</v>
          </cell>
          <cell r="I6571" t="str">
            <v>s__unclassified_g__Finegoldia</v>
          </cell>
        </row>
        <row r="6572">
          <cell r="G6572" t="str">
            <v>ASV7677</v>
          </cell>
          <cell r="H6572" t="str">
            <v>g__Mogibacterium</v>
          </cell>
          <cell r="I6572" t="str">
            <v>s__uncultured_bacterium_g__Mogibacterium</v>
          </cell>
        </row>
        <row r="6573">
          <cell r="G6573" t="str">
            <v>ASV7641</v>
          </cell>
          <cell r="H6573" t="str">
            <v>g__unclassified_c__Clostridia</v>
          </cell>
          <cell r="I6573" t="str">
            <v>s__unclassified_c__Clostridia</v>
          </cell>
        </row>
        <row r="6574">
          <cell r="G6574" t="str">
            <v>ASV15290</v>
          </cell>
          <cell r="H6574" t="str">
            <v>g__norank_f__Muribaculaceae</v>
          </cell>
          <cell r="I6574" t="str">
            <v>s__uncultured_bacterium_g__norank_f__Muribaculaceae</v>
          </cell>
        </row>
        <row r="6575">
          <cell r="G6575" t="str">
            <v>ASV2095</v>
          </cell>
          <cell r="H6575" t="str">
            <v>g__Streptococcus</v>
          </cell>
          <cell r="I6575" t="str">
            <v>s__Streptococcus_ferus</v>
          </cell>
        </row>
        <row r="6576">
          <cell r="G6576" t="str">
            <v>ASV6619</v>
          </cell>
          <cell r="H6576" t="str">
            <v>g__Enterococcus</v>
          </cell>
          <cell r="I6576" t="str">
            <v>s__unclassified_g__Enterococcus</v>
          </cell>
        </row>
        <row r="6577">
          <cell r="G6577" t="str">
            <v>ASV2096</v>
          </cell>
          <cell r="H6577" t="str">
            <v>g__unclassified_f__Peptostreptococcaceae</v>
          </cell>
          <cell r="I6577" t="str">
            <v>s__unclassified_f__Peptostreptococcaceae</v>
          </cell>
        </row>
        <row r="6578">
          <cell r="G6578" t="str">
            <v>ASV9274</v>
          </cell>
          <cell r="H6578" t="str">
            <v>g__Sanguibacteroides</v>
          </cell>
          <cell r="I6578" t="str">
            <v>s__Sanguibacteroides_justesenii</v>
          </cell>
        </row>
        <row r="6579">
          <cell r="G6579" t="str">
            <v>ASV24120</v>
          </cell>
          <cell r="H6579" t="str">
            <v>g__unclassified_c__Clostridia</v>
          </cell>
          <cell r="I6579" t="str">
            <v>s__unclassified_c__Clostridia</v>
          </cell>
        </row>
        <row r="6580">
          <cell r="G6580" t="str">
            <v>ASV15788</v>
          </cell>
          <cell r="H6580" t="str">
            <v>g__unclassified_f__Veillonellaceae</v>
          </cell>
          <cell r="I6580" t="str">
            <v>s__unclassified_f__Veillonellaceae</v>
          </cell>
        </row>
        <row r="6581">
          <cell r="G6581" t="str">
            <v>ASV4729</v>
          </cell>
          <cell r="H6581" t="str">
            <v>g__unclassified_f__Lachnospiraceae</v>
          </cell>
          <cell r="I6581" t="str">
            <v>s__unclassified_f__Lachnospiraceae</v>
          </cell>
        </row>
        <row r="6582">
          <cell r="G6582" t="str">
            <v>ASV19429</v>
          </cell>
          <cell r="H6582" t="str">
            <v>g__unclassified_f__Prevotellaceae</v>
          </cell>
          <cell r="I6582" t="str">
            <v>s__unclassified_f__Prevotellaceae</v>
          </cell>
        </row>
        <row r="6583">
          <cell r="G6583" t="str">
            <v>ASV13333</v>
          </cell>
          <cell r="H6583" t="str">
            <v>g__UCG-002</v>
          </cell>
          <cell r="I6583" t="str">
            <v>s__uncultured_bacterium_g__UCG-002</v>
          </cell>
        </row>
        <row r="6584">
          <cell r="G6584" t="str">
            <v>ASV20677</v>
          </cell>
          <cell r="H6584" t="str">
            <v>g__Peptococcus</v>
          </cell>
          <cell r="I6584" t="str">
            <v>s__uncultured_bacterium_g__Peptococcus</v>
          </cell>
        </row>
        <row r="6585">
          <cell r="G6585" t="str">
            <v>ASV9269</v>
          </cell>
          <cell r="H6585" t="str">
            <v>g__unclassified_p__Firmicutes</v>
          </cell>
          <cell r="I6585" t="str">
            <v>s__unclassified_p__Firmicutes</v>
          </cell>
        </row>
        <row r="6586">
          <cell r="G6586" t="str">
            <v>ASV7039</v>
          </cell>
          <cell r="H6586" t="str">
            <v>g__Escherichia-Shigella</v>
          </cell>
          <cell r="I6586" t="str">
            <v>s__unclassified_g__Escherichia-Shigella</v>
          </cell>
        </row>
        <row r="6587">
          <cell r="G6587" t="str">
            <v>ASV4712</v>
          </cell>
          <cell r="H6587" t="str">
            <v>g__unclassified_c__Clostridia</v>
          </cell>
          <cell r="I6587" t="str">
            <v>s__unclassified_c__Clostridia</v>
          </cell>
        </row>
        <row r="6588">
          <cell r="G6588" t="str">
            <v>ASV8463</v>
          </cell>
          <cell r="H6588" t="str">
            <v>g__norank_f__Prevotellaceae</v>
          </cell>
          <cell r="I6588" t="str">
            <v>s__unclassified_g__norank_f__Prevotellaceae</v>
          </cell>
        </row>
        <row r="6589">
          <cell r="G6589" t="str">
            <v>ASV12635</v>
          </cell>
          <cell r="H6589" t="str">
            <v>g__norank_f__Eubacterium_coprostanoligenes_group</v>
          </cell>
          <cell r="I6589" t="str">
            <v>s__uncultured_bacterium_g__norank_f__Eubacterium_coprostanoligenes_group</v>
          </cell>
        </row>
        <row r="6590">
          <cell r="G6590" t="str">
            <v>ASV21585</v>
          </cell>
          <cell r="H6590" t="str">
            <v>g__unclassified_f__Oscillospiraceae</v>
          </cell>
          <cell r="I6590" t="str">
            <v>s__unclassified_f__Oscillospiraceae</v>
          </cell>
        </row>
        <row r="6591">
          <cell r="G6591" t="str">
            <v>ASV9276</v>
          </cell>
          <cell r="H6591" t="str">
            <v>g__Butyricimonas</v>
          </cell>
          <cell r="I6591" t="str">
            <v>s__unclassified_g__Butyricimonas</v>
          </cell>
        </row>
        <row r="6592">
          <cell r="G6592" t="str">
            <v>ASV15789</v>
          </cell>
          <cell r="H6592" t="str">
            <v>g__unclassified_p__Firmicutes</v>
          </cell>
          <cell r="I6592" t="str">
            <v>s__unclassified_p__Firmicutes</v>
          </cell>
        </row>
        <row r="6593">
          <cell r="G6593" t="str">
            <v>ASV3945</v>
          </cell>
          <cell r="H6593" t="str">
            <v>g__unclassified_p__Firmicutes</v>
          </cell>
          <cell r="I6593" t="str">
            <v>s__unclassified_p__Firmicutes</v>
          </cell>
        </row>
        <row r="6594">
          <cell r="G6594" t="str">
            <v>ASV7038</v>
          </cell>
          <cell r="H6594" t="str">
            <v>g__unclassified_c__Clostridia</v>
          </cell>
          <cell r="I6594" t="str">
            <v>s__unclassified_c__Clostridia</v>
          </cell>
        </row>
        <row r="6595">
          <cell r="G6595" t="str">
            <v>ASV22034</v>
          </cell>
          <cell r="H6595" t="str">
            <v>g__Alloprevotella</v>
          </cell>
          <cell r="I6595" t="str">
            <v>s__uncultured_bacterium_g__Alloprevotella</v>
          </cell>
        </row>
        <row r="6596">
          <cell r="G6596" t="str">
            <v>ASV4723</v>
          </cell>
          <cell r="H6596" t="str">
            <v>g__unclassified_f__Lachnospiraceae</v>
          </cell>
          <cell r="I6596" t="str">
            <v>s__unclassified_f__Lachnospiraceae</v>
          </cell>
        </row>
        <row r="6597">
          <cell r="G6597" t="str">
            <v>ASV20662</v>
          </cell>
          <cell r="H6597" t="str">
            <v>g__norank_f__Peptostreptococcaceae</v>
          </cell>
          <cell r="I6597" t="str">
            <v>s__uncultured_bacterium_g__norank_f__Peptostreptococcaceae</v>
          </cell>
        </row>
        <row r="6598">
          <cell r="G6598" t="str">
            <v>ASV6620</v>
          </cell>
          <cell r="H6598" t="str">
            <v>g__Fusobacterium</v>
          </cell>
          <cell r="I6598" t="str">
            <v>s__unclassified_g__Fusobacterium</v>
          </cell>
        </row>
        <row r="6599">
          <cell r="G6599" t="str">
            <v>ASV2720</v>
          </cell>
          <cell r="H6599" t="str">
            <v>g__Tessaracoccus</v>
          </cell>
          <cell r="I6599" t="str">
            <v>s__unclassified_g__Tessaracoccus</v>
          </cell>
        </row>
        <row r="6600">
          <cell r="G6600" t="str">
            <v>ASV12639</v>
          </cell>
          <cell r="H6600" t="str">
            <v>g__Parabacteroides</v>
          </cell>
          <cell r="I6600" t="str">
            <v>s__Parabacteroides_goldsteinii</v>
          </cell>
        </row>
        <row r="6601">
          <cell r="G6601" t="str">
            <v>ASV4714</v>
          </cell>
          <cell r="H6601" t="str">
            <v>g__norank_f__Eubacterium_coprostanoligenes_group</v>
          </cell>
          <cell r="I6601" t="str">
            <v>s__unclassified_g__norank_f__Eubacterium_coprostanoligenes_group</v>
          </cell>
        </row>
        <row r="6602">
          <cell r="G6602" t="str">
            <v>ASV2068</v>
          </cell>
          <cell r="H6602" t="str">
            <v>g__Enterococcus</v>
          </cell>
          <cell r="I6602" t="str">
            <v>s__unclassified_g__Enterococcus</v>
          </cell>
        </row>
        <row r="6603">
          <cell r="G6603" t="str">
            <v>ASV12672</v>
          </cell>
          <cell r="H6603" t="str">
            <v>g__unclassified_f__Anaerovoracaceae</v>
          </cell>
          <cell r="I6603" t="str">
            <v>s__unclassified_f__Anaerovoracaceae</v>
          </cell>
        </row>
        <row r="6604">
          <cell r="G6604" t="str">
            <v>ASV20640</v>
          </cell>
          <cell r="H6604" t="str">
            <v>g__Succinivibrio</v>
          </cell>
          <cell r="I6604" t="str">
            <v>s__unclassified_g__Succinivibrio</v>
          </cell>
        </row>
        <row r="6605">
          <cell r="G6605" t="str">
            <v>ASV3914</v>
          </cell>
          <cell r="H6605" t="str">
            <v>g__unclassified_k__norank_d__Bacteria</v>
          </cell>
          <cell r="I6605" t="str">
            <v>s__unclassified_k__norank_d__Bacteria</v>
          </cell>
        </row>
        <row r="6606">
          <cell r="G6606" t="str">
            <v>ASV10298</v>
          </cell>
          <cell r="H6606" t="str">
            <v>g__Collinsella</v>
          </cell>
          <cell r="I6606" t="str">
            <v>s__unclassified_g__Collinsella</v>
          </cell>
        </row>
        <row r="6607">
          <cell r="G6607" t="str">
            <v>ASV19420</v>
          </cell>
          <cell r="H6607" t="str">
            <v>g__unclassified_f__Prevotellaceae</v>
          </cell>
          <cell r="I6607" t="str">
            <v>s__unclassified_f__Prevotellaceae</v>
          </cell>
        </row>
        <row r="6608">
          <cell r="G6608" t="str">
            <v>ASV10545</v>
          </cell>
          <cell r="H6608" t="str">
            <v>g__unclassified_o__Lactobacillales</v>
          </cell>
          <cell r="I6608" t="str">
            <v>s__unclassified_o__Lactobacillales</v>
          </cell>
        </row>
        <row r="6609">
          <cell r="G6609" t="str">
            <v>ASV20699</v>
          </cell>
          <cell r="H6609" t="str">
            <v>g__unclassified_f__Clostridiaceae</v>
          </cell>
          <cell r="I6609" t="str">
            <v>s__unclassified_f__Clostridiaceae</v>
          </cell>
        </row>
        <row r="6610">
          <cell r="G6610" t="str">
            <v>ASV4652</v>
          </cell>
          <cell r="H6610" t="str">
            <v>g__Bacteroides</v>
          </cell>
          <cell r="I6610" t="str">
            <v>s__unclassified_g__Bacteroides</v>
          </cell>
        </row>
        <row r="6611">
          <cell r="G6611" t="str">
            <v>ASV11416</v>
          </cell>
          <cell r="H6611" t="str">
            <v>g__Sharpea</v>
          </cell>
          <cell r="I6611" t="str">
            <v>s__unclassified_g__Sharpea</v>
          </cell>
        </row>
        <row r="6612">
          <cell r="G6612" t="str">
            <v>ASV19434</v>
          </cell>
          <cell r="H6612" t="str">
            <v>g__Succiniclasticum</v>
          </cell>
          <cell r="I6612" t="str">
            <v>s__uncultured_rumen_bacterium_4C28d-16</v>
          </cell>
        </row>
        <row r="6613">
          <cell r="G6613" t="str">
            <v>ASV12665</v>
          </cell>
          <cell r="H6613" t="str">
            <v>g__UCG-005</v>
          </cell>
          <cell r="I6613" t="str">
            <v>s__unclassified_g__UCG-005</v>
          </cell>
        </row>
        <row r="6614">
          <cell r="G6614" t="str">
            <v>ASV18751</v>
          </cell>
          <cell r="H6614" t="str">
            <v>g__norank_f__vadinBE97</v>
          </cell>
          <cell r="I6614" t="str">
            <v>s__unclassified_g__norank_f__vadinBE97</v>
          </cell>
        </row>
        <row r="6615">
          <cell r="G6615" t="str">
            <v>ASV3955</v>
          </cell>
          <cell r="H6615" t="str">
            <v>g__unclassified_p__Firmicutes</v>
          </cell>
          <cell r="I6615" t="str">
            <v>s__unclassified_p__Firmicutes</v>
          </cell>
        </row>
        <row r="6616">
          <cell r="G6616" t="str">
            <v>ASV24384</v>
          </cell>
          <cell r="H6616" t="str">
            <v>g__Lactobacillus</v>
          </cell>
          <cell r="I6616" t="str">
            <v>s__unclassified_g__Lactobacillus</v>
          </cell>
        </row>
        <row r="6617">
          <cell r="G6617" t="str">
            <v>ASV11425</v>
          </cell>
          <cell r="H6617" t="str">
            <v>g__norank_f__norank_o__Clostridia_UCG-014</v>
          </cell>
          <cell r="I6617" t="str">
            <v>s__uncultured_bacterium_g__norank_f__norank_o__Clostridia_UCG-014</v>
          </cell>
        </row>
        <row r="6618">
          <cell r="G6618" t="str">
            <v>ASV20235</v>
          </cell>
          <cell r="H6618" t="str">
            <v>g__unclassified_f__Lachnospiraceae</v>
          </cell>
          <cell r="I6618" t="str">
            <v>s__unclassified_f__Lachnospiraceae</v>
          </cell>
        </row>
        <row r="6619">
          <cell r="G6619" t="str">
            <v>ASV17601</v>
          </cell>
          <cell r="H6619" t="str">
            <v>g__unclassified_f__Lachnospiraceae</v>
          </cell>
          <cell r="I6619" t="str">
            <v>s__unclassified_f__Lachnospiraceae</v>
          </cell>
        </row>
        <row r="6620">
          <cell r="G6620" t="str">
            <v>ASV2086</v>
          </cell>
          <cell r="H6620" t="str">
            <v>g__unclassified_o__Oscillospirales</v>
          </cell>
          <cell r="I6620" t="str">
            <v>s__unclassified_o__Oscillospirales</v>
          </cell>
        </row>
        <row r="6621">
          <cell r="G6621" t="str">
            <v>ASV3944</v>
          </cell>
          <cell r="H6621" t="str">
            <v>g__unclassified_f__Lachnospiraceae</v>
          </cell>
          <cell r="I6621" t="str">
            <v>s__unclassified_f__Lachnospiraceae</v>
          </cell>
        </row>
        <row r="6622">
          <cell r="G6622" t="str">
            <v>ASV14054</v>
          </cell>
          <cell r="H6622" t="str">
            <v>g__unclassified_f__Lachnospiraceae</v>
          </cell>
          <cell r="I6622" t="str">
            <v>s__unclassified_f__Lachnospiraceae</v>
          </cell>
        </row>
        <row r="6623">
          <cell r="G6623" t="str">
            <v>ASV15265</v>
          </cell>
          <cell r="H6623" t="str">
            <v>g__norank_f__p-2534-18B5_gut_group</v>
          </cell>
          <cell r="I6623" t="str">
            <v>s__uncultured_bacterium_g__norank_f__p-2534-18B5_gut_group</v>
          </cell>
        </row>
        <row r="6624">
          <cell r="G6624" t="str">
            <v>ASV10522</v>
          </cell>
          <cell r="H6624" t="str">
            <v>g__unclassified_f__Peptostreptococcaceae</v>
          </cell>
          <cell r="I6624" t="str">
            <v>s__unclassified_f__Peptostreptococcaceae</v>
          </cell>
        </row>
        <row r="6625">
          <cell r="G6625" t="str">
            <v>ASV22082</v>
          </cell>
          <cell r="H6625" t="str">
            <v>g__unclassified_c__Clostridia</v>
          </cell>
          <cell r="I6625" t="str">
            <v>s__unclassified_c__Clostridia</v>
          </cell>
        </row>
        <row r="6626">
          <cell r="G6626" t="str">
            <v>ASV8459</v>
          </cell>
          <cell r="H6626" t="str">
            <v>g__Acidaminococcus</v>
          </cell>
          <cell r="I6626" t="str">
            <v>s__Acidaminococcus_fermentans</v>
          </cell>
        </row>
        <row r="6627">
          <cell r="G6627" t="str">
            <v>ASV15262</v>
          </cell>
          <cell r="H6627" t="str">
            <v>g__Peptococcus</v>
          </cell>
          <cell r="I6627" t="str">
            <v>s__uncultured_bacterium_g__Peptococcus</v>
          </cell>
        </row>
        <row r="6628">
          <cell r="G6628" t="str">
            <v>ASV2917</v>
          </cell>
          <cell r="H6628" t="str">
            <v>g__Alloprevotella</v>
          </cell>
          <cell r="I6628" t="str">
            <v>s__uncultured_bacterium_g__Alloprevotella</v>
          </cell>
        </row>
        <row r="6629">
          <cell r="G6629" t="str">
            <v>ASV20686</v>
          </cell>
          <cell r="H6629" t="str">
            <v>g__unclassified_f__Peptostreptococcaceae</v>
          </cell>
          <cell r="I6629" t="str">
            <v>s__unclassified_f__Peptostreptococcaceae</v>
          </cell>
        </row>
        <row r="6630">
          <cell r="G6630" t="str">
            <v>ASV8706</v>
          </cell>
          <cell r="H6630" t="str">
            <v>g__unclassified_f__Saccharimonadaceae</v>
          </cell>
          <cell r="I6630" t="str">
            <v>s__unclassified_f__Saccharimonadaceae</v>
          </cell>
        </row>
        <row r="6631">
          <cell r="G6631" t="str">
            <v>ASV7282</v>
          </cell>
          <cell r="H6631" t="str">
            <v>g__Hydrotalea</v>
          </cell>
          <cell r="I6631" t="str">
            <v>s__uncultured_bacterium_g__Hydrotalea</v>
          </cell>
        </row>
        <row r="6632">
          <cell r="G6632" t="str">
            <v>ASV19045</v>
          </cell>
          <cell r="H6632" t="str">
            <v>g__unclassified_f__Muribaculaceae</v>
          </cell>
          <cell r="I6632" t="str">
            <v>s__unclassified_f__Muribaculaceae</v>
          </cell>
        </row>
        <row r="6633">
          <cell r="G6633" t="str">
            <v>ASV11436</v>
          </cell>
          <cell r="H6633" t="str">
            <v>g__unclassified_c__Clostridia</v>
          </cell>
          <cell r="I6633" t="str">
            <v>s__unclassified_c__Clostridia</v>
          </cell>
        </row>
        <row r="6634">
          <cell r="G6634" t="str">
            <v>ASV10537</v>
          </cell>
          <cell r="H6634" t="str">
            <v>g__NK4A214_group</v>
          </cell>
          <cell r="I6634" t="str">
            <v>s__unclassified_g__NK4A214_group</v>
          </cell>
        </row>
        <row r="6635">
          <cell r="G6635" t="str">
            <v>ASV11429</v>
          </cell>
          <cell r="H6635" t="str">
            <v>g__unclassified_k__norank_d__Bacteria</v>
          </cell>
          <cell r="I6635" t="str">
            <v>s__unclassified_k__norank_d__Bacteria</v>
          </cell>
        </row>
        <row r="6636">
          <cell r="G6636" t="str">
            <v>ASV3461</v>
          </cell>
          <cell r="H6636" t="str">
            <v>g__Clostridium_sensu_stricto_1</v>
          </cell>
          <cell r="I6636" t="str">
            <v>s__unclassified_g__Clostridium_sensu_stricto_1</v>
          </cell>
        </row>
        <row r="6637">
          <cell r="G6637" t="str">
            <v>ASV19204</v>
          </cell>
          <cell r="H6637" t="str">
            <v>g__Bosea</v>
          </cell>
          <cell r="I6637" t="str">
            <v>s__unclassified_g__Bosea</v>
          </cell>
        </row>
        <row r="6638">
          <cell r="G6638" t="str">
            <v>ASV22068</v>
          </cell>
          <cell r="H6638" t="str">
            <v>g__Peptococcus</v>
          </cell>
          <cell r="I6638" t="str">
            <v>s__uncultured_bacterium_g__Peptococcus</v>
          </cell>
        </row>
        <row r="6639">
          <cell r="G6639" t="str">
            <v>ASV4684</v>
          </cell>
          <cell r="H6639" t="str">
            <v>g__unclassified_p__Firmicutes</v>
          </cell>
          <cell r="I6639" t="str">
            <v>s__unclassified_p__Firmicutes</v>
          </cell>
        </row>
        <row r="6640">
          <cell r="G6640" t="str">
            <v>ASV11439</v>
          </cell>
          <cell r="H6640" t="str">
            <v>g__Bifidobacterium</v>
          </cell>
          <cell r="I6640" t="str">
            <v>s__unclassified_g__Bifidobacterium</v>
          </cell>
        </row>
        <row r="6641">
          <cell r="G6641" t="str">
            <v>ASV12644</v>
          </cell>
          <cell r="H6641" t="str">
            <v>g__Colidextribacter</v>
          </cell>
          <cell r="I6641" t="str">
            <v>s__unclassified_g__Colidextribacter</v>
          </cell>
        </row>
        <row r="6642">
          <cell r="G6642" t="str">
            <v>ASV515</v>
          </cell>
          <cell r="H6642" t="str">
            <v>g__Bacteroides</v>
          </cell>
          <cell r="I6642" t="str">
            <v>s__unclassified_g__Bacteroides</v>
          </cell>
        </row>
        <row r="6643">
          <cell r="G6643" t="str">
            <v>ASV3460</v>
          </cell>
          <cell r="H6643" t="str">
            <v>g__Clostridium_sensu_stricto_1</v>
          </cell>
          <cell r="I6643" t="str">
            <v>s__unclassified_g__Clostridium_sensu_stricto_1</v>
          </cell>
        </row>
        <row r="6644">
          <cell r="G6644" t="str">
            <v>ASV7041</v>
          </cell>
          <cell r="H6644" t="str">
            <v>g__unclassified_o__Veillonellales-Selenomonadales</v>
          </cell>
          <cell r="I6644" t="str">
            <v>s__unclassified_o__Veillonellales-Selenomonadales</v>
          </cell>
        </row>
        <row r="6645">
          <cell r="G6645" t="str">
            <v>ASV11459</v>
          </cell>
          <cell r="H6645" t="str">
            <v>g__Lactobacillus</v>
          </cell>
          <cell r="I6645" t="str">
            <v>s__unclassified_g__Lactobacillus</v>
          </cell>
        </row>
        <row r="6646">
          <cell r="G6646" t="str">
            <v>ASV13695</v>
          </cell>
          <cell r="H6646" t="str">
            <v>g__unclassified_f__Selenomonadaceae</v>
          </cell>
          <cell r="I6646" t="str">
            <v>s__unclassified_f__Selenomonadaceae</v>
          </cell>
        </row>
        <row r="6647">
          <cell r="G6647" t="str">
            <v>ASV14098</v>
          </cell>
          <cell r="H6647" t="str">
            <v>g__unclassified_f__Clostridiaceae</v>
          </cell>
          <cell r="I6647" t="str">
            <v>s__unclassified_f__Clostridiaceae</v>
          </cell>
        </row>
        <row r="6648">
          <cell r="G6648" t="str">
            <v>ASV20238</v>
          </cell>
          <cell r="H6648" t="str">
            <v>g__Lactobacillus</v>
          </cell>
          <cell r="I6648" t="str">
            <v>s__unclassified_g__Lactobacillus</v>
          </cell>
        </row>
        <row r="6649">
          <cell r="G6649" t="str">
            <v>ASV19445</v>
          </cell>
          <cell r="H6649" t="str">
            <v>g__Ruminococcus</v>
          </cell>
          <cell r="I6649" t="str">
            <v>s__unclassified_g__Ruminococcus</v>
          </cell>
        </row>
        <row r="6650">
          <cell r="G6650" t="str">
            <v>ASV10558</v>
          </cell>
          <cell r="H6650" t="str">
            <v>g__unclassified_p__Firmicutes</v>
          </cell>
          <cell r="I6650" t="str">
            <v>s__unclassified_p__Firmicutes</v>
          </cell>
        </row>
        <row r="6651">
          <cell r="G6651" t="str">
            <v>ASV7652</v>
          </cell>
          <cell r="H6651" t="str">
            <v>g__unclassified_k__norank_d__Bacteria</v>
          </cell>
          <cell r="I6651" t="str">
            <v>s__unclassified_k__norank_d__Bacteria</v>
          </cell>
        </row>
        <row r="6652">
          <cell r="G6652" t="str">
            <v>ASV4688</v>
          </cell>
          <cell r="H6652" t="str">
            <v>g__unclassified_c__Clostridia</v>
          </cell>
          <cell r="I6652" t="str">
            <v>s__unclassified_c__Clostridia</v>
          </cell>
        </row>
        <row r="6653">
          <cell r="G6653" t="str">
            <v>ASV17922</v>
          </cell>
          <cell r="H6653" t="str">
            <v>g__Phascolarctobacterium</v>
          </cell>
          <cell r="I6653" t="str">
            <v>s__Ruminococcus_sp._N15.MGS-57_g__Phascolarctobacterium</v>
          </cell>
        </row>
        <row r="6654">
          <cell r="G6654" t="str">
            <v>ASV7674</v>
          </cell>
          <cell r="H6654" t="str">
            <v>g__Family_XIII_AD3011_group</v>
          </cell>
          <cell r="I6654" t="str">
            <v>s__uncultured_bacterium_g__Family_XIII_AD3011_group</v>
          </cell>
        </row>
        <row r="6655">
          <cell r="G6655" t="str">
            <v>ASV3931</v>
          </cell>
          <cell r="H6655" t="str">
            <v>g__unclassified_c__Clostridia</v>
          </cell>
          <cell r="I6655" t="str">
            <v>s__unclassified_c__Clostridia</v>
          </cell>
        </row>
        <row r="6656">
          <cell r="G6656" t="str">
            <v>ASV20674</v>
          </cell>
          <cell r="H6656" t="str">
            <v>g__unclassified_c__Clostridia</v>
          </cell>
          <cell r="I6656" t="str">
            <v>s__unclassified_c__Clostridia</v>
          </cell>
        </row>
        <row r="6657">
          <cell r="G6657" t="str">
            <v>ASV7659</v>
          </cell>
          <cell r="H6657" t="str">
            <v>g__unclassified_f__Lachnospiraceae</v>
          </cell>
          <cell r="I6657" t="str">
            <v>s__unclassified_f__Lachnospiraceae</v>
          </cell>
        </row>
        <row r="6658">
          <cell r="G6658" t="str">
            <v>ASV10524</v>
          </cell>
          <cell r="H6658" t="str">
            <v>g__unclassified_c__Clostridia</v>
          </cell>
          <cell r="I6658" t="str">
            <v>s__unclassified_c__Clostridia</v>
          </cell>
        </row>
        <row r="6659">
          <cell r="G6659" t="str">
            <v>ASV23140</v>
          </cell>
          <cell r="H6659" t="str">
            <v>g__Subdoligranulum</v>
          </cell>
          <cell r="I6659" t="str">
            <v>s__unclassified_g__Subdoligranulum</v>
          </cell>
        </row>
        <row r="6660">
          <cell r="G6660" t="str">
            <v>ASV16318</v>
          </cell>
          <cell r="H6660" t="str">
            <v>g__UCG-002</v>
          </cell>
          <cell r="I6660" t="str">
            <v>s__unclassified_g__UCG-002</v>
          </cell>
        </row>
        <row r="6661">
          <cell r="G6661" t="str">
            <v>ASV13352</v>
          </cell>
          <cell r="H6661" t="str">
            <v>g__unclassified_c__Clostridia</v>
          </cell>
          <cell r="I6661" t="str">
            <v>s__unclassified_c__Clostridia</v>
          </cell>
        </row>
        <row r="6662">
          <cell r="G6662" t="str">
            <v>ASV23139</v>
          </cell>
          <cell r="H6662" t="str">
            <v>g__unclassified_f__Peptostreptococcaceae</v>
          </cell>
          <cell r="I6662" t="str">
            <v>s__unclassified_f__Peptostreptococcaceae</v>
          </cell>
        </row>
        <row r="6663">
          <cell r="G6663" t="str">
            <v>ASV11413</v>
          </cell>
          <cell r="H6663" t="str">
            <v>g__Marvinbryantia</v>
          </cell>
          <cell r="I6663" t="str">
            <v>s__unclassified_g__Marvinbryantia</v>
          </cell>
        </row>
        <row r="6664">
          <cell r="G6664" t="str">
            <v>ASV473</v>
          </cell>
          <cell r="H6664" t="str">
            <v>g__unclassified_f__Oscillospiraceae</v>
          </cell>
          <cell r="I6664" t="str">
            <v>s__unclassified_f__Oscillospiraceae</v>
          </cell>
        </row>
        <row r="6665">
          <cell r="G6665" t="str">
            <v>ASV16348</v>
          </cell>
          <cell r="H6665" t="str">
            <v>g__unclassified_f__Peptostreptococcaceae</v>
          </cell>
          <cell r="I6665" t="str">
            <v>s__unclassified_f__Peptostreptococcaceae</v>
          </cell>
        </row>
        <row r="6666">
          <cell r="G6666" t="str">
            <v>ASV20676</v>
          </cell>
          <cell r="H6666" t="str">
            <v>g__Parabacteroides</v>
          </cell>
          <cell r="I6666" t="str">
            <v>s__uncultured_bacterium_g__Parabacteroides</v>
          </cell>
        </row>
        <row r="6667">
          <cell r="G6667" t="str">
            <v>ASV20641</v>
          </cell>
          <cell r="H6667" t="str">
            <v>g__unclassified_o__Oscillospirales</v>
          </cell>
          <cell r="I6667" t="str">
            <v>s__unclassified_o__Oscillospirales</v>
          </cell>
        </row>
        <row r="6668">
          <cell r="G6668" t="str">
            <v>ASV16357</v>
          </cell>
          <cell r="H6668" t="str">
            <v>g__Holdemanella</v>
          </cell>
          <cell r="I6668" t="str">
            <v>s__uncultured_bacterium_g__Holdemanella</v>
          </cell>
        </row>
        <row r="6669">
          <cell r="G6669" t="str">
            <v>ASV20693</v>
          </cell>
          <cell r="H6669" t="str">
            <v>g__unclassified_c__Clostridia</v>
          </cell>
          <cell r="I6669" t="str">
            <v>s__unclassified_c__Clostridia</v>
          </cell>
        </row>
        <row r="6670">
          <cell r="G6670" t="str">
            <v>ASV8787</v>
          </cell>
          <cell r="H6670" t="str">
            <v>g__Bacillus</v>
          </cell>
          <cell r="I6670" t="str">
            <v>s__unclassified_g__Bacillus</v>
          </cell>
        </row>
        <row r="6671">
          <cell r="G6671" t="str">
            <v>ASV20657</v>
          </cell>
          <cell r="H6671" t="str">
            <v>g__Lactobacillus</v>
          </cell>
          <cell r="I6671" t="str">
            <v>s__unclassified_g__Lactobacillus</v>
          </cell>
        </row>
        <row r="6672">
          <cell r="G6672" t="str">
            <v>ASV3923</v>
          </cell>
          <cell r="H6672" t="str">
            <v>g__Anaerotruncus</v>
          </cell>
          <cell r="I6672" t="str">
            <v>s__Anaerotruncus_sp._MT15</v>
          </cell>
        </row>
        <row r="6673">
          <cell r="G6673" t="str">
            <v>ASV10081</v>
          </cell>
          <cell r="H6673" t="str">
            <v>g__Veillonella</v>
          </cell>
          <cell r="I6673" t="str">
            <v>s__unclassified_g__Veillonella</v>
          </cell>
        </row>
        <row r="6674">
          <cell r="G6674" t="str">
            <v>ASV8351</v>
          </cell>
          <cell r="H6674" t="str">
            <v>g__Clostridium_sensu_stricto_1</v>
          </cell>
          <cell r="I6674" t="str">
            <v>s__uncultured_bacterium_g__Clostridium_sensu_stricto_1</v>
          </cell>
        </row>
        <row r="6675">
          <cell r="G6675" t="str">
            <v>ASV14121</v>
          </cell>
          <cell r="H6675" t="str">
            <v>g__unclassified_o__Oscillospirales</v>
          </cell>
          <cell r="I6675" t="str">
            <v>s__unclassified_o__Oscillospirales</v>
          </cell>
        </row>
        <row r="6676">
          <cell r="G6676" t="str">
            <v>ASV14091</v>
          </cell>
          <cell r="H6676" t="str">
            <v>g__unclassified_f__Prevotellaceae</v>
          </cell>
          <cell r="I6676" t="str">
            <v>s__unclassified_f__Prevotellaceae</v>
          </cell>
        </row>
        <row r="6677">
          <cell r="G6677" t="str">
            <v>ASV20666</v>
          </cell>
          <cell r="H6677" t="str">
            <v>g__unclassified_f__Lachnospiraceae</v>
          </cell>
          <cell r="I6677" t="str">
            <v>s__unclassified_f__Lachnospiraceae</v>
          </cell>
        </row>
        <row r="6678">
          <cell r="G6678" t="str">
            <v>ASV19461</v>
          </cell>
          <cell r="H6678" t="str">
            <v>g__unclassified_f__Acidaminococcaceae</v>
          </cell>
          <cell r="I6678" t="str">
            <v>s__unclassified_f__Acidaminococcaceae</v>
          </cell>
        </row>
        <row r="6679">
          <cell r="G6679" t="str">
            <v>ASV3467</v>
          </cell>
          <cell r="H6679" t="str">
            <v>g__Lactobacillus</v>
          </cell>
          <cell r="I6679" t="str">
            <v>s__unclassified_g__Lactobacillus</v>
          </cell>
        </row>
        <row r="6680">
          <cell r="G6680" t="str">
            <v>ASV13790</v>
          </cell>
          <cell r="H6680" t="str">
            <v>g__unclassified_f__Lachnospiraceae</v>
          </cell>
          <cell r="I6680" t="str">
            <v>s__unclassified_f__Lachnospiraceae</v>
          </cell>
        </row>
        <row r="6681">
          <cell r="G6681" t="str">
            <v>ASV11390</v>
          </cell>
          <cell r="H6681" t="str">
            <v>g__Hydrogenoanaerobacterium</v>
          </cell>
          <cell r="I6681" t="str">
            <v>s__Selenomonadales_bacterium_Marseille-P2399</v>
          </cell>
        </row>
        <row r="6682">
          <cell r="G6682" t="str">
            <v>ASV2092</v>
          </cell>
          <cell r="H6682" t="str">
            <v>g__unclassified_c__Clostridia</v>
          </cell>
          <cell r="I6682" t="str">
            <v>s__unclassified_c__Clostridia</v>
          </cell>
        </row>
        <row r="6683">
          <cell r="G6683" t="str">
            <v>ASV20688</v>
          </cell>
          <cell r="H6683" t="str">
            <v>g__unclassified_c__Clostridia</v>
          </cell>
          <cell r="I6683" t="str">
            <v>s__unclassified_c__Clostridia</v>
          </cell>
        </row>
        <row r="6684">
          <cell r="G6684" t="str">
            <v>ASV574</v>
          </cell>
          <cell r="H6684" t="str">
            <v>g__Clostridium_sensu_stricto_1</v>
          </cell>
          <cell r="I6684" t="str">
            <v>s__unclassified_g__Clostridium_sensu_stricto_1</v>
          </cell>
        </row>
        <row r="6685">
          <cell r="G6685" t="str">
            <v>ASV17926</v>
          </cell>
          <cell r="H6685" t="str">
            <v>g__unclassified_c__Clostridia</v>
          </cell>
          <cell r="I6685" t="str">
            <v>s__unclassified_c__Clostridia</v>
          </cell>
        </row>
        <row r="6686">
          <cell r="G6686" t="str">
            <v>ASV22012</v>
          </cell>
          <cell r="H6686" t="str">
            <v>g__unclassified_f__Lachnospiraceae</v>
          </cell>
          <cell r="I6686" t="str">
            <v>s__unclassified_f__Lachnospiraceae</v>
          </cell>
        </row>
        <row r="6687">
          <cell r="G6687" t="str">
            <v>ASV15934</v>
          </cell>
          <cell r="H6687" t="str">
            <v>g__Lactobacillus</v>
          </cell>
          <cell r="I6687" t="str">
            <v>s__unclassified_g__Lactobacillus</v>
          </cell>
        </row>
        <row r="6688">
          <cell r="G6688" t="str">
            <v>ASV17903</v>
          </cell>
          <cell r="H6688" t="str">
            <v>g__unclassified_o__Oscillospirales</v>
          </cell>
          <cell r="I6688" t="str">
            <v>s__unclassified_o__Oscillospirales</v>
          </cell>
        </row>
        <row r="6689">
          <cell r="G6689" t="str">
            <v>ASV479</v>
          </cell>
          <cell r="H6689" t="str">
            <v>g__unclassified_f__Prevotellaceae</v>
          </cell>
          <cell r="I6689" t="str">
            <v>s__unclassified_f__Prevotellaceae</v>
          </cell>
        </row>
        <row r="6690">
          <cell r="G6690" t="str">
            <v>ASV504</v>
          </cell>
          <cell r="H6690" t="str">
            <v>g__unclassified_f__Oscillospiraceae</v>
          </cell>
          <cell r="I6690" t="str">
            <v>s__unclassified_f__Oscillospiraceae</v>
          </cell>
        </row>
        <row r="6691">
          <cell r="G6691" t="str">
            <v>ASV19418</v>
          </cell>
          <cell r="H6691" t="str">
            <v>g__Lachnospiraceae_NC2004_group</v>
          </cell>
          <cell r="I6691" t="str">
            <v>s__uncultured_bacterium_g__Lachnospiraceae_NC2004_group</v>
          </cell>
        </row>
        <row r="6692">
          <cell r="G6692" t="str">
            <v>ASV7657</v>
          </cell>
          <cell r="H6692" t="str">
            <v>g__unclassified_c__Clostridia</v>
          </cell>
          <cell r="I6692" t="str">
            <v>s__unclassified_c__Clostridia</v>
          </cell>
        </row>
        <row r="6693">
          <cell r="G6693" t="str">
            <v>ASV20696</v>
          </cell>
          <cell r="H6693" t="str">
            <v>g__Christensenellaceae_R-7_group</v>
          </cell>
          <cell r="I6693" t="str">
            <v>s__uncultured_bacterium_g__Christensenellaceae_R-7_group</v>
          </cell>
        </row>
        <row r="6694">
          <cell r="G6694" t="str">
            <v>ASV6651</v>
          </cell>
          <cell r="H6694" t="str">
            <v>g__Enterococcus</v>
          </cell>
          <cell r="I6694" t="str">
            <v>s__unclassified_g__Enterococcus</v>
          </cell>
        </row>
        <row r="6695">
          <cell r="G6695" t="str">
            <v>ASV15063</v>
          </cell>
          <cell r="H6695" t="str">
            <v>g__norank_f__norank_o__norank_c__norank_p__WPS-2</v>
          </cell>
          <cell r="I6695" t="str">
            <v>s__metagenome_g__norank_f__norank_o__norank_c__norank_p__WPS-2</v>
          </cell>
        </row>
        <row r="6696">
          <cell r="G6696" t="str">
            <v>ASV4673</v>
          </cell>
          <cell r="H6696" t="str">
            <v>g__unclassified_c__Clostridia</v>
          </cell>
          <cell r="I6696" t="str">
            <v>s__unclassified_c__Clostridia</v>
          </cell>
        </row>
        <row r="6697">
          <cell r="G6697" t="str">
            <v>ASV17893</v>
          </cell>
          <cell r="H6697" t="str">
            <v>g__unclassified_o__Oscillospirales</v>
          </cell>
          <cell r="I6697" t="str">
            <v>s__unclassified_o__Oscillospirales</v>
          </cell>
        </row>
        <row r="6698">
          <cell r="G6698" t="str">
            <v>ASV12650</v>
          </cell>
          <cell r="H6698" t="str">
            <v>g__UCG-002</v>
          </cell>
          <cell r="I6698" t="str">
            <v>s__uncultured_bacterium_g__UCG-002</v>
          </cell>
        </row>
        <row r="6699">
          <cell r="G6699" t="str">
            <v>ASV14125</v>
          </cell>
          <cell r="H6699" t="str">
            <v>g__unclassified_c__Clostridia</v>
          </cell>
          <cell r="I6699" t="str">
            <v>s__unclassified_c__Clostridia</v>
          </cell>
        </row>
        <row r="6700">
          <cell r="G6700" t="str">
            <v>ASV508</v>
          </cell>
          <cell r="H6700" t="str">
            <v>g__unclassified_f__Lachnospiraceae</v>
          </cell>
          <cell r="I6700" t="str">
            <v>s__unclassified_f__Lachnospiraceae</v>
          </cell>
        </row>
        <row r="6701">
          <cell r="G6701" t="str">
            <v>ASV2893</v>
          </cell>
          <cell r="H6701" t="str">
            <v>g__Hymenobacter</v>
          </cell>
          <cell r="I6701" t="str">
            <v>s__Hymenobacter_rutilus</v>
          </cell>
        </row>
        <row r="6702">
          <cell r="G6702" t="str">
            <v>ASV22019</v>
          </cell>
          <cell r="H6702" t="str">
            <v>g__unclassified_f__Ruminococcaceae</v>
          </cell>
          <cell r="I6702" t="str">
            <v>s__unclassified_f__Ruminococcaceae</v>
          </cell>
        </row>
        <row r="6703">
          <cell r="G6703" t="str">
            <v>ASV14136</v>
          </cell>
          <cell r="H6703" t="str">
            <v>g__unclassified_f__Lachnospiraceae</v>
          </cell>
          <cell r="I6703" t="str">
            <v>s__unclassified_f__Lachnospiraceae</v>
          </cell>
        </row>
        <row r="6704">
          <cell r="G6704" t="str">
            <v>ASV9315</v>
          </cell>
          <cell r="H6704" t="str">
            <v>g__unclassified_f__Lachnospiraceae</v>
          </cell>
          <cell r="I6704" t="str">
            <v>s__unclassified_f__Lachnospiraceae</v>
          </cell>
        </row>
        <row r="6705">
          <cell r="G6705" t="str">
            <v>ASV3910</v>
          </cell>
          <cell r="H6705" t="str">
            <v>g__unclassified_f__Oscillospiraceae</v>
          </cell>
          <cell r="I6705" t="str">
            <v>s__unclassified_f__Oscillospiraceae</v>
          </cell>
        </row>
        <row r="6706">
          <cell r="G6706" t="str">
            <v>ASV2895</v>
          </cell>
          <cell r="H6706" t="str">
            <v>g__Allisonella</v>
          </cell>
          <cell r="I6706" t="str">
            <v>s__uncultured_bacterium_g__Allisonella</v>
          </cell>
        </row>
        <row r="6707">
          <cell r="G6707" t="str">
            <v>ASV14090</v>
          </cell>
          <cell r="H6707" t="str">
            <v>g__unclassified_f__Lachnospiraceae</v>
          </cell>
          <cell r="I6707" t="str">
            <v>s__unclassified_f__Lachnospiraceae</v>
          </cell>
        </row>
        <row r="6708">
          <cell r="G6708" t="str">
            <v>ASV17905</v>
          </cell>
          <cell r="H6708" t="str">
            <v>g__Christensenellaceae_R-7_group</v>
          </cell>
          <cell r="I6708" t="str">
            <v>s__unclassified_g__Christensenellaceae_R-7_group</v>
          </cell>
        </row>
        <row r="6709">
          <cell r="G6709" t="str">
            <v>ASV8968</v>
          </cell>
          <cell r="H6709" t="str">
            <v>g__unclassified_f__Lachnospiraceae</v>
          </cell>
          <cell r="I6709" t="str">
            <v>s__unclassified_f__Lachnospiraceae</v>
          </cell>
        </row>
        <row r="6710">
          <cell r="G6710" t="str">
            <v>ASV5717</v>
          </cell>
          <cell r="H6710" t="str">
            <v>g__Peptococcus</v>
          </cell>
          <cell r="I6710" t="str">
            <v>s__uncultured_bacterium_g__Peptococcus</v>
          </cell>
        </row>
        <row r="6711">
          <cell r="G6711" t="str">
            <v>ASV23933</v>
          </cell>
          <cell r="H6711" t="str">
            <v>g__Olsenella</v>
          </cell>
          <cell r="I6711" t="str">
            <v>s__unclassified_g__Olsenella</v>
          </cell>
        </row>
        <row r="6712">
          <cell r="G6712" t="str">
            <v>ASV4682</v>
          </cell>
          <cell r="H6712" t="str">
            <v>g__unclassified_c__Clostridia</v>
          </cell>
          <cell r="I6712" t="str">
            <v>s__unclassified_c__Clostridia</v>
          </cell>
        </row>
        <row r="6713">
          <cell r="G6713" t="str">
            <v>ASV3369</v>
          </cell>
          <cell r="H6713" t="str">
            <v>g__Monoglobus</v>
          </cell>
          <cell r="I6713" t="str">
            <v>s__uncultured_Clostridiaceae_bacterium_g__Monoglobus</v>
          </cell>
        </row>
        <row r="6714">
          <cell r="G6714" t="str">
            <v>ASV3935</v>
          </cell>
          <cell r="H6714" t="str">
            <v>g__UCG-002</v>
          </cell>
          <cell r="I6714" t="str">
            <v>s__uncultured_bacterium_g__UCG-002</v>
          </cell>
        </row>
        <row r="6715">
          <cell r="G6715" t="str">
            <v>ASV9283</v>
          </cell>
          <cell r="H6715" t="str">
            <v>g__unclassified_f__Lachnospiraceae</v>
          </cell>
          <cell r="I6715" t="str">
            <v>s__unclassified_f__Lachnospiraceae</v>
          </cell>
        </row>
        <row r="6716">
          <cell r="G6716" t="str">
            <v>ASV11374</v>
          </cell>
          <cell r="H6716" t="str">
            <v>g__Christensenellaceae_R-7_group</v>
          </cell>
          <cell r="I6716" t="str">
            <v>s__uncultured_bacterium_g__Christensenellaceae_R-7_group</v>
          </cell>
        </row>
        <row r="6717">
          <cell r="G6717" t="str">
            <v>ASV7420</v>
          </cell>
          <cell r="H6717" t="str">
            <v>g__unclassified_c__Bacilli</v>
          </cell>
          <cell r="I6717" t="str">
            <v>s__unclassified_c__Bacilli</v>
          </cell>
        </row>
        <row r="6718">
          <cell r="G6718" t="str">
            <v>ASV21434</v>
          </cell>
          <cell r="H6718" t="str">
            <v>g__Lactobacillus</v>
          </cell>
          <cell r="I6718" t="str">
            <v>s__unclassified_g__Lactobacillus</v>
          </cell>
        </row>
        <row r="6719">
          <cell r="G6719" t="str">
            <v>ASV15068</v>
          </cell>
          <cell r="H6719" t="str">
            <v>g__UCG-005</v>
          </cell>
          <cell r="I6719" t="str">
            <v>s__unclassified_g__UCG-005</v>
          </cell>
        </row>
        <row r="6720">
          <cell r="G6720" t="str">
            <v>ASV17475</v>
          </cell>
          <cell r="H6720" t="str">
            <v>g__Streptococcus</v>
          </cell>
          <cell r="I6720" t="str">
            <v>s__unclassified_g__Streptococcus</v>
          </cell>
        </row>
        <row r="6721">
          <cell r="G6721" t="str">
            <v>ASV12666</v>
          </cell>
          <cell r="H6721" t="str">
            <v>g__unclassified_c__Clostridia</v>
          </cell>
          <cell r="I6721" t="str">
            <v>s__unclassified_c__Clostridia</v>
          </cell>
        </row>
        <row r="6722">
          <cell r="G6722" t="str">
            <v>ASV23828</v>
          </cell>
          <cell r="H6722" t="str">
            <v>g__Lactobacillus</v>
          </cell>
          <cell r="I6722" t="str">
            <v>s__unclassified_g__Lactobacillus</v>
          </cell>
        </row>
        <row r="6723">
          <cell r="G6723" t="str">
            <v>ASV16360</v>
          </cell>
          <cell r="H6723" t="str">
            <v>g__Escherichia-Shigella</v>
          </cell>
          <cell r="I6723" t="str">
            <v>s__unclassified_g__Escherichia-Shigella</v>
          </cell>
        </row>
        <row r="6724">
          <cell r="G6724" t="str">
            <v>ASV23142</v>
          </cell>
          <cell r="H6724" t="str">
            <v>g__unclassified_f__Lachnospiraceae</v>
          </cell>
          <cell r="I6724" t="str">
            <v>s__unclassified_f__Lachnospiraceae</v>
          </cell>
        </row>
        <row r="6725">
          <cell r="G6725" t="str">
            <v>ASV23147</v>
          </cell>
          <cell r="H6725" t="str">
            <v>g__Megasphaera</v>
          </cell>
          <cell r="I6725" t="str">
            <v>s__unclassified_g__Megasphaera</v>
          </cell>
        </row>
        <row r="6726">
          <cell r="G6726" t="str">
            <v>ASV20236</v>
          </cell>
          <cell r="H6726" t="str">
            <v>g__norank_f__Muribaculaceae</v>
          </cell>
          <cell r="I6726" t="str">
            <v>s__uncultured_bacterium_g__norank_f__Muribaculaceae</v>
          </cell>
        </row>
        <row r="6727">
          <cell r="G6727" t="str">
            <v>ASV9275</v>
          </cell>
          <cell r="H6727" t="str">
            <v>g__UCG-002</v>
          </cell>
          <cell r="I6727" t="str">
            <v>s__uncultured_bacterium_g__UCG-002</v>
          </cell>
        </row>
        <row r="6728">
          <cell r="G6728" t="str">
            <v>ASV6603</v>
          </cell>
          <cell r="H6728" t="str">
            <v>g__unclassified_f__Synergistaceae</v>
          </cell>
          <cell r="I6728" t="str">
            <v>s__unclassified_f__Synergistaceae</v>
          </cell>
        </row>
        <row r="6729">
          <cell r="G6729" t="str">
            <v>ASV20634</v>
          </cell>
          <cell r="H6729" t="str">
            <v>g__unclassified_f__Lachnospiraceae</v>
          </cell>
          <cell r="I6729" t="str">
            <v>s__unclassified_f__Lachnospiraceae</v>
          </cell>
        </row>
        <row r="6730">
          <cell r="G6730" t="str">
            <v>ASV12658</v>
          </cell>
          <cell r="H6730" t="str">
            <v>g__unclassified_c__Clostridia</v>
          </cell>
          <cell r="I6730" t="str">
            <v>s__unclassified_c__Clostridia</v>
          </cell>
        </row>
        <row r="6731">
          <cell r="G6731" t="str">
            <v>ASV9295</v>
          </cell>
          <cell r="H6731" t="str">
            <v>g__unclassified_f__Lachnospiraceae</v>
          </cell>
          <cell r="I6731" t="str">
            <v>s__unclassified_f__Lachnospiraceae</v>
          </cell>
        </row>
        <row r="6732">
          <cell r="G6732" t="str">
            <v>ASV17137</v>
          </cell>
          <cell r="H6732" t="str">
            <v>g__Sphingobacterium</v>
          </cell>
          <cell r="I6732" t="str">
            <v>s__unclassified_g__Sphingobacterium</v>
          </cell>
        </row>
        <row r="6733">
          <cell r="G6733" t="str">
            <v>ASV6600</v>
          </cell>
          <cell r="H6733" t="str">
            <v>g__Escherichia-Shigella</v>
          </cell>
          <cell r="I6733" t="str">
            <v>s__unclassified_g__Escherichia-Shigella</v>
          </cell>
        </row>
        <row r="6734">
          <cell r="G6734" t="str">
            <v>ASV7623</v>
          </cell>
          <cell r="H6734" t="str">
            <v>g__Turicibacter</v>
          </cell>
          <cell r="I6734" t="str">
            <v>s__unclassified_g__Turicibacter</v>
          </cell>
        </row>
        <row r="6735">
          <cell r="G6735" t="str">
            <v>ASV17186</v>
          </cell>
          <cell r="H6735" t="str">
            <v>g__Lactobacillus</v>
          </cell>
          <cell r="I6735" t="str">
            <v>s__unclassified_g__Lactobacillus</v>
          </cell>
        </row>
        <row r="6736">
          <cell r="G6736" t="str">
            <v>ASV18834</v>
          </cell>
          <cell r="H6736" t="str">
            <v>g__Phascolarctobacterium</v>
          </cell>
          <cell r="I6736" t="str">
            <v>s__uncultured_bacterium_g__Phascolarctobacterium</v>
          </cell>
        </row>
        <row r="6737">
          <cell r="G6737" t="str">
            <v>ASV11440</v>
          </cell>
          <cell r="H6737" t="str">
            <v>g__unclassified_k__norank_d__Bacteria</v>
          </cell>
          <cell r="I6737" t="str">
            <v>s__unclassified_k__norank_d__Bacteria</v>
          </cell>
        </row>
        <row r="6738">
          <cell r="G6738" t="str">
            <v>ASV19405</v>
          </cell>
          <cell r="H6738" t="str">
            <v>g__unclassified_f__Oscillospiraceae</v>
          </cell>
          <cell r="I6738" t="str">
            <v>s__unclassified_f__Oscillospiraceae</v>
          </cell>
        </row>
        <row r="6739">
          <cell r="G6739" t="str">
            <v>ASV19048</v>
          </cell>
          <cell r="H6739" t="str">
            <v>g__unclassified_f__Lachnospiraceae</v>
          </cell>
          <cell r="I6739" t="str">
            <v>s__unclassified_f__Lachnospiraceae</v>
          </cell>
        </row>
        <row r="6740">
          <cell r="G6740" t="str">
            <v>ASV20678</v>
          </cell>
          <cell r="H6740" t="str">
            <v>g__unclassified_c__Clostridia</v>
          </cell>
          <cell r="I6740" t="str">
            <v>s__unclassified_c__Clostridia</v>
          </cell>
        </row>
        <row r="6741">
          <cell r="G6741" t="str">
            <v>ASV15925</v>
          </cell>
          <cell r="H6741" t="str">
            <v>g__Parabacteroides</v>
          </cell>
          <cell r="I6741" t="str">
            <v>s__unclassified_g__Parabacteroides</v>
          </cell>
        </row>
        <row r="6742">
          <cell r="G6742" t="str">
            <v>ASV15939</v>
          </cell>
          <cell r="H6742" t="str">
            <v>g__Fusobacterium</v>
          </cell>
          <cell r="I6742" t="str">
            <v>s__unclassified_g__Fusobacterium</v>
          </cell>
        </row>
        <row r="6743">
          <cell r="G6743" t="str">
            <v>ASV10520</v>
          </cell>
          <cell r="H6743" t="str">
            <v>g__unclassified_f__Clostridiaceae</v>
          </cell>
          <cell r="I6743" t="str">
            <v>s__unclassified_f__Clostridiaceae</v>
          </cell>
        </row>
        <row r="6744">
          <cell r="G6744" t="str">
            <v>ASV6626</v>
          </cell>
          <cell r="H6744" t="str">
            <v>g__Enterococcus</v>
          </cell>
          <cell r="I6744" t="str">
            <v>s__unclassified_g__Enterococcus</v>
          </cell>
        </row>
        <row r="6745">
          <cell r="G6745" t="str">
            <v>ASV2082</v>
          </cell>
          <cell r="H6745" t="str">
            <v>g__norank_f__norank_o__Clostridia_UCG-014</v>
          </cell>
          <cell r="I6745" t="str">
            <v>s__uncultured_bacterium_g__norank_f__norank_o__Clostridia_UCG-014</v>
          </cell>
        </row>
        <row r="6746">
          <cell r="G6746" t="str">
            <v>ASV3957</v>
          </cell>
          <cell r="H6746" t="str">
            <v>g__unclassified_f__Anaerovoracaceae</v>
          </cell>
          <cell r="I6746" t="str">
            <v>s__unclassified_f__Anaerovoracaceae</v>
          </cell>
        </row>
        <row r="6747">
          <cell r="G6747" t="str">
            <v>ASV537</v>
          </cell>
          <cell r="H6747" t="str">
            <v>g__unclassified_f__Lachnospiraceae</v>
          </cell>
          <cell r="I6747" t="str">
            <v>s__unclassified_f__Lachnospiraceae</v>
          </cell>
        </row>
        <row r="6748">
          <cell r="G6748" t="str">
            <v>ASV15069</v>
          </cell>
          <cell r="H6748" t="str">
            <v>g__Delftia</v>
          </cell>
          <cell r="I6748" t="str">
            <v>s__unclassified_g__Delftia</v>
          </cell>
        </row>
        <row r="6749">
          <cell r="G6749" t="str">
            <v>ASV16364</v>
          </cell>
          <cell r="H6749" t="str">
            <v>g__norank_f__Oscillospiraceae</v>
          </cell>
          <cell r="I6749" t="str">
            <v>s__unclassified_g__norank_f__Oscillospiraceae</v>
          </cell>
        </row>
        <row r="6750">
          <cell r="G6750" t="str">
            <v>ASV5763</v>
          </cell>
          <cell r="H6750" t="str">
            <v>g__Streptococcus</v>
          </cell>
          <cell r="I6750" t="str">
            <v>s__unclassified_g__Streptococcus</v>
          </cell>
        </row>
        <row r="6751">
          <cell r="G6751" t="str">
            <v>ASV14113</v>
          </cell>
          <cell r="H6751" t="str">
            <v>g__Christensenellaceae_R-7_group</v>
          </cell>
          <cell r="I6751" t="str">
            <v>s__unclassified_g__Christensenellaceae_R-7_group</v>
          </cell>
        </row>
        <row r="6752">
          <cell r="G6752" t="str">
            <v>ASV535</v>
          </cell>
          <cell r="H6752" t="str">
            <v>g__Lactobacillus</v>
          </cell>
          <cell r="I6752" t="str">
            <v>s__Lactobacillus_sp._KLDS_1.0716</v>
          </cell>
        </row>
        <row r="6753">
          <cell r="G6753" t="str">
            <v>ASV22061</v>
          </cell>
          <cell r="H6753" t="str">
            <v>g__unclassified_c__Clostridia</v>
          </cell>
          <cell r="I6753" t="str">
            <v>s__unclassified_c__Clostridia</v>
          </cell>
        </row>
        <row r="6754">
          <cell r="G6754" t="str">
            <v>ASV20645</v>
          </cell>
          <cell r="H6754" t="str">
            <v>g__unclassified_c__Clostridia</v>
          </cell>
          <cell r="I6754" t="str">
            <v>s__unclassified_c__Clostridia</v>
          </cell>
        </row>
        <row r="6755">
          <cell r="G6755" t="str">
            <v>ASV15931</v>
          </cell>
          <cell r="H6755" t="str">
            <v>g__Bacteroides</v>
          </cell>
          <cell r="I6755" t="str">
            <v>s__unclassified_g__Bacteroides</v>
          </cell>
        </row>
        <row r="6756">
          <cell r="G6756" t="str">
            <v>ASV21193</v>
          </cell>
          <cell r="H6756" t="str">
            <v>g__UCG-002</v>
          </cell>
          <cell r="I6756" t="str">
            <v>s__unclassified_g__UCG-002</v>
          </cell>
        </row>
        <row r="6757">
          <cell r="G6757" t="str">
            <v>ASV7610</v>
          </cell>
          <cell r="H6757" t="str">
            <v>g__unclassified_c__Clostridia</v>
          </cell>
          <cell r="I6757" t="str">
            <v>s__unclassified_c__Clostridia</v>
          </cell>
        </row>
        <row r="6758">
          <cell r="G6758" t="str">
            <v>ASV14055</v>
          </cell>
          <cell r="H6758" t="str">
            <v>g__unclassified_p__Firmicutes</v>
          </cell>
          <cell r="I6758" t="str">
            <v>s__unclassified_p__Firmicutes</v>
          </cell>
        </row>
        <row r="6759">
          <cell r="G6759" t="str">
            <v>ASV2059</v>
          </cell>
          <cell r="H6759" t="str">
            <v>g__unclassified_f__Lachnospiraceae</v>
          </cell>
          <cell r="I6759" t="str">
            <v>s__unclassified_f__Lachnospiraceae</v>
          </cell>
        </row>
        <row r="6760">
          <cell r="G6760" t="str">
            <v>ASV5730</v>
          </cell>
          <cell r="H6760" t="str">
            <v>g__unclassified_f__Peptostreptococcaceae</v>
          </cell>
          <cell r="I6760" t="str">
            <v>s__unclassified_f__Peptostreptococcaceae</v>
          </cell>
        </row>
        <row r="6761">
          <cell r="G6761" t="str">
            <v>ASV11045</v>
          </cell>
          <cell r="H6761" t="str">
            <v>g__unclassified_p__Firmicutes</v>
          </cell>
          <cell r="I6761" t="str">
            <v>s__unclassified_p__Firmicutes</v>
          </cell>
        </row>
        <row r="6762">
          <cell r="G6762" t="str">
            <v>ASV21201</v>
          </cell>
          <cell r="H6762" t="str">
            <v>g__unclassified_f__Lachnospiraceae</v>
          </cell>
          <cell r="I6762" t="str">
            <v>s__unclassified_f__Lachnospiraceae</v>
          </cell>
        </row>
        <row r="6763">
          <cell r="G6763" t="str">
            <v>ASV15066</v>
          </cell>
          <cell r="H6763" t="str">
            <v>g__unclassified_o__Burkholderiales</v>
          </cell>
          <cell r="I6763" t="str">
            <v>s__unclassified_o__Burkholderiales</v>
          </cell>
        </row>
        <row r="6764">
          <cell r="G6764" t="str">
            <v>ASV3174</v>
          </cell>
          <cell r="H6764" t="str">
            <v>g__Fusobacterium</v>
          </cell>
          <cell r="I6764" t="str">
            <v>s__unclassified_g__Fusobacterium</v>
          </cell>
        </row>
        <row r="6765">
          <cell r="G6765" t="str">
            <v>ASV21591</v>
          </cell>
          <cell r="H6765" t="str">
            <v>g__Sutterella</v>
          </cell>
          <cell r="I6765" t="str">
            <v>s__unclassified_g__Sutterella</v>
          </cell>
        </row>
        <row r="6766">
          <cell r="G6766" t="str">
            <v>ASV13350</v>
          </cell>
          <cell r="H6766" t="str">
            <v>g__unclassified_f__Lachnospiraceae</v>
          </cell>
          <cell r="I6766" t="str">
            <v>s__unclassified_f__Lachnospiraceae</v>
          </cell>
        </row>
        <row r="6767">
          <cell r="G6767" t="str">
            <v>ASV23159</v>
          </cell>
          <cell r="H6767" t="str">
            <v>g__unclassified_c__Clostridia</v>
          </cell>
          <cell r="I6767" t="str">
            <v>s__unclassified_c__Clostridia</v>
          </cell>
        </row>
        <row r="6768">
          <cell r="G6768" t="str">
            <v>ASV13336</v>
          </cell>
          <cell r="H6768" t="str">
            <v>g__unclassified_f__Lachnospiraceae</v>
          </cell>
          <cell r="I6768" t="str">
            <v>s__unclassified_f__Lachnospiraceae</v>
          </cell>
        </row>
        <row r="6769">
          <cell r="G6769" t="str">
            <v>ASV552</v>
          </cell>
          <cell r="H6769" t="str">
            <v>g__unclassified_c__Clostridia</v>
          </cell>
          <cell r="I6769" t="str">
            <v>s__unclassified_c__Clostridia</v>
          </cell>
        </row>
        <row r="6770">
          <cell r="G6770" t="str">
            <v>ASV5723</v>
          </cell>
          <cell r="H6770" t="str">
            <v>g__unclassified_f__Ruminococcaceae</v>
          </cell>
          <cell r="I6770" t="str">
            <v>s__unclassified_f__Ruminococcaceae</v>
          </cell>
        </row>
        <row r="6771">
          <cell r="G6771" t="str">
            <v>ASV7037</v>
          </cell>
          <cell r="H6771" t="str">
            <v>g__unclassified_f__Lachnospiraceae</v>
          </cell>
          <cell r="I6771" t="str">
            <v>s__unclassified_f__Lachnospiraceae</v>
          </cell>
        </row>
        <row r="6772">
          <cell r="G6772" t="str">
            <v>ASV12680</v>
          </cell>
          <cell r="H6772" t="str">
            <v>g__unclassified_o__Oscillospirales</v>
          </cell>
          <cell r="I6772" t="str">
            <v>s__unclassified_o__Oscillospirales</v>
          </cell>
        </row>
        <row r="6773">
          <cell r="G6773" t="str">
            <v>ASV4653</v>
          </cell>
          <cell r="H6773" t="str">
            <v>g__Eubacterium</v>
          </cell>
          <cell r="I6773" t="str">
            <v>s__unclassified_g__Eubacterium</v>
          </cell>
        </row>
        <row r="6774">
          <cell r="G6774" t="str">
            <v>ASV24131</v>
          </cell>
          <cell r="H6774" t="str">
            <v>g__norank_f__Ruminococcaceae</v>
          </cell>
          <cell r="I6774" t="str">
            <v>s__unclassified_g__norank_f__Ruminococcaceae</v>
          </cell>
        </row>
        <row r="6775">
          <cell r="G6775" t="str">
            <v>ASV22011</v>
          </cell>
          <cell r="H6775" t="str">
            <v>g__Olsenella</v>
          </cell>
          <cell r="I6775" t="str">
            <v>s__unclassified_g__Olsenella</v>
          </cell>
        </row>
        <row r="6776">
          <cell r="G6776" t="str">
            <v>ASV6504</v>
          </cell>
          <cell r="H6776" t="str">
            <v>g__Staphylococcus</v>
          </cell>
          <cell r="I6776" t="str">
            <v>s__unclassified_g__Staphylococcus</v>
          </cell>
        </row>
        <row r="6777">
          <cell r="G6777" t="str">
            <v>ASV520</v>
          </cell>
          <cell r="H6777" t="str">
            <v>g__unclassified_o__Oscillospirales</v>
          </cell>
          <cell r="I6777" t="str">
            <v>s__unclassified_o__Oscillospirales</v>
          </cell>
        </row>
        <row r="6778">
          <cell r="G6778" t="str">
            <v>ASV12677</v>
          </cell>
          <cell r="H6778" t="str">
            <v>g__unclassified_p__Firmicutes</v>
          </cell>
          <cell r="I6778" t="str">
            <v>s__unclassified_p__Firmicutes</v>
          </cell>
        </row>
        <row r="6779">
          <cell r="G6779" t="str">
            <v>ASV18541</v>
          </cell>
          <cell r="H6779" t="str">
            <v>g__Actinomyces</v>
          </cell>
          <cell r="I6779" t="str">
            <v>s__unclassified_g__Actinomyces</v>
          </cell>
        </row>
        <row r="6780">
          <cell r="G6780" t="str">
            <v>ASV3465</v>
          </cell>
          <cell r="H6780" t="str">
            <v>g__Terrisporobacter</v>
          </cell>
          <cell r="I6780" t="str">
            <v>s__uncultured_bacterium_g__Terrisporobacter</v>
          </cell>
        </row>
        <row r="6781">
          <cell r="G6781" t="str">
            <v>ASV12637</v>
          </cell>
          <cell r="H6781" t="str">
            <v>g__Eubacterium_oxidoreducens_group</v>
          </cell>
          <cell r="I6781" t="str">
            <v>s__uncultured_bacterium_g__Eubacterium_oxidoreducens_group</v>
          </cell>
        </row>
        <row r="6782">
          <cell r="G6782" t="str">
            <v>ASV8796</v>
          </cell>
          <cell r="H6782" t="str">
            <v>g__Actinobacillus</v>
          </cell>
          <cell r="I6782" t="str">
            <v>s__unclassified_g__Actinobacillus</v>
          </cell>
        </row>
        <row r="6783">
          <cell r="G6783" t="str">
            <v>ASV12667</v>
          </cell>
          <cell r="H6783" t="str">
            <v>g__unclassified_f__Lachnospiraceae</v>
          </cell>
          <cell r="I6783" t="str">
            <v>s__unclassified_f__Lachnospiraceae</v>
          </cell>
        </row>
        <row r="6784">
          <cell r="G6784" t="str">
            <v>ASV16339</v>
          </cell>
          <cell r="H6784" t="str">
            <v>g__Escherichia-Shigella</v>
          </cell>
          <cell r="I6784" t="str">
            <v>s__unclassified_g__Escherichia-Shigella</v>
          </cell>
        </row>
        <row r="6785">
          <cell r="G6785" t="str">
            <v>ASV1632</v>
          </cell>
          <cell r="H6785" t="str">
            <v>g__unclassified_f__Peptostreptococcaceae</v>
          </cell>
          <cell r="I6785" t="str">
            <v>s__unclassified_f__Peptostreptococcaceae</v>
          </cell>
        </row>
        <row r="6786">
          <cell r="G6786" t="str">
            <v>ASV16314</v>
          </cell>
          <cell r="H6786" t="str">
            <v>g__unclassified_o__Oscillospirales</v>
          </cell>
          <cell r="I6786" t="str">
            <v>s__unclassified_o__Oscillospirales</v>
          </cell>
        </row>
        <row r="6787">
          <cell r="G6787" t="str">
            <v>ASV20632</v>
          </cell>
          <cell r="H6787" t="str">
            <v>g__Clostridium_sensu_stricto_1</v>
          </cell>
          <cell r="I6787" t="str">
            <v>s__unclassified_g__Clostridium_sensu_stricto_1</v>
          </cell>
        </row>
        <row r="6788">
          <cell r="G6788" t="str">
            <v>ASV9280</v>
          </cell>
          <cell r="H6788" t="str">
            <v>g__Eubacterium_oxidoreducens_group</v>
          </cell>
          <cell r="I6788" t="str">
            <v>s__uncultured_bacterium_g__Eubacterium_oxidoreducens_group</v>
          </cell>
        </row>
        <row r="6789">
          <cell r="G6789" t="str">
            <v>ASV18539</v>
          </cell>
          <cell r="H6789" t="str">
            <v>g__unclassified_c__Bacilli</v>
          </cell>
          <cell r="I6789" t="str">
            <v>s__unclassified_c__Bacilli</v>
          </cell>
        </row>
        <row r="6790">
          <cell r="G6790" t="str">
            <v>ASV15067</v>
          </cell>
          <cell r="H6790" t="str">
            <v>g__Chryseobacterium</v>
          </cell>
          <cell r="I6790" t="str">
            <v>s__unclassified_g__Chryseobacterium</v>
          </cell>
        </row>
        <row r="6791">
          <cell r="G6791" t="str">
            <v>ASV14137</v>
          </cell>
          <cell r="H6791" t="str">
            <v>g__norank_f__Ruminococcaceae</v>
          </cell>
          <cell r="I6791" t="str">
            <v>s__gut_metagenome_g__norank_f__Ruminococcaceae</v>
          </cell>
        </row>
        <row r="6792">
          <cell r="G6792" t="str">
            <v>ASV8958</v>
          </cell>
          <cell r="H6792" t="str">
            <v>g__unclassified_p__Firmicutes</v>
          </cell>
          <cell r="I6792" t="str">
            <v>s__unclassified_p__Firmicutes</v>
          </cell>
        </row>
        <row r="6793">
          <cell r="G6793" t="str">
            <v>ASV7664</v>
          </cell>
          <cell r="H6793" t="str">
            <v>g__Lactobacillus</v>
          </cell>
          <cell r="I6793" t="str">
            <v>s__unclassified_g__Lactobacillus</v>
          </cell>
        </row>
        <row r="6794">
          <cell r="G6794" t="str">
            <v>ASV10302</v>
          </cell>
          <cell r="H6794" t="str">
            <v>g__unclassified_f__Lachnospiraceae</v>
          </cell>
          <cell r="I6794" t="str">
            <v>s__unclassified_f__Lachnospiraceae</v>
          </cell>
        </row>
        <row r="6795">
          <cell r="G6795" t="str">
            <v>ASV8793</v>
          </cell>
          <cell r="H6795" t="str">
            <v>g__Alloprevotella</v>
          </cell>
          <cell r="I6795" t="str">
            <v>s__uncultured_bacterium_g__Alloprevotella</v>
          </cell>
        </row>
        <row r="6796">
          <cell r="G6796" t="str">
            <v>ASV2070</v>
          </cell>
          <cell r="H6796" t="str">
            <v>g__unclassified_p__Firmicutes</v>
          </cell>
          <cell r="I6796" t="str">
            <v>s__unclassified_p__Firmicutes</v>
          </cell>
        </row>
        <row r="6797">
          <cell r="G6797" t="str">
            <v>ASV16320</v>
          </cell>
          <cell r="H6797" t="str">
            <v>g__Rikenellaceae_RC9_gut_group</v>
          </cell>
          <cell r="I6797" t="str">
            <v>s__uncultured_bacterium_g__Rikenellaceae_RC9_gut_group</v>
          </cell>
        </row>
        <row r="6798">
          <cell r="G6798" t="str">
            <v>ASV15254</v>
          </cell>
          <cell r="H6798" t="str">
            <v>g__norank_f__Ruminococcaceae</v>
          </cell>
          <cell r="I6798" t="str">
            <v>s__unclassified_g__norank_f__Ruminococcaceae</v>
          </cell>
        </row>
        <row r="6799">
          <cell r="G6799" t="str">
            <v>ASV17911</v>
          </cell>
          <cell r="H6799" t="str">
            <v>g__unclassified_f__Lachnospiraceae</v>
          </cell>
          <cell r="I6799" t="str">
            <v>s__unclassified_f__Lachnospiraceae</v>
          </cell>
        </row>
        <row r="6800">
          <cell r="G6800" t="str">
            <v>ASV9318</v>
          </cell>
          <cell r="H6800" t="str">
            <v>g__unclassified_f__Lachnospiraceae</v>
          </cell>
          <cell r="I6800" t="str">
            <v>s__unclassified_f__Lachnospiraceae</v>
          </cell>
        </row>
        <row r="6801">
          <cell r="G6801" t="str">
            <v>ASV3452</v>
          </cell>
          <cell r="H6801" t="str">
            <v>g__Actinobacillus</v>
          </cell>
          <cell r="I6801" t="str">
            <v>s__unclassified_g__Actinobacillus</v>
          </cell>
        </row>
        <row r="6802">
          <cell r="G6802" t="str">
            <v>ASV541</v>
          </cell>
          <cell r="H6802" t="str">
            <v>g__UCG-002</v>
          </cell>
          <cell r="I6802" t="str">
            <v>s__uncultured_bacterium_g__UCG-002</v>
          </cell>
        </row>
        <row r="6803">
          <cell r="G6803" t="str">
            <v>ASV3155</v>
          </cell>
          <cell r="H6803" t="str">
            <v>g__unclassified_f__Lachnospiraceae</v>
          </cell>
          <cell r="I6803" t="str">
            <v>s__unclassified_f__Lachnospiraceae</v>
          </cell>
        </row>
        <row r="6804">
          <cell r="G6804" t="str">
            <v>ASV19365</v>
          </cell>
          <cell r="H6804" t="str">
            <v>g__Lactobacillus</v>
          </cell>
          <cell r="I6804" t="str">
            <v>s__unclassified_g__Lactobacillus</v>
          </cell>
        </row>
        <row r="6805">
          <cell r="G6805" t="str">
            <v>ASV23155</v>
          </cell>
          <cell r="H6805" t="str">
            <v>g__Corynebacterium</v>
          </cell>
          <cell r="I6805" t="str">
            <v>s__unclassified_g__Corynebacterium</v>
          </cell>
        </row>
        <row r="6806">
          <cell r="G6806" t="str">
            <v>ASV14110</v>
          </cell>
          <cell r="H6806" t="str">
            <v>g__norank_f__Oscillospiraceae</v>
          </cell>
          <cell r="I6806" t="str">
            <v>s__unclassified_g__norank_f__Oscillospiraceae</v>
          </cell>
        </row>
        <row r="6807">
          <cell r="G6807" t="str">
            <v>ASV14129</v>
          </cell>
          <cell r="H6807" t="str">
            <v>g__norank_f__Muribaculaceae</v>
          </cell>
          <cell r="I6807" t="str">
            <v>s__uncultured_bacterium_g__norank_f__Muribaculaceae</v>
          </cell>
        </row>
        <row r="6808">
          <cell r="G6808" t="str">
            <v>ASV3908</v>
          </cell>
          <cell r="H6808" t="str">
            <v>g__unclassified_f__Ruminococcaceae</v>
          </cell>
          <cell r="I6808" t="str">
            <v>s__unclassified_f__Ruminococcaceae</v>
          </cell>
        </row>
        <row r="6809">
          <cell r="G6809" t="str">
            <v>ASV23127</v>
          </cell>
          <cell r="H6809" t="str">
            <v>g__unclassified_c__Clostridia</v>
          </cell>
          <cell r="I6809" t="str">
            <v>s__unclassified_c__Clostridia</v>
          </cell>
        </row>
        <row r="6810">
          <cell r="G6810" t="str">
            <v>ASV6637</v>
          </cell>
          <cell r="H6810" t="str">
            <v>g__Cloacibacillus</v>
          </cell>
          <cell r="I6810" t="str">
            <v>s__unclassified_g__Cloacibacillus</v>
          </cell>
        </row>
        <row r="6811">
          <cell r="G6811" t="str">
            <v>ASV22030</v>
          </cell>
          <cell r="H6811" t="str">
            <v>g__Christensenellaceae_R-7_group</v>
          </cell>
          <cell r="I6811" t="str">
            <v>s__unclassified_g__Christensenellaceae_R-7_group</v>
          </cell>
        </row>
        <row r="6812">
          <cell r="G6812" t="str">
            <v>ASV22004</v>
          </cell>
          <cell r="H6812" t="str">
            <v>g__Rothia</v>
          </cell>
          <cell r="I6812" t="str">
            <v>s__unclassified_g__Rothia</v>
          </cell>
        </row>
        <row r="6813">
          <cell r="G6813" t="str">
            <v>ASV4667</v>
          </cell>
          <cell r="H6813" t="str">
            <v>g__UCG-002</v>
          </cell>
          <cell r="I6813" t="str">
            <v>s__uncultured_bacterium_g__UCG-002</v>
          </cell>
        </row>
        <row r="6814">
          <cell r="G6814" t="str">
            <v>ASV19056</v>
          </cell>
          <cell r="H6814" t="str">
            <v>g__Lactobacillus</v>
          </cell>
          <cell r="I6814" t="str">
            <v>s__unclassified_g__Lactobacillus</v>
          </cell>
        </row>
        <row r="6815">
          <cell r="G6815" t="str">
            <v>ASV11399</v>
          </cell>
          <cell r="H6815" t="str">
            <v>g__unclassified_c__Clostridia</v>
          </cell>
          <cell r="I6815" t="str">
            <v>s__unclassified_c__Clostridia</v>
          </cell>
        </row>
        <row r="6816">
          <cell r="G6816" t="str">
            <v>ASV21187</v>
          </cell>
          <cell r="H6816" t="str">
            <v>g__unclassified_k__norank_d__Bacteria</v>
          </cell>
          <cell r="I6816" t="str">
            <v>s__unclassified_k__norank_d__Bacteria</v>
          </cell>
        </row>
        <row r="6817">
          <cell r="G6817" t="str">
            <v>ASV22081</v>
          </cell>
          <cell r="H6817" t="str">
            <v>g__UCG-002</v>
          </cell>
          <cell r="I6817" t="str">
            <v>s__uncultured_bacterium_g__UCG-002</v>
          </cell>
        </row>
        <row r="6818">
          <cell r="G6818" t="str">
            <v>ASV14132</v>
          </cell>
          <cell r="H6818" t="str">
            <v>g__unclassified_k__norank_d__Bacteria</v>
          </cell>
          <cell r="I6818" t="str">
            <v>s__unclassified_k__norank_d__Bacteria</v>
          </cell>
        </row>
        <row r="6819">
          <cell r="G6819" t="str">
            <v>ASV483</v>
          </cell>
          <cell r="H6819" t="str">
            <v>g__Streptococcus</v>
          </cell>
          <cell r="I6819" t="str">
            <v>s__unclassified_g__Streptococcus</v>
          </cell>
        </row>
        <row r="6820">
          <cell r="G6820" t="str">
            <v>ASV543</v>
          </cell>
          <cell r="H6820" t="str">
            <v>g__unclassified_c__Clostridia</v>
          </cell>
          <cell r="I6820" t="str">
            <v>s__unclassified_c__Clostridia</v>
          </cell>
        </row>
        <row r="6821">
          <cell r="G6821" t="str">
            <v>ASV21998</v>
          </cell>
          <cell r="H6821" t="str">
            <v>g__unclassified_c__Clostridia</v>
          </cell>
          <cell r="I6821" t="str">
            <v>s__unclassified_c__Clostridia</v>
          </cell>
        </row>
        <row r="6822">
          <cell r="G6822" t="str">
            <v>ASV2084</v>
          </cell>
          <cell r="H6822" t="str">
            <v>g__unclassified_f__Lachnospiraceae</v>
          </cell>
          <cell r="I6822" t="str">
            <v>s__unclassified_f__Lachnospiraceae</v>
          </cell>
        </row>
        <row r="6823">
          <cell r="G6823" t="str">
            <v>ASV9317</v>
          </cell>
          <cell r="H6823" t="str">
            <v>g__unclassified_f__Lachnospiraceae</v>
          </cell>
          <cell r="I6823" t="str">
            <v>s__unclassified_f__Lachnospiraceae</v>
          </cell>
        </row>
        <row r="6824">
          <cell r="G6824" t="str">
            <v>ASV14116</v>
          </cell>
          <cell r="H6824" t="str">
            <v>g__norank_f__Muribaculaceae</v>
          </cell>
          <cell r="I6824" t="str">
            <v>s__uncultured_bacterium_g__norank_f__Muribaculaceae</v>
          </cell>
        </row>
        <row r="6825">
          <cell r="G6825" t="str">
            <v>ASV16860</v>
          </cell>
          <cell r="H6825" t="str">
            <v>g__Lachnospiraceae_ND3007_group</v>
          </cell>
          <cell r="I6825" t="str">
            <v>s__uncultured_bacterium_g__Lachnospiraceae_ND3007_group</v>
          </cell>
        </row>
        <row r="6826">
          <cell r="G6826" t="str">
            <v>ASV17868</v>
          </cell>
          <cell r="H6826" t="str">
            <v>g__norank_f__Ruminococcaceae</v>
          </cell>
          <cell r="I6826" t="str">
            <v>s__unclassified_g__norank_f__Ruminococcaceae</v>
          </cell>
        </row>
        <row r="6827">
          <cell r="G6827" t="str">
            <v>ASV12634</v>
          </cell>
          <cell r="H6827" t="str">
            <v>g__Christensenellaceae_R-7_group</v>
          </cell>
          <cell r="I6827" t="str">
            <v>s__unclassified_g__Christensenellaceae_R-7_group</v>
          </cell>
        </row>
        <row r="6828">
          <cell r="G6828" t="str">
            <v>ASV14093</v>
          </cell>
          <cell r="H6828" t="str">
            <v>g__unclassified_f__Peptostreptococcaceae</v>
          </cell>
          <cell r="I6828" t="str">
            <v>s__unclassified_f__Peptostreptococcaceae</v>
          </cell>
        </row>
        <row r="6829">
          <cell r="G6829" t="str">
            <v>ASV2904</v>
          </cell>
          <cell r="H6829" t="str">
            <v>g__Arthrobacter</v>
          </cell>
          <cell r="I6829" t="str">
            <v>s__unclassified_g__Arthrobacter</v>
          </cell>
        </row>
        <row r="6830">
          <cell r="G6830" t="str">
            <v>ASV4664</v>
          </cell>
          <cell r="H6830" t="str">
            <v>g__unclassified_o__Micrococcales</v>
          </cell>
          <cell r="I6830" t="str">
            <v>s__unclassified_o__Micrococcales</v>
          </cell>
        </row>
        <row r="6831">
          <cell r="G6831" t="str">
            <v>ASV17889</v>
          </cell>
          <cell r="H6831" t="str">
            <v>g__unclassified_c__Clostridia</v>
          </cell>
          <cell r="I6831" t="str">
            <v>s__unclassified_c__Clostridia</v>
          </cell>
        </row>
        <row r="6832">
          <cell r="G6832" t="str">
            <v>ASV15292</v>
          </cell>
          <cell r="H6832" t="str">
            <v>g__norank_f__Erysipelotrichaceae</v>
          </cell>
          <cell r="I6832" t="str">
            <v>s__uncultured_bacterium_g__norank_f__Erysipelotrichaceae</v>
          </cell>
        </row>
        <row r="6833">
          <cell r="G6833" t="str">
            <v>ASV10080</v>
          </cell>
          <cell r="H6833" t="str">
            <v>g__Lactobacillus</v>
          </cell>
          <cell r="I6833" t="str">
            <v>s__unclassified_g__Lactobacillus</v>
          </cell>
        </row>
        <row r="6834">
          <cell r="G6834" t="str">
            <v>ASV16176</v>
          </cell>
          <cell r="H6834" t="str">
            <v>g__Lactobacillus</v>
          </cell>
          <cell r="I6834" t="str">
            <v>s__unclassified_g__Lactobacillus</v>
          </cell>
        </row>
        <row r="6835">
          <cell r="G6835" t="str">
            <v>ASV20239</v>
          </cell>
          <cell r="H6835" t="str">
            <v>g__Lactobacillus</v>
          </cell>
          <cell r="I6835" t="str">
            <v>s__unclassified_g__Lactobacillus</v>
          </cell>
        </row>
        <row r="6836">
          <cell r="G6836" t="str">
            <v>ASV19446</v>
          </cell>
          <cell r="H6836" t="str">
            <v>g__Prevotella</v>
          </cell>
          <cell r="I6836" t="str">
            <v>s__unclassified_g__Prevotella</v>
          </cell>
        </row>
        <row r="6837">
          <cell r="G6837" t="str">
            <v>ASV11380</v>
          </cell>
          <cell r="H6837" t="str">
            <v>g__unclassified_c__Clostridia</v>
          </cell>
          <cell r="I6837" t="str">
            <v>s__unclassified_c__Clostridia</v>
          </cell>
        </row>
        <row r="6838">
          <cell r="G6838" t="str">
            <v>ASV14057</v>
          </cell>
          <cell r="H6838" t="str">
            <v>g__SP3-e08</v>
          </cell>
          <cell r="I6838" t="str">
            <v>s__uncultured_bacterium_g__SP3-e08</v>
          </cell>
        </row>
        <row r="6839">
          <cell r="G6839" t="str">
            <v>ASV15787</v>
          </cell>
          <cell r="H6839" t="str">
            <v>g__unclassified_f__Lachnospiraceae</v>
          </cell>
          <cell r="I6839" t="str">
            <v>s__unclassified_f__Lachnospiraceae</v>
          </cell>
        </row>
        <row r="6840">
          <cell r="G6840" t="str">
            <v>ASV17867</v>
          </cell>
          <cell r="H6840" t="str">
            <v>g__norank_f__Eggerthellaceae</v>
          </cell>
          <cell r="I6840" t="str">
            <v>s__uncultured_bacterium_g__norank_f__Eggerthellaceae</v>
          </cell>
        </row>
        <row r="6841">
          <cell r="G6841" t="str">
            <v>ASV7644</v>
          </cell>
          <cell r="H6841" t="str">
            <v>g__unclassified_c__Clostridia</v>
          </cell>
          <cell r="I6841" t="str">
            <v>s__unclassified_c__Clostridia</v>
          </cell>
        </row>
        <row r="6842">
          <cell r="G6842" t="str">
            <v>ASV19416</v>
          </cell>
          <cell r="H6842" t="str">
            <v>g__Roseburia</v>
          </cell>
          <cell r="I6842" t="str">
            <v>s__unclassified_g__Roseburia</v>
          </cell>
        </row>
        <row r="6843">
          <cell r="G6843" t="str">
            <v>ASV9305</v>
          </cell>
          <cell r="H6843" t="str">
            <v>g__Streptococcus</v>
          </cell>
          <cell r="I6843" t="str">
            <v>s__unclassified_g__Streptococcus</v>
          </cell>
        </row>
        <row r="6844">
          <cell r="G6844" t="str">
            <v>ASV17925</v>
          </cell>
          <cell r="H6844" t="str">
            <v>g__Oscillibacter</v>
          </cell>
          <cell r="I6844" t="str">
            <v>s__unclassified_g__Oscillibacter</v>
          </cell>
        </row>
        <row r="6845">
          <cell r="G6845" t="str">
            <v>ASV482</v>
          </cell>
          <cell r="H6845" t="str">
            <v>g__unclassified_f__Lachnospiraceae</v>
          </cell>
          <cell r="I6845" t="str">
            <v>s__unclassified_f__Lachnospiraceae</v>
          </cell>
        </row>
        <row r="6846">
          <cell r="G6846" t="str">
            <v>ASV8970</v>
          </cell>
          <cell r="H6846" t="str">
            <v>g__Christensenellaceae_R-7_group</v>
          </cell>
          <cell r="I6846" t="str">
            <v>s__unclassified_g__Christensenellaceae_R-7_group</v>
          </cell>
        </row>
        <row r="6847">
          <cell r="G6847" t="str">
            <v>ASV538</v>
          </cell>
          <cell r="H6847" t="str">
            <v>g__unclassified_f__Lachnospiraceae</v>
          </cell>
          <cell r="I6847" t="str">
            <v>s__unclassified_f__Lachnospiraceae</v>
          </cell>
        </row>
        <row r="6848">
          <cell r="G6848" t="str">
            <v>ASV6628</v>
          </cell>
          <cell r="H6848" t="str">
            <v>g__Enterococcus</v>
          </cell>
          <cell r="I6848" t="str">
            <v>s__unclassified_g__Enterococcus</v>
          </cell>
        </row>
        <row r="6849">
          <cell r="G6849" t="str">
            <v>ASV2075</v>
          </cell>
          <cell r="H6849" t="str">
            <v>g__unclassified_c__Clostridia</v>
          </cell>
          <cell r="I6849" t="str">
            <v>s__unclassified_c__Clostridia</v>
          </cell>
        </row>
        <row r="6850">
          <cell r="G6850" t="str">
            <v>ASV15275</v>
          </cell>
          <cell r="H6850" t="str">
            <v>g__norank_f__Eubacterium_coprostanoligenes_group</v>
          </cell>
          <cell r="I6850" t="str">
            <v>s__uncultured_bacterium_g__norank_f__Eubacterium_coprostanoligenes_group</v>
          </cell>
        </row>
        <row r="6851">
          <cell r="G6851" t="str">
            <v>ASV20637</v>
          </cell>
          <cell r="H6851" t="str">
            <v>g__unclassified_p__Firmicutes</v>
          </cell>
          <cell r="I6851" t="str">
            <v>s__unclassified_p__Firmicutes</v>
          </cell>
        </row>
        <row r="6852">
          <cell r="G6852" t="str">
            <v>ASV23935</v>
          </cell>
          <cell r="H6852" t="str">
            <v>g__Acidaminococcus</v>
          </cell>
          <cell r="I6852" t="str">
            <v>s__unclassified_g__Acidaminococcus</v>
          </cell>
        </row>
        <row r="6853">
          <cell r="G6853" t="str">
            <v>ASV20229</v>
          </cell>
          <cell r="H6853" t="str">
            <v>g__unclassified_f__Lachnospiraceae</v>
          </cell>
          <cell r="I6853" t="str">
            <v>s__unclassified_f__Lachnospiraceae</v>
          </cell>
        </row>
        <row r="6854">
          <cell r="G6854" t="str">
            <v>ASV8471</v>
          </cell>
          <cell r="H6854" t="str">
            <v>g__Lactobacillus</v>
          </cell>
          <cell r="I6854" t="str">
            <v>s__unclassified_g__Lactobacillus</v>
          </cell>
        </row>
        <row r="6855">
          <cell r="G6855" t="str">
            <v>ASV531</v>
          </cell>
          <cell r="H6855" t="str">
            <v>g__Christensenellaceae_R-7_group</v>
          </cell>
          <cell r="I6855" t="str">
            <v>s__bacterium_YE57</v>
          </cell>
        </row>
        <row r="6856">
          <cell r="G6856" t="str">
            <v>ASV3466</v>
          </cell>
          <cell r="H6856" t="str">
            <v>g__unclassified_k__norank_d__Bacteria</v>
          </cell>
          <cell r="I6856" t="str">
            <v>s__unclassified_k__norank_d__Bacteria</v>
          </cell>
        </row>
        <row r="6857">
          <cell r="G6857" t="str">
            <v>ASV20697</v>
          </cell>
          <cell r="H6857" t="str">
            <v>g__Lactobacillus</v>
          </cell>
          <cell r="I6857" t="str">
            <v>s__unclassified_g__Lactobacillus</v>
          </cell>
        </row>
        <row r="6858">
          <cell r="G6858" t="str">
            <v>ASV561</v>
          </cell>
          <cell r="H6858" t="str">
            <v>g__Lactobacillus</v>
          </cell>
          <cell r="I6858" t="str">
            <v>s__unclassified_g__Lactobacillus</v>
          </cell>
        </row>
        <row r="6859">
          <cell r="G6859" t="str">
            <v>ASV17904</v>
          </cell>
          <cell r="H6859" t="str">
            <v>g__Ruminococcus</v>
          </cell>
          <cell r="I6859" t="str">
            <v>s__unclassified_g__Ruminococcus</v>
          </cell>
        </row>
        <row r="6860">
          <cell r="G6860" t="str">
            <v>ASV14077</v>
          </cell>
          <cell r="H6860" t="str">
            <v>g__Rikenellaceae_RC9_gut_group</v>
          </cell>
          <cell r="I6860" t="str">
            <v>s__uncultured_bacterium_g__Rikenellaceae_RC9_gut_group</v>
          </cell>
        </row>
        <row r="6861">
          <cell r="G6861" t="str">
            <v>ASV16342</v>
          </cell>
          <cell r="H6861" t="str">
            <v>g__norank_f__Muribaculaceae</v>
          </cell>
          <cell r="I6861" t="str">
            <v>s__uncultured_bacterium_g__norank_f__Muribaculaceae</v>
          </cell>
        </row>
        <row r="6862">
          <cell r="G6862" t="str">
            <v>ASV13347</v>
          </cell>
          <cell r="H6862" t="str">
            <v>g__Streptococcus</v>
          </cell>
          <cell r="I6862" t="str">
            <v>s__unclassified_g__Streptococcus</v>
          </cell>
        </row>
        <row r="6863">
          <cell r="G6863" t="str">
            <v>ASV17271</v>
          </cell>
          <cell r="H6863" t="str">
            <v>g__Arcanobacterium</v>
          </cell>
          <cell r="I6863" t="str">
            <v>s__unclassified_g__Arcanobacterium</v>
          </cell>
        </row>
        <row r="6864">
          <cell r="G6864" t="str">
            <v>ASV11385</v>
          </cell>
          <cell r="H6864" t="str">
            <v>g__unclassified_f__Oscillospiraceae</v>
          </cell>
          <cell r="I6864" t="str">
            <v>s__unclassified_f__Oscillospiraceae</v>
          </cell>
        </row>
        <row r="6865">
          <cell r="G6865" t="str">
            <v>ASV17910</v>
          </cell>
          <cell r="H6865" t="str">
            <v>g__unclassified_c__Clostridia</v>
          </cell>
          <cell r="I6865" t="str">
            <v>s__unclassified_c__Clostridia</v>
          </cell>
        </row>
        <row r="6866">
          <cell r="G6866" t="str">
            <v>ASV3932</v>
          </cell>
          <cell r="H6866" t="str">
            <v>g__unclassified_f__Peptostreptococcaceae</v>
          </cell>
          <cell r="I6866" t="str">
            <v>s__unclassified_f__Peptostreptococcaceae</v>
          </cell>
        </row>
        <row r="6867">
          <cell r="G6867" t="str">
            <v>ASV5788</v>
          </cell>
          <cell r="H6867" t="str">
            <v>g__Escherichia-Shigella</v>
          </cell>
          <cell r="I6867" t="str">
            <v>s__unclassified_g__Escherichia-Shigella</v>
          </cell>
        </row>
        <row r="6868">
          <cell r="G6868" t="str">
            <v>ASV15289</v>
          </cell>
          <cell r="H6868" t="str">
            <v>g__unclassified_o__Oscillospirales</v>
          </cell>
          <cell r="I6868" t="str">
            <v>s__unclassified_o__Oscillospirales</v>
          </cell>
        </row>
        <row r="6869">
          <cell r="G6869" t="str">
            <v>ASV14141</v>
          </cell>
          <cell r="H6869" t="str">
            <v>g__unclassified_c__Bacilli</v>
          </cell>
          <cell r="I6869" t="str">
            <v>s__unclassified_c__Bacilli</v>
          </cell>
        </row>
        <row r="6870">
          <cell r="G6870" t="str">
            <v>ASV8967</v>
          </cell>
          <cell r="H6870" t="str">
            <v>g__unclassified_f__Lachnospiraceae</v>
          </cell>
          <cell r="I6870" t="str">
            <v>s__unclassified_f__Lachnospiraceae</v>
          </cell>
        </row>
        <row r="6871">
          <cell r="G6871" t="str">
            <v>ASV10563</v>
          </cell>
          <cell r="H6871" t="str">
            <v>g__Clostridium_sensu_stricto_1</v>
          </cell>
          <cell r="I6871" t="str">
            <v>s__unclassified_g__Clostridium_sensu_stricto_1</v>
          </cell>
        </row>
        <row r="6872">
          <cell r="G6872" t="str">
            <v>ASV20633</v>
          </cell>
          <cell r="H6872" t="str">
            <v>g__unclassified_f__Lachnospiraceae</v>
          </cell>
          <cell r="I6872" t="str">
            <v>s__unclassified_f__Lachnospiraceae</v>
          </cell>
        </row>
        <row r="6873">
          <cell r="G6873" t="str">
            <v>ASV12655</v>
          </cell>
          <cell r="H6873" t="str">
            <v>g__Clostridium_sensu_stricto_1</v>
          </cell>
          <cell r="I6873" t="str">
            <v>s__unclassified_g__Clostridium_sensu_stricto_1</v>
          </cell>
        </row>
        <row r="6874">
          <cell r="G6874" t="str">
            <v>ASV7667</v>
          </cell>
          <cell r="H6874" t="str">
            <v>g__unclassified_f__Lachnospiraceae</v>
          </cell>
          <cell r="I6874" t="str">
            <v>s__unclassified_f__Lachnospiraceae</v>
          </cell>
        </row>
        <row r="6875">
          <cell r="G6875" t="str">
            <v>ASV5776</v>
          </cell>
          <cell r="H6875" t="str">
            <v>g__norank_f__Erysipelotrichaceae</v>
          </cell>
          <cell r="I6875" t="str">
            <v>s__uncultured_bacterium_g__norank_f__Erysipelotrichaceae</v>
          </cell>
        </row>
        <row r="6876">
          <cell r="G6876" t="str">
            <v>ASV17921</v>
          </cell>
          <cell r="H6876" t="str">
            <v>g__unclassified_f__Anaerovoracaceae</v>
          </cell>
          <cell r="I6876" t="str">
            <v>s__unclassified_f__Anaerovoracaceae</v>
          </cell>
        </row>
        <row r="6877">
          <cell r="G6877" t="str">
            <v>ASV5778</v>
          </cell>
          <cell r="H6877" t="str">
            <v>g__unclassified_f__Lachnospiraceae</v>
          </cell>
          <cell r="I6877" t="str">
            <v>s__unclassified_f__Lachnospiraceae</v>
          </cell>
        </row>
        <row r="6878">
          <cell r="G6878" t="str">
            <v>ASV11402</v>
          </cell>
          <cell r="H6878" t="str">
            <v>g__unclassified_f__Lachnospiraceae</v>
          </cell>
          <cell r="I6878" t="str">
            <v>s__unclassified_f__Lachnospiraceae</v>
          </cell>
        </row>
        <row r="6879">
          <cell r="G6879" t="str">
            <v>ASV21588</v>
          </cell>
          <cell r="H6879" t="str">
            <v>g__unclassified_f__Lachnospiraceae</v>
          </cell>
          <cell r="I6879" t="str">
            <v>s__unclassified_f__Lachnospiraceae</v>
          </cell>
        </row>
        <row r="6880">
          <cell r="G6880" t="str">
            <v>ASV10000</v>
          </cell>
          <cell r="H6880" t="str">
            <v>g__norank_f__UCG-010</v>
          </cell>
          <cell r="I6880" t="str">
            <v>s__unclassified_g__norank_f__UCG-010</v>
          </cell>
        </row>
        <row r="6881">
          <cell r="G6881" t="str">
            <v>ASV17863</v>
          </cell>
          <cell r="H6881" t="str">
            <v>g__Ruminococcus</v>
          </cell>
          <cell r="I6881" t="str">
            <v>s__unclassified_g__Ruminococcus</v>
          </cell>
        </row>
        <row r="6882">
          <cell r="G6882" t="str">
            <v>ASV1628</v>
          </cell>
          <cell r="H6882" t="str">
            <v>g__Bacillus</v>
          </cell>
          <cell r="I6882" t="str">
            <v>s__Lactobacillus_vaginalis_g__Bacillus</v>
          </cell>
        </row>
        <row r="6883">
          <cell r="G6883" t="str">
            <v>ASV477</v>
          </cell>
          <cell r="H6883" t="str">
            <v>g__unclassified_k__norank_d__Bacteria</v>
          </cell>
          <cell r="I6883" t="str">
            <v>s__unclassified_k__norank_d__Bacteria</v>
          </cell>
        </row>
        <row r="6884">
          <cell r="G6884" t="str">
            <v>ASV2054</v>
          </cell>
          <cell r="H6884" t="str">
            <v>g__unclassified_f__Lachnospiraceae</v>
          </cell>
          <cell r="I6884" t="str">
            <v>s__unclassified_f__Lachnospiraceae</v>
          </cell>
        </row>
        <row r="6885">
          <cell r="G6885" t="str">
            <v>ASV8467</v>
          </cell>
          <cell r="H6885" t="str">
            <v>g__unclassified_f__Atopobiaceae</v>
          </cell>
          <cell r="I6885" t="str">
            <v>s__unclassified_f__Atopobiaceae</v>
          </cell>
        </row>
        <row r="6886">
          <cell r="G6886" t="str">
            <v>ASV3158</v>
          </cell>
          <cell r="H6886" t="str">
            <v>g__Lactobacillus</v>
          </cell>
          <cell r="I6886" t="str">
            <v>s__unclassified_g__Lactobacillus</v>
          </cell>
        </row>
        <row r="6887">
          <cell r="G6887" t="str">
            <v>ASV6650</v>
          </cell>
          <cell r="H6887" t="str">
            <v>g__unclassified_f__Lachnospiraceae</v>
          </cell>
          <cell r="I6887" t="str">
            <v>s__unclassified_f__Lachnospiraceae</v>
          </cell>
        </row>
        <row r="6888">
          <cell r="G6888" t="str">
            <v>ASV23158</v>
          </cell>
          <cell r="H6888" t="str">
            <v>g__unclassified_c__Clostridia</v>
          </cell>
          <cell r="I6888" t="str">
            <v>s__unclassified_c__Clostridia</v>
          </cell>
        </row>
        <row r="6889">
          <cell r="G6889" t="str">
            <v>ASV7338</v>
          </cell>
          <cell r="H6889" t="str">
            <v>g__Megasphaera</v>
          </cell>
          <cell r="I6889" t="str">
            <v>s__unclassified_g__Megasphaera</v>
          </cell>
        </row>
        <row r="6890">
          <cell r="G6890" t="str">
            <v>ASV11449</v>
          </cell>
          <cell r="H6890" t="str">
            <v>g__unclassified_c__Clostridia</v>
          </cell>
          <cell r="I6890" t="str">
            <v>s__unclassified_c__Clostridia</v>
          </cell>
        </row>
        <row r="6891">
          <cell r="G6891" t="str">
            <v>ASV10076</v>
          </cell>
          <cell r="H6891" t="str">
            <v>g__Subdoligranulum</v>
          </cell>
          <cell r="I6891" t="str">
            <v>s__uncultured_bacterium_g__Subdoligranulum</v>
          </cell>
        </row>
        <row r="6892">
          <cell r="G6892" t="str">
            <v>ASV15255</v>
          </cell>
          <cell r="H6892" t="str">
            <v>g__unclassified_f__Peptostreptococcaceae</v>
          </cell>
          <cell r="I6892" t="str">
            <v>s__unclassified_f__Peptostreptococcaceae</v>
          </cell>
        </row>
        <row r="6893">
          <cell r="G6893" t="str">
            <v>ASV10541</v>
          </cell>
          <cell r="H6893" t="str">
            <v>g__Lactobacillus</v>
          </cell>
          <cell r="I6893" t="str">
            <v>s__unclassified_g__Lactobacillus</v>
          </cell>
        </row>
        <row r="6894">
          <cell r="G6894" t="str">
            <v>ASV8472</v>
          </cell>
          <cell r="H6894" t="str">
            <v>g__Phascolarctobacterium</v>
          </cell>
          <cell r="I6894" t="str">
            <v>s__uncultured_bacterium_g__Phascolarctobacterium</v>
          </cell>
        </row>
        <row r="6895">
          <cell r="G6895" t="str">
            <v>ASV23134</v>
          </cell>
          <cell r="H6895" t="str">
            <v>g__Eubacterium_siraeum_group</v>
          </cell>
          <cell r="I6895" t="str">
            <v>s__unclassified_g__Eubacterium_siraeum_group</v>
          </cell>
        </row>
        <row r="6896">
          <cell r="G6896" t="str">
            <v>ASV2035</v>
          </cell>
          <cell r="H6896" t="str">
            <v>g__unclassified_p__Firmicutes</v>
          </cell>
          <cell r="I6896" t="str">
            <v>s__unclassified_p__Firmicutes</v>
          </cell>
        </row>
        <row r="6897">
          <cell r="G6897" t="str">
            <v>ASV9284</v>
          </cell>
          <cell r="H6897" t="str">
            <v>g__Intestinimonas</v>
          </cell>
          <cell r="I6897" t="str">
            <v>s__unclassified_g__Intestinimonas</v>
          </cell>
        </row>
        <row r="6898">
          <cell r="G6898" t="str">
            <v>ASV4718</v>
          </cell>
          <cell r="H6898" t="str">
            <v>g__Family_XIII_AD3011_group</v>
          </cell>
          <cell r="I6898" t="str">
            <v>s__unclassified_g__Family_XIII_AD3011_group</v>
          </cell>
        </row>
        <row r="6899">
          <cell r="G6899" t="str">
            <v>ASV19362</v>
          </cell>
          <cell r="H6899" t="str">
            <v>g__Eubacterium_oxidoreducens_group</v>
          </cell>
          <cell r="I6899" t="str">
            <v>s__unclassified_g__Eubacterium_oxidoreducens_group</v>
          </cell>
        </row>
        <row r="6900">
          <cell r="G6900" t="str">
            <v>ASV13337</v>
          </cell>
          <cell r="H6900" t="str">
            <v>g__Monoglobus</v>
          </cell>
          <cell r="I6900" t="str">
            <v>s__unclassified_g__Monoglobus</v>
          </cell>
        </row>
        <row r="6901">
          <cell r="G6901" t="str">
            <v>ASV10172</v>
          </cell>
          <cell r="H6901" t="str">
            <v>g__Bacteroides</v>
          </cell>
          <cell r="I6901" t="str">
            <v>s__unclassified_g__Bacteroides</v>
          </cell>
        </row>
        <row r="6902">
          <cell r="G6902" t="str">
            <v>ASV23128</v>
          </cell>
          <cell r="H6902" t="str">
            <v>g__norank_f__Erysipelotrichaceae</v>
          </cell>
          <cell r="I6902" t="str">
            <v>s__uncultured_bacterium_g__norank_f__Erysipelotrichaceae</v>
          </cell>
        </row>
        <row r="6903">
          <cell r="G6903" t="str">
            <v>ASV22018</v>
          </cell>
          <cell r="H6903" t="str">
            <v>g__Colidextribacter</v>
          </cell>
          <cell r="I6903" t="str">
            <v>s__uncultured_bacterium_g__Colidextribacter</v>
          </cell>
        </row>
        <row r="6904">
          <cell r="G6904" t="str">
            <v>ASV7660</v>
          </cell>
          <cell r="H6904" t="str">
            <v>g__Bifidobacterium</v>
          </cell>
          <cell r="I6904" t="str">
            <v>s__unclassified_g__Bifidobacterium</v>
          </cell>
        </row>
        <row r="6905">
          <cell r="G6905" t="str">
            <v>ASV10546</v>
          </cell>
          <cell r="H6905" t="str">
            <v>g__unclassified_f__Ruminococcaceae</v>
          </cell>
          <cell r="I6905" t="str">
            <v>s__unclassified_f__Ruminococcaceae</v>
          </cell>
        </row>
        <row r="6906">
          <cell r="G6906" t="str">
            <v>ASV20687</v>
          </cell>
          <cell r="H6906" t="str">
            <v>g__unclassified_f__Christensenellaceae</v>
          </cell>
          <cell r="I6906" t="str">
            <v>s__unclassified_f__Christensenellaceae</v>
          </cell>
        </row>
        <row r="6907">
          <cell r="G6907" t="str">
            <v>ASV17664</v>
          </cell>
          <cell r="H6907" t="str">
            <v>g__Lactobacillus</v>
          </cell>
          <cell r="I6907" t="str">
            <v>s__unclassified_g__Lactobacillus</v>
          </cell>
        </row>
        <row r="6908">
          <cell r="G6908" t="str">
            <v>ASV17351</v>
          </cell>
          <cell r="H6908" t="str">
            <v>g__Veillonella</v>
          </cell>
          <cell r="I6908" t="str">
            <v>s__unclassified_g__Veillonella</v>
          </cell>
        </row>
        <row r="6909">
          <cell r="G6909" t="str">
            <v>ASV18830</v>
          </cell>
          <cell r="H6909" t="str">
            <v>g__Veillonella</v>
          </cell>
          <cell r="I6909" t="str">
            <v>s__unclassified_g__Veillonella</v>
          </cell>
        </row>
        <row r="6910">
          <cell r="G6910" t="str">
            <v>ASV20636</v>
          </cell>
          <cell r="H6910" t="str">
            <v>g__unclassified_f__Lachnospiraceae</v>
          </cell>
          <cell r="I6910" t="str">
            <v>s__unclassified_f__Lachnospiraceae</v>
          </cell>
        </row>
        <row r="6911">
          <cell r="G6911" t="str">
            <v>ASV15949</v>
          </cell>
          <cell r="H6911" t="str">
            <v>g__unclassified_f__Lachnospiraceae</v>
          </cell>
          <cell r="I6911" t="str">
            <v>s__unclassified_f__Lachnospiraceae</v>
          </cell>
        </row>
        <row r="6912">
          <cell r="G6912" t="str">
            <v>ASV548</v>
          </cell>
          <cell r="H6912" t="str">
            <v>g__unclassified_c__Clostridia</v>
          </cell>
          <cell r="I6912" t="str">
            <v>s__unclassified_c__Clostridia</v>
          </cell>
        </row>
        <row r="6913">
          <cell r="G6913" t="str">
            <v>ASV2046</v>
          </cell>
          <cell r="H6913" t="str">
            <v>g__unclassified_f__Peptostreptococcaceae</v>
          </cell>
          <cell r="I6913" t="str">
            <v>s__unclassified_f__Peptostreptococcaceae</v>
          </cell>
        </row>
        <row r="6914">
          <cell r="G6914" t="str">
            <v>ASV12652</v>
          </cell>
          <cell r="H6914" t="str">
            <v>g__unclassified_f__Lachnospiraceae</v>
          </cell>
          <cell r="I6914" t="str">
            <v>s__unclassified_f__Lachnospiraceae</v>
          </cell>
        </row>
        <row r="6915">
          <cell r="G6915" t="str">
            <v>ASV17662</v>
          </cell>
          <cell r="H6915" t="str">
            <v>g__unclassified_f__Peptostreptococcaceae</v>
          </cell>
          <cell r="I6915" t="str">
            <v>s__unclassified_f__Peptostreptococcaceae</v>
          </cell>
        </row>
        <row r="6916">
          <cell r="G6916" t="str">
            <v>ASV16346</v>
          </cell>
          <cell r="H6916" t="str">
            <v>g__NK4A214_group</v>
          </cell>
          <cell r="I6916" t="str">
            <v>s__unclassified_g__NK4A214_group</v>
          </cell>
        </row>
        <row r="6917">
          <cell r="G6917" t="str">
            <v>ASV10559</v>
          </cell>
          <cell r="H6917" t="str">
            <v>g__unclassified_f__Lachnospiraceae</v>
          </cell>
          <cell r="I6917" t="str">
            <v>s__unclassified_f__Lachnospiraceae</v>
          </cell>
        </row>
        <row r="6918">
          <cell r="G6918" t="str">
            <v>ASV495</v>
          </cell>
          <cell r="H6918" t="str">
            <v>g__Subdoligranulum</v>
          </cell>
          <cell r="I6918" t="str">
            <v>s__uncultured_bacterium_g__Subdoligranulum</v>
          </cell>
        </row>
        <row r="6919">
          <cell r="G6919" t="str">
            <v>ASV23120</v>
          </cell>
          <cell r="H6919" t="str">
            <v>g__unclassified_o__Oscillospirales</v>
          </cell>
          <cell r="I6919" t="str">
            <v>s__unclassified_o__Oscillospirales</v>
          </cell>
        </row>
        <row r="6920">
          <cell r="G6920" t="str">
            <v>ASV2083</v>
          </cell>
          <cell r="H6920" t="str">
            <v>g__Lactobacillus</v>
          </cell>
          <cell r="I6920" t="str">
            <v>s__unclassified_g__Lactobacillus</v>
          </cell>
        </row>
        <row r="6921">
          <cell r="G6921" t="str">
            <v>ASV4721</v>
          </cell>
          <cell r="H6921" t="str">
            <v>g__unclassified_p__Firmicutes</v>
          </cell>
          <cell r="I6921" t="str">
            <v>s__unclassified_p__Firmicutes</v>
          </cell>
        </row>
        <row r="6922">
          <cell r="G6922" t="str">
            <v>ASV21427</v>
          </cell>
          <cell r="H6922" t="str">
            <v>g__unclassified_k__norank_d__Bacteria</v>
          </cell>
          <cell r="I6922" t="str">
            <v>s__unclassified_k__norank_d__Bacteria</v>
          </cell>
        </row>
        <row r="6923">
          <cell r="G6923" t="str">
            <v>ASV20704</v>
          </cell>
          <cell r="H6923" t="str">
            <v>g__unclassified_o__Oscillospirales</v>
          </cell>
          <cell r="I6923" t="str">
            <v>s__unclassified_o__Oscillospirales</v>
          </cell>
        </row>
        <row r="6924">
          <cell r="G6924" t="str">
            <v>ASV14083</v>
          </cell>
          <cell r="H6924" t="str">
            <v>g__unclassified_o__Oscillospirales</v>
          </cell>
          <cell r="I6924" t="str">
            <v>s__unclassified_o__Oscillospirales</v>
          </cell>
        </row>
        <row r="6925">
          <cell r="G6925" t="str">
            <v>ASV21202</v>
          </cell>
          <cell r="H6925" t="str">
            <v>g__unclassified_f__Lachnospiraceae</v>
          </cell>
          <cell r="I6925" t="str">
            <v>s__unclassified_f__Lachnospiraceae</v>
          </cell>
        </row>
        <row r="6926">
          <cell r="G6926" t="str">
            <v>ASV16329</v>
          </cell>
          <cell r="H6926" t="str">
            <v>g__Rikenellaceae_RC9_gut_group</v>
          </cell>
          <cell r="I6926" t="str">
            <v>s__uncultured_bacterium_g__Rikenellaceae_RC9_gut_group</v>
          </cell>
        </row>
        <row r="6927">
          <cell r="G6927" t="str">
            <v>ASV5729</v>
          </cell>
          <cell r="H6927" t="str">
            <v>g__unclassified_c__Clostridia</v>
          </cell>
          <cell r="I6927" t="str">
            <v>s__unclassified_c__Clostridia</v>
          </cell>
        </row>
        <row r="6928">
          <cell r="G6928" t="str">
            <v>ASV15270</v>
          </cell>
          <cell r="H6928" t="str">
            <v>g__norank_f__Eubacterium_coprostanoligenes_group</v>
          </cell>
          <cell r="I6928" t="str">
            <v>s__unclassified_g__norank_f__Eubacterium_coprostanoligenes_group</v>
          </cell>
        </row>
        <row r="6929">
          <cell r="G6929" t="str">
            <v>ASV24126</v>
          </cell>
          <cell r="H6929" t="str">
            <v>g__Lactobacillus</v>
          </cell>
          <cell r="I6929" t="str">
            <v>s__Lactobacillus_sp._KC38</v>
          </cell>
        </row>
        <row r="6930">
          <cell r="G6930" t="str">
            <v>ASV18774</v>
          </cell>
          <cell r="H6930" t="str">
            <v>g__Lactobacillus</v>
          </cell>
          <cell r="I6930" t="str">
            <v>s__unclassified_g__Lactobacillus</v>
          </cell>
        </row>
        <row r="6931">
          <cell r="G6931" t="str">
            <v>ASV17928</v>
          </cell>
          <cell r="H6931" t="str">
            <v>g__unclassified_f__Lachnospiraceae</v>
          </cell>
          <cell r="I6931" t="str">
            <v>s__unclassified_f__Lachnospiraceae</v>
          </cell>
        </row>
        <row r="6932">
          <cell r="G6932" t="str">
            <v>ASV8458</v>
          </cell>
          <cell r="H6932" t="str">
            <v>g__Prevotella</v>
          </cell>
          <cell r="I6932" t="str">
            <v>s__unclassified_g__Prevotella</v>
          </cell>
        </row>
        <row r="6933">
          <cell r="G6933" t="str">
            <v>ASV16362</v>
          </cell>
          <cell r="H6933" t="str">
            <v>g__Sphaerochaeta</v>
          </cell>
          <cell r="I6933" t="str">
            <v>s__uncultured_bacterium_g__Sphaerochaeta</v>
          </cell>
        </row>
        <row r="6934">
          <cell r="G6934" t="str">
            <v>ASV24133</v>
          </cell>
          <cell r="H6934" t="str">
            <v>g__Lactobacillus</v>
          </cell>
          <cell r="I6934" t="str">
            <v>s__unclassified_g__Lactobacillus</v>
          </cell>
        </row>
        <row r="6935">
          <cell r="G6935" t="str">
            <v>ASV21999</v>
          </cell>
          <cell r="H6935" t="str">
            <v>g__unclassified_k__norank_d__Bacteria</v>
          </cell>
          <cell r="I6935" t="str">
            <v>s__unclassified_k__norank_d__Bacteria</v>
          </cell>
        </row>
        <row r="6936">
          <cell r="G6936" t="str">
            <v>ASV7676</v>
          </cell>
          <cell r="H6936" t="str">
            <v>g__unclassified_f__Peptostreptococcaceae</v>
          </cell>
          <cell r="I6936" t="str">
            <v>s__unclassified_f__Peptostreptococcaceae</v>
          </cell>
        </row>
        <row r="6937">
          <cell r="G6937" t="str">
            <v>ASV2051</v>
          </cell>
          <cell r="H6937" t="str">
            <v>g__Enterococcus</v>
          </cell>
          <cell r="I6937" t="str">
            <v>s__unclassified_g__Enterococcus</v>
          </cell>
        </row>
        <row r="6938">
          <cell r="G6938" t="str">
            <v>ASV5768</v>
          </cell>
          <cell r="H6938" t="str">
            <v>g__Escherichia-Shigella</v>
          </cell>
          <cell r="I6938" t="str">
            <v>s__unclassified_g__Escherichia-Shigella</v>
          </cell>
        </row>
        <row r="6939">
          <cell r="G6939" t="str">
            <v>ASV11404</v>
          </cell>
          <cell r="H6939" t="str">
            <v>g__Bacillus</v>
          </cell>
          <cell r="I6939" t="str">
            <v>s__Lactobacillus_vaginalis_g__Bacillus</v>
          </cell>
        </row>
        <row r="6940">
          <cell r="G6940" t="str">
            <v>ASV19417</v>
          </cell>
          <cell r="H6940" t="str">
            <v>g__norank_f__Muribaculaceae</v>
          </cell>
          <cell r="I6940" t="str">
            <v>s__uncultured_bacterium_g__norank_f__Muribaculaceae</v>
          </cell>
        </row>
        <row r="6941">
          <cell r="G6941" t="str">
            <v>ASV16356</v>
          </cell>
          <cell r="H6941" t="str">
            <v>g__Bacteroides</v>
          </cell>
          <cell r="I6941" t="str">
            <v>s__unclassified_g__Bacteroides</v>
          </cell>
        </row>
        <row r="6942">
          <cell r="G6942" t="str">
            <v>ASV6648</v>
          </cell>
          <cell r="H6942" t="str">
            <v>g__Enterococcus</v>
          </cell>
          <cell r="I6942" t="str">
            <v>s__unclassified_g__Enterococcus</v>
          </cell>
        </row>
        <row r="6943">
          <cell r="G6943" t="str">
            <v>ASV20434</v>
          </cell>
          <cell r="H6943" t="str">
            <v>g__unclassified_f__Comamonadaceae</v>
          </cell>
          <cell r="I6943" t="str">
            <v>s__unclassified_f__Comamonadaceae</v>
          </cell>
        </row>
        <row r="6944">
          <cell r="G6944" t="str">
            <v>ASV22084</v>
          </cell>
          <cell r="H6944" t="str">
            <v>g__unclassified_f__Oscillospiraceae</v>
          </cell>
          <cell r="I6944" t="str">
            <v>s__unclassified_f__Oscillospiraceae</v>
          </cell>
        </row>
        <row r="6945">
          <cell r="G6945" t="str">
            <v>ASV13327</v>
          </cell>
          <cell r="H6945" t="str">
            <v>g__unclassified_c__Clostridia</v>
          </cell>
          <cell r="I6945" t="str">
            <v>s__unclassified_c__Clostridia</v>
          </cell>
        </row>
        <row r="6946">
          <cell r="G6946" t="str">
            <v>ASV10536</v>
          </cell>
          <cell r="H6946" t="str">
            <v>g__norank_f__norank_o__Clostridia_UCG-014</v>
          </cell>
          <cell r="I6946" t="str">
            <v>s__unclassified_g__norank_f__norank_o__Clostridia_UCG-014</v>
          </cell>
        </row>
        <row r="6947">
          <cell r="G6947" t="str">
            <v>ASV8465</v>
          </cell>
          <cell r="H6947" t="str">
            <v>g__unclassified_p__Firmicutes</v>
          </cell>
          <cell r="I6947" t="str">
            <v>s__unclassified_p__Firmicutes</v>
          </cell>
        </row>
        <row r="6948">
          <cell r="G6948" t="str">
            <v>ASV16854</v>
          </cell>
          <cell r="H6948" t="str">
            <v>g__Lactobacillus</v>
          </cell>
          <cell r="I6948" t="str">
            <v>s__unclassified_g__Lactobacillus</v>
          </cell>
        </row>
        <row r="6949">
          <cell r="G6949" t="str">
            <v>ASV4728</v>
          </cell>
          <cell r="H6949" t="str">
            <v>g__unclassified_f__Oscillospiraceae</v>
          </cell>
          <cell r="I6949" t="str">
            <v>s__unclassified_f__Oscillospiraceae</v>
          </cell>
        </row>
        <row r="6950">
          <cell r="G6950" t="str">
            <v>ASV2076</v>
          </cell>
          <cell r="H6950" t="str">
            <v>g__norank_f__Eubacterium_coprostanoligenes_group</v>
          </cell>
          <cell r="I6950" t="str">
            <v>s__uncultured_bacterium_g__norank_f__Eubacterium_coprostanoligenes_group</v>
          </cell>
        </row>
        <row r="6951">
          <cell r="G6951" t="str">
            <v>ASV15932</v>
          </cell>
          <cell r="H6951" t="str">
            <v>g__Colidextribacter</v>
          </cell>
          <cell r="I6951" t="str">
            <v>s__uncultured_bacterium_g__Colidextribacter</v>
          </cell>
        </row>
        <row r="6952">
          <cell r="G6952" t="str">
            <v>ASV6632</v>
          </cell>
          <cell r="H6952" t="str">
            <v>g__Peptococcus</v>
          </cell>
          <cell r="I6952" t="str">
            <v>s__uncultured_bacterium_g__Peptococcus</v>
          </cell>
        </row>
        <row r="6953">
          <cell r="G6953" t="str">
            <v>ASV7048</v>
          </cell>
          <cell r="H6953" t="str">
            <v>g__Streptococcus</v>
          </cell>
          <cell r="I6953" t="str">
            <v>s__unclassified_g__Streptococcus</v>
          </cell>
        </row>
        <row r="6954">
          <cell r="G6954" t="str">
            <v>ASV19364</v>
          </cell>
          <cell r="H6954" t="str">
            <v>g__norank_f__Eubacterium_coprostanoligenes_group</v>
          </cell>
          <cell r="I6954" t="str">
            <v>s__uncultured_bacterium_g__norank_f__Eubacterium_coprostanoligenes_group</v>
          </cell>
        </row>
        <row r="6955">
          <cell r="G6955" t="str">
            <v>ASV17918</v>
          </cell>
          <cell r="H6955" t="str">
            <v>g__Eubacterium_siraeum_group</v>
          </cell>
          <cell r="I6955" t="str">
            <v>s__unclassified_g__Eubacterium_siraeum_group</v>
          </cell>
        </row>
        <row r="6956">
          <cell r="G6956" t="str">
            <v>ASV12628</v>
          </cell>
          <cell r="H6956" t="str">
            <v>g__Ruminococcus</v>
          </cell>
          <cell r="I6956" t="str">
            <v>s__unclassified_g__Ruminococcus</v>
          </cell>
        </row>
        <row r="6957">
          <cell r="G6957" t="str">
            <v>ASV8790</v>
          </cell>
          <cell r="H6957" t="str">
            <v>g__norank_f__Eubacterium_coprostanoligenes_group</v>
          </cell>
          <cell r="I6957" t="str">
            <v>s__Eubacterium_coprostanoligenes</v>
          </cell>
        </row>
        <row r="6958">
          <cell r="G6958" t="str">
            <v>ASV9290</v>
          </cell>
          <cell r="H6958" t="str">
            <v>g__NK4A214_group</v>
          </cell>
          <cell r="I6958" t="str">
            <v>s__unclassified_g__NK4A214_group</v>
          </cell>
        </row>
        <row r="6959">
          <cell r="G6959" t="str">
            <v>ASV7280</v>
          </cell>
          <cell r="H6959" t="str">
            <v>g__Parabacteroides</v>
          </cell>
          <cell r="I6959" t="str">
            <v>s__Porphyromonadaceae_bacterium_DJF_B175</v>
          </cell>
        </row>
        <row r="6960">
          <cell r="G6960" t="str">
            <v>ASV22025</v>
          </cell>
          <cell r="H6960" t="str">
            <v>g__unclassified_c__Clostridia</v>
          </cell>
          <cell r="I6960" t="str">
            <v>s__unclassified_c__Clostridia</v>
          </cell>
        </row>
        <row r="6961">
          <cell r="G6961" t="str">
            <v>ASV9278</v>
          </cell>
          <cell r="H6961" t="str">
            <v>g__unclassified_f__Lachnospiraceae</v>
          </cell>
          <cell r="I6961" t="str">
            <v>s__unclassified_f__Lachnospiraceae</v>
          </cell>
        </row>
        <row r="6962">
          <cell r="G6962" t="str">
            <v>ASV569</v>
          </cell>
          <cell r="H6962" t="str">
            <v>g__unclassified_k__norank_d__Bacteria</v>
          </cell>
          <cell r="I6962" t="str">
            <v>s__unclassified_k__norank_d__Bacteria</v>
          </cell>
        </row>
        <row r="6963">
          <cell r="G6963" t="str">
            <v>ASV550</v>
          </cell>
          <cell r="H6963" t="str">
            <v>g__Faecalibacterium</v>
          </cell>
          <cell r="I6963" t="str">
            <v>s__unclassified_g__Faecalibacterium</v>
          </cell>
        </row>
        <row r="6964">
          <cell r="G6964" t="str">
            <v>ASV11372</v>
          </cell>
          <cell r="H6964" t="str">
            <v>g__unclassified_f__Lachnospiraceae</v>
          </cell>
          <cell r="I6964" t="str">
            <v>s__unclassified_f__Lachnospiraceae</v>
          </cell>
        </row>
        <row r="6965">
          <cell r="G6965" t="str">
            <v>ASV18553</v>
          </cell>
          <cell r="H6965" t="str">
            <v>g__unclassified_f__Veillonellaceae</v>
          </cell>
          <cell r="I6965" t="str">
            <v>s__unclassified_f__Veillonellaceae</v>
          </cell>
        </row>
        <row r="6966">
          <cell r="G6966" t="str">
            <v>ASV3929</v>
          </cell>
          <cell r="H6966" t="str">
            <v>g__unclassified_k__norank_d__Bacteria</v>
          </cell>
          <cell r="I6966" t="str">
            <v>s__unclassified_k__norank_d__Bacteria</v>
          </cell>
        </row>
        <row r="6967">
          <cell r="G6967" t="str">
            <v>ASV2050</v>
          </cell>
          <cell r="H6967" t="str">
            <v>g__unclassified_c__Clostridia</v>
          </cell>
          <cell r="I6967" t="str">
            <v>s__unclassified_c__Clostridia</v>
          </cell>
        </row>
        <row r="6968">
          <cell r="G6968" t="str">
            <v>ASV14082</v>
          </cell>
          <cell r="H6968" t="str">
            <v>g__unclassified_o__Lactobacillales</v>
          </cell>
          <cell r="I6968" t="str">
            <v>s__unclassified_o__Lactobacillales</v>
          </cell>
        </row>
        <row r="6969">
          <cell r="G6969" t="str">
            <v>ASV11442</v>
          </cell>
          <cell r="H6969" t="str">
            <v>g__Subdoligranulum</v>
          </cell>
          <cell r="I6969" t="str">
            <v>s__uncultured_bacterium_g__Subdoligranulum</v>
          </cell>
        </row>
        <row r="6970">
          <cell r="G6970" t="str">
            <v>ASV16857</v>
          </cell>
          <cell r="H6970" t="str">
            <v>g__norank_f__Erysipelotrichaceae</v>
          </cell>
          <cell r="I6970" t="str">
            <v>s__uncultured_bacterium_g__norank_f__Erysipelotrichaceae</v>
          </cell>
        </row>
        <row r="6971">
          <cell r="G6971" t="str">
            <v>ASV23939</v>
          </cell>
          <cell r="H6971" t="str">
            <v>g__unclassified_c__Bacilli</v>
          </cell>
          <cell r="I6971" t="str">
            <v>s__unclassified_c__Bacilli</v>
          </cell>
        </row>
        <row r="6972">
          <cell r="G6972" t="str">
            <v>ASV11386</v>
          </cell>
          <cell r="H6972" t="str">
            <v>g__unclassified_f__Oscillospiraceae</v>
          </cell>
          <cell r="I6972" t="str">
            <v>s__unclassified_f__Oscillospiraceae</v>
          </cell>
        </row>
        <row r="6973">
          <cell r="G6973" t="str">
            <v>ASV24129</v>
          </cell>
          <cell r="H6973" t="str">
            <v>g__unclassified_p__Firmicutes</v>
          </cell>
          <cell r="I6973" t="str">
            <v>s__unclassified_p__Firmicutes</v>
          </cell>
        </row>
        <row r="6974">
          <cell r="G6974" t="str">
            <v>ASV19376</v>
          </cell>
          <cell r="H6974" t="str">
            <v>g__unclassified_f__Ruminococcaceae</v>
          </cell>
          <cell r="I6974" t="str">
            <v>s__unclassified_f__Ruminococcaceae</v>
          </cell>
        </row>
        <row r="6975">
          <cell r="G6975" t="str">
            <v>ASV10301</v>
          </cell>
          <cell r="H6975" t="str">
            <v>g__unclassified_k__norank_d__Bacteria</v>
          </cell>
          <cell r="I6975" t="str">
            <v>s__unclassified_k__norank_d__Bacteria</v>
          </cell>
        </row>
        <row r="6976">
          <cell r="G6976" t="str">
            <v>ASV21428</v>
          </cell>
          <cell r="H6976" t="str">
            <v>g__Megasphaera</v>
          </cell>
          <cell r="I6976" t="str">
            <v>s__unclassified_g__Megasphaera</v>
          </cell>
        </row>
        <row r="6977">
          <cell r="G6977" t="str">
            <v>ASV18546</v>
          </cell>
          <cell r="H6977" t="str">
            <v>g__unclassified_f__Lachnospiraceae</v>
          </cell>
          <cell r="I6977" t="str">
            <v>s__unclassified_f__Lachnospiraceae</v>
          </cell>
        </row>
        <row r="6978">
          <cell r="G6978" t="str">
            <v>ASV4680</v>
          </cell>
          <cell r="H6978" t="str">
            <v>g__unclassified_f__Lachnospiraceae</v>
          </cell>
          <cell r="I6978" t="str">
            <v>s__unclassified_f__Lachnospiraceae</v>
          </cell>
        </row>
        <row r="6979">
          <cell r="G6979" t="str">
            <v>ASV9270</v>
          </cell>
          <cell r="H6979" t="str">
            <v>g__unclassified_f__Ruminococcaceae</v>
          </cell>
          <cell r="I6979" t="str">
            <v>s__unclassified_f__Ruminococcaceae</v>
          </cell>
        </row>
        <row r="6980">
          <cell r="G6980" t="str">
            <v>ASV8466</v>
          </cell>
          <cell r="H6980" t="str">
            <v>g__Escherichia-Shigella</v>
          </cell>
          <cell r="I6980" t="str">
            <v>s__unclassified_g__Escherichia-Shigella</v>
          </cell>
        </row>
        <row r="6981">
          <cell r="G6981" t="str">
            <v>ASV21190</v>
          </cell>
          <cell r="H6981" t="str">
            <v>g__Mogibacterium</v>
          </cell>
          <cell r="I6981" t="str">
            <v>s__uncultured_bacterium_g__Mogibacterium</v>
          </cell>
        </row>
        <row r="6982">
          <cell r="G6982" t="str">
            <v>ASV21188</v>
          </cell>
          <cell r="H6982" t="str">
            <v>g__Lactobacillus</v>
          </cell>
          <cell r="I6982" t="str">
            <v>s__unclassified_g__Lactobacillus</v>
          </cell>
        </row>
        <row r="6983">
          <cell r="G6983" t="str">
            <v>ASV10530</v>
          </cell>
          <cell r="H6983" t="str">
            <v>g__Lactobacillus</v>
          </cell>
          <cell r="I6983" t="str">
            <v>s__unclassified_g__Lactobacillus</v>
          </cell>
        </row>
        <row r="6984">
          <cell r="G6984" t="str">
            <v>ASV8627</v>
          </cell>
          <cell r="H6984" t="str">
            <v>g__unclassified_f__Neisseriaceae</v>
          </cell>
          <cell r="I6984" t="str">
            <v>s__unclassified_f__Neisseriaceae</v>
          </cell>
        </row>
        <row r="6985">
          <cell r="G6985" t="str">
            <v>ASV9289</v>
          </cell>
          <cell r="H6985" t="str">
            <v>g__Eubacterium_oxidoreducens_group</v>
          </cell>
          <cell r="I6985" t="str">
            <v>s__uncultured_bacterium_g__Eubacterium_oxidoreducens_group</v>
          </cell>
        </row>
        <row r="6986">
          <cell r="G6986" t="str">
            <v>ASV13700</v>
          </cell>
          <cell r="H6986" t="str">
            <v>g__Megasphaera</v>
          </cell>
          <cell r="I6986" t="str">
            <v>s__unclassified_g__Megasphaera</v>
          </cell>
        </row>
        <row r="6987">
          <cell r="G6987" t="str">
            <v>ASV15297</v>
          </cell>
          <cell r="H6987" t="str">
            <v>g__unclassified_c__Clostridia</v>
          </cell>
          <cell r="I6987" t="str">
            <v>s__unclassified_c__Clostridia</v>
          </cell>
        </row>
        <row r="6988">
          <cell r="G6988" t="str">
            <v>ASV6629</v>
          </cell>
          <cell r="H6988" t="str">
            <v>g__unclassified_f__Lachnospiraceae</v>
          </cell>
          <cell r="I6988" t="str">
            <v>s__unclassified_f__Lachnospiraceae</v>
          </cell>
        </row>
        <row r="6989">
          <cell r="G6989" t="str">
            <v>ASV5751</v>
          </cell>
          <cell r="H6989" t="str">
            <v>g__unclassified_o__Oscillospirales</v>
          </cell>
          <cell r="I6989" t="str">
            <v>s__unclassified_o__Oscillospirales</v>
          </cell>
        </row>
        <row r="6990">
          <cell r="G6990" t="str">
            <v>ASV21996</v>
          </cell>
          <cell r="H6990" t="str">
            <v>g__unclassified_c__Clostridia</v>
          </cell>
          <cell r="I6990" t="str">
            <v>s__unclassified_c__Clostridia</v>
          </cell>
        </row>
        <row r="6991">
          <cell r="G6991" t="str">
            <v>ASV11373</v>
          </cell>
          <cell r="H6991" t="str">
            <v>g__Christensenellaceae_R-7_group</v>
          </cell>
          <cell r="I6991" t="str">
            <v>s__unclassified_g__Christensenellaceae_R-7_group</v>
          </cell>
        </row>
        <row r="6992">
          <cell r="G6992" t="str">
            <v>ASV20684</v>
          </cell>
          <cell r="H6992" t="str">
            <v>g__unclassified_p__Firmicutes</v>
          </cell>
          <cell r="I6992" t="str">
            <v>s__unclassified_p__Firmicutes</v>
          </cell>
        </row>
        <row r="6993">
          <cell r="G6993" t="str">
            <v>ASV22087</v>
          </cell>
          <cell r="H6993" t="str">
            <v>g__unclassified_f__Peptostreptococcaceae</v>
          </cell>
          <cell r="I6993" t="str">
            <v>s__unclassified_f__Peptostreptococcaceae</v>
          </cell>
        </row>
        <row r="6994">
          <cell r="G6994" t="str">
            <v>ASV5761</v>
          </cell>
          <cell r="H6994" t="str">
            <v>g__unclassified_f__Lachnospiraceae</v>
          </cell>
          <cell r="I6994" t="str">
            <v>s__unclassified_f__Lachnospiraceae</v>
          </cell>
        </row>
        <row r="6995">
          <cell r="G6995" t="str">
            <v>ASV4690</v>
          </cell>
          <cell r="H6995" t="str">
            <v>g__UCG-002</v>
          </cell>
          <cell r="I6995" t="str">
            <v>s__uncultured_bacterium_g__UCG-002</v>
          </cell>
        </row>
        <row r="6996">
          <cell r="G6996" t="str">
            <v>ASV11401</v>
          </cell>
          <cell r="H6996" t="str">
            <v>g__Prevotellaceae_NK3B31_group</v>
          </cell>
          <cell r="I6996" t="str">
            <v>s__unclassified_g__Prevotellaceae_NK3B31_group</v>
          </cell>
        </row>
        <row r="6997">
          <cell r="G6997" t="str">
            <v>ASV4699</v>
          </cell>
          <cell r="H6997" t="str">
            <v>g__unclassified_c__Clostridia</v>
          </cell>
          <cell r="I6997" t="str">
            <v>s__unclassified_c__Clostridia</v>
          </cell>
        </row>
        <row r="6998">
          <cell r="G6998" t="str">
            <v>ASV5786</v>
          </cell>
          <cell r="H6998" t="str">
            <v>g__Escherichia-Shigella</v>
          </cell>
          <cell r="I6998" t="str">
            <v>s__unclassified_g__Escherichia-Shigella</v>
          </cell>
        </row>
        <row r="6999">
          <cell r="G6999" t="str">
            <v>ASV15284</v>
          </cell>
          <cell r="H6999" t="str">
            <v>g__Lactobacillus</v>
          </cell>
          <cell r="I6999" t="str">
            <v>s__unclassified_g__Lactobacillus</v>
          </cell>
        </row>
        <row r="7000">
          <cell r="G7000" t="str">
            <v>ASV17663</v>
          </cell>
          <cell r="H7000" t="str">
            <v>g__Veillonella</v>
          </cell>
          <cell r="I7000" t="str">
            <v>s__unclassified_g__Veillonella</v>
          </cell>
        </row>
        <row r="7001">
          <cell r="G7001" t="str">
            <v>ASV16849</v>
          </cell>
          <cell r="H7001" t="str">
            <v>g__unclassified_f__Prevotellaceae</v>
          </cell>
          <cell r="I7001" t="str">
            <v>s__unclassified_f__Prevotellaceae</v>
          </cell>
        </row>
        <row r="7002">
          <cell r="G7002" t="str">
            <v>ASV5770</v>
          </cell>
          <cell r="H7002" t="str">
            <v>g__Christensenellaceae_R-7_group</v>
          </cell>
          <cell r="I7002" t="str">
            <v>s__unclassified_g__Christensenellaceae_R-7_group</v>
          </cell>
        </row>
        <row r="7003">
          <cell r="G7003" t="str">
            <v>ASV7612</v>
          </cell>
          <cell r="H7003" t="str">
            <v>g__unclassified_c__Clostridia</v>
          </cell>
          <cell r="I7003" t="str">
            <v>s__unclassified_c__Clostridia</v>
          </cell>
        </row>
        <row r="7004">
          <cell r="G7004" t="str">
            <v>ASV19414</v>
          </cell>
          <cell r="H7004" t="str">
            <v>g__Marvinbryantia</v>
          </cell>
          <cell r="I7004" t="str">
            <v>s__unclassified_g__Marvinbryantia</v>
          </cell>
        </row>
        <row r="7005">
          <cell r="G7005" t="str">
            <v>ASV4724</v>
          </cell>
          <cell r="H7005" t="str">
            <v>g__Candidatus_Soleaferrea</v>
          </cell>
          <cell r="I7005" t="str">
            <v>s__uncultured_bacterium_g__Candidatus_Soleaferrea</v>
          </cell>
        </row>
        <row r="7006">
          <cell r="G7006" t="str">
            <v>ASV14118</v>
          </cell>
          <cell r="H7006" t="str">
            <v>g__Lactobacillus</v>
          </cell>
          <cell r="I7006" t="str">
            <v>s__unclassified_g__Lactobacillus</v>
          </cell>
        </row>
        <row r="7007">
          <cell r="G7007" t="str">
            <v>ASV11395</v>
          </cell>
          <cell r="H7007" t="str">
            <v>g__unclassified_f__Oscillospiraceae</v>
          </cell>
          <cell r="I7007" t="str">
            <v>s__unclassified_f__Oscillospiraceae</v>
          </cell>
        </row>
        <row r="7008">
          <cell r="G7008" t="str">
            <v>ASV3164</v>
          </cell>
          <cell r="H7008" t="str">
            <v>g__Bacillus</v>
          </cell>
          <cell r="I7008" t="str">
            <v>s__Lactobacillus_vaginalis_g__Bacillus</v>
          </cell>
        </row>
        <row r="7009">
          <cell r="G7009" t="str">
            <v>ASV14069</v>
          </cell>
          <cell r="H7009" t="str">
            <v>g__unclassified_c__Clostridia</v>
          </cell>
          <cell r="I7009" t="str">
            <v>s__unclassified_c__Clostridia</v>
          </cell>
        </row>
        <row r="7010">
          <cell r="G7010" t="str">
            <v>ASV19441</v>
          </cell>
          <cell r="H7010" t="str">
            <v>g__Christensenellaceae_R-7_group</v>
          </cell>
          <cell r="I7010" t="str">
            <v>s__unclassified_g__Christensenellaceae_R-7_group</v>
          </cell>
        </row>
        <row r="7011">
          <cell r="G7011" t="str">
            <v>ASV3455</v>
          </cell>
          <cell r="H7011" t="str">
            <v>g__Lactobacillus</v>
          </cell>
          <cell r="I7011" t="str">
            <v>s__unclassified_g__Lactobacillus</v>
          </cell>
        </row>
        <row r="7012">
          <cell r="G7012" t="str">
            <v>ASV6009</v>
          </cell>
          <cell r="H7012" t="str">
            <v>g__unclassified_f__Christensenellaceae</v>
          </cell>
          <cell r="I7012" t="str">
            <v>s__unclassified_f__Christensenellaceae</v>
          </cell>
        </row>
        <row r="7013">
          <cell r="G7013" t="str">
            <v>ASV10533</v>
          </cell>
          <cell r="H7013" t="str">
            <v>g__Lactobacillus</v>
          </cell>
          <cell r="I7013" t="str">
            <v>s__uncultured_bacterium_g__Lactobacillus</v>
          </cell>
        </row>
        <row r="7014">
          <cell r="G7014" t="str">
            <v>ASV22963</v>
          </cell>
          <cell r="H7014" t="str">
            <v>g__Peptococcus</v>
          </cell>
          <cell r="I7014" t="str">
            <v>s__uncultured_bacterium_g__Peptococcus</v>
          </cell>
        </row>
        <row r="7015">
          <cell r="G7015" t="str">
            <v>ASV5771</v>
          </cell>
          <cell r="H7015" t="str">
            <v>g__unclassified_c__Clostridia</v>
          </cell>
          <cell r="I7015" t="str">
            <v>s__unclassified_c__Clostridia</v>
          </cell>
        </row>
        <row r="7016">
          <cell r="G7016" t="str">
            <v>ASV4676</v>
          </cell>
          <cell r="H7016" t="str">
            <v>g__Enterococcus</v>
          </cell>
          <cell r="I7016" t="str">
            <v>s__unclassified_g__Enterococcus</v>
          </cell>
        </row>
        <row r="7017">
          <cell r="G7017" t="str">
            <v>ASV15299</v>
          </cell>
          <cell r="H7017" t="str">
            <v>g__unclassified_f__Ruminococcaceae</v>
          </cell>
          <cell r="I7017" t="str">
            <v>s__unclassified_f__Ruminococcaceae</v>
          </cell>
        </row>
        <row r="7018">
          <cell r="G7018" t="str">
            <v>ASV8795</v>
          </cell>
          <cell r="H7018" t="str">
            <v>g__Terrisporobacter</v>
          </cell>
          <cell r="I7018" t="str">
            <v>s__unclassified_g__Terrisporobacter</v>
          </cell>
        </row>
        <row r="7019">
          <cell r="G7019" t="str">
            <v>ASV22073</v>
          </cell>
          <cell r="H7019" t="str">
            <v>g__unclassified_f__Anaerovoracaceae</v>
          </cell>
          <cell r="I7019" t="str">
            <v>s__unclassified_f__Anaerovoracaceae</v>
          </cell>
        </row>
        <row r="7020">
          <cell r="G7020" t="str">
            <v>ASV21191</v>
          </cell>
          <cell r="H7020" t="str">
            <v>g__Lactobacillus</v>
          </cell>
          <cell r="I7020" t="str">
            <v>s__unclassified_g__Lactobacillus</v>
          </cell>
        </row>
        <row r="7021">
          <cell r="G7021" t="str">
            <v>ASV19049</v>
          </cell>
          <cell r="H7021" t="str">
            <v>g__unclassified_p__Firmicutes</v>
          </cell>
          <cell r="I7021" t="str">
            <v>s__unclassified_p__Firmicutes</v>
          </cell>
        </row>
        <row r="7022">
          <cell r="G7022" t="str">
            <v>ASV11414</v>
          </cell>
          <cell r="H7022" t="str">
            <v>g__unclassified_c__Clostridia</v>
          </cell>
          <cell r="I7022" t="str">
            <v>s__unclassified_c__Clostridia</v>
          </cell>
        </row>
        <row r="7023">
          <cell r="G7023" t="str">
            <v>ASV22020</v>
          </cell>
          <cell r="H7023" t="str">
            <v>g__norank_f__Eubacterium_coprostanoligenes_group</v>
          </cell>
          <cell r="I7023" t="str">
            <v>s__human_gut_metagenome_g__norank_f__Eubacterium_coprostanoligenes_group</v>
          </cell>
        </row>
        <row r="7024">
          <cell r="G7024" t="str">
            <v>ASV20700</v>
          </cell>
          <cell r="H7024" t="str">
            <v>g__norank_f__Ruminococcaceae</v>
          </cell>
          <cell r="I7024" t="str">
            <v>s__unclassified_g__norank_f__Ruminococcaceae</v>
          </cell>
        </row>
        <row r="7025">
          <cell r="G7025" t="str">
            <v>ASV11430</v>
          </cell>
          <cell r="H7025" t="str">
            <v>g__unclassified_f__Oscillospiraceae</v>
          </cell>
          <cell r="I7025" t="str">
            <v>s__unclassified_f__Oscillospiraceae</v>
          </cell>
        </row>
        <row r="7026">
          <cell r="G7026" t="str">
            <v>ASV11388</v>
          </cell>
          <cell r="H7026" t="str">
            <v>g__unclassified_c__Clostridia</v>
          </cell>
          <cell r="I7026" t="str">
            <v>s__unclassified_c__Clostridia</v>
          </cell>
        </row>
        <row r="7027">
          <cell r="G7027" t="str">
            <v>ASV20631</v>
          </cell>
          <cell r="H7027" t="str">
            <v>g__unclassified_o__Oscillospirales</v>
          </cell>
          <cell r="I7027" t="str">
            <v>s__unclassified_o__Oscillospirales</v>
          </cell>
        </row>
        <row r="7028">
          <cell r="G7028" t="str">
            <v>ASV3170</v>
          </cell>
          <cell r="H7028" t="str">
            <v>g__unclassified_f__Lachnospiraceae</v>
          </cell>
          <cell r="I7028" t="str">
            <v>s__unclassified_f__Lachnospiraceae</v>
          </cell>
        </row>
        <row r="7029">
          <cell r="G7029" t="str">
            <v>ASV19463</v>
          </cell>
          <cell r="H7029" t="str">
            <v>g__UCG-002</v>
          </cell>
          <cell r="I7029" t="str">
            <v>s__unclassified_g__UCG-002</v>
          </cell>
        </row>
        <row r="7030">
          <cell r="G7030" t="str">
            <v>ASV15298</v>
          </cell>
          <cell r="H7030" t="str">
            <v>g__unclassified_o__Oscillospirales</v>
          </cell>
          <cell r="I7030" t="str">
            <v>s__unclassified_o__Oscillospirales</v>
          </cell>
        </row>
        <row r="7031">
          <cell r="G7031" t="str">
            <v>ASV15941</v>
          </cell>
          <cell r="H7031" t="str">
            <v>g__Phascolarctobacterium</v>
          </cell>
          <cell r="I7031" t="str">
            <v>s__unclassified_g__Phascolarctobacterium</v>
          </cell>
        </row>
        <row r="7032">
          <cell r="G7032" t="str">
            <v>ASV6505</v>
          </cell>
          <cell r="H7032" t="str">
            <v>g__Clostridium_sensu_stricto_1</v>
          </cell>
          <cell r="I7032" t="str">
            <v>s__unclassified_g__Clostridium_sensu_stricto_1</v>
          </cell>
        </row>
        <row r="7033">
          <cell r="G7033" t="str">
            <v>ASV14111</v>
          </cell>
          <cell r="H7033" t="str">
            <v>g__Christensenellaceae_R-7_group</v>
          </cell>
          <cell r="I7033" t="str">
            <v>s__unclassified_g__Christensenellaceae_R-7_group</v>
          </cell>
        </row>
        <row r="7034">
          <cell r="G7034" t="str">
            <v>ASV22067</v>
          </cell>
          <cell r="H7034" t="str">
            <v>g__unclassified_f__Lachnospiraceae</v>
          </cell>
          <cell r="I7034" t="str">
            <v>s__unclassified_f__Lachnospiraceae</v>
          </cell>
        </row>
        <row r="7035">
          <cell r="G7035" t="str">
            <v>ASV472</v>
          </cell>
          <cell r="H7035" t="str">
            <v>g__unclassified_c__Clostridia</v>
          </cell>
          <cell r="I7035" t="str">
            <v>s__unclassified_c__Clostridia</v>
          </cell>
        </row>
        <row r="7036">
          <cell r="G7036" t="str">
            <v>ASV15930</v>
          </cell>
          <cell r="H7036" t="str">
            <v>g__unclassified_f__Lachnospiraceae</v>
          </cell>
          <cell r="I7036" t="str">
            <v>s__unclassified_f__Lachnospiraceae</v>
          </cell>
        </row>
        <row r="7037">
          <cell r="G7037" t="str">
            <v>ASV15261</v>
          </cell>
          <cell r="H7037" t="str">
            <v>g__unclassified_c__Clostridia</v>
          </cell>
          <cell r="I7037" t="str">
            <v>s__unclassified_c__Clostridia</v>
          </cell>
        </row>
        <row r="7038">
          <cell r="G7038" t="str">
            <v>ASV5779</v>
          </cell>
          <cell r="H7038" t="str">
            <v>g__unclassified_c__Clostridia</v>
          </cell>
          <cell r="I7038" t="str">
            <v>s__unclassified_c__Clostridia</v>
          </cell>
        </row>
        <row r="7039">
          <cell r="G7039" t="str">
            <v>ASV5732</v>
          </cell>
          <cell r="H7039" t="str">
            <v>g__Escherichia-Shigella</v>
          </cell>
          <cell r="I7039" t="str">
            <v>s__unclassified_g__Escherichia-Shigella</v>
          </cell>
        </row>
        <row r="7040">
          <cell r="G7040" t="str">
            <v>ASV22045</v>
          </cell>
          <cell r="H7040" t="str">
            <v>g__Christensenellaceae_R-7_group</v>
          </cell>
          <cell r="I7040" t="str">
            <v>s__unclassified_g__Christensenellaceae_R-7_group</v>
          </cell>
        </row>
        <row r="7041">
          <cell r="G7041" t="str">
            <v>ASV3165</v>
          </cell>
          <cell r="H7041" t="str">
            <v>g__unclassified_f__Lachnospiraceae</v>
          </cell>
          <cell r="I7041" t="str">
            <v>s__unclassified_f__Lachnospiraceae</v>
          </cell>
        </row>
        <row r="7042">
          <cell r="G7042" t="str">
            <v>ASV9310</v>
          </cell>
          <cell r="H7042" t="str">
            <v>g__unclassified_c__Clostridia</v>
          </cell>
          <cell r="I7042" t="str">
            <v>s__unclassified_c__Clostridia</v>
          </cell>
        </row>
        <row r="7043">
          <cell r="G7043" t="str">
            <v>ASV9306</v>
          </cell>
          <cell r="H7043" t="str">
            <v>g__unclassified_o__Oscillospirales</v>
          </cell>
          <cell r="I7043" t="str">
            <v>s__unclassified_o__Oscillospirales</v>
          </cell>
        </row>
        <row r="7044">
          <cell r="G7044" t="str">
            <v>ASV21592</v>
          </cell>
          <cell r="H7044" t="str">
            <v>g__unclassified_c__Bacilli</v>
          </cell>
          <cell r="I7044" t="str">
            <v>s__unclassified_c__Bacilli</v>
          </cell>
        </row>
        <row r="7045">
          <cell r="G7045" t="str">
            <v>ASV11451</v>
          </cell>
          <cell r="H7045" t="str">
            <v>g__norank_f__norank_o__Clostridia_vadinBB60_group</v>
          </cell>
          <cell r="I7045" t="str">
            <v>s__uncultured_bacterium_g__norank_f__norank_o__Clostridia_vadinBB60_group</v>
          </cell>
        </row>
        <row r="7046">
          <cell r="G7046" t="str">
            <v>ASV1634</v>
          </cell>
          <cell r="H7046" t="str">
            <v>g__unclassified_o__Lactobacillales</v>
          </cell>
          <cell r="I7046" t="str">
            <v>s__unclassified_o__Lactobacillales</v>
          </cell>
        </row>
        <row r="7047">
          <cell r="G7047" t="str">
            <v>ASV4732</v>
          </cell>
          <cell r="H7047" t="str">
            <v>g__unclassified_c__Bacilli</v>
          </cell>
          <cell r="I7047" t="str">
            <v>s__unclassified_c__Bacilli</v>
          </cell>
        </row>
        <row r="7048">
          <cell r="G7048" t="str">
            <v>ASV9316</v>
          </cell>
          <cell r="H7048" t="str">
            <v>g__unclassified_o__Lactobacillales</v>
          </cell>
          <cell r="I7048" t="str">
            <v>s__unclassified_o__Lactobacillales</v>
          </cell>
        </row>
        <row r="7049">
          <cell r="G7049" t="str">
            <v>ASV15267</v>
          </cell>
          <cell r="H7049" t="str">
            <v>g__Enterococcus</v>
          </cell>
          <cell r="I7049" t="str">
            <v>s__unclassified_g__Enterococcus</v>
          </cell>
        </row>
        <row r="7050">
          <cell r="G7050" t="str">
            <v>ASV15276</v>
          </cell>
          <cell r="H7050" t="str">
            <v>g__unclassified_c__Clostridia</v>
          </cell>
          <cell r="I7050" t="str">
            <v>s__unclassified_c__Clostridia</v>
          </cell>
        </row>
        <row r="7051">
          <cell r="G7051" t="str">
            <v>ASV567</v>
          </cell>
          <cell r="H7051" t="str">
            <v>g__Colidextribacter</v>
          </cell>
          <cell r="I7051" t="str">
            <v>s__unclassified_g__Colidextribacter</v>
          </cell>
        </row>
        <row r="7052">
          <cell r="G7052" t="str">
            <v>ASV4694</v>
          </cell>
          <cell r="H7052" t="str">
            <v>g__Lactobacillus</v>
          </cell>
          <cell r="I7052" t="str">
            <v>s__unclassified_g__Lactobacillus</v>
          </cell>
        </row>
        <row r="7053">
          <cell r="G7053" t="str">
            <v>ASV20428</v>
          </cell>
          <cell r="H7053" t="str">
            <v>g__Deinococcus</v>
          </cell>
          <cell r="I7053" t="str">
            <v>s__Deinococcus_aquatilis</v>
          </cell>
        </row>
        <row r="7054">
          <cell r="G7054" t="str">
            <v>ASV12683</v>
          </cell>
          <cell r="H7054" t="str">
            <v>g__norank_f__Ruminococcaceae</v>
          </cell>
          <cell r="I7054" t="str">
            <v>s__unclassified_g__norank_f__Ruminococcaceae</v>
          </cell>
        </row>
        <row r="7055">
          <cell r="G7055" t="str">
            <v>ASV3693</v>
          </cell>
          <cell r="H7055" t="str">
            <v>g__Arcobacter</v>
          </cell>
          <cell r="I7055" t="str">
            <v>s__unclassified_g__Arcobacter</v>
          </cell>
        </row>
        <row r="7056">
          <cell r="G7056" t="str">
            <v>ASV14078</v>
          </cell>
          <cell r="H7056" t="str">
            <v>g__unclassified_p__Firmicutes</v>
          </cell>
          <cell r="I7056" t="str">
            <v>s__unclassified_p__Firmicutes</v>
          </cell>
        </row>
        <row r="7057">
          <cell r="G7057" t="str">
            <v>ASV22074</v>
          </cell>
          <cell r="H7057" t="str">
            <v>g__unclassified_c__Bacilli</v>
          </cell>
          <cell r="I7057" t="str">
            <v>s__unclassified_c__Bacilli</v>
          </cell>
        </row>
        <row r="7058">
          <cell r="G7058" t="str">
            <v>ASV18831</v>
          </cell>
          <cell r="H7058" t="str">
            <v>g__Fusobacterium</v>
          </cell>
          <cell r="I7058" t="str">
            <v>s__unclassified_g__Fusobacterium</v>
          </cell>
        </row>
        <row r="7059">
          <cell r="G7059" t="str">
            <v>ASV22037</v>
          </cell>
          <cell r="H7059" t="str">
            <v>g__unclassified_f__Lachnospiraceae</v>
          </cell>
          <cell r="I7059" t="str">
            <v>s__unclassified_f__Lachnospiraceae</v>
          </cell>
        </row>
        <row r="7060">
          <cell r="G7060" t="str">
            <v>ASV12640</v>
          </cell>
          <cell r="H7060" t="str">
            <v>g__norank_f__Peptostreptococcaceae</v>
          </cell>
          <cell r="I7060" t="str">
            <v>s__unclassified_g__norank_f__Peptostreptococcaceae</v>
          </cell>
        </row>
        <row r="7061">
          <cell r="G7061" t="str">
            <v>ASV11428</v>
          </cell>
          <cell r="H7061" t="str">
            <v>g__norank_f__Ruminococcaceae</v>
          </cell>
          <cell r="I7061" t="str">
            <v>s__unclassified_g__norank_f__Ruminococcaceae</v>
          </cell>
        </row>
        <row r="7062">
          <cell r="G7062" t="str">
            <v>ASV15263</v>
          </cell>
          <cell r="H7062" t="str">
            <v>g__Turicibacter</v>
          </cell>
          <cell r="I7062" t="str">
            <v>s__uncultured_bacterium_g__Turicibacter</v>
          </cell>
        </row>
        <row r="7063">
          <cell r="G7063" t="str">
            <v>ASV14122</v>
          </cell>
          <cell r="H7063" t="str">
            <v>g__Lachnospiraceae_UCG-004</v>
          </cell>
          <cell r="I7063" t="str">
            <v>s__uncultured_bacterium_g__Lachnospiraceae_UCG-004</v>
          </cell>
        </row>
        <row r="7064">
          <cell r="G7064" t="str">
            <v>ASV5753</v>
          </cell>
          <cell r="H7064" t="str">
            <v>g__Candidatus_Soleaferrea</v>
          </cell>
          <cell r="I7064" t="str">
            <v>s__uncultured_bacterium_g__Candidatus_Soleaferrea</v>
          </cell>
        </row>
        <row r="7065">
          <cell r="G7065" t="str">
            <v>ASV10543</v>
          </cell>
          <cell r="H7065" t="str">
            <v>g__unclassified_c__Bacilli</v>
          </cell>
          <cell r="I7065" t="str">
            <v>s__unclassified_c__Bacilli</v>
          </cell>
        </row>
        <row r="7066">
          <cell r="G7066" t="str">
            <v>ASV12671</v>
          </cell>
          <cell r="H7066" t="str">
            <v>g__Lachnospiraceae_UCG-003</v>
          </cell>
          <cell r="I7066" t="str">
            <v>s__uncultured_bacterium_g__Lachnospiraceae_UCG-003</v>
          </cell>
        </row>
        <row r="7067">
          <cell r="G7067" t="str">
            <v>ASV22886</v>
          </cell>
          <cell r="H7067" t="str">
            <v>g__Epulopiscium</v>
          </cell>
          <cell r="I7067" t="str">
            <v>s__uncultured_organism_g__Epulopiscium</v>
          </cell>
        </row>
        <row r="7068">
          <cell r="G7068" t="str">
            <v>ASV4692</v>
          </cell>
          <cell r="H7068" t="str">
            <v>g__UCG-002</v>
          </cell>
          <cell r="I7068" t="str">
            <v>s__uncultured_bacterium_g__UCG-002</v>
          </cell>
        </row>
        <row r="7069">
          <cell r="G7069" t="str">
            <v>ASV1080</v>
          </cell>
          <cell r="H7069" t="str">
            <v>g__Colidextribacter</v>
          </cell>
          <cell r="I7069" t="str">
            <v>s__unclassified_g__Colidextribacter</v>
          </cell>
        </row>
        <row r="7070">
          <cell r="G7070" t="str">
            <v>ASV9296</v>
          </cell>
          <cell r="H7070" t="str">
            <v>g__unclassified_o__Oscillospirales</v>
          </cell>
          <cell r="I7070" t="str">
            <v>s__unclassified_o__Oscillospirales</v>
          </cell>
        </row>
        <row r="7071">
          <cell r="G7071" t="str">
            <v>ASV16326</v>
          </cell>
          <cell r="H7071" t="str">
            <v>g__norank_f__Erysipelotrichaceae</v>
          </cell>
          <cell r="I7071" t="str">
            <v>s__uncultured_bacterium_g__norank_f__Erysipelotrichaceae</v>
          </cell>
        </row>
        <row r="7072">
          <cell r="G7072" t="str">
            <v>ASV16327</v>
          </cell>
          <cell r="H7072" t="str">
            <v>g__unclassified_k__norank_d__Bacteria</v>
          </cell>
          <cell r="I7072" t="str">
            <v>s__unclassified_k__norank_d__Bacteria</v>
          </cell>
        </row>
        <row r="7073">
          <cell r="G7073" t="str">
            <v>ASV15272</v>
          </cell>
          <cell r="H7073" t="str">
            <v>g__unclassified_c__Clostridia</v>
          </cell>
          <cell r="I7073" t="str">
            <v>s__unclassified_c__Clostridia</v>
          </cell>
        </row>
        <row r="7074">
          <cell r="G7074" t="str">
            <v>ASV7620</v>
          </cell>
          <cell r="H7074" t="str">
            <v>g__unclassified_f__Clostridiaceae</v>
          </cell>
          <cell r="I7074" t="str">
            <v>s__unclassified_f__Clostridiaceae</v>
          </cell>
        </row>
        <row r="7075">
          <cell r="G7075" t="str">
            <v>ASV7640</v>
          </cell>
          <cell r="H7075" t="str">
            <v>g__unclassified_p__Firmicutes</v>
          </cell>
          <cell r="I7075" t="str">
            <v>s__unclassified_p__Firmicutes</v>
          </cell>
        </row>
        <row r="7076">
          <cell r="G7076" t="str">
            <v>ASV7283</v>
          </cell>
          <cell r="H7076" t="str">
            <v>g__Fusobacterium</v>
          </cell>
          <cell r="I7076" t="str">
            <v>s__unclassified_g__Fusobacterium</v>
          </cell>
        </row>
        <row r="7077">
          <cell r="G7077" t="str">
            <v>ASV22038</v>
          </cell>
          <cell r="H7077" t="str">
            <v>g__unclassified_p__Firmicutes</v>
          </cell>
          <cell r="I7077" t="str">
            <v>s__unclassified_p__Firmicutes</v>
          </cell>
        </row>
        <row r="7078">
          <cell r="G7078" t="str">
            <v>ASV9291</v>
          </cell>
          <cell r="H7078" t="str">
            <v>g__unclassified_p__Firmicutes</v>
          </cell>
          <cell r="I7078" t="str">
            <v>s__unclassified_p__Firmicutes</v>
          </cell>
        </row>
        <row r="7079">
          <cell r="G7079" t="str">
            <v>ASV21435</v>
          </cell>
          <cell r="H7079" t="str">
            <v>g__Escherichia-Shigella</v>
          </cell>
          <cell r="I7079" t="str">
            <v>s__unclassified_g__Escherichia-Shigella</v>
          </cell>
        </row>
        <row r="7080">
          <cell r="G7080" t="str">
            <v>ASV6608</v>
          </cell>
          <cell r="H7080" t="str">
            <v>g__unclassified_c__Clostridia</v>
          </cell>
          <cell r="I7080" t="str">
            <v>s__unclassified_c__Clostridia</v>
          </cell>
        </row>
        <row r="7081">
          <cell r="G7081" t="str">
            <v>ASV3169</v>
          </cell>
          <cell r="H7081" t="str">
            <v>g__unclassified_k__norank_d__Bacteria</v>
          </cell>
          <cell r="I7081" t="str">
            <v>s__unclassified_k__norank_d__Bacteria</v>
          </cell>
        </row>
        <row r="7082">
          <cell r="G7082" t="str">
            <v>ASV4666</v>
          </cell>
          <cell r="H7082" t="str">
            <v>g__unclassified_f__Lachnospiraceae</v>
          </cell>
          <cell r="I7082" t="str">
            <v>s__unclassified_f__Lachnospiraceae</v>
          </cell>
        </row>
        <row r="7083">
          <cell r="G7083" t="str">
            <v>ASV14120</v>
          </cell>
          <cell r="H7083" t="str">
            <v>g__unclassified_f__Oscillospiraceae</v>
          </cell>
          <cell r="I7083" t="str">
            <v>s__unclassified_f__Oscillospiraceae</v>
          </cell>
        </row>
        <row r="7084">
          <cell r="G7084" t="str">
            <v>ASV6604</v>
          </cell>
          <cell r="H7084" t="str">
            <v>g__Lachnoclostridium</v>
          </cell>
          <cell r="I7084" t="str">
            <v>s__unclassified_g__Lachnoclostridium</v>
          </cell>
        </row>
        <row r="7085">
          <cell r="G7085" t="str">
            <v>ASV566</v>
          </cell>
          <cell r="H7085" t="str">
            <v>g__unclassified_c__Clostridia</v>
          </cell>
          <cell r="I7085" t="str">
            <v>s__unclassified_c__Clostridia</v>
          </cell>
        </row>
        <row r="7086">
          <cell r="G7086" t="str">
            <v>ASV20668</v>
          </cell>
          <cell r="H7086" t="str">
            <v>g__unclassified_c__Clostridia</v>
          </cell>
          <cell r="I7086" t="str">
            <v>s__unclassified_c__Clostridia</v>
          </cell>
        </row>
        <row r="7087">
          <cell r="G7087" t="str">
            <v>ASV18545</v>
          </cell>
          <cell r="H7087" t="str">
            <v>g__unclassified_f__Veillonellaceae</v>
          </cell>
          <cell r="I7087" t="str">
            <v>s__unclassified_f__Veillonellaceae</v>
          </cell>
        </row>
        <row r="7088">
          <cell r="G7088" t="str">
            <v>ASV7642</v>
          </cell>
          <cell r="H7088" t="str">
            <v>g__unclassified_f__Peptostreptococcaceae</v>
          </cell>
          <cell r="I7088" t="str">
            <v>s__unclassified_f__Peptostreptococcaceae</v>
          </cell>
        </row>
        <row r="7089">
          <cell r="G7089" t="str">
            <v>ASV11456</v>
          </cell>
          <cell r="H7089" t="str">
            <v>g__unclassified_p__Firmicutes</v>
          </cell>
          <cell r="I7089" t="str">
            <v>s__unclassified_p__Firmicutes</v>
          </cell>
        </row>
        <row r="7090">
          <cell r="G7090" t="str">
            <v>ASV15295</v>
          </cell>
          <cell r="H7090" t="str">
            <v>g__unclassified_f__Lachnospiraceae</v>
          </cell>
          <cell r="I7090" t="str">
            <v>s__unclassified_f__Lachnospiraceae</v>
          </cell>
        </row>
        <row r="7091">
          <cell r="G7091" t="str">
            <v>ASV1630</v>
          </cell>
          <cell r="H7091" t="str">
            <v>g__unclassified_c__Clostridia</v>
          </cell>
          <cell r="I7091" t="str">
            <v>s__unclassified_c__Clostridia</v>
          </cell>
        </row>
        <row r="7092">
          <cell r="G7092" t="str">
            <v>ASV493</v>
          </cell>
          <cell r="H7092" t="str">
            <v>g__unclassified_o__Oscillospirales</v>
          </cell>
          <cell r="I7092" t="str">
            <v>s__unclassified_o__Oscillospirales</v>
          </cell>
        </row>
        <row r="7093">
          <cell r="G7093" t="str">
            <v>ASV21589</v>
          </cell>
          <cell r="H7093" t="str">
            <v>g__Veillonella</v>
          </cell>
          <cell r="I7093" t="str">
            <v>s__unclassified_g__Veillonella</v>
          </cell>
        </row>
        <row r="7094">
          <cell r="G7094" t="str">
            <v>ASV16354</v>
          </cell>
          <cell r="H7094" t="str">
            <v>g__unclassified_k__norank_d__Bacteria</v>
          </cell>
          <cell r="I7094" t="str">
            <v>s__unclassified_k__norank_d__Bacteria</v>
          </cell>
        </row>
        <row r="7095">
          <cell r="G7095" t="str">
            <v>ASV19399</v>
          </cell>
          <cell r="H7095" t="str">
            <v>g__unclassified_f__Lachnospiraceae</v>
          </cell>
          <cell r="I7095" t="str">
            <v>s__unclassified_f__Lachnospiraceae</v>
          </cell>
        </row>
        <row r="7096">
          <cell r="G7096" t="str">
            <v>ASV23143</v>
          </cell>
          <cell r="H7096" t="str">
            <v>g__Megasphaera</v>
          </cell>
          <cell r="I7096" t="str">
            <v>s__unclassified_g__Megasphaera</v>
          </cell>
        </row>
        <row r="7097">
          <cell r="G7097" t="str">
            <v>ASV15264</v>
          </cell>
          <cell r="H7097" t="str">
            <v>g__unclassified_f__Lachnospiraceae</v>
          </cell>
          <cell r="I7097" t="str">
            <v>s__unclassified_f__Lachnospiraceae</v>
          </cell>
        </row>
        <row r="7098">
          <cell r="G7098" t="str">
            <v>ASV15278</v>
          </cell>
          <cell r="H7098" t="str">
            <v>g__unclassified_o__Bacteroidales</v>
          </cell>
          <cell r="I7098" t="str">
            <v>s__unclassified_o__Bacteroidales</v>
          </cell>
        </row>
        <row r="7099">
          <cell r="G7099" t="str">
            <v>ASV24122</v>
          </cell>
          <cell r="H7099" t="str">
            <v>g__Collinsella</v>
          </cell>
          <cell r="I7099" t="str">
            <v>s__uncultured_bacterium_g__Collinsella</v>
          </cell>
        </row>
        <row r="7100">
          <cell r="G7100" t="str">
            <v>ASV13342</v>
          </cell>
          <cell r="H7100" t="str">
            <v>g__unclassified_c__Clostridia</v>
          </cell>
          <cell r="I7100" t="str">
            <v>s__unclassified_c__Clostridia</v>
          </cell>
        </row>
        <row r="7101">
          <cell r="G7101" t="str">
            <v>ASV5760</v>
          </cell>
          <cell r="H7101" t="str">
            <v>g__norank_f__UCG-010</v>
          </cell>
          <cell r="I7101" t="str">
            <v>s__unclassified_g__norank_f__UCG-010</v>
          </cell>
        </row>
        <row r="7102">
          <cell r="G7102" t="str">
            <v>ASV2038</v>
          </cell>
          <cell r="H7102" t="str">
            <v>g__unclassified_f__Oscillospiraceae</v>
          </cell>
          <cell r="I7102" t="str">
            <v>s__unclassified_f__Oscillospiraceae</v>
          </cell>
        </row>
        <row r="7103">
          <cell r="G7103" t="str">
            <v>ASV3924</v>
          </cell>
          <cell r="H7103" t="str">
            <v>g__unclassified_c__Clostridia</v>
          </cell>
          <cell r="I7103" t="str">
            <v>s__unclassified_c__Clostridia</v>
          </cell>
        </row>
        <row r="7104">
          <cell r="G7104" t="str">
            <v>ASV497</v>
          </cell>
          <cell r="H7104" t="str">
            <v>g__unclassified_c__Clostridia</v>
          </cell>
          <cell r="I7104" t="str">
            <v>s__unclassified_c__Clostridia</v>
          </cell>
        </row>
        <row r="7105">
          <cell r="G7105" t="str">
            <v>ASV21431</v>
          </cell>
          <cell r="H7105" t="str">
            <v>g__unclassified_p__Firmicutes</v>
          </cell>
          <cell r="I7105" t="str">
            <v>s__unclassified_p__Firmicutes</v>
          </cell>
        </row>
        <row r="7106">
          <cell r="G7106" t="str">
            <v>ASV4709</v>
          </cell>
          <cell r="H7106" t="str">
            <v>g__unclassified_f__Lachnospiraceae</v>
          </cell>
          <cell r="I7106" t="str">
            <v>s__unclassified_f__Lachnospiraceae</v>
          </cell>
        </row>
        <row r="7107">
          <cell r="G7107" t="str">
            <v>ASV23121</v>
          </cell>
          <cell r="H7107" t="str">
            <v>g__unclassified_f__Lachnospiraceae</v>
          </cell>
          <cell r="I7107" t="str">
            <v>s__unclassified_f__Lachnospiraceae</v>
          </cell>
        </row>
        <row r="7108">
          <cell r="G7108" t="str">
            <v>ASV6618</v>
          </cell>
          <cell r="H7108" t="str">
            <v>g__Enterococcus</v>
          </cell>
          <cell r="I7108" t="str">
            <v>s__unclassified_g__Enterococcus</v>
          </cell>
        </row>
        <row r="7109">
          <cell r="G7109" t="str">
            <v>ASV21768</v>
          </cell>
          <cell r="H7109" t="str">
            <v>g__Corynebacterium</v>
          </cell>
          <cell r="I7109" t="str">
            <v>s__unclassified_g__Corynebacterium</v>
          </cell>
        </row>
        <row r="7110">
          <cell r="G7110" t="str">
            <v>ASV16328</v>
          </cell>
          <cell r="H7110" t="str">
            <v>g__Lachnoclostridium</v>
          </cell>
          <cell r="I7110" t="str">
            <v>s__unclassified_g__Lachnoclostridium</v>
          </cell>
        </row>
        <row r="7111">
          <cell r="G7111" t="str">
            <v>ASV20437</v>
          </cell>
          <cell r="H7111" t="str">
            <v>g__Janthinobacterium</v>
          </cell>
          <cell r="I7111" t="str">
            <v>s__unclassified_g__Janthinobacterium</v>
          </cell>
        </row>
        <row r="7112">
          <cell r="G7112" t="str">
            <v>ASV16315</v>
          </cell>
          <cell r="H7112" t="str">
            <v>g__norank_f__norank_o__Clostridia_vadinBB60_group</v>
          </cell>
          <cell r="I7112" t="str">
            <v>s__uncultured_bacterium_g__norank_f__norank_o__Clostridia_vadinBB60_group</v>
          </cell>
        </row>
        <row r="7113">
          <cell r="G7113" t="str">
            <v>ASV3162</v>
          </cell>
          <cell r="H7113" t="str">
            <v>g__unclassified_f__Oscillospiraceae</v>
          </cell>
          <cell r="I7113" t="str">
            <v>s__unclassified_f__Oscillospiraceae</v>
          </cell>
        </row>
        <row r="7114">
          <cell r="G7114" t="str">
            <v>ASV8959</v>
          </cell>
          <cell r="H7114" t="str">
            <v>g__Lactobacillus</v>
          </cell>
          <cell r="I7114" t="str">
            <v>s__unclassified_g__Lactobacillus</v>
          </cell>
        </row>
        <row r="7115">
          <cell r="G7115" t="str">
            <v>ASV5775</v>
          </cell>
          <cell r="H7115" t="str">
            <v>g__norank_f__norank_o__RF39</v>
          </cell>
          <cell r="I7115" t="str">
            <v>s__uncultured_bacterium_g__norank_f__norank_o__RF39</v>
          </cell>
        </row>
        <row r="7116">
          <cell r="G7116" t="str">
            <v>ASV20649</v>
          </cell>
          <cell r="H7116" t="str">
            <v>g__unclassified_o__Peptostreptococcales-Tissierellales</v>
          </cell>
          <cell r="I7116" t="str">
            <v>s__unclassified_o__Peptostreptococcales-Tissierellales</v>
          </cell>
        </row>
        <row r="7117">
          <cell r="G7117" t="str">
            <v>ASV4675</v>
          </cell>
          <cell r="H7117" t="str">
            <v>g__Christensenellaceae_R-7_group</v>
          </cell>
          <cell r="I7117" t="str">
            <v>s__unclassified_g__Christensenellaceae_R-7_group</v>
          </cell>
        </row>
        <row r="7118">
          <cell r="G7118" t="str">
            <v>ASV6624</v>
          </cell>
          <cell r="H7118" t="str">
            <v>g__Escherichia-Shigella</v>
          </cell>
          <cell r="I7118" t="str">
            <v>s__unclassified_g__Escherichia-Shigella</v>
          </cell>
        </row>
        <row r="7119">
          <cell r="G7119" t="str">
            <v>ASV2049</v>
          </cell>
          <cell r="H7119" t="str">
            <v>g__Christensenellaceae_R-7_group</v>
          </cell>
          <cell r="I7119" t="str">
            <v>s__unclassified_g__Christensenellaceae_R-7_group</v>
          </cell>
        </row>
        <row r="7120">
          <cell r="G7120" t="str">
            <v>ASV4717</v>
          </cell>
          <cell r="H7120" t="str">
            <v>g__Prevotella</v>
          </cell>
          <cell r="I7120" t="str">
            <v>s__unclassified_g__Prevotella</v>
          </cell>
        </row>
        <row r="7121">
          <cell r="G7121" t="str">
            <v>ASV8961</v>
          </cell>
          <cell r="H7121" t="str">
            <v>g__Actinobacillus</v>
          </cell>
          <cell r="I7121" t="str">
            <v>s__unclassified_g__Actinobacillus</v>
          </cell>
        </row>
        <row r="7122">
          <cell r="G7122" t="str">
            <v>ASV15259</v>
          </cell>
          <cell r="H7122" t="str">
            <v>g__norank_f__Eubacterium_coprostanoligenes_group</v>
          </cell>
          <cell r="I7122" t="str">
            <v>s__uncultured_bacterium_g__norank_f__Eubacterium_coprostanoligenes_group</v>
          </cell>
        </row>
        <row r="7123">
          <cell r="G7123" t="str">
            <v>ASV5718</v>
          </cell>
          <cell r="H7123" t="str">
            <v>g__unclassified_c__Clostridia</v>
          </cell>
          <cell r="I7123" t="str">
            <v>s__unclassified_c__Clostridia</v>
          </cell>
        </row>
        <row r="7124">
          <cell r="G7124" t="str">
            <v>ASV553</v>
          </cell>
          <cell r="H7124" t="str">
            <v>g__unclassified_f__Lachnospiraceae</v>
          </cell>
          <cell r="I7124" t="str">
            <v>s__unclassified_f__Lachnospiraceae</v>
          </cell>
        </row>
        <row r="7125">
          <cell r="G7125" t="str">
            <v>ASV13698</v>
          </cell>
          <cell r="H7125" t="str">
            <v>g__unclassified_f__Veillonellaceae</v>
          </cell>
          <cell r="I7125" t="str">
            <v>s__unclassified_f__Veillonellaceae</v>
          </cell>
        </row>
        <row r="7126">
          <cell r="G7126" t="str">
            <v>ASV6598</v>
          </cell>
          <cell r="H7126" t="str">
            <v>g__unclassified_c__Bacilli</v>
          </cell>
          <cell r="I7126" t="str">
            <v>s__unclassified_c__Bacilli</v>
          </cell>
        </row>
        <row r="7127">
          <cell r="G7127" t="str">
            <v>ASV4668</v>
          </cell>
          <cell r="H7127" t="str">
            <v>g__Christensenellaceae_R-7_group</v>
          </cell>
          <cell r="I7127" t="str">
            <v>s__unclassified_g__Christensenellaceae_R-7_group</v>
          </cell>
        </row>
        <row r="7128">
          <cell r="G7128" t="str">
            <v>ASV20435</v>
          </cell>
          <cell r="H7128" t="str">
            <v>g__Agrococcus</v>
          </cell>
          <cell r="I7128" t="str">
            <v>s__unclassified_g__Agrococcus</v>
          </cell>
        </row>
        <row r="7129">
          <cell r="G7129" t="str">
            <v>ASV24115</v>
          </cell>
          <cell r="H7129" t="str">
            <v>g__unclassified_k__norank_d__Bacteria</v>
          </cell>
          <cell r="I7129" t="str">
            <v>s__unclassified_k__norank_d__Bacteria</v>
          </cell>
        </row>
        <row r="7130">
          <cell r="G7130" t="str">
            <v>ASV5381</v>
          </cell>
          <cell r="H7130" t="str">
            <v>g__unclassified_f__Ruminococcaceae</v>
          </cell>
          <cell r="I7130" t="str">
            <v>s__unclassified_f__Ruminococcaceae</v>
          </cell>
        </row>
        <row r="7131">
          <cell r="G7131" t="str">
            <v>ASV7658</v>
          </cell>
          <cell r="H7131" t="str">
            <v>g__unclassified_p__Firmicutes</v>
          </cell>
          <cell r="I7131" t="str">
            <v>s__unclassified_p__Firmicutes</v>
          </cell>
        </row>
        <row r="7132">
          <cell r="G7132" t="str">
            <v>ASV15064</v>
          </cell>
          <cell r="H7132" t="str">
            <v>g__norank_f__Rhodobacteraceae</v>
          </cell>
          <cell r="I7132" t="str">
            <v>s__unclassified_g__norank_f__Rhodobacteraceae</v>
          </cell>
        </row>
        <row r="7133">
          <cell r="G7133" t="str">
            <v>ASV16349</v>
          </cell>
          <cell r="H7133" t="str">
            <v>g__unclassified_f__Peptostreptococcaceae</v>
          </cell>
          <cell r="I7133" t="str">
            <v>s__unclassified_f__Peptostreptococcaceae</v>
          </cell>
        </row>
        <row r="7134">
          <cell r="G7134" t="str">
            <v>ASV19382</v>
          </cell>
          <cell r="H7134" t="str">
            <v>g__unclassified_c__Clostridia</v>
          </cell>
          <cell r="I7134" t="str">
            <v>s__unclassified_c__Clostridia</v>
          </cell>
        </row>
        <row r="7135">
          <cell r="G7135" t="str">
            <v>ASV547</v>
          </cell>
          <cell r="H7135" t="str">
            <v>g__unclassified_c__Clostridia</v>
          </cell>
          <cell r="I7135" t="str">
            <v>s__unclassified_c__Clostridia</v>
          </cell>
        </row>
        <row r="7136">
          <cell r="G7136" t="str">
            <v>ASV562</v>
          </cell>
          <cell r="H7136" t="str">
            <v>g__norank_f__Muribaculaceae</v>
          </cell>
          <cell r="I7136" t="str">
            <v>s__unclassified_g__norank_f__Muribaculaceae</v>
          </cell>
        </row>
        <row r="7137">
          <cell r="G7137" t="str">
            <v>ASV2061</v>
          </cell>
          <cell r="H7137" t="str">
            <v>g__norank_f__Eubacterium_coprostanoligenes_group</v>
          </cell>
          <cell r="I7137" t="str">
            <v>s__uncultured_bacterium_g__norank_f__Eubacterium_coprostanoligenes_group</v>
          </cell>
        </row>
        <row r="7138">
          <cell r="G7138" t="str">
            <v>ASV17914</v>
          </cell>
          <cell r="H7138" t="str">
            <v>g__unclassified_f__Oscillospiraceae</v>
          </cell>
          <cell r="I7138" t="str">
            <v>s__unclassified_f__Oscillospiraceae</v>
          </cell>
        </row>
        <row r="7139">
          <cell r="G7139" t="str">
            <v>ASV10556</v>
          </cell>
          <cell r="H7139" t="str">
            <v>g__NK4A214_group</v>
          </cell>
          <cell r="I7139" t="str">
            <v>s__uncultured_bacterium_g__NK4A214_group</v>
          </cell>
        </row>
        <row r="7140">
          <cell r="G7140" t="str">
            <v>ASV6610</v>
          </cell>
          <cell r="H7140" t="str">
            <v>g__Escherichia-Shigella</v>
          </cell>
          <cell r="I7140" t="str">
            <v>s__unclassified_g__Escherichia-Shigella</v>
          </cell>
        </row>
        <row r="7141">
          <cell r="G7141" t="str">
            <v>ASV14068</v>
          </cell>
          <cell r="H7141" t="str">
            <v>g__Cloacibacillus</v>
          </cell>
          <cell r="I7141" t="str">
            <v>s__unclassified_g__Cloacibacillus</v>
          </cell>
        </row>
        <row r="7142">
          <cell r="G7142" t="str">
            <v>ASV15294</v>
          </cell>
          <cell r="H7142" t="str">
            <v>g__Christensenellaceae_R-7_group</v>
          </cell>
          <cell r="I7142" t="str">
            <v>s__unclassified_g__Christensenellaceae_R-7_group</v>
          </cell>
        </row>
        <row r="7143">
          <cell r="G7143" t="str">
            <v>ASV12621</v>
          </cell>
          <cell r="H7143" t="str">
            <v>g__unclassified_c__Clostridia</v>
          </cell>
          <cell r="I7143" t="str">
            <v>s__unclassified_c__Clostridia</v>
          </cell>
        </row>
        <row r="7144">
          <cell r="G7144" t="str">
            <v>ASV19161</v>
          </cell>
          <cell r="H7144" t="str">
            <v>g__Clostridium_sensu_stricto_1</v>
          </cell>
          <cell r="I7144" t="str">
            <v>s__unclassified_g__Clostridium_sensu_stricto_1</v>
          </cell>
        </row>
        <row r="7145">
          <cell r="G7145" t="str">
            <v>ASV503</v>
          </cell>
          <cell r="H7145" t="str">
            <v>g__unclassified_f__Lachnospiraceae</v>
          </cell>
          <cell r="I7145" t="str">
            <v>s__unclassified_f__Lachnospiraceae</v>
          </cell>
        </row>
        <row r="7146">
          <cell r="G7146" t="str">
            <v>ASV7671</v>
          </cell>
          <cell r="H7146" t="str">
            <v>g__Lactobacillus</v>
          </cell>
          <cell r="I7146" t="str">
            <v>s__uncultured_bacterium_g__Lactobacillus</v>
          </cell>
        </row>
        <row r="7147">
          <cell r="G7147" t="str">
            <v>ASV16352</v>
          </cell>
          <cell r="H7147" t="str">
            <v>g__Escherichia-Shigella</v>
          </cell>
          <cell r="I7147" t="str">
            <v>s__uncultured_proteobacterium_g__Escherichia-Shigella</v>
          </cell>
        </row>
        <row r="7148">
          <cell r="G7148" t="str">
            <v>ASV9271</v>
          </cell>
          <cell r="H7148" t="str">
            <v>g__Mogibacterium</v>
          </cell>
          <cell r="I7148" t="str">
            <v>s__uncultured_Enterococcus_sp._g__Mogibacterium</v>
          </cell>
        </row>
        <row r="7149">
          <cell r="G7149" t="str">
            <v>ASV23932</v>
          </cell>
          <cell r="H7149" t="str">
            <v>g__Escherichia-Shigella</v>
          </cell>
          <cell r="I7149" t="str">
            <v>s__unclassified_g__Escherichia-Shigella</v>
          </cell>
        </row>
        <row r="7150">
          <cell r="G7150" t="str">
            <v>ASV8708</v>
          </cell>
          <cell r="H7150" t="str">
            <v>g__norank_f__Lachnospiraceae</v>
          </cell>
          <cell r="I7150" t="str">
            <v>s__Lachnospiraceae_bacterium_feline_oral_taxon_008</v>
          </cell>
        </row>
        <row r="7151">
          <cell r="G7151" t="str">
            <v>ASV19412</v>
          </cell>
          <cell r="H7151" t="str">
            <v>g__Parabacteroides</v>
          </cell>
          <cell r="I7151" t="str">
            <v>s__Porphyromonadaceae_bacterium_DJF_B175</v>
          </cell>
        </row>
        <row r="7152">
          <cell r="G7152" t="str">
            <v>ASV13329</v>
          </cell>
          <cell r="H7152" t="str">
            <v>g__unclassified_p__Firmicutes</v>
          </cell>
          <cell r="I7152" t="str">
            <v>s__unclassified_p__Firmicutes</v>
          </cell>
        </row>
        <row r="7153">
          <cell r="G7153" t="str">
            <v>ASV6649</v>
          </cell>
          <cell r="H7153" t="str">
            <v>g__unclassified_c__Bacilli</v>
          </cell>
          <cell r="I7153" t="str">
            <v>s__unclassified_c__Bacilli</v>
          </cell>
        </row>
        <row r="7154">
          <cell r="G7154" t="str">
            <v>ASV8952</v>
          </cell>
          <cell r="H7154" t="str">
            <v>g__Porphyromonas</v>
          </cell>
          <cell r="I7154" t="str">
            <v>s__Porphyromonas_macacae_DSM_20710__JCM_13914</v>
          </cell>
        </row>
        <row r="7155">
          <cell r="G7155" t="str">
            <v>ASV23171</v>
          </cell>
          <cell r="H7155" t="str">
            <v>g__unclassified_c__Clostridia</v>
          </cell>
          <cell r="I7155" t="str">
            <v>s__unclassified_c__Clostridia</v>
          </cell>
        </row>
        <row r="7156">
          <cell r="G7156" t="str">
            <v>ASV10521</v>
          </cell>
          <cell r="H7156" t="str">
            <v>g__norank_f__norank_o__RF39</v>
          </cell>
          <cell r="I7156" t="str">
            <v>s__unclassified_g__norank_f__norank_o__RF39</v>
          </cell>
        </row>
        <row r="7157">
          <cell r="G7157" t="str">
            <v>ASV12638</v>
          </cell>
          <cell r="H7157" t="str">
            <v>g__Prevotella</v>
          </cell>
          <cell r="I7157" t="str">
            <v>s__unclassified_g__Prevotella</v>
          </cell>
        </row>
        <row r="7158">
          <cell r="G7158" t="str">
            <v>ASV14128</v>
          </cell>
          <cell r="H7158" t="str">
            <v>g__Lachnospiraceae_NC2004_group</v>
          </cell>
          <cell r="I7158" t="str">
            <v>s__uncultured_bacterium_g__Lachnospiraceae_NC2004_group</v>
          </cell>
        </row>
        <row r="7159">
          <cell r="G7159" t="str">
            <v>ASV14114</v>
          </cell>
          <cell r="H7159" t="str">
            <v>g__Christensenellaceae_R-7_group</v>
          </cell>
          <cell r="I7159" t="str">
            <v>s__unclassified_g__Christensenellaceae_R-7_group</v>
          </cell>
        </row>
        <row r="7160">
          <cell r="G7160" t="str">
            <v>ASV10171</v>
          </cell>
          <cell r="H7160" t="str">
            <v>g__Fusobacterium</v>
          </cell>
          <cell r="I7160" t="str">
            <v>s__unclassified_g__Fusobacterium</v>
          </cell>
        </row>
        <row r="7161">
          <cell r="G7161" t="str">
            <v>ASV3939</v>
          </cell>
          <cell r="H7161" t="str">
            <v>g__unclassified_f__Lachnospiraceae</v>
          </cell>
          <cell r="I7161" t="str">
            <v>s__unclassified_f__Lachnospiraceae</v>
          </cell>
        </row>
        <row r="7162">
          <cell r="G7162" t="str">
            <v>ASV9288</v>
          </cell>
          <cell r="H7162" t="str">
            <v>g__unclassified_c__Clostridia</v>
          </cell>
          <cell r="I7162" t="str">
            <v>s__unclassified_c__Clostridia</v>
          </cell>
        </row>
        <row r="7163">
          <cell r="G7163" t="str">
            <v>ASV12649</v>
          </cell>
          <cell r="H7163" t="str">
            <v>g__UCG-005</v>
          </cell>
          <cell r="I7163" t="str">
            <v>s__metagenome_g__UCG-005</v>
          </cell>
        </row>
        <row r="7164">
          <cell r="G7164" t="str">
            <v>ASV7631</v>
          </cell>
          <cell r="H7164" t="str">
            <v>g__unclassified_c__Clostridia</v>
          </cell>
          <cell r="I7164" t="str">
            <v>s__unclassified_c__Clostridia</v>
          </cell>
        </row>
        <row r="7165">
          <cell r="G7165" t="str">
            <v>ASV7614</v>
          </cell>
          <cell r="H7165" t="str">
            <v>g__unclassified_f__Ruminococcaceae</v>
          </cell>
          <cell r="I7165" t="str">
            <v>s__unclassified_f__Ruminococcaceae</v>
          </cell>
        </row>
        <row r="7166">
          <cell r="G7166" t="str">
            <v>ASV16853</v>
          </cell>
          <cell r="H7166" t="str">
            <v>g__Christensenellaceae_R-7_group</v>
          </cell>
          <cell r="I7166" t="str">
            <v>s__unclassified_g__Christensenellaceae_R-7_group</v>
          </cell>
        </row>
        <row r="7167">
          <cell r="G7167" t="str">
            <v>ASV540</v>
          </cell>
          <cell r="H7167" t="str">
            <v>g__Terrisporobacter</v>
          </cell>
          <cell r="I7167" t="str">
            <v>s__unclassified_g__Terrisporobacter</v>
          </cell>
        </row>
        <row r="7168">
          <cell r="G7168" t="str">
            <v>ASV22085</v>
          </cell>
          <cell r="H7168" t="str">
            <v>g__Christensenellaceae_R-7_group</v>
          </cell>
          <cell r="I7168" t="str">
            <v>s__unclassified_g__Christensenellaceae_R-7_group</v>
          </cell>
        </row>
        <row r="7169">
          <cell r="G7169" t="str">
            <v>ASV17890</v>
          </cell>
          <cell r="H7169" t="str">
            <v>g__Christensenellaceae_R-7_group</v>
          </cell>
          <cell r="I7169" t="str">
            <v>s__unclassified_g__Christensenellaceae_R-7_group</v>
          </cell>
        </row>
        <row r="7170">
          <cell r="G7170" t="str">
            <v>ASV14112</v>
          </cell>
          <cell r="H7170" t="str">
            <v>g__norank_f__UCG-010</v>
          </cell>
          <cell r="I7170" t="str">
            <v>s__unclassified_g__norank_f__UCG-010</v>
          </cell>
        </row>
        <row r="7171">
          <cell r="G7171" t="str">
            <v>ASV13363</v>
          </cell>
          <cell r="H7171" t="str">
            <v>g__unclassified_o__Lactobacillales</v>
          </cell>
          <cell r="I7171" t="str">
            <v>s__unclassified_o__Lactobacillales</v>
          </cell>
        </row>
        <row r="7172">
          <cell r="G7172" t="str">
            <v>ASV14135</v>
          </cell>
          <cell r="H7172" t="str">
            <v>g__Ruminococcus</v>
          </cell>
          <cell r="I7172" t="str">
            <v>s__uncultured_bacterium_g__Ruminococcus</v>
          </cell>
        </row>
        <row r="7173">
          <cell r="G7173" t="str">
            <v>ASV19383</v>
          </cell>
          <cell r="H7173" t="str">
            <v>g__norank_f__Eubacterium_coprostanoligenes_group</v>
          </cell>
          <cell r="I7173" t="str">
            <v>s__unclassified_g__norank_f__Eubacterium_coprostanoligenes_group</v>
          </cell>
        </row>
        <row r="7174">
          <cell r="G7174" t="str">
            <v>ASV13345</v>
          </cell>
          <cell r="H7174" t="str">
            <v>g__Lactobacillus</v>
          </cell>
          <cell r="I7174" t="str">
            <v>s__unclassified_g__Lactobacillus</v>
          </cell>
        </row>
        <row r="7175">
          <cell r="G7175" t="str">
            <v>ASV15785</v>
          </cell>
          <cell r="H7175" t="str">
            <v>g__Colidextribacter</v>
          </cell>
          <cell r="I7175" t="str">
            <v>s__unclassified_g__Colidextribacter</v>
          </cell>
        </row>
        <row r="7176">
          <cell r="G7176" t="str">
            <v>ASV20690</v>
          </cell>
          <cell r="H7176" t="str">
            <v>g__Lactobacillus</v>
          </cell>
          <cell r="I7176" t="str">
            <v>s__unclassified_g__Lactobacillus</v>
          </cell>
        </row>
        <row r="7177">
          <cell r="G7177" t="str">
            <v>ASV13793</v>
          </cell>
          <cell r="H7177" t="str">
            <v>g__Sharpea</v>
          </cell>
          <cell r="I7177" t="str">
            <v>s__unclassified_g__Sharpea</v>
          </cell>
        </row>
        <row r="7178">
          <cell r="G7178" t="str">
            <v>ASV528</v>
          </cell>
          <cell r="H7178" t="str">
            <v>g__unclassified_f__Ruminococcaceae</v>
          </cell>
          <cell r="I7178" t="str">
            <v>s__unclassified_f__Ruminococcaceae</v>
          </cell>
        </row>
        <row r="7179">
          <cell r="G7179" t="str">
            <v>ASV13572</v>
          </cell>
          <cell r="H7179" t="str">
            <v>g__norank_f__Christensenellaceae</v>
          </cell>
          <cell r="I7179" t="str">
            <v>s__uncultured_bacterium_g__norank_f__Christensenellaceae</v>
          </cell>
        </row>
        <row r="7180">
          <cell r="G7180" t="str">
            <v>ASV12624</v>
          </cell>
          <cell r="H7180" t="str">
            <v>g__Eubacterium_oxidoreducens_group</v>
          </cell>
          <cell r="I7180" t="str">
            <v>s__uncultured_bacterium_g__Eubacterium_oxidoreducens_group</v>
          </cell>
        </row>
        <row r="7181">
          <cell r="G7181" t="str">
            <v>ASV3640</v>
          </cell>
          <cell r="H7181" t="str">
            <v>g__unclassified_f__Planococcaceae</v>
          </cell>
          <cell r="I7181" t="str">
            <v>s__unclassified_f__Planococcaceae</v>
          </cell>
        </row>
        <row r="7182">
          <cell r="G7182" t="str">
            <v>ASV15280</v>
          </cell>
          <cell r="H7182" t="str">
            <v>g__unclassified_p__Firmicutes</v>
          </cell>
          <cell r="I7182" t="str">
            <v>s__unclassified_p__Firmicutes</v>
          </cell>
        </row>
        <row r="7183">
          <cell r="G7183" t="str">
            <v>ASV16847</v>
          </cell>
          <cell r="H7183" t="str">
            <v>g__Prevotellaceae_UCG-003</v>
          </cell>
          <cell r="I7183" t="str">
            <v>s__uncultured_bacterium_g__Prevotellaceae_UCG-003</v>
          </cell>
        </row>
        <row r="7184">
          <cell r="G7184" t="str">
            <v>ASV17185</v>
          </cell>
          <cell r="H7184" t="str">
            <v>g__unclassified_c__Clostridia</v>
          </cell>
          <cell r="I7184" t="str">
            <v>s__unclassified_c__Clostridia</v>
          </cell>
        </row>
        <row r="7185">
          <cell r="G7185" t="str">
            <v>ASV9312</v>
          </cell>
          <cell r="H7185" t="str">
            <v>g__unclassified_f__Lachnospiraceae</v>
          </cell>
          <cell r="I7185" t="str">
            <v>s__unclassified_f__Lachnospiraceae</v>
          </cell>
        </row>
        <row r="7186">
          <cell r="G7186" t="str">
            <v>ASV3371</v>
          </cell>
          <cell r="H7186" t="str">
            <v>g__unclassified_f__Lachnospiraceae</v>
          </cell>
          <cell r="I7186" t="str">
            <v>s__unclassified_f__Lachnospiraceae</v>
          </cell>
        </row>
        <row r="7187">
          <cell r="G7187" t="str">
            <v>ASV23162</v>
          </cell>
          <cell r="H7187" t="str">
            <v>g__Ruminococcus_gauvreauii_group</v>
          </cell>
          <cell r="I7187" t="str">
            <v>s__unclassified_g__Ruminococcus_gauvreauii_group</v>
          </cell>
        </row>
        <row r="7188">
          <cell r="G7188" t="str">
            <v>ASV571</v>
          </cell>
          <cell r="H7188" t="str">
            <v>g__unclassified_f__Lachnospiraceae</v>
          </cell>
          <cell r="I7188" t="str">
            <v>s__unclassified_f__Lachnospiraceae</v>
          </cell>
        </row>
        <row r="7189">
          <cell r="G7189" t="str">
            <v>ASV9287</v>
          </cell>
          <cell r="H7189" t="str">
            <v>g__unclassified_p__Firmicutes</v>
          </cell>
          <cell r="I7189" t="str">
            <v>s__unclassified_p__Firmicutes</v>
          </cell>
        </row>
        <row r="7190">
          <cell r="G7190" t="str">
            <v>ASV11405</v>
          </cell>
          <cell r="H7190" t="str">
            <v>g__Succiniclasticum</v>
          </cell>
          <cell r="I7190" t="str">
            <v>s__uncultured_rumen_bacterium_4C28d-16</v>
          </cell>
        </row>
        <row r="7191">
          <cell r="G7191" t="str">
            <v>ASV20228</v>
          </cell>
          <cell r="H7191" t="str">
            <v>g__unclassified_k__norank_d__Bacteria</v>
          </cell>
          <cell r="I7191" t="str">
            <v>s__unclassified_k__norank_d__Bacteria</v>
          </cell>
        </row>
        <row r="7192">
          <cell r="G7192" t="str">
            <v>ASV6627</v>
          </cell>
          <cell r="H7192" t="str">
            <v>g__unclassified_f__Peptostreptococcaceae</v>
          </cell>
          <cell r="I7192" t="str">
            <v>s__unclassified_f__Peptostreptococcaceae</v>
          </cell>
        </row>
        <row r="7193">
          <cell r="G7193" t="str">
            <v>ASV22036</v>
          </cell>
          <cell r="H7193" t="str">
            <v>g__Parabacteroides</v>
          </cell>
          <cell r="I7193" t="str">
            <v>s__Porphyromonadaceae_bacterium_DJF_B175</v>
          </cell>
        </row>
        <row r="7194">
          <cell r="G7194" t="str">
            <v>ASV23166</v>
          </cell>
          <cell r="H7194" t="str">
            <v>g__unclassified_p__Firmicutes</v>
          </cell>
          <cell r="I7194" t="str">
            <v>s__unclassified_p__Firmicutes</v>
          </cell>
        </row>
        <row r="7195">
          <cell r="G7195" t="str">
            <v>ASV11434</v>
          </cell>
          <cell r="H7195" t="str">
            <v>g__unclassified_f__Prevotellaceae</v>
          </cell>
          <cell r="I7195" t="str">
            <v>s__unclassified_f__Prevotellaceae</v>
          </cell>
        </row>
        <row r="7196">
          <cell r="G7196" t="str">
            <v>ASV11444</v>
          </cell>
          <cell r="H7196" t="str">
            <v>g__Eubacterium_oxidoreducens_group</v>
          </cell>
          <cell r="I7196" t="str">
            <v>s__uncultured_bacterium_g__Eubacterium_oxidoreducens_group</v>
          </cell>
        </row>
        <row r="7197">
          <cell r="G7197" t="str">
            <v>ASV21197</v>
          </cell>
          <cell r="H7197" t="str">
            <v>g__Bifidobacterium</v>
          </cell>
          <cell r="I7197" t="str">
            <v>s__unclassified_g__Bifidobacterium</v>
          </cell>
        </row>
        <row r="7198">
          <cell r="G7198" t="str">
            <v>ASV7668</v>
          </cell>
          <cell r="H7198" t="str">
            <v>g__norank_f__Muribaculaceae</v>
          </cell>
          <cell r="I7198" t="str">
            <v>s__unclassified_g__norank_f__Muribaculaceae</v>
          </cell>
        </row>
        <row r="7199">
          <cell r="G7199" t="str">
            <v>ASV4650</v>
          </cell>
          <cell r="H7199" t="str">
            <v>g__unclassified_c__Clostridia</v>
          </cell>
          <cell r="I7199" t="str">
            <v>s__unclassified_c__Clostridia</v>
          </cell>
        </row>
        <row r="7200">
          <cell r="G7200" t="str">
            <v>ASV2066</v>
          </cell>
          <cell r="H7200" t="str">
            <v>g__norank_f__Peptostreptococcaceae</v>
          </cell>
          <cell r="I7200" t="str">
            <v>s__uncultured_bacterium_g__norank_f__Peptostreptococcaceae</v>
          </cell>
        </row>
        <row r="7201">
          <cell r="G7201" t="str">
            <v>ASV6601</v>
          </cell>
          <cell r="H7201" t="str">
            <v>g__unclassified_f__Lachnospiraceae</v>
          </cell>
          <cell r="I7201" t="str">
            <v>s__unclassified_f__Lachnospiraceae</v>
          </cell>
        </row>
        <row r="7202">
          <cell r="G7202" t="str">
            <v>ASV6638</v>
          </cell>
          <cell r="H7202" t="str">
            <v>g__Cloacibacillus</v>
          </cell>
          <cell r="I7202" t="str">
            <v>s__unclassified_g__Cloacibacillus</v>
          </cell>
        </row>
        <row r="7203">
          <cell r="G7203" t="str">
            <v>ASV23930</v>
          </cell>
          <cell r="H7203" t="str">
            <v>g__Eubacterium_nodatum_group</v>
          </cell>
          <cell r="I7203" t="str">
            <v>s__Eubacterium_sp._68-3-10</v>
          </cell>
        </row>
        <row r="7204">
          <cell r="G7204" t="str">
            <v>ASV542</v>
          </cell>
          <cell r="H7204" t="str">
            <v>g__norank_f__norank_o__Clostridia_vadinBB60_group</v>
          </cell>
          <cell r="I7204" t="str">
            <v>s__unclassified_g__norank_f__norank_o__Clostridia_vadinBB60_group</v>
          </cell>
        </row>
        <row r="7205">
          <cell r="G7205" t="str">
            <v>ASV10535</v>
          </cell>
          <cell r="H7205" t="str">
            <v>g__Lachnoclostridium</v>
          </cell>
          <cell r="I7205" t="str">
            <v>s__unclassified_g__Lachnoclostridium</v>
          </cell>
        </row>
        <row r="7206">
          <cell r="G7206" t="str">
            <v>ASV16336</v>
          </cell>
          <cell r="H7206" t="str">
            <v>g__unclassified_f__Lachnospiraceae</v>
          </cell>
          <cell r="I7206" t="str">
            <v>s__unclassified_f__Lachnospiraceae</v>
          </cell>
        </row>
        <row r="7207">
          <cell r="G7207" t="str">
            <v>ASV17896</v>
          </cell>
          <cell r="H7207" t="str">
            <v>g__unclassified_f__Lachnospiraceae</v>
          </cell>
          <cell r="I7207" t="str">
            <v>s__unclassified_f__Lachnospiraceae</v>
          </cell>
        </row>
        <row r="7208">
          <cell r="G7208" t="str">
            <v>ASV3463</v>
          </cell>
          <cell r="H7208" t="str">
            <v>g__Clostridium_sensu_stricto_1</v>
          </cell>
          <cell r="I7208" t="str">
            <v>s__unclassified_g__Clostridium_sensu_stricto_1</v>
          </cell>
        </row>
        <row r="7209">
          <cell r="G7209" t="str">
            <v>ASV6614</v>
          </cell>
          <cell r="H7209" t="str">
            <v>g__Phascolarctobacterium</v>
          </cell>
          <cell r="I7209" t="str">
            <v>s__unclassified_g__Phascolarctobacterium</v>
          </cell>
        </row>
        <row r="7210">
          <cell r="G7210" t="str">
            <v>ASV19400</v>
          </cell>
          <cell r="H7210" t="str">
            <v>g__norank_f__Eubacterium_coprostanoligenes_group</v>
          </cell>
          <cell r="I7210" t="str">
            <v>s__unclassified_g__norank_f__Eubacterium_coprostanoligenes_group</v>
          </cell>
        </row>
        <row r="7211">
          <cell r="G7211" t="str">
            <v>ASV21994</v>
          </cell>
          <cell r="H7211" t="str">
            <v>g__unclassified_f__Lachnospiraceae</v>
          </cell>
          <cell r="I7211" t="str">
            <v>s__unclassified_f__Lachnospiraceae</v>
          </cell>
        </row>
        <row r="7212">
          <cell r="G7212" t="str">
            <v>ASV5721</v>
          </cell>
          <cell r="H7212" t="str">
            <v>g__unclassified_c__Clostridia</v>
          </cell>
          <cell r="I7212" t="str">
            <v>s__unclassified_c__Clostridia</v>
          </cell>
        </row>
        <row r="7213">
          <cell r="G7213" t="str">
            <v>ASV564</v>
          </cell>
          <cell r="H7213" t="str">
            <v>g__Eubacterium_oxidoreducens_group</v>
          </cell>
          <cell r="I7213" t="str">
            <v>s__uncultured_bacterium_g__Eubacterium_oxidoreducens_group</v>
          </cell>
        </row>
        <row r="7214">
          <cell r="G7214" t="str">
            <v>ASV4660</v>
          </cell>
          <cell r="H7214" t="str">
            <v>g__unclassified_k__norank_d__Bacteria</v>
          </cell>
          <cell r="I7214" t="str">
            <v>s__unclassified_k__norank_d__Bacteria</v>
          </cell>
        </row>
        <row r="7215">
          <cell r="G7215" t="str">
            <v>ASV5784</v>
          </cell>
          <cell r="H7215" t="str">
            <v>g__Eubacterium_oxidoreducens_group</v>
          </cell>
          <cell r="I7215" t="str">
            <v>s__uncultured_bacterium_g__Eubacterium_oxidoreducens_group</v>
          </cell>
        </row>
        <row r="7216">
          <cell r="G7216" t="str">
            <v>ASV2093</v>
          </cell>
          <cell r="H7216" t="str">
            <v>g__Lactobacillus</v>
          </cell>
          <cell r="I7216" t="str">
            <v>s__unclassified_g__Lactobacillus</v>
          </cell>
        </row>
        <row r="7217">
          <cell r="G7217" t="str">
            <v>ASV1620</v>
          </cell>
          <cell r="H7217" t="str">
            <v>g__unclassified_k__norank_d__Bacteria</v>
          </cell>
          <cell r="I7217" t="str">
            <v>s__unclassified_k__norank_d__Bacteria</v>
          </cell>
        </row>
        <row r="7218">
          <cell r="G7218" t="str">
            <v>ASV14131</v>
          </cell>
          <cell r="H7218" t="str">
            <v>g__unclassified_f__Ruminococcaceae</v>
          </cell>
          <cell r="I7218" t="str">
            <v>s__unclassified_f__Ruminococcaceae</v>
          </cell>
        </row>
        <row r="7219">
          <cell r="G7219" t="str">
            <v>ASV5719</v>
          </cell>
          <cell r="H7219" t="str">
            <v>g__Candidatus_Soleaferrea</v>
          </cell>
          <cell r="I7219" t="str">
            <v>s__uncultured_bacterium_g__Candidatus_Soleaferrea</v>
          </cell>
        </row>
        <row r="7220">
          <cell r="G7220" t="str">
            <v>ASV19457</v>
          </cell>
          <cell r="H7220" t="str">
            <v>g__Succiniclasticum</v>
          </cell>
          <cell r="I7220" t="str">
            <v>s__uncultured_bacterium_g__Succiniclasticum</v>
          </cell>
        </row>
        <row r="7221">
          <cell r="G7221" t="str">
            <v>ASV3159</v>
          </cell>
          <cell r="H7221" t="str">
            <v>g__Fusobacterium</v>
          </cell>
          <cell r="I7221" t="str">
            <v>s__unclassified_g__Fusobacterium</v>
          </cell>
        </row>
        <row r="7222">
          <cell r="G7222" t="str">
            <v>ASV4701</v>
          </cell>
          <cell r="H7222" t="str">
            <v>g__Lactobacillus</v>
          </cell>
          <cell r="I7222" t="str">
            <v>s__unclassified_g__Lactobacillus</v>
          </cell>
        </row>
        <row r="7223">
          <cell r="G7223" t="str">
            <v>ASV22005</v>
          </cell>
          <cell r="H7223" t="str">
            <v>g__unclassified_f__Lachnospiraceae</v>
          </cell>
          <cell r="I7223" t="str">
            <v>s__unclassified_f__Lachnospiraceae</v>
          </cell>
        </row>
        <row r="7224">
          <cell r="G7224" t="str">
            <v>ASV21426</v>
          </cell>
          <cell r="H7224" t="str">
            <v>g__Fusobacterium</v>
          </cell>
          <cell r="I7224" t="str">
            <v>s__unclassified_g__Fusobacterium</v>
          </cell>
        </row>
        <row r="7225">
          <cell r="G7225" t="str">
            <v>ASV17870</v>
          </cell>
          <cell r="H7225" t="str">
            <v>g__unclassified_f__Ruminococcaceae</v>
          </cell>
          <cell r="I7225" t="str">
            <v>s__unclassified_f__Ruminococcaceae</v>
          </cell>
        </row>
        <row r="7226">
          <cell r="G7226" t="str">
            <v>ASV13348</v>
          </cell>
          <cell r="H7226" t="str">
            <v>g__Clostridium_sensu_stricto_1</v>
          </cell>
          <cell r="I7226" t="str">
            <v>s__unclassified_g__Clostridium_sensu_stricto_1</v>
          </cell>
        </row>
        <row r="7227">
          <cell r="G7227" t="str">
            <v>ASV19052</v>
          </cell>
          <cell r="H7227" t="str">
            <v>g__unclassified_f__Lachnospiraceae</v>
          </cell>
          <cell r="I7227" t="str">
            <v>s__unclassified_f__Lachnospiraceae</v>
          </cell>
        </row>
        <row r="7228">
          <cell r="G7228" t="str">
            <v>ASV22041</v>
          </cell>
          <cell r="H7228" t="str">
            <v>g__Lachnospiraceae_NC2004_group</v>
          </cell>
          <cell r="I7228" t="str">
            <v>s__uncultured_bacterium_g__Lachnospiraceae_NC2004_group</v>
          </cell>
        </row>
        <row r="7229">
          <cell r="G7229" t="str">
            <v>ASV9279</v>
          </cell>
          <cell r="H7229" t="str">
            <v>g__Holdemanella</v>
          </cell>
          <cell r="I7229" t="str">
            <v>s__unclassified_g__Holdemanella</v>
          </cell>
        </row>
        <row r="7230">
          <cell r="G7230" t="str">
            <v>ASV22066</v>
          </cell>
          <cell r="H7230" t="str">
            <v>g__UCG-002</v>
          </cell>
          <cell r="I7230" t="str">
            <v>s__uncultured_organism_g__UCG-002</v>
          </cell>
        </row>
        <row r="7231">
          <cell r="G7231" t="str">
            <v>ASV23827</v>
          </cell>
          <cell r="H7231" t="str">
            <v>g__Bacteroides</v>
          </cell>
          <cell r="I7231" t="str">
            <v>s__unclassified_g__Bacteroides</v>
          </cell>
        </row>
        <row r="7232">
          <cell r="G7232" t="str">
            <v>ASV8957</v>
          </cell>
          <cell r="H7232" t="str">
            <v>g__unclassified_f__Peptostreptococcaceae</v>
          </cell>
          <cell r="I7232" t="str">
            <v>s__unclassified_f__Peptostreptococcaceae</v>
          </cell>
        </row>
        <row r="7233">
          <cell r="G7233" t="str">
            <v>ASV4677</v>
          </cell>
          <cell r="H7233" t="str">
            <v>g__Prevotella</v>
          </cell>
          <cell r="I7233" t="str">
            <v>s__uncultured_bacterium_g__Prevotella</v>
          </cell>
        </row>
        <row r="7234">
          <cell r="G7234" t="str">
            <v>ASV14115</v>
          </cell>
          <cell r="H7234" t="str">
            <v>g__Christensenellaceae_R-7_group</v>
          </cell>
          <cell r="I7234" t="str">
            <v>s__unclassified_g__Christensenellaceae_R-7_group</v>
          </cell>
        </row>
        <row r="7235">
          <cell r="G7235" t="str">
            <v>ASV19452</v>
          </cell>
          <cell r="H7235" t="str">
            <v>g__Phascolarctobacterium</v>
          </cell>
          <cell r="I7235" t="str">
            <v>s__uncultured_bacterium_g__Phascolarctobacterium</v>
          </cell>
        </row>
        <row r="7236">
          <cell r="G7236" t="str">
            <v>ASV5752</v>
          </cell>
          <cell r="H7236" t="str">
            <v>g__NK4A214_group</v>
          </cell>
          <cell r="I7236" t="str">
            <v>s__unclassified_g__NK4A214_group</v>
          </cell>
        </row>
        <row r="7237">
          <cell r="G7237" t="str">
            <v>ASV2767</v>
          </cell>
          <cell r="H7237" t="str">
            <v>g__Collinsella</v>
          </cell>
          <cell r="I7237" t="str">
            <v>s__unclassified_g__Collinsella</v>
          </cell>
        </row>
        <row r="7238">
          <cell r="G7238" t="str">
            <v>ASV5781</v>
          </cell>
          <cell r="H7238" t="str">
            <v>g__unclassified_f__Lachnospiraceae</v>
          </cell>
          <cell r="I7238" t="str">
            <v>s__unclassified_f__Lachnospiraceae</v>
          </cell>
        </row>
        <row r="7239">
          <cell r="G7239" t="str">
            <v>ASV23152</v>
          </cell>
          <cell r="H7239" t="str">
            <v>g__norank_f__Eubacterium_coprostanoligenes_group</v>
          </cell>
          <cell r="I7239" t="str">
            <v>s__uncultured_bacterium_g__norank_f__Eubacterium_coprostanoligenes_group</v>
          </cell>
        </row>
        <row r="7240">
          <cell r="G7240" t="str">
            <v>ASV14084</v>
          </cell>
          <cell r="H7240" t="str">
            <v>g__unclassified_c__Clostridia</v>
          </cell>
          <cell r="I7240" t="str">
            <v>s__unclassified_c__Clostridia</v>
          </cell>
        </row>
        <row r="7241">
          <cell r="G7241" t="str">
            <v>ASV16331</v>
          </cell>
          <cell r="H7241" t="str">
            <v>g__Eubacterium_oxidoreducens_group</v>
          </cell>
          <cell r="I7241" t="str">
            <v>s__uncultured_bacterium_g__Eubacterium_oxidoreducens_group</v>
          </cell>
        </row>
        <row r="7242">
          <cell r="G7242" t="str">
            <v>ASV5744</v>
          </cell>
          <cell r="H7242" t="str">
            <v>g__unclassified_f__Clostridiaceae</v>
          </cell>
          <cell r="I7242" t="str">
            <v>s__unclassified_f__Clostridiaceae</v>
          </cell>
        </row>
        <row r="7243">
          <cell r="G7243" t="str">
            <v>ASV14063</v>
          </cell>
          <cell r="H7243" t="str">
            <v>g__unclassified_o__Bacteroidales</v>
          </cell>
          <cell r="I7243" t="str">
            <v>s__unclassified_o__Bacteroidales</v>
          </cell>
        </row>
        <row r="7244">
          <cell r="G7244" t="str">
            <v>ASV18837</v>
          </cell>
          <cell r="H7244" t="str">
            <v>g__unclassified_f__Lachnospiraceae</v>
          </cell>
          <cell r="I7244" t="str">
            <v>s__unclassified_f__Lachnospiraceae</v>
          </cell>
        </row>
        <row r="7245">
          <cell r="G7245" t="str">
            <v>ASV496</v>
          </cell>
          <cell r="H7245" t="str">
            <v>g__unclassified_f__Lachnospiraceae</v>
          </cell>
          <cell r="I7245" t="str">
            <v>s__unclassified_f__Lachnospiraceae</v>
          </cell>
        </row>
        <row r="7246">
          <cell r="G7246" t="str">
            <v>ASV19392</v>
          </cell>
          <cell r="H7246" t="str">
            <v>g__Eubacterium_oxidoreducens_group</v>
          </cell>
          <cell r="I7246" t="str">
            <v>s__uncultured_bacterium_g__Eubacterium_oxidoreducens_group</v>
          </cell>
        </row>
        <row r="7247">
          <cell r="G7247" t="str">
            <v>ASV18543</v>
          </cell>
          <cell r="H7247" t="str">
            <v>g__Lactobacillus</v>
          </cell>
          <cell r="I7247" t="str">
            <v>s__unclassified_g__Lactobacillus</v>
          </cell>
        </row>
        <row r="7248">
          <cell r="G7248" t="str">
            <v>ASV19385</v>
          </cell>
          <cell r="H7248" t="str">
            <v>g__unclassified_c__Clostridia</v>
          </cell>
          <cell r="I7248" t="str">
            <v>s__unclassified_c__Clostridia</v>
          </cell>
        </row>
        <row r="7249">
          <cell r="G7249" t="str">
            <v>ASV17881</v>
          </cell>
          <cell r="H7249" t="str">
            <v>g__unclassified_f__Oscillospiraceae</v>
          </cell>
          <cell r="I7249" t="str">
            <v>s__unclassified_f__Oscillospiraceae</v>
          </cell>
        </row>
        <row r="7250">
          <cell r="G7250" t="str">
            <v>ASV516</v>
          </cell>
          <cell r="H7250" t="str">
            <v>g__norank_f__Muribaculaceae</v>
          </cell>
          <cell r="I7250" t="str">
            <v>s__unclassified_g__norank_f__Muribaculaceae</v>
          </cell>
        </row>
        <row r="7251">
          <cell r="G7251" t="str">
            <v>ASV8972</v>
          </cell>
          <cell r="H7251" t="str">
            <v>g__Lactobacillus</v>
          </cell>
          <cell r="I7251" t="str">
            <v>s__unclassified_g__Lactobacillus</v>
          </cell>
        </row>
        <row r="7252">
          <cell r="G7252" t="str">
            <v>ASV17888</v>
          </cell>
          <cell r="H7252" t="str">
            <v>g__unclassified_c__Clostridia</v>
          </cell>
          <cell r="I7252" t="str">
            <v>s__unclassified_c__Clostridia</v>
          </cell>
        </row>
        <row r="7253">
          <cell r="G7253" t="str">
            <v>ASV9282</v>
          </cell>
          <cell r="H7253" t="str">
            <v>g__unclassified_c__Clostridia</v>
          </cell>
          <cell r="I7253" t="str">
            <v>s__unclassified_c__Clostridia</v>
          </cell>
        </row>
        <row r="7254">
          <cell r="G7254" t="str">
            <v>ASV18551</v>
          </cell>
          <cell r="H7254" t="str">
            <v>g__unclassified_f__Lachnospiraceae</v>
          </cell>
          <cell r="I7254" t="str">
            <v>s__unclassified_f__Lachnospiraceae</v>
          </cell>
        </row>
        <row r="7255">
          <cell r="G7255" t="str">
            <v>ASV10173</v>
          </cell>
          <cell r="H7255" t="str">
            <v>g__unclassified_f__Lachnospiraceae</v>
          </cell>
          <cell r="I7255" t="str">
            <v>s__unclassified_f__Lachnospiraceae</v>
          </cell>
        </row>
        <row r="7256">
          <cell r="G7256" t="str">
            <v>ASV15296</v>
          </cell>
          <cell r="H7256" t="str">
            <v>g__norank_f__Ruminococcaceae</v>
          </cell>
          <cell r="I7256" t="str">
            <v>s__uncultured_bacterium_g__norank_f__Ruminococcaceae</v>
          </cell>
        </row>
        <row r="7257">
          <cell r="G7257" t="str">
            <v>ASV20653</v>
          </cell>
          <cell r="H7257" t="str">
            <v>g__unclassified_c__Clostridia</v>
          </cell>
          <cell r="I7257" t="str">
            <v>s__unclassified_c__Clostridia</v>
          </cell>
        </row>
        <row r="7258">
          <cell r="G7258" t="str">
            <v>ASV22006</v>
          </cell>
          <cell r="H7258" t="str">
            <v>g__unclassified_f__Lachnospiraceae</v>
          </cell>
          <cell r="I7258" t="str">
            <v>s__unclassified_f__Lachnospiraceae</v>
          </cell>
        </row>
        <row r="7259">
          <cell r="G7259" t="str">
            <v>ASV17884</v>
          </cell>
          <cell r="H7259" t="str">
            <v>g__Christensenellaceae_R-7_group</v>
          </cell>
          <cell r="I7259" t="str">
            <v>s__uncultured_Clostridia_bacterium_g__Christensenellaceae_R-7_group</v>
          </cell>
        </row>
        <row r="7260">
          <cell r="G7260" t="str">
            <v>ASV11421</v>
          </cell>
          <cell r="H7260" t="str">
            <v>g__norank_f__Eubacterium_coprostanoligenes_group</v>
          </cell>
          <cell r="I7260" t="str">
            <v>s__uncultured_bacterium_g__norank_f__Eubacterium_coprostanoligenes_group</v>
          </cell>
        </row>
        <row r="7261">
          <cell r="G7261" t="str">
            <v>ASV17865</v>
          </cell>
          <cell r="H7261" t="str">
            <v>g__unclassified_k__norank_d__Bacteria</v>
          </cell>
          <cell r="I7261" t="str">
            <v>s__unclassified_k__norank_d__Bacteria</v>
          </cell>
        </row>
        <row r="7262">
          <cell r="G7262" t="str">
            <v>ASV23825</v>
          </cell>
          <cell r="H7262" t="str">
            <v>g__Fusobacterium</v>
          </cell>
          <cell r="I7262" t="str">
            <v>s__unclassified_g__Fusobacterium</v>
          </cell>
        </row>
        <row r="7263">
          <cell r="G7263" t="str">
            <v>ASV7635</v>
          </cell>
          <cell r="H7263" t="str">
            <v>g__unclassified_c__Bacilli</v>
          </cell>
          <cell r="I7263" t="str">
            <v>s__unclassified_c__Bacilli</v>
          </cell>
        </row>
        <row r="7264">
          <cell r="G7264" t="str">
            <v>ASV572</v>
          </cell>
          <cell r="H7264" t="str">
            <v>g__Lactobacillus</v>
          </cell>
          <cell r="I7264" t="str">
            <v>s__unclassified_g__Lactobacillus</v>
          </cell>
        </row>
        <row r="7265">
          <cell r="G7265" t="str">
            <v>ASV20639</v>
          </cell>
          <cell r="H7265" t="str">
            <v>g__Rikenellaceae_RC9_gut_group</v>
          </cell>
          <cell r="I7265" t="str">
            <v>s__unclassified_g__Rikenellaceae_RC9_gut_group</v>
          </cell>
        </row>
        <row r="7266">
          <cell r="G7266" t="str">
            <v>ASV11454</v>
          </cell>
          <cell r="H7266" t="str">
            <v>g__Christensenellaceae_R-7_group</v>
          </cell>
          <cell r="I7266" t="str">
            <v>s__unclassified_g__Christensenellaceae_R-7_group</v>
          </cell>
        </row>
        <row r="7267">
          <cell r="G7267" t="str">
            <v>ASV5742</v>
          </cell>
          <cell r="H7267" t="str">
            <v>g__Holdemanella</v>
          </cell>
          <cell r="I7267" t="str">
            <v>s__uncultured_bacterium_g__Holdemanella</v>
          </cell>
        </row>
        <row r="7268">
          <cell r="G7268" t="str">
            <v>ASV10178</v>
          </cell>
          <cell r="H7268" t="str">
            <v>g__Fusobacterium</v>
          </cell>
          <cell r="I7268" t="str">
            <v>s__unclassified_g__Fusobacterium</v>
          </cell>
        </row>
        <row r="7269">
          <cell r="G7269" t="str">
            <v>ASV21189</v>
          </cell>
          <cell r="H7269" t="str">
            <v>g__Phascolarctobacterium</v>
          </cell>
          <cell r="I7269" t="str">
            <v>s__unclassified_g__Phascolarctobacterium</v>
          </cell>
        </row>
        <row r="7270">
          <cell r="G7270" t="str">
            <v>ASV19449</v>
          </cell>
          <cell r="H7270" t="str">
            <v>g__unclassified_c__Clostridia</v>
          </cell>
          <cell r="I7270" t="str">
            <v>s__unclassified_c__Clostridia</v>
          </cell>
        </row>
        <row r="7271">
          <cell r="G7271" t="str">
            <v>ASV2098</v>
          </cell>
          <cell r="H7271" t="str">
            <v>g__unclassified_c__Clostridia</v>
          </cell>
          <cell r="I7271" t="str">
            <v>s__unclassified_c__Clostridia</v>
          </cell>
        </row>
        <row r="7272">
          <cell r="G7272" t="str">
            <v>ASV16343</v>
          </cell>
          <cell r="H7272" t="str">
            <v>g__unclassified_k__norank_d__Bacteria</v>
          </cell>
          <cell r="I7272" t="str">
            <v>s__unclassified_k__norank_d__Bacteria</v>
          </cell>
        </row>
        <row r="7273">
          <cell r="G7273" t="str">
            <v>ASV21196</v>
          </cell>
          <cell r="H7273" t="str">
            <v>g__unclassified_c__Clostridia</v>
          </cell>
          <cell r="I7273" t="str">
            <v>s__unclassified_c__Clostridia</v>
          </cell>
        </row>
        <row r="7274">
          <cell r="G7274" t="str">
            <v>ASV12657</v>
          </cell>
          <cell r="H7274" t="str">
            <v>g__Bacillus</v>
          </cell>
          <cell r="I7274" t="str">
            <v>s__Lactobacillus_vaginalis_g__Bacillus</v>
          </cell>
        </row>
        <row r="7275">
          <cell r="G7275" t="str">
            <v>ASV22044</v>
          </cell>
          <cell r="H7275" t="str">
            <v>g__unclassified_c__Clostridia</v>
          </cell>
          <cell r="I7275" t="str">
            <v>s__unclassified_c__Clostridia</v>
          </cell>
        </row>
        <row r="7276">
          <cell r="G7276" t="str">
            <v>ASV7626</v>
          </cell>
          <cell r="H7276" t="str">
            <v>g__unclassified_o__Oscillospirales</v>
          </cell>
          <cell r="I7276" t="str">
            <v>s__unclassified_o__Oscillospirales</v>
          </cell>
        </row>
        <row r="7277">
          <cell r="G7277" t="str">
            <v>ASV3163</v>
          </cell>
          <cell r="H7277" t="str">
            <v>g__Lactobacillus</v>
          </cell>
          <cell r="I7277" t="str">
            <v>s__unclassified_g__Lactobacillus</v>
          </cell>
        </row>
        <row r="7278">
          <cell r="G7278" t="str">
            <v>ASV17121</v>
          </cell>
          <cell r="H7278" t="str">
            <v>g__Lactobacillus</v>
          </cell>
          <cell r="I7278" t="str">
            <v>s__unclassified_g__Lactobacillus</v>
          </cell>
        </row>
        <row r="7279">
          <cell r="G7279" t="str">
            <v>ASV20433</v>
          </cell>
          <cell r="H7279" t="str">
            <v>g__unclassified_f__Planococcaceae</v>
          </cell>
          <cell r="I7279" t="str">
            <v>s__unclassified_f__Planococcaceae</v>
          </cell>
        </row>
        <row r="7280">
          <cell r="G7280" t="str">
            <v>ASV10526</v>
          </cell>
          <cell r="H7280" t="str">
            <v>g__norank_f__Eubacterium_coprostanoligenes_group</v>
          </cell>
          <cell r="I7280" t="str">
            <v>s__unclassified_g__norank_f__Eubacterium_coprostanoligenes_group</v>
          </cell>
        </row>
        <row r="7281">
          <cell r="G7281" t="str">
            <v>ASV3171</v>
          </cell>
          <cell r="H7281" t="str">
            <v>g__Lactobacillus</v>
          </cell>
          <cell r="I7281" t="str">
            <v>s__unclassified_g__Lactobacillus</v>
          </cell>
        </row>
        <row r="7282">
          <cell r="G7282" t="str">
            <v>ASV11389</v>
          </cell>
          <cell r="H7282" t="str">
            <v>g__norank_f__norank_o__Clostridia_UCG-014</v>
          </cell>
          <cell r="I7282" t="str">
            <v>s__unclassified_g__norank_f__norank_o__Clostridia_UCG-014</v>
          </cell>
        </row>
        <row r="7283">
          <cell r="G7283" t="str">
            <v>ASV19055</v>
          </cell>
          <cell r="H7283" t="str">
            <v>g__Sharpea</v>
          </cell>
          <cell r="I7283" t="str">
            <v>s__unclassified_g__Sharpea</v>
          </cell>
        </row>
        <row r="7284">
          <cell r="G7284" t="str">
            <v>ASV3950</v>
          </cell>
          <cell r="H7284" t="str">
            <v>g__Streptococcus</v>
          </cell>
          <cell r="I7284" t="str">
            <v>s__unclassified_g__Streptococcus</v>
          </cell>
        </row>
        <row r="7285">
          <cell r="G7285" t="str">
            <v>ASV475</v>
          </cell>
          <cell r="H7285" t="str">
            <v>g__unclassified_f__Peptostreptococcaceae</v>
          </cell>
          <cell r="I7285" t="str">
            <v>s__unclassified_f__Peptostreptococcaceae</v>
          </cell>
        </row>
        <row r="7286">
          <cell r="G7286" t="str">
            <v>ASV5745</v>
          </cell>
          <cell r="H7286" t="str">
            <v>g__Bacteroides</v>
          </cell>
          <cell r="I7286" t="str">
            <v>s__uncultured_bacterium_g__Bacteroides</v>
          </cell>
        </row>
        <row r="7287">
          <cell r="G7287" t="str">
            <v>ASV3912</v>
          </cell>
          <cell r="H7287" t="str">
            <v>g__unclassified_c__Clostridia</v>
          </cell>
          <cell r="I7287" t="str">
            <v>s__unclassified_c__Clostridia</v>
          </cell>
        </row>
        <row r="7288">
          <cell r="G7288" t="str">
            <v>ASV9297</v>
          </cell>
          <cell r="H7288" t="str">
            <v>g__unclassified_f__Lachnospiraceae</v>
          </cell>
          <cell r="I7288" t="str">
            <v>s__unclassified_f__Lachnospiraceae</v>
          </cell>
        </row>
        <row r="7289">
          <cell r="G7289" t="str">
            <v>ASV19454</v>
          </cell>
          <cell r="H7289" t="str">
            <v>g__Lactobacillus</v>
          </cell>
          <cell r="I7289" t="str">
            <v>s__unclassified_g__Lactobacillus</v>
          </cell>
        </row>
        <row r="7290">
          <cell r="G7290" t="str">
            <v>ASV13362</v>
          </cell>
          <cell r="H7290" t="str">
            <v>g__Christensenellaceae_R-7_group</v>
          </cell>
          <cell r="I7290" t="str">
            <v>s__unclassified_g__Christensenellaceae_R-7_group</v>
          </cell>
        </row>
        <row r="7291">
          <cell r="G7291" t="str">
            <v>ASV11394</v>
          </cell>
          <cell r="H7291" t="str">
            <v>g__unclassified_f__Anaerovoracaceae</v>
          </cell>
          <cell r="I7291" t="str">
            <v>s__unclassified_f__Anaerovoracaceae</v>
          </cell>
        </row>
        <row r="7292">
          <cell r="G7292" t="str">
            <v>ASV18750</v>
          </cell>
          <cell r="H7292" t="str">
            <v>g__unclassified_f__Rhizobiaceae</v>
          </cell>
          <cell r="I7292" t="str">
            <v>s__unclassified_f__Rhizobiaceae</v>
          </cell>
        </row>
        <row r="7293">
          <cell r="G7293" t="str">
            <v>ASV17885</v>
          </cell>
          <cell r="H7293" t="str">
            <v>g__unclassified_c__Clostridia</v>
          </cell>
          <cell r="I7293" t="str">
            <v>s__unclassified_c__Clostridia</v>
          </cell>
        </row>
        <row r="7294">
          <cell r="G7294" t="str">
            <v>ASV20430</v>
          </cell>
          <cell r="H7294" t="str">
            <v>g__Agaricicola</v>
          </cell>
          <cell r="I7294" t="str">
            <v>s__Agaricicola_taiwanensis</v>
          </cell>
        </row>
        <row r="7295">
          <cell r="G7295" t="str">
            <v>ASV12659</v>
          </cell>
          <cell r="H7295" t="str">
            <v>g__UCG-005</v>
          </cell>
          <cell r="I7295" t="str">
            <v>s__unclassified_g__UCG-005</v>
          </cell>
        </row>
        <row r="7296">
          <cell r="G7296" t="str">
            <v>ASV14089</v>
          </cell>
          <cell r="H7296" t="str">
            <v>g__unclassified_c__Clostridia</v>
          </cell>
          <cell r="I7296" t="str">
            <v>s__unclassified_c__Clostridia</v>
          </cell>
        </row>
        <row r="7297">
          <cell r="G7297" t="str">
            <v>ASV7654</v>
          </cell>
          <cell r="H7297" t="str">
            <v>g__Eubacterium_oxidoreducens_group</v>
          </cell>
          <cell r="I7297" t="str">
            <v>s__uncultured_bacterium_g__Eubacterium_oxidoreducens_group</v>
          </cell>
        </row>
        <row r="7298">
          <cell r="G7298" t="str">
            <v>ASV4722</v>
          </cell>
          <cell r="H7298" t="str">
            <v>g__unclassified_c__Clostridia</v>
          </cell>
          <cell r="I7298" t="str">
            <v>s__unclassified_c__Clostridia</v>
          </cell>
        </row>
        <row r="7299">
          <cell r="G7299" t="str">
            <v>ASV507</v>
          </cell>
          <cell r="H7299" t="str">
            <v>g__unclassified_f__Lachnospiraceae</v>
          </cell>
          <cell r="I7299" t="str">
            <v>s__unclassified_f__Lachnospiraceae</v>
          </cell>
        </row>
        <row r="7300">
          <cell r="G7300" t="str">
            <v>ASV19415</v>
          </cell>
          <cell r="H7300" t="str">
            <v>g__unclassified_f__Prevotellaceae</v>
          </cell>
          <cell r="I7300" t="str">
            <v>s__unclassified_f__Prevotellaceae</v>
          </cell>
        </row>
        <row r="7301">
          <cell r="G7301" t="str">
            <v>ASV8962</v>
          </cell>
          <cell r="H7301" t="str">
            <v>g__Clostridium_sensu_stricto_6</v>
          </cell>
          <cell r="I7301" t="str">
            <v>s__Clostridium_bornimense</v>
          </cell>
        </row>
        <row r="7302">
          <cell r="G7302" t="str">
            <v>ASV8738</v>
          </cell>
          <cell r="H7302" t="str">
            <v>g__Enterococcus</v>
          </cell>
          <cell r="I7302" t="str">
            <v>s__unclassified_g__Enterococcus</v>
          </cell>
        </row>
        <row r="7303">
          <cell r="G7303" t="str">
            <v>ASV18836</v>
          </cell>
          <cell r="H7303" t="str">
            <v>g__Fusobacterium</v>
          </cell>
          <cell r="I7303" t="str">
            <v>s__unclassified_g__Fusobacterium</v>
          </cell>
        </row>
        <row r="7304">
          <cell r="G7304" t="str">
            <v>ASV23136</v>
          </cell>
          <cell r="H7304" t="str">
            <v>g__unclassified_k__norank_d__Bacteria</v>
          </cell>
          <cell r="I7304" t="str">
            <v>s__unclassified_k__norank_d__Bacteria</v>
          </cell>
        </row>
        <row r="7305">
          <cell r="G7305" t="str">
            <v>ASV12656</v>
          </cell>
          <cell r="H7305" t="str">
            <v>g__unclassified_f__Lachnospiraceae</v>
          </cell>
          <cell r="I7305" t="str">
            <v>s__unclassified_f__Lachnospiraceae</v>
          </cell>
        </row>
        <row r="7306">
          <cell r="G7306" t="str">
            <v>ASV519</v>
          </cell>
          <cell r="H7306" t="str">
            <v>g__unclassified_c__Clostridia</v>
          </cell>
          <cell r="I7306" t="str">
            <v>s__unclassified_c__Clostridia</v>
          </cell>
        </row>
        <row r="7307">
          <cell r="G7307" t="str">
            <v>ASV17872</v>
          </cell>
          <cell r="H7307" t="str">
            <v>g__Treponema</v>
          </cell>
          <cell r="I7307" t="str">
            <v>s__Treponema_porcinum</v>
          </cell>
        </row>
        <row r="7308">
          <cell r="G7308" t="str">
            <v>ASV19375</v>
          </cell>
          <cell r="H7308" t="str">
            <v>g__unclassified_f__Lachnospiraceae</v>
          </cell>
          <cell r="I7308" t="str">
            <v>s__unclassified_f__Lachnospiraceae</v>
          </cell>
        </row>
        <row r="7309">
          <cell r="G7309" t="str">
            <v>ASV2047</v>
          </cell>
          <cell r="H7309" t="str">
            <v>g__unclassified_c__Bacilli</v>
          </cell>
          <cell r="I7309" t="str">
            <v>s__unclassified_c__Bacilli</v>
          </cell>
        </row>
        <row r="7310">
          <cell r="G7310" t="str">
            <v>ASV20663</v>
          </cell>
          <cell r="H7310" t="str">
            <v>g__Phascolarctobacterium</v>
          </cell>
          <cell r="I7310" t="str">
            <v>s__unclassified_g__Phascolarctobacterium</v>
          </cell>
        </row>
        <row r="7311">
          <cell r="G7311" t="str">
            <v>ASV2042</v>
          </cell>
          <cell r="H7311" t="str">
            <v>g__unclassified_c__Clostridia</v>
          </cell>
          <cell r="I7311" t="str">
            <v>s__unclassified_c__Clostridia</v>
          </cell>
        </row>
        <row r="7312">
          <cell r="G7312" t="str">
            <v>ASV21584</v>
          </cell>
          <cell r="H7312" t="str">
            <v>g__unclassified_f__Lachnospiraceae</v>
          </cell>
          <cell r="I7312" t="str">
            <v>s__unclassified_f__Lachnospiraceae</v>
          </cell>
        </row>
        <row r="7313">
          <cell r="G7313" t="str">
            <v>ASV24113</v>
          </cell>
          <cell r="H7313" t="str">
            <v>g__unclassified_f__Anaerovoracaceae</v>
          </cell>
          <cell r="I7313" t="str">
            <v>s__unclassified_f__Anaerovoracaceae</v>
          </cell>
        </row>
        <row r="7314">
          <cell r="G7314" t="str">
            <v>ASV9995</v>
          </cell>
          <cell r="H7314" t="str">
            <v>g__Monoglobus</v>
          </cell>
          <cell r="I7314" t="str">
            <v>s__unclassified_g__Monoglobus</v>
          </cell>
        </row>
        <row r="7315">
          <cell r="G7315" t="str">
            <v>ASV12636</v>
          </cell>
          <cell r="H7315" t="str">
            <v>g__norank_f__Erysipelotrichaceae</v>
          </cell>
          <cell r="I7315" t="str">
            <v>s__uncultured_bacterium_g__norank_f__Erysipelotrichaceae</v>
          </cell>
        </row>
        <row r="7316">
          <cell r="G7316" t="str">
            <v>ASV7281</v>
          </cell>
          <cell r="H7316" t="str">
            <v>g__P3OB-42</v>
          </cell>
          <cell r="I7316" t="str">
            <v>s__metagenome_g__P3OB-42</v>
          </cell>
        </row>
        <row r="7317">
          <cell r="G7317" t="str">
            <v>ASV557</v>
          </cell>
          <cell r="H7317" t="str">
            <v>g__unclassified_f__Lachnospiraceae</v>
          </cell>
          <cell r="I7317" t="str">
            <v>s__unclassified_f__Lachnospiraceae</v>
          </cell>
        </row>
        <row r="7318">
          <cell r="G7318" t="str">
            <v>ASV17920</v>
          </cell>
          <cell r="H7318" t="str">
            <v>g__unclassified_c__Clostridia</v>
          </cell>
          <cell r="I7318" t="str">
            <v>s__unclassified_c__Clostridia</v>
          </cell>
        </row>
        <row r="7319">
          <cell r="G7319" t="str">
            <v>ASV17273</v>
          </cell>
          <cell r="H7319" t="str">
            <v>g__Corynebacterium</v>
          </cell>
          <cell r="I7319" t="str">
            <v>s__unclassified_g__Corynebacterium</v>
          </cell>
        </row>
        <row r="7320">
          <cell r="G7320" t="str">
            <v>ASV2058</v>
          </cell>
          <cell r="H7320" t="str">
            <v>g__unclassified_f__Lachnospiraceae</v>
          </cell>
          <cell r="I7320" t="str">
            <v>s__unclassified_f__Lachnospiraceae</v>
          </cell>
        </row>
        <row r="7321">
          <cell r="G7321" t="str">
            <v>ASV19397</v>
          </cell>
          <cell r="H7321" t="str">
            <v>g__unclassified_c__Clostridia</v>
          </cell>
          <cell r="I7321" t="str">
            <v>s__unclassified_c__Clostridia</v>
          </cell>
        </row>
        <row r="7322">
          <cell r="G7322" t="str">
            <v>ASV18549</v>
          </cell>
          <cell r="H7322" t="str">
            <v>g__Lactobacillus</v>
          </cell>
          <cell r="I7322" t="str">
            <v>s__unclassified_g__Lactobacillus</v>
          </cell>
        </row>
        <row r="7323">
          <cell r="G7323" t="str">
            <v>ASV19430</v>
          </cell>
          <cell r="H7323" t="str">
            <v>g__Lachnospiraceae_UCG-004</v>
          </cell>
          <cell r="I7323" t="str">
            <v>s__uncultured_bacterium_g__Lachnospiraceae_UCG-004</v>
          </cell>
        </row>
        <row r="7324">
          <cell r="G7324" t="str">
            <v>ASV24130</v>
          </cell>
          <cell r="H7324" t="str">
            <v>g__Lactobacillus</v>
          </cell>
          <cell r="I7324" t="str">
            <v>s__unclassified_g__Lactobacillus</v>
          </cell>
        </row>
        <row r="7325">
          <cell r="G7325" t="str">
            <v>ASV16858</v>
          </cell>
          <cell r="H7325" t="str">
            <v>g__Lactobacillus</v>
          </cell>
          <cell r="I7325" t="str">
            <v>s__unclassified_g__Lactobacillus</v>
          </cell>
        </row>
        <row r="7326">
          <cell r="G7326" t="str">
            <v>ASV10075</v>
          </cell>
          <cell r="H7326" t="str">
            <v>g__Lactobacillus</v>
          </cell>
          <cell r="I7326" t="str">
            <v>s__unclassified_g__Lactobacillus</v>
          </cell>
        </row>
        <row r="7327">
          <cell r="G7327" t="str">
            <v>ASV22058</v>
          </cell>
          <cell r="H7327" t="str">
            <v>g__UCG-002</v>
          </cell>
          <cell r="I7327" t="str">
            <v>s__uncultured_bacterium_g__UCG-002</v>
          </cell>
        </row>
        <row r="7328">
          <cell r="G7328" t="str">
            <v>ASV4713</v>
          </cell>
          <cell r="H7328" t="str">
            <v>g__Lactobacillus</v>
          </cell>
          <cell r="I7328" t="str">
            <v>s__unclassified_g__Lactobacillus</v>
          </cell>
        </row>
        <row r="7329">
          <cell r="G7329" t="str">
            <v>ASV21590</v>
          </cell>
          <cell r="H7329" t="str">
            <v>g__Fusobacterium</v>
          </cell>
          <cell r="I7329" t="str">
            <v>s__unclassified_g__Fusobacterium</v>
          </cell>
        </row>
        <row r="7330">
          <cell r="G7330" t="str">
            <v>ASV17598</v>
          </cell>
          <cell r="H7330" t="str">
            <v>g__Escherichia-Shigella</v>
          </cell>
          <cell r="I7330" t="str">
            <v>s__unclassified_g__Escherichia-Shigella</v>
          </cell>
        </row>
        <row r="7331">
          <cell r="G7331" t="str">
            <v>ASV19458</v>
          </cell>
          <cell r="H7331" t="str">
            <v>g__Roseburia</v>
          </cell>
          <cell r="I7331" t="str">
            <v>s__unclassified_g__Roseburia</v>
          </cell>
        </row>
        <row r="7332">
          <cell r="G7332" t="str">
            <v>ASV22033</v>
          </cell>
          <cell r="H7332" t="str">
            <v>g__unclassified_o__Oscillospirales</v>
          </cell>
          <cell r="I7332" t="str">
            <v>s__unclassified_o__Oscillospirales</v>
          </cell>
        </row>
        <row r="7333">
          <cell r="G7333" t="str">
            <v>ASV11415</v>
          </cell>
          <cell r="H7333" t="str">
            <v>g__unclassified_c__Clostridia</v>
          </cell>
          <cell r="I7333" t="str">
            <v>s__unclassified_c__Clostridia</v>
          </cell>
        </row>
        <row r="7334">
          <cell r="G7334" t="str">
            <v>ASV8792</v>
          </cell>
          <cell r="H7334" t="str">
            <v>g__Prevotella</v>
          </cell>
          <cell r="I7334" t="str">
            <v>s__unclassified_g__Prevotella</v>
          </cell>
        </row>
        <row r="7335">
          <cell r="G7335" t="str">
            <v>ASV11465</v>
          </cell>
          <cell r="H7335" t="str">
            <v>g__UCG-005</v>
          </cell>
          <cell r="I7335" t="str">
            <v>s__unclassified_g__UCG-005</v>
          </cell>
        </row>
        <row r="7336">
          <cell r="G7336" t="str">
            <v>ASV11447</v>
          </cell>
          <cell r="H7336" t="str">
            <v>g__unclassified_f__Lachnospiraceae</v>
          </cell>
          <cell r="I7336" t="str">
            <v>s__unclassified_f__Lachnospiraceae</v>
          </cell>
        </row>
        <row r="7337">
          <cell r="G7337" t="str">
            <v>ASV17901</v>
          </cell>
          <cell r="H7337" t="str">
            <v>g__unclassified_k__norank_d__Bacteria</v>
          </cell>
          <cell r="I7337" t="str">
            <v>s__unclassified_k__norank_d__Bacteria</v>
          </cell>
        </row>
        <row r="7338">
          <cell r="G7338" t="str">
            <v>ASV505</v>
          </cell>
          <cell r="H7338" t="str">
            <v>g__Eubacterium_oxidoreducens_group</v>
          </cell>
          <cell r="I7338" t="str">
            <v>s__unclassified_g__Eubacterium_oxidoreducens_group</v>
          </cell>
        </row>
        <row r="7339">
          <cell r="G7339" t="str">
            <v>ASV521</v>
          </cell>
          <cell r="H7339" t="str">
            <v>g__norank_f__Oscillospiraceae</v>
          </cell>
          <cell r="I7339" t="str">
            <v>s__unclassified_g__norank_f__Oscillospiraceae</v>
          </cell>
        </row>
        <row r="7340">
          <cell r="G7340" t="str">
            <v>ASV8462</v>
          </cell>
          <cell r="H7340" t="str">
            <v>g__Megasphaera</v>
          </cell>
          <cell r="I7340" t="str">
            <v>s__unclassified_g__Megasphaera</v>
          </cell>
        </row>
        <row r="7341">
          <cell r="G7341" t="str">
            <v>ASV23931</v>
          </cell>
          <cell r="H7341" t="str">
            <v>g__Desulfovibrio</v>
          </cell>
          <cell r="I7341" t="str">
            <v>s__unclassified_g__Desulfovibrio</v>
          </cell>
        </row>
        <row r="7342">
          <cell r="G7342" t="str">
            <v>ASV19428</v>
          </cell>
          <cell r="H7342" t="str">
            <v>g__Lachnospiraceae_NC2004_group</v>
          </cell>
          <cell r="I7342" t="str">
            <v>s__uncultured_bacterium_g__Lachnospiraceae_NC2004_group</v>
          </cell>
        </row>
        <row r="7343">
          <cell r="G7343" t="str">
            <v>ASV5735</v>
          </cell>
          <cell r="H7343" t="str">
            <v>g__unclassified_o__Oscillospirales</v>
          </cell>
          <cell r="I7343" t="str">
            <v>s__unclassified_o__Oscillospirales</v>
          </cell>
        </row>
        <row r="7344">
          <cell r="G7344" t="str">
            <v>ASV7647</v>
          </cell>
          <cell r="H7344" t="str">
            <v>g__Ruminococcus</v>
          </cell>
          <cell r="I7344" t="str">
            <v>s__bacterium_ic1277</v>
          </cell>
        </row>
        <row r="7345">
          <cell r="G7345" t="str">
            <v>ASV14071</v>
          </cell>
          <cell r="H7345" t="str">
            <v>g__unclassified_c__Clostridia</v>
          </cell>
          <cell r="I7345" t="str">
            <v>s__unclassified_c__Clostridia</v>
          </cell>
        </row>
        <row r="7346">
          <cell r="G7346" t="str">
            <v>ASV7673</v>
          </cell>
          <cell r="H7346" t="str">
            <v>g__unclassified_c__Clostridia</v>
          </cell>
          <cell r="I7346" t="str">
            <v>s__unclassified_c__Clostridia</v>
          </cell>
        </row>
        <row r="7347">
          <cell r="G7347" t="str">
            <v>ASV7043</v>
          </cell>
          <cell r="H7347" t="str">
            <v>g__unclassified_f__Lachnospiraceae</v>
          </cell>
          <cell r="I7347" t="str">
            <v>s__unclassified_f__Lachnospiraceae</v>
          </cell>
        </row>
        <row r="7348">
          <cell r="G7348" t="str">
            <v>ASV14056</v>
          </cell>
          <cell r="H7348" t="str">
            <v>g__norank_f__Muribaculaceae</v>
          </cell>
          <cell r="I7348" t="str">
            <v>s__uncultured_bacterium_g__norank_f__Muribaculaceae</v>
          </cell>
        </row>
        <row r="7349">
          <cell r="G7349" t="str">
            <v>ASV14124</v>
          </cell>
          <cell r="H7349" t="str">
            <v>g__unclassified_f__Prevotellaceae</v>
          </cell>
          <cell r="I7349" t="str">
            <v>s__unclassified_f__Prevotellaceae</v>
          </cell>
        </row>
        <row r="7350">
          <cell r="G7350" t="str">
            <v>ASV17353</v>
          </cell>
          <cell r="H7350" t="str">
            <v>g__unclassified_f__Peptostreptococcaceae</v>
          </cell>
          <cell r="I7350" t="str">
            <v>s__unclassified_f__Peptostreptococcaceae</v>
          </cell>
        </row>
        <row r="7351">
          <cell r="G7351" t="str">
            <v>ASV7665</v>
          </cell>
          <cell r="H7351" t="str">
            <v>g__unclassified_c__Clostridia</v>
          </cell>
          <cell r="I7351" t="str">
            <v>s__unclassified_c__Clostridia</v>
          </cell>
        </row>
        <row r="7352">
          <cell r="G7352" t="str">
            <v>ASV19439</v>
          </cell>
          <cell r="H7352" t="str">
            <v>g__unclassified_p__Firmicutes</v>
          </cell>
          <cell r="I7352" t="str">
            <v>s__unclassified_p__Firmicutes</v>
          </cell>
        </row>
        <row r="7353">
          <cell r="G7353" t="str">
            <v>ASV10531</v>
          </cell>
          <cell r="H7353" t="str">
            <v>g__Enterorhabdus</v>
          </cell>
          <cell r="I7353" t="str">
            <v>s__uncultured_bacterium_g__Enterorhabdus</v>
          </cell>
        </row>
        <row r="7354">
          <cell r="G7354" t="str">
            <v>ASV21582</v>
          </cell>
          <cell r="H7354" t="str">
            <v>g__Megasphaera</v>
          </cell>
          <cell r="I7354" t="str">
            <v>s__unclassified_g__Megasphaera</v>
          </cell>
        </row>
        <row r="7355">
          <cell r="G7355" t="str">
            <v>ASV15791</v>
          </cell>
          <cell r="H7355" t="str">
            <v>g__Veillonella</v>
          </cell>
          <cell r="I7355" t="str">
            <v>s__unclassified_g__Veillonella</v>
          </cell>
        </row>
        <row r="7356">
          <cell r="G7356" t="str">
            <v>ASV17474</v>
          </cell>
          <cell r="H7356" t="str">
            <v>g__unclassified_k__norank_d__Bacteria</v>
          </cell>
          <cell r="I7356" t="str">
            <v>s__unclassified_k__norank_d__Bacteria</v>
          </cell>
        </row>
        <row r="7357">
          <cell r="G7357" t="str">
            <v>ASV513</v>
          </cell>
          <cell r="H7357" t="str">
            <v>g__Colidextribacter</v>
          </cell>
          <cell r="I7357" t="str">
            <v>s__unclassified_g__Colidextribacter</v>
          </cell>
        </row>
        <row r="7358">
          <cell r="G7358" t="str">
            <v>ASV11455</v>
          </cell>
          <cell r="H7358" t="str">
            <v>g__Colidextribacter</v>
          </cell>
          <cell r="I7358" t="str">
            <v>s__unclassified_g__Colidextribacter</v>
          </cell>
        </row>
        <row r="7359">
          <cell r="G7359" t="str">
            <v>ASV494</v>
          </cell>
          <cell r="H7359" t="str">
            <v>g__unclassified_f__Lachnospiraceae</v>
          </cell>
          <cell r="I7359" t="str">
            <v>s__unclassified_f__Lachnospiraceae</v>
          </cell>
        </row>
        <row r="7360">
          <cell r="G7360" t="str">
            <v>ASV17597</v>
          </cell>
          <cell r="H7360" t="str">
            <v>g__unclassified_f__Lachnospiraceae</v>
          </cell>
          <cell r="I7360" t="str">
            <v>s__unclassified_f__Lachnospiraceae</v>
          </cell>
        </row>
        <row r="7361">
          <cell r="G7361" t="str">
            <v>ASV7643</v>
          </cell>
          <cell r="H7361" t="str">
            <v>g__unclassified_f__Ruminococcaceae</v>
          </cell>
          <cell r="I7361" t="str">
            <v>s__unclassified_f__Ruminococcaceae</v>
          </cell>
        </row>
        <row r="7362">
          <cell r="G7362" t="str">
            <v>ASV10561</v>
          </cell>
          <cell r="H7362" t="str">
            <v>g__Romboutsia</v>
          </cell>
          <cell r="I7362" t="str">
            <v>s__unclassified_g__Romboutsia</v>
          </cell>
        </row>
        <row r="7363">
          <cell r="G7363" t="str">
            <v>ASV3956</v>
          </cell>
          <cell r="H7363" t="str">
            <v>g__Rikenellaceae_RC9_gut_group</v>
          </cell>
          <cell r="I7363" t="str">
            <v>s__uncultured_bacterium_g__Rikenellaceae_RC9_gut_group</v>
          </cell>
        </row>
        <row r="7364">
          <cell r="G7364" t="str">
            <v>ASV510</v>
          </cell>
          <cell r="H7364" t="str">
            <v>g__Subdoligranulum</v>
          </cell>
          <cell r="I7364" t="str">
            <v>s__unclassified_g__Subdoligranulum</v>
          </cell>
        </row>
        <row r="7365">
          <cell r="G7365" t="str">
            <v>ASV9307</v>
          </cell>
          <cell r="H7365" t="str">
            <v>g__unclassified_f__Lachnospiraceae</v>
          </cell>
          <cell r="I7365" t="str">
            <v>s__unclassified_f__Lachnospiraceae</v>
          </cell>
        </row>
        <row r="7366">
          <cell r="G7366" t="str">
            <v>ASV23173</v>
          </cell>
          <cell r="H7366" t="str">
            <v>g__Christensenellaceae_R-7_group</v>
          </cell>
          <cell r="I7366" t="str">
            <v>s__unclassified_g__Christensenellaceae_R-7_group</v>
          </cell>
        </row>
        <row r="7367">
          <cell r="G7367" t="str">
            <v>ASV3921</v>
          </cell>
          <cell r="H7367" t="str">
            <v>g__norank_f__Oscillospiraceae</v>
          </cell>
          <cell r="I7367" t="str">
            <v>s__unclassified_g__norank_f__Oscillospiraceae</v>
          </cell>
        </row>
        <row r="7368">
          <cell r="G7368" t="str">
            <v>ASV7342</v>
          </cell>
          <cell r="H7368" t="str">
            <v>g__Veillonella</v>
          </cell>
          <cell r="I7368" t="str">
            <v>s__unclassified_g__Veillonella</v>
          </cell>
        </row>
        <row r="7369">
          <cell r="G7369" t="str">
            <v>ASV14103</v>
          </cell>
          <cell r="H7369" t="str">
            <v>g__Lactobacillus</v>
          </cell>
          <cell r="I7369" t="str">
            <v>s__unclassified_g__Lactobacillus</v>
          </cell>
        </row>
        <row r="7370">
          <cell r="G7370" t="str">
            <v>ASV16358</v>
          </cell>
          <cell r="H7370" t="str">
            <v>g__Bacteroides</v>
          </cell>
          <cell r="I7370" t="str">
            <v>s__unclassified_g__Bacteroides</v>
          </cell>
        </row>
        <row r="7371">
          <cell r="G7371" t="str">
            <v>ASV14105</v>
          </cell>
          <cell r="H7371" t="str">
            <v>g__Ruminococcus</v>
          </cell>
          <cell r="I7371" t="str">
            <v>s__bacterium_ic1277</v>
          </cell>
        </row>
        <row r="7372">
          <cell r="G7372" t="str">
            <v>ASV7653</v>
          </cell>
          <cell r="H7372" t="str">
            <v>g__unclassified_c__Clostridia</v>
          </cell>
          <cell r="I7372" t="str">
            <v>s__unclassified_c__Clostridia</v>
          </cell>
        </row>
        <row r="7373">
          <cell r="G7373" t="str">
            <v>ASV17919</v>
          </cell>
          <cell r="H7373" t="str">
            <v>g__Christensenellaceae_R-7_group</v>
          </cell>
          <cell r="I7373" t="str">
            <v>s__unclassified_g__Christensenellaceae_R-7_group</v>
          </cell>
        </row>
        <row r="7374">
          <cell r="G7374" t="str">
            <v>ASV22083</v>
          </cell>
          <cell r="H7374" t="str">
            <v>g__unclassified_p__Firmicutes</v>
          </cell>
          <cell r="I7374" t="str">
            <v>s__unclassified_p__Firmicutes</v>
          </cell>
        </row>
        <row r="7375">
          <cell r="G7375" t="str">
            <v>ASV7609</v>
          </cell>
          <cell r="H7375" t="str">
            <v>g__unclassified_c__Clostridia</v>
          </cell>
          <cell r="I7375" t="str">
            <v>s__unclassified_c__Clostridia</v>
          </cell>
        </row>
        <row r="7376">
          <cell r="G7376" t="str">
            <v>ASV7666</v>
          </cell>
          <cell r="H7376" t="str">
            <v>g__Christensenellaceae_R-7_group</v>
          </cell>
          <cell r="I7376" t="str">
            <v>s__unclassified_g__Christensenellaceae_R-7_group</v>
          </cell>
        </row>
        <row r="7377">
          <cell r="G7377" t="str">
            <v>ASV6646</v>
          </cell>
          <cell r="H7377" t="str">
            <v>g__norank_f__Eubacterium_coprostanoligenes_group</v>
          </cell>
          <cell r="I7377" t="str">
            <v>s__unclassified_g__norank_f__Eubacterium_coprostanoligenes_group</v>
          </cell>
        </row>
        <row r="7378">
          <cell r="G7378" t="str">
            <v>ASV3942</v>
          </cell>
          <cell r="H7378" t="str">
            <v>g__unclassified_k__norank_d__Bacteria</v>
          </cell>
          <cell r="I7378" t="str">
            <v>s__unclassified_k__norank_d__Bacteria</v>
          </cell>
        </row>
        <row r="7379">
          <cell r="G7379" t="str">
            <v>ASV19426</v>
          </cell>
          <cell r="H7379" t="str">
            <v>g__Lactobacillus</v>
          </cell>
          <cell r="I7379" t="str">
            <v>s__unclassified_g__Lactobacillus</v>
          </cell>
        </row>
        <row r="7380">
          <cell r="G7380" t="str">
            <v>ASV8475</v>
          </cell>
          <cell r="H7380" t="str">
            <v>g__Veillonella</v>
          </cell>
          <cell r="I7380" t="str">
            <v>s__unclassified_g__Veillonella</v>
          </cell>
        </row>
        <row r="7381">
          <cell r="G7381" t="str">
            <v>ASV23131</v>
          </cell>
          <cell r="H7381" t="str">
            <v>g__Peptococcus</v>
          </cell>
          <cell r="I7381" t="str">
            <v>s__uncultured_bacterium_g__Peptococcus</v>
          </cell>
        </row>
        <row r="7382">
          <cell r="G7382" t="str">
            <v>ASV6647</v>
          </cell>
          <cell r="H7382" t="str">
            <v>g__Enterococcus</v>
          </cell>
          <cell r="I7382" t="str">
            <v>s__unclassified_g__Enterococcus</v>
          </cell>
        </row>
        <row r="7383">
          <cell r="G7383" t="str">
            <v>ASV3462</v>
          </cell>
          <cell r="H7383" t="str">
            <v>g__Megasphaera</v>
          </cell>
          <cell r="I7383" t="str">
            <v>s__unclassified_g__Megasphaera</v>
          </cell>
        </row>
        <row r="7384">
          <cell r="G7384" t="str">
            <v>ASV17473</v>
          </cell>
          <cell r="H7384" t="str">
            <v>g__Parabacteroides</v>
          </cell>
          <cell r="I7384" t="str">
            <v>s__unclassified_g__Parabacteroides</v>
          </cell>
        </row>
        <row r="7385">
          <cell r="G7385" t="str">
            <v>ASV7418</v>
          </cell>
          <cell r="H7385" t="str">
            <v>g__unclassified_c__Bacilli</v>
          </cell>
          <cell r="I7385" t="str">
            <v>s__unclassified_c__Bacilli</v>
          </cell>
        </row>
        <row r="7386">
          <cell r="G7386" t="str">
            <v>ASV16344</v>
          </cell>
          <cell r="H7386" t="str">
            <v>g__Christensenellaceae_R-7_group</v>
          </cell>
          <cell r="I7386" t="str">
            <v>s__uncultured_spirochete_g__Christensenellaceae_R-7_group</v>
          </cell>
        </row>
        <row r="7387">
          <cell r="G7387" t="str">
            <v>ASV14942</v>
          </cell>
          <cell r="H7387" t="str">
            <v>g__Corynebacterium</v>
          </cell>
          <cell r="I7387" t="str">
            <v>s__unclassified_g__Corynebacterium</v>
          </cell>
        </row>
        <row r="7388">
          <cell r="G7388" t="str">
            <v>ASV20438</v>
          </cell>
          <cell r="H7388" t="str">
            <v>g__unclassified_f__Microbacteriaceae</v>
          </cell>
          <cell r="I7388" t="str">
            <v>s__unclassified_f__Microbacteriaceae</v>
          </cell>
        </row>
        <row r="7389">
          <cell r="G7389" t="str">
            <v>ASV4720</v>
          </cell>
          <cell r="H7389" t="str">
            <v>g__unclassified_p__Firmicutes</v>
          </cell>
          <cell r="I7389" t="str">
            <v>s__unclassified_p__Firmicutes</v>
          </cell>
        </row>
        <row r="7390">
          <cell r="G7390" t="str">
            <v>ASV527</v>
          </cell>
          <cell r="H7390" t="str">
            <v>g__Tyzzerella</v>
          </cell>
          <cell r="I7390" t="str">
            <v>s__unclassified_g__Tyzzerella</v>
          </cell>
        </row>
        <row r="7391">
          <cell r="G7391" t="str">
            <v>ASV22046</v>
          </cell>
          <cell r="H7391" t="str">
            <v>g__norank_f__Eubacterium_coprostanoligenes_group</v>
          </cell>
          <cell r="I7391" t="str">
            <v>s__unclassified_g__norank_f__Eubacterium_coprostanoligenes_group</v>
          </cell>
        </row>
        <row r="7392">
          <cell r="G7392" t="str">
            <v>ASV13339</v>
          </cell>
          <cell r="H7392" t="str">
            <v>g__Lactobacillus</v>
          </cell>
          <cell r="I7392" t="str">
            <v>s__unclassified_g__Lactobacillus</v>
          </cell>
        </row>
        <row r="7393">
          <cell r="G7393" t="str">
            <v>ASV19437</v>
          </cell>
          <cell r="H7393" t="str">
            <v>g__norank_f__Muribaculaceae</v>
          </cell>
          <cell r="I7393" t="str">
            <v>s__unclassified_g__norank_f__Muribaculaceae</v>
          </cell>
        </row>
        <row r="7394">
          <cell r="G7394" t="str">
            <v>ASV19369</v>
          </cell>
          <cell r="H7394" t="str">
            <v>g__Ruminococcus</v>
          </cell>
          <cell r="I7394" t="str">
            <v>s__unclassified_g__Ruminococcus</v>
          </cell>
        </row>
        <row r="7395">
          <cell r="G7395" t="str">
            <v>ASV16846</v>
          </cell>
          <cell r="H7395" t="str">
            <v>g__unclassified_c__Clostridia</v>
          </cell>
          <cell r="I7395" t="str">
            <v>s__unclassified_c__Clostridia</v>
          </cell>
        </row>
        <row r="7396">
          <cell r="G7396" t="str">
            <v>ASV17476</v>
          </cell>
          <cell r="H7396" t="str">
            <v>g__unclassified_f__Prevotellaceae</v>
          </cell>
          <cell r="I7396" t="str">
            <v>s__unclassified_f__Prevotellaceae</v>
          </cell>
        </row>
        <row r="7397">
          <cell r="G7397" t="str">
            <v>ASV14065</v>
          </cell>
          <cell r="H7397" t="str">
            <v>g__Corynebacterium</v>
          </cell>
          <cell r="I7397" t="str">
            <v>s__unclassified_g__Corynebacterium</v>
          </cell>
        </row>
        <row r="7398">
          <cell r="G7398" t="str">
            <v>ASV2732</v>
          </cell>
          <cell r="H7398" t="str">
            <v>g__Cellulosilyticum</v>
          </cell>
          <cell r="I7398" t="str">
            <v>s__uncultured_bacterium_g__Cellulosilyticum</v>
          </cell>
        </row>
        <row r="7399">
          <cell r="G7399" t="str">
            <v>ASV4707</v>
          </cell>
          <cell r="H7399" t="str">
            <v>g__Eubacterium_siraeum_group</v>
          </cell>
          <cell r="I7399" t="str">
            <v>s__unclassified_g__Eubacterium_siraeum_group</v>
          </cell>
        </row>
        <row r="7400">
          <cell r="G7400" t="str">
            <v>ASV1635</v>
          </cell>
          <cell r="H7400" t="str">
            <v>g__norank_f__norank_o__Clostridia_UCG-014</v>
          </cell>
          <cell r="I7400" t="str">
            <v>s__unclassified_g__norank_f__norank_o__Clostridia_UCG-014</v>
          </cell>
        </row>
        <row r="7401">
          <cell r="G7401" t="str">
            <v>ASV19413</v>
          </cell>
          <cell r="H7401" t="str">
            <v>g__norank_f__Peptococcaceae</v>
          </cell>
          <cell r="I7401" t="str">
            <v>s__uncultured_bacterium_g__norank_f__Peptococcaceae</v>
          </cell>
        </row>
        <row r="7402">
          <cell r="G7402" t="str">
            <v>ASV21433</v>
          </cell>
          <cell r="H7402" t="str">
            <v>g__norank_f__Oscillospiraceae</v>
          </cell>
          <cell r="I7402" t="str">
            <v>s__unclassified_g__norank_f__Oscillospiraceae</v>
          </cell>
        </row>
        <row r="7403">
          <cell r="G7403" t="str">
            <v>ASV22086</v>
          </cell>
          <cell r="H7403" t="str">
            <v>g__unclassified_c__Clostridia</v>
          </cell>
          <cell r="I7403" t="str">
            <v>s__unclassified_c__Clostridia</v>
          </cell>
        </row>
        <row r="7404">
          <cell r="G7404" t="str">
            <v>ASV19053</v>
          </cell>
          <cell r="H7404" t="str">
            <v>g__Lactobacillus</v>
          </cell>
          <cell r="I7404" t="str">
            <v>s__Lactobacillus_agilis</v>
          </cell>
        </row>
        <row r="7405">
          <cell r="G7405" t="str">
            <v>ASV16351</v>
          </cell>
          <cell r="H7405" t="str">
            <v>g__Bacteroides</v>
          </cell>
          <cell r="I7405" t="str">
            <v>s__uncultured_bacterium_g__Bacteroides</v>
          </cell>
        </row>
        <row r="7406">
          <cell r="G7406" t="str">
            <v>ASV20695</v>
          </cell>
          <cell r="H7406" t="str">
            <v>g__Streptococcus</v>
          </cell>
          <cell r="I7406" t="str">
            <v>s__unclassified_g__Streptococcus</v>
          </cell>
        </row>
        <row r="7407">
          <cell r="G7407" t="str">
            <v>ASV22052</v>
          </cell>
          <cell r="H7407" t="str">
            <v>g__unclassified_o__Oscillospirales</v>
          </cell>
          <cell r="I7407" t="str">
            <v>s__unclassified_o__Oscillospirales</v>
          </cell>
        </row>
        <row r="7408">
          <cell r="G7408" t="str">
            <v>ASV22003</v>
          </cell>
          <cell r="H7408" t="str">
            <v>g__unclassified_f__Lachnospiraceae</v>
          </cell>
          <cell r="I7408" t="str">
            <v>s__unclassified_f__Lachnospiraceae</v>
          </cell>
        </row>
        <row r="7409">
          <cell r="G7409" t="str">
            <v>ASV11382</v>
          </cell>
          <cell r="H7409" t="str">
            <v>g__unclassified_c__Clostridia</v>
          </cell>
          <cell r="I7409" t="str">
            <v>s__unclassified_c__Clostridia</v>
          </cell>
        </row>
        <row r="7410">
          <cell r="G7410" t="str">
            <v>ASV11463</v>
          </cell>
          <cell r="H7410" t="str">
            <v>g__norank_f__Ruminococcaceae</v>
          </cell>
          <cell r="I7410" t="str">
            <v>s__gut_metagenome_g__norank_f__Ruminococcaceae</v>
          </cell>
        </row>
        <row r="7411">
          <cell r="G7411" t="str">
            <v>ASV4708</v>
          </cell>
          <cell r="H7411" t="str">
            <v>g__unclassified_f__Lachnospiraceae</v>
          </cell>
          <cell r="I7411" t="str">
            <v>s__unclassified_f__Lachnospiraceae</v>
          </cell>
        </row>
        <row r="7412">
          <cell r="G7412" t="str">
            <v>ASV22027</v>
          </cell>
          <cell r="H7412" t="str">
            <v>g__UCG-002</v>
          </cell>
          <cell r="I7412" t="str">
            <v>s__uncultured_bacterium_g__UCG-002</v>
          </cell>
        </row>
        <row r="7413">
          <cell r="G7413" t="str">
            <v>ASV15072</v>
          </cell>
          <cell r="H7413" t="str">
            <v>g__unclassified_f__Comamonadaceae</v>
          </cell>
          <cell r="I7413" t="str">
            <v>s__unclassified_f__Comamonadaceae</v>
          </cell>
        </row>
        <row r="7414">
          <cell r="G7414" t="str">
            <v>ASV19054</v>
          </cell>
          <cell r="H7414" t="str">
            <v>g__unclassified_c__Bacilli</v>
          </cell>
          <cell r="I7414" t="str">
            <v>s__unclassified_c__Bacilli</v>
          </cell>
        </row>
        <row r="7415">
          <cell r="G7415" t="str">
            <v>ASV20432</v>
          </cell>
          <cell r="H7415" t="str">
            <v>g__unclassified_f__Comamonadaceae</v>
          </cell>
          <cell r="I7415" t="str">
            <v>s__unclassified_f__Comamonadaceae</v>
          </cell>
        </row>
        <row r="7416">
          <cell r="G7416" t="str">
            <v>ASV7656</v>
          </cell>
          <cell r="H7416" t="str">
            <v>g__Subdoligranulum</v>
          </cell>
          <cell r="I7416" t="str">
            <v>s__unclassified_g__Subdoligranulum</v>
          </cell>
        </row>
        <row r="7417">
          <cell r="G7417" t="str">
            <v>ASV509</v>
          </cell>
          <cell r="H7417" t="str">
            <v>g__Colidextribacter</v>
          </cell>
          <cell r="I7417" t="str">
            <v>s__uncultured_bacterium_g__Colidextribacter</v>
          </cell>
        </row>
        <row r="7418">
          <cell r="G7418" t="str">
            <v>ASV8279</v>
          </cell>
          <cell r="H7418" t="str">
            <v>g__Luteococcus</v>
          </cell>
          <cell r="I7418" t="str">
            <v>s__Luteococcus_peritonei</v>
          </cell>
        </row>
        <row r="7419">
          <cell r="G7419" t="str">
            <v>ASV4681</v>
          </cell>
          <cell r="H7419" t="str">
            <v>g__Terrisporobacter</v>
          </cell>
          <cell r="I7419" t="str">
            <v>s__uncultured_bacterium_g__Terrisporobacter</v>
          </cell>
        </row>
        <row r="7420">
          <cell r="G7420" t="str">
            <v>ASV17908</v>
          </cell>
          <cell r="H7420" t="str">
            <v>g__Pyramidobacter</v>
          </cell>
          <cell r="I7420" t="str">
            <v>s__uncultured_bacterium_g__Pyramidobacter</v>
          </cell>
        </row>
        <row r="7421">
          <cell r="G7421" t="str">
            <v>ASV5731</v>
          </cell>
          <cell r="H7421" t="str">
            <v>g__Alistipes</v>
          </cell>
          <cell r="I7421" t="str">
            <v>s__uncultured_bacterium_g__Alistipes</v>
          </cell>
        </row>
        <row r="7422">
          <cell r="G7422" t="str">
            <v>ASV13343</v>
          </cell>
          <cell r="H7422" t="str">
            <v>g__Terrisporobacter</v>
          </cell>
          <cell r="I7422" t="str">
            <v>s__unclassified_g__Terrisporobacter</v>
          </cell>
        </row>
        <row r="7423">
          <cell r="G7423" t="str">
            <v>ASV20685</v>
          </cell>
          <cell r="H7423" t="str">
            <v>g__unclassified_c__Clostridia</v>
          </cell>
          <cell r="I7423" t="str">
            <v>s__unclassified_c__Clostridia</v>
          </cell>
        </row>
        <row r="7424">
          <cell r="G7424" t="str">
            <v>ASV20659</v>
          </cell>
          <cell r="H7424" t="str">
            <v>g__norank_f__Eubacterium_coprostanoligenes_group</v>
          </cell>
          <cell r="I7424" t="str">
            <v>s__human_gut_metagenome_g__norank_f__Eubacterium_coprostanoligenes_group</v>
          </cell>
        </row>
        <row r="7425">
          <cell r="G7425" t="str">
            <v>ASV17406</v>
          </cell>
          <cell r="H7425" t="str">
            <v>g__Lactobacillus</v>
          </cell>
          <cell r="I7425" t="str">
            <v>s__unclassified_g__Lactobacillus</v>
          </cell>
        </row>
        <row r="7426">
          <cell r="G7426" t="str">
            <v>ASV2091</v>
          </cell>
          <cell r="H7426" t="str">
            <v>g__unclassified_f__Lachnospiraceae</v>
          </cell>
          <cell r="I7426" t="str">
            <v>s__unclassified_f__Lachnospiraceae</v>
          </cell>
        </row>
        <row r="7427">
          <cell r="G7427" t="str">
            <v>ASV3175</v>
          </cell>
          <cell r="H7427" t="str">
            <v>g__unclassified_f__Lachnospiraceae</v>
          </cell>
          <cell r="I7427" t="str">
            <v>s__unclassified_f__Lachnospiraceae</v>
          </cell>
        </row>
        <row r="7428">
          <cell r="G7428" t="str">
            <v>ASV6640</v>
          </cell>
          <cell r="H7428" t="str">
            <v>g__unclassified_p__Firmicutes</v>
          </cell>
          <cell r="I7428" t="str">
            <v>s__unclassified_p__Firmicutes</v>
          </cell>
        </row>
        <row r="7429">
          <cell r="G7429" t="str">
            <v>ASV15271</v>
          </cell>
          <cell r="H7429" t="str">
            <v>g__dgA-11_gut_group</v>
          </cell>
          <cell r="I7429" t="str">
            <v>s__uncultured_Bacteroidales_bacterium_g__dgA-11_gut_group</v>
          </cell>
        </row>
        <row r="7430">
          <cell r="G7430" t="str">
            <v>ASV24134</v>
          </cell>
          <cell r="H7430" t="str">
            <v>g__Clostridium_sensu_stricto_1</v>
          </cell>
          <cell r="I7430" t="str">
            <v>s__unclassified_g__Clostridium_sensu_stricto_1</v>
          </cell>
        </row>
        <row r="7431">
          <cell r="G7431" t="str">
            <v>ASV18773</v>
          </cell>
          <cell r="H7431" t="str">
            <v>g__Methylobacterium-Methylorubrum</v>
          </cell>
          <cell r="I7431" t="str">
            <v>s__unclassified_g__Methylobacterium-Methylorubrum</v>
          </cell>
        </row>
        <row r="7432">
          <cell r="G7432" t="str">
            <v>ASV8960</v>
          </cell>
          <cell r="H7432" t="str">
            <v>g__Prevotella</v>
          </cell>
          <cell r="I7432" t="str">
            <v>s__Prevotella_sp._DJF_CP65</v>
          </cell>
        </row>
        <row r="7433">
          <cell r="G7433" t="str">
            <v>ASV11406</v>
          </cell>
          <cell r="H7433" t="str">
            <v>g__norank_f__UCG-010</v>
          </cell>
          <cell r="I7433" t="str">
            <v>s__uncultured_bacterium_g__norank_f__UCG-010</v>
          </cell>
        </row>
        <row r="7434">
          <cell r="G7434" t="str">
            <v>ASV3951</v>
          </cell>
          <cell r="H7434" t="str">
            <v>g__unclassified_c__Clostridia</v>
          </cell>
          <cell r="I7434" t="str">
            <v>s__unclassified_c__Clostridia</v>
          </cell>
        </row>
        <row r="7435">
          <cell r="G7435" t="str">
            <v>ASV4704</v>
          </cell>
          <cell r="H7435" t="str">
            <v>g__UCG-002</v>
          </cell>
          <cell r="I7435" t="str">
            <v>s__uncultured_bacterium_g__UCG-002</v>
          </cell>
        </row>
        <row r="7436">
          <cell r="G7436" t="str">
            <v>ASV5743</v>
          </cell>
          <cell r="H7436" t="str">
            <v>g__Ruminococcus</v>
          </cell>
          <cell r="I7436" t="str">
            <v>s__unclassified_g__Ruminococcus</v>
          </cell>
        </row>
        <row r="7437">
          <cell r="G7437" t="str">
            <v>ASV21432</v>
          </cell>
          <cell r="H7437" t="str">
            <v>g__CAG-56</v>
          </cell>
          <cell r="I7437" t="str">
            <v>s__uncultured_bacterium_g__CAG-56</v>
          </cell>
        </row>
        <row r="7438">
          <cell r="G7438" t="str">
            <v>ASV15946</v>
          </cell>
          <cell r="H7438" t="str">
            <v>g__Hungatella</v>
          </cell>
          <cell r="I7438" t="str">
            <v>s__uncultured_bacterium_g__Hungatella</v>
          </cell>
        </row>
        <row r="7439">
          <cell r="G7439" t="str">
            <v>ASV3958</v>
          </cell>
          <cell r="H7439" t="str">
            <v>g__Peptococcus</v>
          </cell>
          <cell r="I7439" t="str">
            <v>s__uncultured_bacterium_g__Peptococcus</v>
          </cell>
        </row>
        <row r="7440">
          <cell r="G7440" t="str">
            <v>ASV3641</v>
          </cell>
          <cell r="H7440" t="str">
            <v>g__Moraxella</v>
          </cell>
          <cell r="I7440" t="str">
            <v>s__unclassified_g__Moraxella</v>
          </cell>
        </row>
        <row r="7441">
          <cell r="G7441" t="str">
            <v>ASV22001</v>
          </cell>
          <cell r="H7441" t="str">
            <v>g__unclassified_c__Clostridia</v>
          </cell>
          <cell r="I7441" t="str">
            <v>s__unclassified_c__Clostridia</v>
          </cell>
        </row>
        <row r="7442">
          <cell r="G7442" t="str">
            <v>ASV10550</v>
          </cell>
          <cell r="H7442" t="str">
            <v>g__unclassified_o__Clostridiales</v>
          </cell>
          <cell r="I7442" t="str">
            <v>s__unclassified_o__Clostridiales</v>
          </cell>
        </row>
        <row r="7443">
          <cell r="G7443" t="str">
            <v>ASV22026</v>
          </cell>
          <cell r="H7443" t="str">
            <v>g__norank_f__Erysipelotrichaceae</v>
          </cell>
          <cell r="I7443" t="str">
            <v>s__uncultured_bacterium_g__norank_f__Erysipelotrichaceae</v>
          </cell>
        </row>
        <row r="7444">
          <cell r="G7444" t="str">
            <v>ASV3915</v>
          </cell>
          <cell r="H7444" t="str">
            <v>g__unclassified_p__Firmicutes</v>
          </cell>
          <cell r="I7444" t="str">
            <v>s__unclassified_p__Firmicutes</v>
          </cell>
        </row>
        <row r="7445">
          <cell r="G7445" t="str">
            <v>ASV22071</v>
          </cell>
          <cell r="H7445" t="str">
            <v>g__Family_XIII_AD3011_group</v>
          </cell>
          <cell r="I7445" t="str">
            <v>s__unclassified_g__Family_XIII_AD3011_group</v>
          </cell>
        </row>
        <row r="7446">
          <cell r="G7446" t="str">
            <v>ASV22029</v>
          </cell>
          <cell r="H7446" t="str">
            <v>g__unclassified_f__Peptostreptococcaceae</v>
          </cell>
          <cell r="I7446" t="str">
            <v>s__unclassified_f__Peptostreptococcaceae</v>
          </cell>
        </row>
        <row r="7447">
          <cell r="G7447" t="str">
            <v>ASV20656</v>
          </cell>
          <cell r="H7447" t="str">
            <v>g__UCG-002</v>
          </cell>
          <cell r="I7447" t="str">
            <v>s__uncultured_bacterium_g__UCG-002</v>
          </cell>
        </row>
        <row r="7448">
          <cell r="G7448" t="str">
            <v>ASV15286</v>
          </cell>
          <cell r="H7448" t="str">
            <v>g__unclassified_f__Ruminococcaceae</v>
          </cell>
          <cell r="I7448" t="str">
            <v>s__unclassified_f__Ruminococcaceae</v>
          </cell>
        </row>
        <row r="7449">
          <cell r="G7449" t="str">
            <v>ASV7624</v>
          </cell>
          <cell r="H7449" t="str">
            <v>g__unclassified_c__Clostridia</v>
          </cell>
          <cell r="I7449" t="str">
            <v>s__unclassified_c__Clostridia</v>
          </cell>
        </row>
        <row r="7450">
          <cell r="G7450" t="str">
            <v>ASV7617</v>
          </cell>
          <cell r="H7450" t="str">
            <v>g__unclassified_c__Bacilli</v>
          </cell>
          <cell r="I7450" t="str">
            <v>s__unclassified_c__Bacilli</v>
          </cell>
        </row>
        <row r="7451">
          <cell r="G7451" t="str">
            <v>ASV7633</v>
          </cell>
          <cell r="H7451" t="str">
            <v>g__Mitsuokella</v>
          </cell>
          <cell r="I7451" t="str">
            <v>s__unclassified_g__Mitsuokella</v>
          </cell>
        </row>
        <row r="7452">
          <cell r="G7452" t="str">
            <v>ASV22053</v>
          </cell>
          <cell r="H7452" t="str">
            <v>g__norank_f__Eubacterium_coprostanoligenes_group</v>
          </cell>
          <cell r="I7452" t="str">
            <v>s__unclassified_g__norank_f__Eubacterium_coprostanoligenes_group</v>
          </cell>
        </row>
        <row r="7453">
          <cell r="G7453" t="str">
            <v>ASV11397</v>
          </cell>
          <cell r="H7453" t="str">
            <v>g__Bacillus</v>
          </cell>
          <cell r="I7453" t="str">
            <v>s__Lactobacillus_vaginalis_g__Bacillus</v>
          </cell>
        </row>
        <row r="7454">
          <cell r="G7454" t="str">
            <v>ASV17907</v>
          </cell>
          <cell r="H7454" t="str">
            <v>g__unclassified_c__Clostridia</v>
          </cell>
          <cell r="I7454" t="str">
            <v>s__unclassified_c__Clostridia</v>
          </cell>
        </row>
        <row r="7455">
          <cell r="G7455" t="str">
            <v>ASV6606</v>
          </cell>
          <cell r="H7455" t="str">
            <v>g__unclassified_p__Firmicutes</v>
          </cell>
          <cell r="I7455" t="str">
            <v>s__unclassified_p__Firmicutes</v>
          </cell>
        </row>
        <row r="7456">
          <cell r="G7456" t="str">
            <v>ASV539</v>
          </cell>
          <cell r="H7456" t="str">
            <v>g__Lactobacillus</v>
          </cell>
          <cell r="I7456" t="str">
            <v>s__unclassified_g__Lactobacillus</v>
          </cell>
        </row>
        <row r="7457">
          <cell r="G7457" t="str">
            <v>ASV5733</v>
          </cell>
          <cell r="H7457" t="str">
            <v>g__Escherichia-Shigella</v>
          </cell>
          <cell r="I7457" t="str">
            <v>s__unclassified_g__Escherichia-Shigella</v>
          </cell>
        </row>
        <row r="7458">
          <cell r="G7458" t="str">
            <v>ASV12630</v>
          </cell>
          <cell r="H7458" t="str">
            <v>g__Lactobacillus</v>
          </cell>
          <cell r="I7458" t="str">
            <v>s__unclassified_g__Lactobacillus</v>
          </cell>
        </row>
        <row r="7459">
          <cell r="G7459" t="str">
            <v>ASV8630</v>
          </cell>
          <cell r="H7459" t="str">
            <v>g__Streptococcus</v>
          </cell>
          <cell r="I7459" t="str">
            <v>s__unclassified_g__Streptococcus</v>
          </cell>
        </row>
        <row r="7460">
          <cell r="G7460" t="str">
            <v>ASV16345</v>
          </cell>
          <cell r="H7460" t="str">
            <v>g__unclassified_o__Bacteroidales</v>
          </cell>
          <cell r="I7460" t="str">
            <v>s__unclassified_o__Bacteroidales</v>
          </cell>
        </row>
        <row r="7461">
          <cell r="G7461" t="str">
            <v>ASV21195</v>
          </cell>
          <cell r="H7461" t="str">
            <v>g__Bacillus</v>
          </cell>
          <cell r="I7461" t="str">
            <v>s__Lactobacillus_vaginalis_g__Bacillus</v>
          </cell>
        </row>
        <row r="7462">
          <cell r="G7462" t="str">
            <v>ASV6617</v>
          </cell>
          <cell r="H7462" t="str">
            <v>g__unclassified_o__Peptostreptococcales-Tissierellales</v>
          </cell>
          <cell r="I7462" t="str">
            <v>s__unclassified_o__Peptostreptococcales-Tissierellales</v>
          </cell>
        </row>
        <row r="7463">
          <cell r="G7463" t="str">
            <v>ASV2731</v>
          </cell>
          <cell r="H7463" t="str">
            <v>g__Clostridium_sensu_stricto_1</v>
          </cell>
          <cell r="I7463" t="str">
            <v>s__unclassified_g__Clostridium_sensu_stricto_1</v>
          </cell>
        </row>
        <row r="7464">
          <cell r="G7464" t="str">
            <v>ASV7035</v>
          </cell>
          <cell r="H7464" t="str">
            <v>g__unclassified_f__Lachnospiraceae</v>
          </cell>
          <cell r="I7464" t="str">
            <v>s__unclassified_f__Lachnospiraceae</v>
          </cell>
        </row>
        <row r="7465">
          <cell r="G7465" t="str">
            <v>ASV9300</v>
          </cell>
          <cell r="H7465" t="str">
            <v>g__UCG-002</v>
          </cell>
          <cell r="I7465" t="str">
            <v>s__uncultured_organism_g__UCG-002</v>
          </cell>
        </row>
        <row r="7466">
          <cell r="G7466" t="str">
            <v>ASV4661</v>
          </cell>
          <cell r="H7466" t="str">
            <v>g__Eubacterium_oxidoreducens_group</v>
          </cell>
          <cell r="I7466" t="str">
            <v>s__uncultured_bacterium_g__Eubacterium_oxidoreducens_group</v>
          </cell>
        </row>
        <row r="7467">
          <cell r="G7467" t="str">
            <v>ASV20651</v>
          </cell>
          <cell r="H7467" t="str">
            <v>g__unclassified_f__Lachnospiraceae</v>
          </cell>
          <cell r="I7467" t="str">
            <v>s__unclassified_f__Lachnospiraceae</v>
          </cell>
        </row>
        <row r="7468">
          <cell r="G7468" t="str">
            <v>ASV8953</v>
          </cell>
          <cell r="H7468" t="str">
            <v>g__norank_f__norank_o__Clostridia_UCG-014</v>
          </cell>
          <cell r="I7468" t="str">
            <v>s__unclassified_g__norank_f__norank_o__Clostridia_UCG-014</v>
          </cell>
        </row>
        <row r="7469">
          <cell r="G7469" t="str">
            <v>ASV4679</v>
          </cell>
          <cell r="H7469" t="str">
            <v>g__unclassified_f__Oscillospiraceae</v>
          </cell>
          <cell r="I7469" t="str">
            <v>s__unclassified_f__Oscillospiraceae</v>
          </cell>
        </row>
        <row r="7470">
          <cell r="G7470" t="str">
            <v>ASV14081</v>
          </cell>
          <cell r="H7470" t="str">
            <v>g__Prevotella</v>
          </cell>
          <cell r="I7470" t="str">
            <v>s__unclassified_g__Prevotella</v>
          </cell>
        </row>
        <row r="7471">
          <cell r="G7471" t="str">
            <v>ASV1625</v>
          </cell>
          <cell r="H7471" t="str">
            <v>g__Rikenellaceae_RC9_gut_group</v>
          </cell>
          <cell r="I7471" t="str">
            <v>s__uncultured_Bacteroidales_bacterium_g__Rikenellaceae_RC9_gut_group</v>
          </cell>
        </row>
        <row r="7472">
          <cell r="G7472" t="str">
            <v>ASV24114</v>
          </cell>
          <cell r="H7472" t="str">
            <v>g__Christensenellaceae_R-7_group</v>
          </cell>
          <cell r="I7472" t="str">
            <v>s__unclassified_g__Christensenellaceae_R-7_group</v>
          </cell>
        </row>
        <row r="7473">
          <cell r="G7473" t="str">
            <v>ASV3946</v>
          </cell>
          <cell r="H7473" t="str">
            <v>g__unclassified_f__Selenomonadaceae</v>
          </cell>
          <cell r="I7473" t="str">
            <v>s__unclassified_f__Selenomonadaceae</v>
          </cell>
        </row>
        <row r="7474">
          <cell r="G7474" t="str">
            <v>ASV4657</v>
          </cell>
          <cell r="H7474" t="str">
            <v>g__unclassified_p__Firmicutes</v>
          </cell>
          <cell r="I7474" t="str">
            <v>s__unclassified_p__Firmicutes</v>
          </cell>
        </row>
        <row r="7475">
          <cell r="G7475" t="str">
            <v>ASV19374</v>
          </cell>
          <cell r="H7475" t="str">
            <v>g__Megasphaera</v>
          </cell>
          <cell r="I7475" t="str">
            <v>s__unclassified_g__Megasphaera</v>
          </cell>
        </row>
        <row r="7476">
          <cell r="G7476" t="str">
            <v>ASV522</v>
          </cell>
          <cell r="H7476" t="str">
            <v>g__norank_f__norank_o__Bradymonadales</v>
          </cell>
          <cell r="I7476" t="str">
            <v>s__uncultured_rumen_bacterium_g__norank_f__norank_o__Bradymonadales</v>
          </cell>
        </row>
        <row r="7477">
          <cell r="G7477" t="str">
            <v>ASV19386</v>
          </cell>
          <cell r="H7477" t="str">
            <v>g__unclassified_o__Oscillospirales</v>
          </cell>
          <cell r="I7477" t="str">
            <v>s__unclassified_o__Oscillospirales</v>
          </cell>
        </row>
        <row r="7478">
          <cell r="G7478" t="str">
            <v>ASV20426</v>
          </cell>
          <cell r="H7478" t="str">
            <v>g__Brevibacterium</v>
          </cell>
          <cell r="I7478" t="str">
            <v>s__unclassified_g__Brevibacterium</v>
          </cell>
        </row>
        <row r="7479">
          <cell r="G7479" t="str">
            <v>ASV16851</v>
          </cell>
          <cell r="H7479" t="str">
            <v>g__norank_f__Eubacterium_coprostanoligenes_group</v>
          </cell>
          <cell r="I7479" t="str">
            <v>s__unclassified_g__norank_f__Eubacterium_coprostanoligenes_group</v>
          </cell>
        </row>
        <row r="7480">
          <cell r="G7480" t="str">
            <v>ASV13792</v>
          </cell>
          <cell r="H7480" t="str">
            <v>g__unclassified_k__norank_d__Bacteria</v>
          </cell>
          <cell r="I7480" t="str">
            <v>s__unclassified_k__norank_d__Bacteria</v>
          </cell>
        </row>
        <row r="7481">
          <cell r="G7481" t="str">
            <v>ASV3927</v>
          </cell>
          <cell r="H7481" t="str">
            <v>g__unclassified_f__Synergistaceae</v>
          </cell>
          <cell r="I7481" t="str">
            <v>s__unclassified_f__Synergistaceae</v>
          </cell>
        </row>
        <row r="7482">
          <cell r="G7482" t="str">
            <v>ASV9311</v>
          </cell>
          <cell r="H7482" t="str">
            <v>g__unclassified_o__Oscillospirales</v>
          </cell>
          <cell r="I7482" t="str">
            <v>s__unclassified_o__Oscillospirales</v>
          </cell>
        </row>
        <row r="7483">
          <cell r="G7483" t="str">
            <v>ASV10538</v>
          </cell>
          <cell r="H7483" t="str">
            <v>g__unclassified_f__Lachnospiraceae</v>
          </cell>
          <cell r="I7483" t="str">
            <v>s__unclassified_f__Lachnospiraceae</v>
          </cell>
        </row>
        <row r="7484">
          <cell r="G7484" t="str">
            <v>ASV476</v>
          </cell>
          <cell r="H7484" t="str">
            <v>g__Bacteroides</v>
          </cell>
          <cell r="I7484" t="str">
            <v>s__unclassified_g__Bacteroides</v>
          </cell>
        </row>
        <row r="7485">
          <cell r="G7485" t="str">
            <v>ASV7339</v>
          </cell>
          <cell r="H7485" t="str">
            <v>g__unclassified_k__norank_d__Bacteria</v>
          </cell>
          <cell r="I7485" t="str">
            <v>s__unclassified_k__norank_d__Bacteria</v>
          </cell>
        </row>
        <row r="7486">
          <cell r="G7486" t="str">
            <v>ASV15285</v>
          </cell>
          <cell r="H7486" t="str">
            <v>g__unclassified_c__Bacilli</v>
          </cell>
          <cell r="I7486" t="str">
            <v>s__unclassified_c__Bacilli</v>
          </cell>
        </row>
        <row r="7487">
          <cell r="G7487" t="str">
            <v>ASV8973</v>
          </cell>
          <cell r="H7487" t="str">
            <v>g__Fusobacterium</v>
          </cell>
          <cell r="I7487" t="str">
            <v>s__unclassified_g__Fusobacterium</v>
          </cell>
        </row>
        <row r="7488">
          <cell r="G7488" t="str">
            <v>ASV24135</v>
          </cell>
          <cell r="H7488" t="str">
            <v>g__unclassified_f__Clostridiaceae</v>
          </cell>
          <cell r="I7488" t="str">
            <v>s__unclassified_f__Clostridiaceae</v>
          </cell>
        </row>
        <row r="7489">
          <cell r="G7489" t="str">
            <v>ASV6631</v>
          </cell>
          <cell r="H7489" t="str">
            <v>g__Veillonella</v>
          </cell>
          <cell r="I7489" t="str">
            <v>s__bacterium_RA2114</v>
          </cell>
        </row>
        <row r="7490">
          <cell r="G7490" t="str">
            <v>ASV13791</v>
          </cell>
          <cell r="H7490" t="str">
            <v>g__Actinobacillus</v>
          </cell>
          <cell r="I7490" t="str">
            <v>s__Actinobacillus_indolicus</v>
          </cell>
        </row>
        <row r="7491">
          <cell r="G7491" t="str">
            <v>ASV22050</v>
          </cell>
          <cell r="H7491" t="str">
            <v>g__unclassified_c__Clostridia</v>
          </cell>
          <cell r="I7491" t="str">
            <v>s__unclassified_c__Clostridia</v>
          </cell>
        </row>
        <row r="7492">
          <cell r="G7492" t="str">
            <v>ASV7417</v>
          </cell>
          <cell r="H7492" t="str">
            <v>g__Bacteroides</v>
          </cell>
          <cell r="I7492" t="str">
            <v>s__unclassified_g__Bacteroides</v>
          </cell>
        </row>
        <row r="7493">
          <cell r="G7493" t="str">
            <v>ASV24125</v>
          </cell>
          <cell r="H7493" t="str">
            <v>g__unclassified_f__Lachnospiraceae</v>
          </cell>
          <cell r="I7493" t="str">
            <v>s__unclassified_f__Lachnospiraceae</v>
          </cell>
        </row>
        <row r="7494">
          <cell r="G7494" t="str">
            <v>ASV7628</v>
          </cell>
          <cell r="H7494" t="str">
            <v>g__unclassified_k__norank_d__Bacteria</v>
          </cell>
          <cell r="I7494" t="str">
            <v>s__unclassified_k__norank_d__Bacteria</v>
          </cell>
        </row>
        <row r="7495">
          <cell r="G7495" t="str">
            <v>ASV15065</v>
          </cell>
          <cell r="H7495" t="str">
            <v>g__Hirschia</v>
          </cell>
          <cell r="I7495" t="str">
            <v>s__unclassified_g__Hirschia</v>
          </cell>
        </row>
        <row r="7496">
          <cell r="G7496" t="str">
            <v>ASV15786</v>
          </cell>
          <cell r="H7496" t="str">
            <v>g__unclassified_c__Bacilli</v>
          </cell>
          <cell r="I7496" t="str">
            <v>s__unclassified_c__Bacilli</v>
          </cell>
        </row>
        <row r="7497">
          <cell r="G7497" t="str">
            <v>ASV5748</v>
          </cell>
          <cell r="H7497" t="str">
            <v>g__UCG-002</v>
          </cell>
          <cell r="I7497" t="str">
            <v>s__uncultured_bacterium_g__UCG-002</v>
          </cell>
        </row>
        <row r="7498">
          <cell r="G7498" t="str">
            <v>ASV21581</v>
          </cell>
          <cell r="H7498" t="str">
            <v>g__Veillonella</v>
          </cell>
          <cell r="I7498" t="str">
            <v>s__unclassified_g__Veillonella</v>
          </cell>
        </row>
        <row r="7499">
          <cell r="G7499" t="str">
            <v>ASV22059</v>
          </cell>
          <cell r="H7499" t="str">
            <v>g__unclassified_c__Clostridia</v>
          </cell>
          <cell r="I7499" t="str">
            <v>s__unclassified_c__Clostridia</v>
          </cell>
        </row>
        <row r="7500">
          <cell r="G7500" t="str">
            <v>ASV10299</v>
          </cell>
          <cell r="H7500" t="str">
            <v>g__unclassified_c__Bacilli</v>
          </cell>
          <cell r="I7500" t="str">
            <v>s__unclassified_c__Bacilli</v>
          </cell>
        </row>
        <row r="7501">
          <cell r="G7501" t="str">
            <v>ASV7044</v>
          </cell>
          <cell r="H7501" t="str">
            <v>g__Streptococcus</v>
          </cell>
          <cell r="I7501" t="str">
            <v>s__unclassified_g__Streptococcus</v>
          </cell>
        </row>
        <row r="7502">
          <cell r="G7502" t="str">
            <v>ASV19450</v>
          </cell>
          <cell r="H7502" t="str">
            <v>g__unclassified_c__Clostridia</v>
          </cell>
          <cell r="I7502" t="str">
            <v>s__unclassified_c__Clostridia</v>
          </cell>
        </row>
        <row r="7503">
          <cell r="G7503" t="str">
            <v>ASV11457</v>
          </cell>
          <cell r="H7503" t="str">
            <v>g__unclassified_f__Lachnospiraceae</v>
          </cell>
          <cell r="I7503" t="str">
            <v>s__unclassified_f__Lachnospiraceae</v>
          </cell>
        </row>
        <row r="7504">
          <cell r="G7504" t="str">
            <v>ASV15944</v>
          </cell>
          <cell r="H7504" t="str">
            <v>g__unclassified_f__Lachnospiraceae</v>
          </cell>
          <cell r="I7504" t="str">
            <v>s__unclassified_f__Lachnospiraceae</v>
          </cell>
        </row>
        <row r="7505">
          <cell r="G7505" t="str">
            <v>ASV12648</v>
          </cell>
          <cell r="H7505" t="str">
            <v>g__Bacillus</v>
          </cell>
          <cell r="I7505" t="str">
            <v>s__Lactobacillus_vaginalis_g__Bacillus</v>
          </cell>
        </row>
        <row r="7506">
          <cell r="G7506" t="str">
            <v>ASV10169</v>
          </cell>
          <cell r="H7506" t="str">
            <v>g__unclassified_c__Gammaproteobacteria</v>
          </cell>
          <cell r="I7506" t="str">
            <v>s__unclassified_c__Gammaproteobacteria</v>
          </cell>
        </row>
        <row r="7507">
          <cell r="G7507" t="str">
            <v>ASV19409</v>
          </cell>
          <cell r="H7507" t="str">
            <v>g__unclassified_f__Lachnospiraceae</v>
          </cell>
          <cell r="I7507" t="str">
            <v>s__unclassified_f__Lachnospiraceae</v>
          </cell>
        </row>
        <row r="7508">
          <cell r="G7508" t="str">
            <v>ASV500</v>
          </cell>
          <cell r="H7508" t="str">
            <v>g__unclassified_p__Firmicutes</v>
          </cell>
          <cell r="I7508" t="str">
            <v>s__unclassified_p__Firmicutes</v>
          </cell>
        </row>
        <row r="7509">
          <cell r="G7509" t="str">
            <v>ASV11466</v>
          </cell>
          <cell r="H7509" t="str">
            <v>g__UCG-002</v>
          </cell>
          <cell r="I7509" t="str">
            <v>s__unclassified_g__UCG-002</v>
          </cell>
        </row>
        <row r="7510">
          <cell r="G7510" t="str">
            <v>ASV22918</v>
          </cell>
          <cell r="H7510" t="str">
            <v>g__Nocardioides</v>
          </cell>
          <cell r="I7510" t="str">
            <v>s__unclassified_g__Nocardioides</v>
          </cell>
        </row>
        <row r="7511">
          <cell r="G7511" t="str">
            <v>ASV6642</v>
          </cell>
          <cell r="H7511" t="str">
            <v>g__Enterococcus</v>
          </cell>
          <cell r="I7511" t="str">
            <v>s__unclassified_g__Enterococcus</v>
          </cell>
        </row>
        <row r="7512">
          <cell r="G7512" t="str">
            <v>ASV14133</v>
          </cell>
          <cell r="H7512" t="str">
            <v>g__unclassified_c__Clostridia</v>
          </cell>
          <cell r="I7512" t="str">
            <v>s__unclassified_c__Clostridia</v>
          </cell>
        </row>
        <row r="7513">
          <cell r="G7513" t="str">
            <v>ASV6613</v>
          </cell>
          <cell r="H7513" t="str">
            <v>g__unclassified_p__Firmicutes</v>
          </cell>
          <cell r="I7513" t="str">
            <v>s__unclassified_p__Firmicutes</v>
          </cell>
        </row>
        <row r="7514">
          <cell r="G7514" t="str">
            <v>ASV19443</v>
          </cell>
          <cell r="H7514" t="str">
            <v>g__unclassified_c__Clostridia</v>
          </cell>
          <cell r="I7514" t="str">
            <v>s__unclassified_c__Clostridia</v>
          </cell>
        </row>
        <row r="7515">
          <cell r="G7515" t="str">
            <v>ASV10296</v>
          </cell>
          <cell r="H7515" t="str">
            <v>g__unclassified_f__Oscillospiraceae</v>
          </cell>
          <cell r="I7515" t="str">
            <v>s__unclassified_f__Oscillospiraceae</v>
          </cell>
        </row>
        <row r="7516">
          <cell r="G7516" t="str">
            <v>ASV4663</v>
          </cell>
          <cell r="H7516" t="str">
            <v>g__unclassified_k__norank_d__Bacteria</v>
          </cell>
          <cell r="I7516" t="str">
            <v>s__unclassified_k__norank_d__Bacteria</v>
          </cell>
        </row>
        <row r="7517">
          <cell r="G7517" t="str">
            <v>ASV21192</v>
          </cell>
          <cell r="H7517" t="str">
            <v>g__unclassified_f__Oscillospiraceae</v>
          </cell>
          <cell r="I7517" t="str">
            <v>s__unclassified_f__Oscillospiraceae</v>
          </cell>
        </row>
        <row r="7518">
          <cell r="G7518" t="str">
            <v>ASV23123</v>
          </cell>
          <cell r="H7518" t="str">
            <v>g__unclassified_f__Lachnospiraceae</v>
          </cell>
          <cell r="I7518" t="str">
            <v>s__unclassified_f__Lachnospiraceae</v>
          </cell>
        </row>
        <row r="7519">
          <cell r="G7519" t="str">
            <v>ASV6615</v>
          </cell>
          <cell r="H7519" t="str">
            <v>g__norank_f__Eubacterium_coprostanoligenes_group</v>
          </cell>
          <cell r="I7519" t="str">
            <v>s__unclassified_g__norank_f__Eubacterium_coprostanoligenes_group</v>
          </cell>
        </row>
        <row r="7520">
          <cell r="G7520" t="str">
            <v>ASV24128</v>
          </cell>
          <cell r="H7520" t="str">
            <v>g__norank_f__UCG-011</v>
          </cell>
          <cell r="I7520" t="str">
            <v>s__uncultured_bacterium_g__norank_f__UCG-011</v>
          </cell>
        </row>
        <row r="7521">
          <cell r="G7521" t="str">
            <v>ASV4700</v>
          </cell>
          <cell r="H7521" t="str">
            <v>g__Lactobacillus</v>
          </cell>
          <cell r="I7521" t="str">
            <v>s__unclassified_g__Lactobacillus</v>
          </cell>
        </row>
        <row r="7522">
          <cell r="G7522" t="str">
            <v>ASV4696</v>
          </cell>
          <cell r="H7522" t="str">
            <v>g__Lachnospiraceae_UCG-004</v>
          </cell>
          <cell r="I7522" t="str">
            <v>s__uncultured_bacterium_g__Lachnospiraceae_UCG-004</v>
          </cell>
        </row>
        <row r="7523">
          <cell r="G7523" t="str">
            <v>ASV13360</v>
          </cell>
          <cell r="H7523" t="str">
            <v>g__Lactobacillus</v>
          </cell>
          <cell r="I7523" t="str">
            <v>s__gut_metagenome_g__Lactobacillus</v>
          </cell>
        </row>
        <row r="7524">
          <cell r="G7524" t="str">
            <v>ASV3385</v>
          </cell>
          <cell r="H7524" t="str">
            <v>g__Clostridium_sensu_stricto_1</v>
          </cell>
          <cell r="I7524" t="str">
            <v>s__unclassified_g__Clostridium_sensu_stricto_1</v>
          </cell>
        </row>
        <row r="7525">
          <cell r="G7525" t="str">
            <v>ASV7625</v>
          </cell>
          <cell r="H7525" t="str">
            <v>g__Enterococcus</v>
          </cell>
          <cell r="I7525" t="str">
            <v>s__unclassified_g__Enterococcus</v>
          </cell>
        </row>
        <row r="7526">
          <cell r="G7526" t="str">
            <v>ASV20670</v>
          </cell>
          <cell r="H7526" t="str">
            <v>g__unclassified_c__Clostridia</v>
          </cell>
          <cell r="I7526" t="str">
            <v>s__unclassified_c__Clostridia</v>
          </cell>
        </row>
        <row r="7527">
          <cell r="G7527" t="str">
            <v>ASV4710</v>
          </cell>
          <cell r="H7527" t="str">
            <v>g__Lactobacillus</v>
          </cell>
          <cell r="I7527" t="str">
            <v>s__unclassified_g__Lactobacillus</v>
          </cell>
        </row>
        <row r="7528">
          <cell r="G7528" t="str">
            <v>ASV17183</v>
          </cell>
          <cell r="H7528" t="str">
            <v>g__Rothia</v>
          </cell>
          <cell r="I7528" t="str">
            <v>s__unclassified_g__Rothia</v>
          </cell>
        </row>
        <row r="7529">
          <cell r="G7529" t="str">
            <v>ASV14096</v>
          </cell>
          <cell r="H7529" t="str">
            <v>g__unclassified_f__Clostridiaceae</v>
          </cell>
          <cell r="I7529" t="str">
            <v>s__unclassified_f__Clostridiaceae</v>
          </cell>
        </row>
        <row r="7530">
          <cell r="G7530" t="str">
            <v>ASV2085</v>
          </cell>
          <cell r="H7530" t="str">
            <v>g__Clostridium_sensu_stricto_1</v>
          </cell>
          <cell r="I7530" t="str">
            <v>s__unclassified_g__Clostridium_sensu_stricto_1</v>
          </cell>
        </row>
        <row r="7531">
          <cell r="G7531" t="str">
            <v>ASV23826</v>
          </cell>
          <cell r="H7531" t="str">
            <v>g__Lactobacillus</v>
          </cell>
          <cell r="I7531" t="str">
            <v>s__uncultured_bacterium_g__Lactobacillus</v>
          </cell>
        </row>
        <row r="7532">
          <cell r="G7532" t="str">
            <v>ASV491</v>
          </cell>
          <cell r="H7532" t="str">
            <v>g__unclassified_c__Clostridia</v>
          </cell>
          <cell r="I7532" t="str">
            <v>s__unclassified_c__Clostridia</v>
          </cell>
        </row>
        <row r="7533">
          <cell r="G7533" t="str">
            <v>ASV15923</v>
          </cell>
          <cell r="H7533" t="str">
            <v>g__Pyramidobacter</v>
          </cell>
          <cell r="I7533" t="str">
            <v>s__uncultured_Pyramidobacter_sp.</v>
          </cell>
        </row>
        <row r="7534">
          <cell r="G7534" t="str">
            <v>ASV5754</v>
          </cell>
          <cell r="H7534" t="str">
            <v>g__unclassified_f__Christensenellaceae</v>
          </cell>
          <cell r="I7534" t="str">
            <v>s__unclassified_f__Christensenellaceae</v>
          </cell>
        </row>
        <row r="7535">
          <cell r="G7535" t="str">
            <v>ASV7649</v>
          </cell>
          <cell r="H7535" t="str">
            <v>g__Romboutsia</v>
          </cell>
          <cell r="I7535" t="str">
            <v>s__unclassified_g__Romboutsia</v>
          </cell>
        </row>
        <row r="7536">
          <cell r="G7536" t="str">
            <v>ASV4698</v>
          </cell>
          <cell r="H7536" t="str">
            <v>g__unclassified_o__Bacteroidales</v>
          </cell>
          <cell r="I7536" t="str">
            <v>s__unclassified_o__Bacteroidales</v>
          </cell>
        </row>
        <row r="7537">
          <cell r="G7537" t="str">
            <v>ASV8954</v>
          </cell>
          <cell r="H7537" t="str">
            <v>g__unclassified_f__Pasteurellaceae</v>
          </cell>
          <cell r="I7537" t="str">
            <v>s__unclassified_f__Pasteurellaceae</v>
          </cell>
        </row>
        <row r="7538">
          <cell r="G7538" t="str">
            <v>ASV2729</v>
          </cell>
          <cell r="H7538" t="str">
            <v>g__Cellulosilyticum</v>
          </cell>
          <cell r="I7538" t="str">
            <v>s__uncultured_Clostridia_bacterium_g__Cellulosilyticum</v>
          </cell>
        </row>
        <row r="7539">
          <cell r="G7539" t="str">
            <v>ASV8791</v>
          </cell>
          <cell r="H7539" t="str">
            <v>g__Anaerovibrio</v>
          </cell>
          <cell r="I7539" t="str">
            <v>s__unclassified_g__Anaerovibrio</v>
          </cell>
        </row>
        <row r="7540">
          <cell r="G7540" t="str">
            <v>ASV6634</v>
          </cell>
          <cell r="H7540" t="str">
            <v>g__unclassified_k__norank_d__Bacteria</v>
          </cell>
          <cell r="I7540" t="str">
            <v>s__unclassified_k__norank_d__Bacteria</v>
          </cell>
        </row>
        <row r="7541">
          <cell r="G7541" t="str">
            <v>ASV22057</v>
          </cell>
          <cell r="H7541" t="str">
            <v>g__norank_f__norank_o__Clostridia_UCG-014</v>
          </cell>
          <cell r="I7541" t="str">
            <v>s__uncultured_bacterium_g__norank_f__norank_o__Clostridia_UCG-014</v>
          </cell>
        </row>
        <row r="7542">
          <cell r="G7542" t="str">
            <v>ASV7637</v>
          </cell>
          <cell r="H7542" t="str">
            <v>g__unclassified_c__Clostridia</v>
          </cell>
          <cell r="I7542" t="str">
            <v>s__unclassified_c__Clostridia</v>
          </cell>
        </row>
        <row r="7543">
          <cell r="G7543" t="str">
            <v>ASV15792</v>
          </cell>
          <cell r="H7543" t="str">
            <v>g__Megasphaera</v>
          </cell>
          <cell r="I7543" t="str">
            <v>s__unclassified_g__Megasphaera</v>
          </cell>
        </row>
        <row r="7544">
          <cell r="G7544" t="str">
            <v>ASV9272</v>
          </cell>
          <cell r="H7544" t="str">
            <v>g__unclassified_c__Clostridia</v>
          </cell>
          <cell r="I7544" t="str">
            <v>s__unclassified_c__Clostridia</v>
          </cell>
        </row>
        <row r="7545">
          <cell r="G7545" t="str">
            <v>ASV2048</v>
          </cell>
          <cell r="H7545" t="str">
            <v>g__unclassified_c__Clostridia</v>
          </cell>
          <cell r="I7545" t="str">
            <v>s__unclassified_c__Clostridia</v>
          </cell>
        </row>
        <row r="7546">
          <cell r="G7546" t="str">
            <v>ASV3468</v>
          </cell>
          <cell r="H7546" t="str">
            <v>g__Clostridium_sensu_stricto_1</v>
          </cell>
          <cell r="I7546" t="str">
            <v>s__unclassified_g__Clostridium_sensu_stricto_1</v>
          </cell>
        </row>
        <row r="7547">
          <cell r="G7547" t="str">
            <v>ASV12646</v>
          </cell>
          <cell r="H7547" t="str">
            <v>g__unclassified_f__Lachnospiraceae</v>
          </cell>
          <cell r="I7547" t="str">
            <v>s__unclassified_f__Lachnospiraceae</v>
          </cell>
        </row>
        <row r="7548">
          <cell r="G7548" t="str">
            <v>ASV20689</v>
          </cell>
          <cell r="H7548" t="str">
            <v>g__unclassified_c__Clostridia</v>
          </cell>
          <cell r="I7548" t="str">
            <v>s__unclassified_c__Clostridia</v>
          </cell>
        </row>
        <row r="7549">
          <cell r="G7549" t="str">
            <v>ASV8820</v>
          </cell>
          <cell r="H7549" t="str">
            <v>g__Bergeyella</v>
          </cell>
          <cell r="I7549" t="str">
            <v>s__Cloacibacterium_sp._canine_oral_taxon_320</v>
          </cell>
        </row>
        <row r="7550">
          <cell r="G7550" t="str">
            <v>ASV5762</v>
          </cell>
          <cell r="H7550" t="str">
            <v>g__Bacteroides</v>
          </cell>
          <cell r="I7550" t="str">
            <v>s__unclassified_g__Bacteroides</v>
          </cell>
        </row>
        <row r="7551">
          <cell r="G7551" t="str">
            <v>ASV11381</v>
          </cell>
          <cell r="H7551" t="str">
            <v>g__Eubacterium_oxidoreducens_group</v>
          </cell>
          <cell r="I7551" t="str">
            <v>s__uncultured_bacterium_g__Eubacterium_oxidoreducens_group</v>
          </cell>
        </row>
        <row r="7552">
          <cell r="G7552" t="str">
            <v>ASV14060</v>
          </cell>
          <cell r="H7552" t="str">
            <v>g__unclassified_o__Lactobacillales</v>
          </cell>
          <cell r="I7552" t="str">
            <v>s__unclassified_o__Lactobacillales</v>
          </cell>
        </row>
        <row r="7553">
          <cell r="G7553" t="str">
            <v>ASV19427</v>
          </cell>
          <cell r="H7553" t="str">
            <v>g__unclassified_c__Clostridia</v>
          </cell>
          <cell r="I7553" t="str">
            <v>s__unclassified_c__Clostridia</v>
          </cell>
        </row>
        <row r="7554">
          <cell r="G7554" t="str">
            <v>ASV15794</v>
          </cell>
          <cell r="H7554" t="str">
            <v>g__unclassified_c__Bacilli</v>
          </cell>
          <cell r="I7554" t="str">
            <v>s__unclassified_c__Bacilli</v>
          </cell>
        </row>
        <row r="7555">
          <cell r="G7555" t="str">
            <v>ASV18538</v>
          </cell>
          <cell r="H7555" t="str">
            <v>g__Lactobacillus</v>
          </cell>
          <cell r="I7555" t="str">
            <v>s__unclassified_g__Lactobacillus</v>
          </cell>
        </row>
        <row r="7556">
          <cell r="G7556" t="str">
            <v>ASV21733</v>
          </cell>
          <cell r="H7556" t="str">
            <v>g__UCG-004</v>
          </cell>
          <cell r="I7556" t="str">
            <v>s__unclassified_g__UCG-004</v>
          </cell>
        </row>
        <row r="7557">
          <cell r="G7557" t="str">
            <v>ASV7611</v>
          </cell>
          <cell r="H7557" t="str">
            <v>g__Lactobacillus</v>
          </cell>
          <cell r="I7557" t="str">
            <v>s__unclassified_g__Lactobacillus</v>
          </cell>
        </row>
        <row r="7558">
          <cell r="G7558" t="str">
            <v>ASV24116</v>
          </cell>
          <cell r="H7558" t="str">
            <v>g__norank_f__Eggerthellaceae</v>
          </cell>
          <cell r="I7558" t="str">
            <v>s__uncultured_bacterium_g__norank_f__Eggerthellaceae</v>
          </cell>
        </row>
        <row r="7559">
          <cell r="G7559" t="str">
            <v>ASV17899</v>
          </cell>
          <cell r="H7559" t="str">
            <v>g__norank_f__Eubacterium_coprostanoligenes_group</v>
          </cell>
          <cell r="I7559" t="str">
            <v>s__unclassified_g__norank_f__Eubacterium_coprostanoligenes_group</v>
          </cell>
        </row>
        <row r="7560">
          <cell r="G7560" t="str">
            <v>ASV15300</v>
          </cell>
          <cell r="H7560" t="str">
            <v>g__Christensenellaceae_R-7_group</v>
          </cell>
          <cell r="I7560" t="str">
            <v>s__unclassified_g__Christensenellaceae_R-7_group</v>
          </cell>
        </row>
        <row r="7561">
          <cell r="G7561" t="str">
            <v>ASV11396</v>
          </cell>
          <cell r="H7561" t="str">
            <v>g__Anaerovibrio</v>
          </cell>
          <cell r="I7561" t="str">
            <v>s__Anaerovibrio_sp._765</v>
          </cell>
        </row>
        <row r="7562">
          <cell r="G7562" t="str">
            <v>ASV16845</v>
          </cell>
          <cell r="H7562" t="str">
            <v>g__Faecalibacterium</v>
          </cell>
          <cell r="I7562" t="str">
            <v>s__unclassified_g__Faecalibacterium</v>
          </cell>
        </row>
        <row r="7563">
          <cell r="G7563" t="str">
            <v>ASV8963</v>
          </cell>
          <cell r="H7563" t="str">
            <v>g__Clostridium_sensu_stricto_1</v>
          </cell>
          <cell r="I7563" t="str">
            <v>s__unclassified_g__Clostridium_sensu_stricto_1</v>
          </cell>
        </row>
        <row r="7564">
          <cell r="G7564" t="str">
            <v>ASV14104</v>
          </cell>
          <cell r="H7564" t="str">
            <v>g__unclassified_f__Oscillospiraceae</v>
          </cell>
          <cell r="I7564" t="str">
            <v>s__unclassified_f__Oscillospiraceae</v>
          </cell>
        </row>
        <row r="7565">
          <cell r="G7565" t="str">
            <v>ASV19423</v>
          </cell>
          <cell r="H7565" t="str">
            <v>g__norank_f__Eubacterium_coprostanoligenes_group</v>
          </cell>
          <cell r="I7565" t="str">
            <v>s__uncultured_bacterium_g__norank_f__Eubacterium_coprostanoligenes_group</v>
          </cell>
        </row>
        <row r="7566">
          <cell r="G7566" t="str">
            <v>ASV22070</v>
          </cell>
          <cell r="H7566" t="str">
            <v>g__unclassified_c__Clostridia</v>
          </cell>
          <cell r="I7566" t="str">
            <v>s__unclassified_c__Clostridia</v>
          </cell>
        </row>
        <row r="7567">
          <cell r="G7567" t="str">
            <v>ASV7189</v>
          </cell>
          <cell r="H7567" t="str">
            <v>g__F0058</v>
          </cell>
          <cell r="I7567" t="str">
            <v>s__unclassified_g__F0058</v>
          </cell>
        </row>
        <row r="7568">
          <cell r="G7568" t="str">
            <v>ASV14067</v>
          </cell>
          <cell r="H7568" t="str">
            <v>g__Rikenellaceae_RC9_gut_group</v>
          </cell>
          <cell r="I7568" t="str">
            <v>s__uncultured_bacterium_g__Rikenellaceae_RC9_gut_group</v>
          </cell>
        </row>
        <row r="7569">
          <cell r="G7569" t="str">
            <v>ASV20644</v>
          </cell>
          <cell r="H7569" t="str">
            <v>g__unclassified_c__Clostridia</v>
          </cell>
          <cell r="I7569" t="str">
            <v>s__unclassified_c__Clostridia</v>
          </cell>
        </row>
        <row r="7570">
          <cell r="G7570" t="str">
            <v>ASV22017</v>
          </cell>
          <cell r="H7570" t="str">
            <v>g__norank_f__Muribaculaceae</v>
          </cell>
          <cell r="I7570" t="str">
            <v>s__uncultured_bacterium_g__norank_f__Muribaculaceae</v>
          </cell>
        </row>
        <row r="7571">
          <cell r="G7571" t="str">
            <v>ASV11371</v>
          </cell>
          <cell r="H7571" t="str">
            <v>g__unclassified_k__norank_d__Bacteria</v>
          </cell>
          <cell r="I7571" t="str">
            <v>s__unclassified_k__norank_d__Bacteria</v>
          </cell>
        </row>
        <row r="7572">
          <cell r="G7572" t="str">
            <v>ASV2044</v>
          </cell>
          <cell r="H7572" t="str">
            <v>g__Christensenellaceae_R-7_group</v>
          </cell>
          <cell r="I7572" t="str">
            <v>s__unclassified_g__Christensenellaceae_R-7_group</v>
          </cell>
        </row>
        <row r="7573">
          <cell r="G7573" t="str">
            <v>ASV22015</v>
          </cell>
          <cell r="H7573" t="str">
            <v>g__Defluviitaleaceae_UCG-011</v>
          </cell>
          <cell r="I7573" t="str">
            <v>s__uncultured_bacterium_g__Defluviitaleaceae_UCG-011</v>
          </cell>
        </row>
        <row r="7574">
          <cell r="G7574" t="str">
            <v>ASV19390</v>
          </cell>
          <cell r="H7574" t="str">
            <v>g__unclassified_f__Lachnospiraceae</v>
          </cell>
          <cell r="I7574" t="str">
            <v>s__unclassified_f__Lachnospiraceae</v>
          </cell>
        </row>
        <row r="7575">
          <cell r="G7575" t="str">
            <v>ASV5782</v>
          </cell>
          <cell r="H7575" t="str">
            <v>g__Negativibacillus</v>
          </cell>
          <cell r="I7575" t="str">
            <v>s__unclassified_g__Negativibacillus</v>
          </cell>
        </row>
        <row r="7576">
          <cell r="G7576" t="str">
            <v>ASV7619</v>
          </cell>
          <cell r="H7576" t="str">
            <v>g__norank_f__Peptostreptococcaceae</v>
          </cell>
          <cell r="I7576" t="str">
            <v>s__uncultured_bacterium_g__norank_f__Peptostreptococcaceae</v>
          </cell>
        </row>
        <row r="7577">
          <cell r="G7577" t="str">
            <v>ASV11391</v>
          </cell>
          <cell r="H7577" t="str">
            <v>g__unclassified_f__Lachnospiraceae</v>
          </cell>
          <cell r="I7577" t="str">
            <v>s__unclassified_f__Lachnospiraceae</v>
          </cell>
        </row>
        <row r="7578">
          <cell r="G7578" t="str">
            <v>ASV13789</v>
          </cell>
          <cell r="H7578" t="str">
            <v>g__unclassified_f__Clostridiaceae</v>
          </cell>
          <cell r="I7578" t="str">
            <v>s__unclassified_f__Clostridiaceae</v>
          </cell>
        </row>
        <row r="7579">
          <cell r="G7579" t="str">
            <v>ASV16330</v>
          </cell>
          <cell r="H7579" t="str">
            <v>g__NK4A214_group</v>
          </cell>
          <cell r="I7579" t="str">
            <v>s__uncultured_bacterium_g__NK4A214_group</v>
          </cell>
        </row>
        <row r="7580">
          <cell r="G7580" t="str">
            <v>ASV19384</v>
          </cell>
          <cell r="H7580" t="str">
            <v>g__Bacteroides</v>
          </cell>
          <cell r="I7580" t="str">
            <v>s__unclassified_g__Bacteroides</v>
          </cell>
        </row>
        <row r="7581">
          <cell r="G7581" t="str">
            <v>ASV17866</v>
          </cell>
          <cell r="H7581" t="str">
            <v>g__unclassified_f__Ruminococcaceae</v>
          </cell>
          <cell r="I7581" t="str">
            <v>s__unclassified_f__Ruminococcaceae</v>
          </cell>
        </row>
        <row r="7582">
          <cell r="G7582" t="str">
            <v>ASV23936</v>
          </cell>
          <cell r="H7582" t="str">
            <v>g__Allisonella</v>
          </cell>
          <cell r="I7582" t="str">
            <v>s__uncultured_bacterium_g__Allisonella</v>
          </cell>
        </row>
        <row r="7583">
          <cell r="G7583" t="str">
            <v>ASV11411</v>
          </cell>
          <cell r="H7583" t="str">
            <v>g__Corynebacterium</v>
          </cell>
          <cell r="I7583" t="str">
            <v>s__unclassified_g__Corynebacterium</v>
          </cell>
        </row>
        <row r="7584">
          <cell r="G7584" t="str">
            <v>ASV23157</v>
          </cell>
          <cell r="H7584" t="str">
            <v>g__unclassified_c__Bacilli</v>
          </cell>
          <cell r="I7584" t="str">
            <v>s__unclassified_c__Bacilli</v>
          </cell>
        </row>
        <row r="7585">
          <cell r="G7585" t="str">
            <v>ASV11460</v>
          </cell>
          <cell r="H7585" t="str">
            <v>g__unclassified_f__Lachnospiraceae</v>
          </cell>
          <cell r="I7585" t="str">
            <v>s__unclassified_f__Lachnospiraceae</v>
          </cell>
        </row>
        <row r="7586">
          <cell r="G7586" t="str">
            <v>ASV21995</v>
          </cell>
          <cell r="H7586" t="str">
            <v>g__unclassified_c__Clostridia</v>
          </cell>
          <cell r="I7586" t="str">
            <v>s__unclassified_c__Clostridia</v>
          </cell>
        </row>
        <row r="7587">
          <cell r="G7587" t="str">
            <v>ASV556</v>
          </cell>
          <cell r="H7587" t="str">
            <v>g__unclassified_c__Clostridia</v>
          </cell>
          <cell r="I7587" t="str">
            <v>s__unclassified_c__Clostridia</v>
          </cell>
        </row>
        <row r="7588">
          <cell r="G7588" t="str">
            <v>ASV3451</v>
          </cell>
          <cell r="H7588" t="str">
            <v>g__Lactobacillus</v>
          </cell>
          <cell r="I7588" t="str">
            <v>s__unclassified_g__Lactobacillus</v>
          </cell>
        </row>
        <row r="7589">
          <cell r="G7589" t="str">
            <v>ASV18839</v>
          </cell>
          <cell r="H7589" t="str">
            <v>g__Desulfovibrio</v>
          </cell>
          <cell r="I7589" t="str">
            <v>s__unclassified_g__Desulfovibrio</v>
          </cell>
        </row>
        <row r="7590">
          <cell r="G7590" t="str">
            <v>ASV512</v>
          </cell>
          <cell r="H7590" t="str">
            <v>g__Lactobacillus</v>
          </cell>
          <cell r="I7590" t="str">
            <v>s__unclassified_g__Lactobacillus</v>
          </cell>
        </row>
        <row r="7591">
          <cell r="G7591" t="str">
            <v>ASV22060</v>
          </cell>
          <cell r="H7591" t="str">
            <v>g__unclassified_o__Oscillospirales</v>
          </cell>
          <cell r="I7591" t="str">
            <v>s__unclassified_o__Oscillospirales</v>
          </cell>
        </row>
        <row r="7592">
          <cell r="G7592" t="str">
            <v>ASV13328</v>
          </cell>
          <cell r="H7592" t="str">
            <v>g__Lactobacillus</v>
          </cell>
          <cell r="I7592" t="str">
            <v>s__unclassified_g__Lactobacillus</v>
          </cell>
        </row>
        <row r="7593">
          <cell r="G7593" t="str">
            <v>ASV6633</v>
          </cell>
          <cell r="H7593" t="str">
            <v>g__unclassified_p__Firmicutes</v>
          </cell>
          <cell r="I7593" t="str">
            <v>s__unclassified_p__Firmicutes</v>
          </cell>
        </row>
        <row r="7594">
          <cell r="G7594" t="str">
            <v>ASV3952</v>
          </cell>
          <cell r="H7594" t="str">
            <v>g__Phascolarctobacterium</v>
          </cell>
          <cell r="I7594" t="str">
            <v>s__uncultured_bacterium_g__Phascolarctobacterium</v>
          </cell>
        </row>
        <row r="7595">
          <cell r="G7595" t="str">
            <v>ASV11426</v>
          </cell>
          <cell r="H7595" t="str">
            <v>g__unclassified_c__Clostridia</v>
          </cell>
          <cell r="I7595" t="str">
            <v>s__unclassified_c__Clostridia</v>
          </cell>
        </row>
        <row r="7596">
          <cell r="G7596" t="str">
            <v>ASV4715</v>
          </cell>
          <cell r="H7596" t="str">
            <v>g__unclassified_f__Lachnospiraceae</v>
          </cell>
          <cell r="I7596" t="str">
            <v>s__unclassified_f__Lachnospiraceae</v>
          </cell>
        </row>
        <row r="7597">
          <cell r="G7597" t="str">
            <v>ASV5772</v>
          </cell>
          <cell r="H7597" t="str">
            <v>g__norank_f__norank_o__Clostridia_UCG-014</v>
          </cell>
          <cell r="I7597" t="str">
            <v>s__uncultured_bacterium_g__norank_f__norank_o__Clostridia_UCG-014</v>
          </cell>
        </row>
        <row r="7598">
          <cell r="G7598" t="str">
            <v>ASV15945</v>
          </cell>
          <cell r="H7598" t="str">
            <v>g__Allisonella</v>
          </cell>
          <cell r="I7598" t="str">
            <v>s__unclassified_g__Allisonella</v>
          </cell>
        </row>
        <row r="7599">
          <cell r="G7599" t="str">
            <v>ASV5724</v>
          </cell>
          <cell r="H7599" t="str">
            <v>g__unclassified_k__norank_d__Bacteria</v>
          </cell>
          <cell r="I7599" t="str">
            <v>s__unclassified_k__norank_d__Bacteria</v>
          </cell>
        </row>
        <row r="7600">
          <cell r="G7600" t="str">
            <v>ASV4731</v>
          </cell>
          <cell r="H7600" t="str">
            <v>g__Lactobacillus</v>
          </cell>
          <cell r="I7600" t="str">
            <v>s__unclassified_g__Lactobacillus</v>
          </cell>
        </row>
        <row r="7601">
          <cell r="G7601" t="str">
            <v>ASV2896</v>
          </cell>
          <cell r="H7601" t="str">
            <v>g__Vogesella</v>
          </cell>
          <cell r="I7601" t="str">
            <v>s__Neisseriaceae_bacterium_TLPNA24</v>
          </cell>
        </row>
        <row r="7602">
          <cell r="G7602" t="str">
            <v>ASV5787</v>
          </cell>
          <cell r="H7602" t="str">
            <v>g__Clostridium_sensu_stricto_1</v>
          </cell>
          <cell r="I7602" t="str">
            <v>s__uncultured_bacterium_g__Clostridium_sensu_stricto_1</v>
          </cell>
        </row>
        <row r="7603">
          <cell r="G7603" t="str">
            <v>ASV17929</v>
          </cell>
          <cell r="H7603" t="str">
            <v>g__unclassified_f__Christensenellaceae</v>
          </cell>
          <cell r="I7603" t="str">
            <v>s__unclassified_f__Christensenellaceae</v>
          </cell>
        </row>
        <row r="7604">
          <cell r="G7604" t="str">
            <v>ASV532</v>
          </cell>
          <cell r="H7604" t="str">
            <v>g__Enterococcus</v>
          </cell>
          <cell r="I7604" t="str">
            <v>s__unclassified_g__Enterococcus</v>
          </cell>
        </row>
        <row r="7605">
          <cell r="G7605" t="str">
            <v>ASV5726</v>
          </cell>
          <cell r="H7605" t="str">
            <v>g__unclassified_c__Clostridia</v>
          </cell>
          <cell r="I7605" t="str">
            <v>s__unclassified_c__Clostridia</v>
          </cell>
        </row>
        <row r="7606">
          <cell r="G7606" t="str">
            <v>ASV3954</v>
          </cell>
          <cell r="H7606" t="str">
            <v>g__Family_XIII_AD3011_group</v>
          </cell>
          <cell r="I7606" t="str">
            <v>s__unclassified_g__Family_XIII_AD3011_group</v>
          </cell>
        </row>
        <row r="7607">
          <cell r="G7607" t="str">
            <v>ASV7173</v>
          </cell>
          <cell r="H7607" t="str">
            <v>g__Pediococcus</v>
          </cell>
          <cell r="I7607" t="str">
            <v>s__unclassified_g__Pediococcus</v>
          </cell>
        </row>
        <row r="7608">
          <cell r="G7608" t="str">
            <v>ASV4705</v>
          </cell>
          <cell r="H7608" t="str">
            <v>g__unclassified_f__Ruminococcaceae</v>
          </cell>
          <cell r="I7608" t="str">
            <v>s__unclassified_f__Ruminococcaceae</v>
          </cell>
        </row>
        <row r="7609">
          <cell r="G7609" t="str">
            <v>ASV20654</v>
          </cell>
          <cell r="H7609" t="str">
            <v>g__Faecalicoccus</v>
          </cell>
          <cell r="I7609" t="str">
            <v>s__unclassified_g__Faecalicoccus</v>
          </cell>
        </row>
        <row r="7610">
          <cell r="G7610" t="str">
            <v>ASV22962</v>
          </cell>
          <cell r="H7610" t="str">
            <v>g__Veillonella</v>
          </cell>
          <cell r="I7610" t="str">
            <v>s__unclassified_g__Veillonella</v>
          </cell>
        </row>
        <row r="7611">
          <cell r="G7611" t="str">
            <v>ASV4689</v>
          </cell>
          <cell r="H7611" t="str">
            <v>g__UCG-002</v>
          </cell>
          <cell r="I7611" t="str">
            <v>s__uncultured_bacterium_g__UCG-002</v>
          </cell>
        </row>
        <row r="7612">
          <cell r="G7612" t="str">
            <v>ASV9997</v>
          </cell>
          <cell r="H7612" t="str">
            <v>g__Prevotella</v>
          </cell>
          <cell r="I7612" t="str">
            <v>s__unclassified_g__Prevotella</v>
          </cell>
        </row>
        <row r="7613">
          <cell r="G7613" t="str">
            <v>ASV11441</v>
          </cell>
          <cell r="H7613" t="str">
            <v>g__UCG-002</v>
          </cell>
          <cell r="I7613" t="str">
            <v>s__uncultured_bacterium_g__UCG-002</v>
          </cell>
        </row>
        <row r="7614">
          <cell r="G7614" t="str">
            <v>ASV14097</v>
          </cell>
          <cell r="H7614" t="str">
            <v>g__unclassified_f__Selenomonadaceae</v>
          </cell>
          <cell r="I7614" t="str">
            <v>s__unclassified_f__Selenomonadaceae</v>
          </cell>
        </row>
        <row r="7615">
          <cell r="G7615" t="str">
            <v>ASV19393</v>
          </cell>
          <cell r="H7615" t="str">
            <v>g__Christensenellaceae_R-7_group</v>
          </cell>
          <cell r="I7615" t="str">
            <v>s__uncultured_bacterium_g__Christensenellaceae_R-7_group</v>
          </cell>
        </row>
        <row r="7616">
          <cell r="G7616" t="str">
            <v>ASV11410</v>
          </cell>
          <cell r="H7616" t="str">
            <v>g__unclassified_c__Clostridia</v>
          </cell>
          <cell r="I7616" t="str">
            <v>s__unclassified_c__Clostridia</v>
          </cell>
        </row>
        <row r="7617">
          <cell r="G7617" t="str">
            <v>ASV18841</v>
          </cell>
          <cell r="H7617" t="str">
            <v>g__Fusobacterium</v>
          </cell>
          <cell r="I7617" t="str">
            <v>s__unclassified_g__Fusobacterium</v>
          </cell>
        </row>
        <row r="7618">
          <cell r="G7618" t="str">
            <v>ASV14140</v>
          </cell>
          <cell r="H7618" t="str">
            <v>g__Lactobacillus</v>
          </cell>
          <cell r="I7618" t="str">
            <v>s__unclassified_g__Lactobacillus</v>
          </cell>
        </row>
        <row r="7619">
          <cell r="G7619" t="str">
            <v>ASV20683</v>
          </cell>
          <cell r="H7619" t="str">
            <v>g__Lactobacillus</v>
          </cell>
          <cell r="I7619" t="str">
            <v>s__unclassified_g__Lactobacillus</v>
          </cell>
        </row>
        <row r="7620">
          <cell r="G7620" t="str">
            <v>ASV22040</v>
          </cell>
          <cell r="H7620" t="str">
            <v>g__norank_f__Eubacterium_coprostanoligenes_group</v>
          </cell>
          <cell r="I7620" t="str">
            <v>s__uncultured_bacterium_g__norank_f__Eubacterium_coprostanoligenes_group</v>
          </cell>
        </row>
        <row r="7621">
          <cell r="G7621" t="str">
            <v>ASV12676</v>
          </cell>
          <cell r="H7621" t="str">
            <v>g__UCG-002</v>
          </cell>
          <cell r="I7621" t="str">
            <v>s__uncultured_bacterium_g__UCG-002</v>
          </cell>
        </row>
        <row r="7622">
          <cell r="G7622" t="str">
            <v>ASV11375</v>
          </cell>
          <cell r="H7622" t="str">
            <v>g__norank_f__norank_o__Clostridia_UCG-014</v>
          </cell>
          <cell r="I7622" t="str">
            <v>s__uncultured_bacterium_g__norank_f__norank_o__Clostridia_UCG-014</v>
          </cell>
        </row>
        <row r="7623">
          <cell r="G7623" t="str">
            <v>ASV2080</v>
          </cell>
          <cell r="H7623" t="str">
            <v>g__unclassified_c__Bacilli</v>
          </cell>
          <cell r="I7623" t="str">
            <v>s__unclassified_c__Bacilli</v>
          </cell>
        </row>
        <row r="7624">
          <cell r="G7624" t="str">
            <v>ASV23156</v>
          </cell>
          <cell r="H7624" t="str">
            <v>g__unclassified_c__Bacilli</v>
          </cell>
          <cell r="I7624" t="str">
            <v>s__unclassified_c__Bacilli</v>
          </cell>
        </row>
        <row r="7625">
          <cell r="G7625" t="str">
            <v>ASV3459</v>
          </cell>
          <cell r="H7625" t="str">
            <v>g__Veillonella</v>
          </cell>
          <cell r="I7625" t="str">
            <v>s__unclassified_g__Veillonella</v>
          </cell>
        </row>
        <row r="7626">
          <cell r="G7626" t="str">
            <v>ASV7047</v>
          </cell>
          <cell r="H7626" t="str">
            <v>g__Tyzzerella</v>
          </cell>
          <cell r="I7626" t="str">
            <v>s__unclassified_g__Tyzzerella</v>
          </cell>
        </row>
        <row r="7627">
          <cell r="G7627" t="str">
            <v>ASV16335</v>
          </cell>
          <cell r="H7627" t="str">
            <v>g__Rikenellaceae_RC9_gut_group</v>
          </cell>
          <cell r="I7627" t="str">
            <v>s__uncultured_bacterium_g__Rikenellaceae_RC9_gut_group</v>
          </cell>
        </row>
        <row r="7628">
          <cell r="G7628" t="str">
            <v>ASV5756</v>
          </cell>
          <cell r="H7628" t="str">
            <v>g__unclassified_c__Clostridia</v>
          </cell>
          <cell r="I7628" t="str">
            <v>s__unclassified_c__Clostridia</v>
          </cell>
        </row>
        <row r="7629">
          <cell r="G7629" t="str">
            <v>ASV12673</v>
          </cell>
          <cell r="H7629" t="str">
            <v>g__unclassified_o__Peptostreptococcales-Tissierellales</v>
          </cell>
          <cell r="I7629" t="str">
            <v>s__unclassified_o__Peptostreptococcales-Tissierellales</v>
          </cell>
        </row>
        <row r="7630">
          <cell r="G7630" t="str">
            <v>ASV3633</v>
          </cell>
          <cell r="H7630" t="str">
            <v>g__Blastococcus</v>
          </cell>
          <cell r="I7630" t="str">
            <v>s__unclassified_g__Blastococcus</v>
          </cell>
        </row>
        <row r="7631">
          <cell r="G7631" t="str">
            <v>ASV16355</v>
          </cell>
          <cell r="H7631" t="str">
            <v>g__unclassified_o__Oscillospirales</v>
          </cell>
          <cell r="I7631" t="str">
            <v>s__unclassified_o__Oscillospirales</v>
          </cell>
        </row>
        <row r="7632">
          <cell r="G7632" t="str">
            <v>ASV2053</v>
          </cell>
          <cell r="H7632" t="str">
            <v>g__unclassified_f__Lachnospiraceae</v>
          </cell>
          <cell r="I7632" t="str">
            <v>s__unclassified_f__Lachnospiraceae</v>
          </cell>
        </row>
        <row r="7633">
          <cell r="G7633" t="str">
            <v>ASV20638</v>
          </cell>
          <cell r="H7633" t="str">
            <v>g__unclassified_c__Clostridia</v>
          </cell>
          <cell r="I7633" t="str">
            <v>s__unclassified_c__Clostridia</v>
          </cell>
        </row>
        <row r="7634">
          <cell r="G7634" t="str">
            <v>ASV7616</v>
          </cell>
          <cell r="H7634" t="str">
            <v>g__UBA1819</v>
          </cell>
          <cell r="I7634" t="str">
            <v>s__unclassified_g__UBA1819</v>
          </cell>
        </row>
        <row r="7635">
          <cell r="G7635" t="str">
            <v>ASV23130</v>
          </cell>
          <cell r="H7635" t="str">
            <v>g__unclassified_c__Clostridia</v>
          </cell>
          <cell r="I7635" t="str">
            <v>s__unclassified_c__Clostridia</v>
          </cell>
        </row>
        <row r="7636">
          <cell r="G7636" t="str">
            <v>ASV23146</v>
          </cell>
          <cell r="H7636" t="str">
            <v>g__Christensenellaceae_R-7_group</v>
          </cell>
          <cell r="I7636" t="str">
            <v>s__unclassified_g__Christensenellaceae_R-7_group</v>
          </cell>
        </row>
        <row r="7637">
          <cell r="G7637" t="str">
            <v>ASV4697</v>
          </cell>
          <cell r="H7637" t="str">
            <v>g__unclassified_f__Lachnospiraceae</v>
          </cell>
          <cell r="I7637" t="str">
            <v>s__unclassified_f__Lachnospiraceae</v>
          </cell>
        </row>
        <row r="7638">
          <cell r="G7638" t="str">
            <v>ASV10175</v>
          </cell>
          <cell r="H7638" t="str">
            <v>g__Fusobacterium</v>
          </cell>
          <cell r="I7638" t="str">
            <v>s__unclassified_g__Fusobacterium</v>
          </cell>
        </row>
        <row r="7639">
          <cell r="G7639" t="str">
            <v>ASV8474</v>
          </cell>
          <cell r="H7639" t="str">
            <v>g__Lactobacillus</v>
          </cell>
          <cell r="I7639" t="str">
            <v>s__unclassified_g__Lactobacillus</v>
          </cell>
        </row>
        <row r="7640">
          <cell r="G7640" t="str">
            <v>ASV16322</v>
          </cell>
          <cell r="H7640" t="str">
            <v>g__Clostridium_sensu_stricto_1</v>
          </cell>
          <cell r="I7640" t="str">
            <v>s__unclassified_g__Clostridium_sensu_stricto_1</v>
          </cell>
        </row>
        <row r="7641">
          <cell r="G7641" t="str">
            <v>ASV8964</v>
          </cell>
          <cell r="H7641" t="str">
            <v>g__unclassified_p__Firmicutes</v>
          </cell>
          <cell r="I7641" t="str">
            <v>s__unclassified_p__Firmicutes</v>
          </cell>
        </row>
        <row r="7642">
          <cell r="G7642" t="str">
            <v>ASV5725</v>
          </cell>
          <cell r="H7642" t="str">
            <v>g__Treponema</v>
          </cell>
          <cell r="I7642" t="str">
            <v>s__uncultured_bacterium_g__Treponema</v>
          </cell>
        </row>
        <row r="7643">
          <cell r="G7643" t="str">
            <v>ASV15269</v>
          </cell>
          <cell r="H7643" t="str">
            <v>g__unclassified_c__Clostridia</v>
          </cell>
          <cell r="I7643" t="str">
            <v>s__unclassified_c__Clostridia</v>
          </cell>
        </row>
        <row r="7644">
          <cell r="G7644" t="str">
            <v>ASV17915</v>
          </cell>
          <cell r="H7644" t="str">
            <v>g__unclassified_f__Lachnospiraceae</v>
          </cell>
          <cell r="I7644" t="str">
            <v>s__unclassified_f__Lachnospiraceae</v>
          </cell>
        </row>
        <row r="7645">
          <cell r="G7645" t="str">
            <v>ASV10564</v>
          </cell>
          <cell r="H7645" t="str">
            <v>g__unclassified_c__Clostridia</v>
          </cell>
          <cell r="I7645" t="str">
            <v>s__unclassified_c__Clostridia</v>
          </cell>
        </row>
        <row r="7646">
          <cell r="G7646" t="str">
            <v>ASV20658</v>
          </cell>
          <cell r="H7646" t="str">
            <v>g__unclassified_c__Clostridia</v>
          </cell>
          <cell r="I7646" t="str">
            <v>s__unclassified_c__Clostridia</v>
          </cell>
        </row>
        <row r="7647">
          <cell r="G7647" t="str">
            <v>ASV14061</v>
          </cell>
          <cell r="H7647" t="str">
            <v>g__unclassified_c__Clostridia</v>
          </cell>
          <cell r="I7647" t="str">
            <v>s__unclassified_c__Clostridia</v>
          </cell>
        </row>
        <row r="7648">
          <cell r="G7648" t="str">
            <v>ASV8714</v>
          </cell>
          <cell r="H7648" t="str">
            <v>g__unclassified_k__norank_d__Bacteria</v>
          </cell>
          <cell r="I7648" t="str">
            <v>s__unclassified_k__norank_d__Bacteria</v>
          </cell>
        </row>
        <row r="7649">
          <cell r="G7649" t="str">
            <v>ASV17887</v>
          </cell>
          <cell r="H7649" t="str">
            <v>g__unclassified_f__Lachnospiraceae</v>
          </cell>
          <cell r="I7649" t="str">
            <v>s__unclassified_f__Lachnospiraceae</v>
          </cell>
        </row>
        <row r="7650">
          <cell r="G7650" t="str">
            <v>ASV19380</v>
          </cell>
          <cell r="H7650" t="str">
            <v>g__unclassified_c__Clostridia</v>
          </cell>
          <cell r="I7650" t="str">
            <v>s__unclassified_c__Clostridia</v>
          </cell>
        </row>
        <row r="7651">
          <cell r="G7651" t="str">
            <v>ASV11437</v>
          </cell>
          <cell r="H7651" t="str">
            <v>g__Megasphaera</v>
          </cell>
          <cell r="I7651" t="str">
            <v>s__unclassified_g__Megasphaera</v>
          </cell>
        </row>
        <row r="7652">
          <cell r="G7652" t="str">
            <v>ASV524</v>
          </cell>
          <cell r="H7652" t="str">
            <v>g__unclassified_f__Lachnospiraceae</v>
          </cell>
          <cell r="I7652" t="str">
            <v>s__unclassified_f__Lachnospiraceae</v>
          </cell>
        </row>
        <row r="7653">
          <cell r="G7653" t="str">
            <v>ASV11387</v>
          </cell>
          <cell r="H7653" t="str">
            <v>g__unclassified_c__Clostridia</v>
          </cell>
          <cell r="I7653" t="str">
            <v>s__unclassified_c__Clostridia</v>
          </cell>
        </row>
        <row r="7654">
          <cell r="G7654" t="str">
            <v>ASV9286</v>
          </cell>
          <cell r="H7654" t="str">
            <v>g__unclassified_f__Clostridiaceae</v>
          </cell>
          <cell r="I7654" t="str">
            <v>s__unclassified_f__Clostridiaceae</v>
          </cell>
        </row>
        <row r="7655">
          <cell r="G7655" t="str">
            <v>ASV13331</v>
          </cell>
          <cell r="H7655" t="str">
            <v>g__unclassified_p__Firmicutes</v>
          </cell>
          <cell r="I7655" t="str">
            <v>s__unclassified_p__Firmicutes</v>
          </cell>
        </row>
        <row r="7656">
          <cell r="G7656" t="str">
            <v>ASV19398</v>
          </cell>
          <cell r="H7656" t="str">
            <v>g__unclassified_f__Lachnospiraceae</v>
          </cell>
          <cell r="I7656" t="str">
            <v>s__unclassified_f__Lachnospiraceae</v>
          </cell>
        </row>
        <row r="7657">
          <cell r="G7657" t="str">
            <v>ASV16319</v>
          </cell>
          <cell r="H7657" t="str">
            <v>g__unclassified_c__Clostridia</v>
          </cell>
          <cell r="I7657" t="str">
            <v>s__unclassified_c__Clostridia</v>
          </cell>
        </row>
        <row r="7658">
          <cell r="G7658" t="str">
            <v>ASV14099</v>
          </cell>
          <cell r="H7658" t="str">
            <v>g__unclassified_f__Prevotellaceae</v>
          </cell>
          <cell r="I7658" t="str">
            <v>s__unclassified_f__Prevotellaceae</v>
          </cell>
        </row>
        <row r="7659">
          <cell r="G7659" t="str">
            <v>ASV5750</v>
          </cell>
          <cell r="H7659" t="str">
            <v>g__unclassified_f__Oscillospiraceae</v>
          </cell>
          <cell r="I7659" t="str">
            <v>s__unclassified_f__Oscillospiraceae</v>
          </cell>
        </row>
        <row r="7660">
          <cell r="G7660" t="str">
            <v>ASV16321</v>
          </cell>
          <cell r="H7660" t="str">
            <v>g__unclassified_c__Bacilli</v>
          </cell>
          <cell r="I7660" t="str">
            <v>s__unclassified_c__Bacilli</v>
          </cell>
        </row>
        <row r="7661">
          <cell r="G7661" t="str">
            <v>ASV7222</v>
          </cell>
          <cell r="H7661" t="str">
            <v>g__unclassified_f__Lachnospiraceae</v>
          </cell>
          <cell r="I7661" t="str">
            <v>s__unclassified_f__Lachnospiraceae</v>
          </cell>
        </row>
        <row r="7662">
          <cell r="G7662" t="str">
            <v>ASV13355</v>
          </cell>
          <cell r="H7662" t="str">
            <v>g__Lactobacillus</v>
          </cell>
          <cell r="I7662" t="str">
            <v>s__Lactobacillus_coleohominis</v>
          </cell>
        </row>
        <row r="7663">
          <cell r="G7663" t="str">
            <v>ASV13356</v>
          </cell>
          <cell r="H7663" t="str">
            <v>g__unclassified_c__Clostridia</v>
          </cell>
          <cell r="I7663" t="str">
            <v>s__unclassified_c__Clostridia</v>
          </cell>
        </row>
        <row r="7664">
          <cell r="G7664" t="str">
            <v>ASV6616</v>
          </cell>
          <cell r="H7664" t="str">
            <v>g__unclassified_f__Lachnospiraceae</v>
          </cell>
          <cell r="I7664" t="str">
            <v>s__unclassified_f__Lachnospiraceae</v>
          </cell>
        </row>
        <row r="7665">
          <cell r="G7665" t="str">
            <v>ASV5737</v>
          </cell>
          <cell r="H7665" t="str">
            <v>g__Rikenellaceae_RC9_gut_group</v>
          </cell>
          <cell r="I7665" t="str">
            <v>s__uncultured_bacterium_g__Rikenellaceae_RC9_gut_group</v>
          </cell>
        </row>
        <row r="7666">
          <cell r="G7666" t="str">
            <v>ASV511</v>
          </cell>
          <cell r="H7666" t="str">
            <v>g__unclassified_c__Clostridia</v>
          </cell>
          <cell r="I7666" t="str">
            <v>s__unclassified_c__Clostridia</v>
          </cell>
        </row>
        <row r="7667">
          <cell r="G7667" t="str">
            <v>ASV12622</v>
          </cell>
          <cell r="H7667" t="str">
            <v>g__unclassified_f__Ruminococcaceae</v>
          </cell>
          <cell r="I7667" t="str">
            <v>s__unclassified_f__Ruminococcaceae</v>
          </cell>
        </row>
        <row r="7668">
          <cell r="G7668" t="str">
            <v>ASV20701</v>
          </cell>
          <cell r="H7668" t="str">
            <v>g__Clostridium_sensu_stricto_1</v>
          </cell>
          <cell r="I7668" t="str">
            <v>s__unclassified_g__Clostridium_sensu_stricto_1</v>
          </cell>
        </row>
        <row r="7669">
          <cell r="G7669" t="str">
            <v>ASV22010</v>
          </cell>
          <cell r="H7669" t="str">
            <v>g__Megasphaera</v>
          </cell>
          <cell r="I7669" t="str">
            <v>s__Megasphaera_hexanoica</v>
          </cell>
        </row>
        <row r="7670">
          <cell r="G7670" t="str">
            <v>ASV23928</v>
          </cell>
          <cell r="H7670" t="str">
            <v>g__Lactobacillus</v>
          </cell>
          <cell r="I7670" t="str">
            <v>s__unclassified_g__Lactobacillus</v>
          </cell>
        </row>
        <row r="7671">
          <cell r="G7671" t="str">
            <v>ASV14073</v>
          </cell>
          <cell r="H7671" t="str">
            <v>g__unclassified_c__Clostridia</v>
          </cell>
          <cell r="I7671" t="str">
            <v>s__unclassified_c__Clostridia</v>
          </cell>
        </row>
        <row r="7672">
          <cell r="G7672" t="str">
            <v>ASV19438</v>
          </cell>
          <cell r="H7672" t="str">
            <v>g__unclassified_f__Ruminococcaceae</v>
          </cell>
          <cell r="I7672" t="str">
            <v>s__unclassified_f__Ruminococcaceae</v>
          </cell>
        </row>
        <row r="7673">
          <cell r="G7673" t="str">
            <v>ASV19368</v>
          </cell>
          <cell r="H7673" t="str">
            <v>g__unclassified_f__Lachnospiraceae</v>
          </cell>
          <cell r="I7673" t="str">
            <v>s__unclassified_f__Lachnospiraceae</v>
          </cell>
        </row>
        <row r="7674">
          <cell r="G7674" t="str">
            <v>ASV17879</v>
          </cell>
          <cell r="H7674" t="str">
            <v>g__NK4A214_group</v>
          </cell>
          <cell r="I7674" t="str">
            <v>s__unclassified_g__NK4A214_group</v>
          </cell>
        </row>
        <row r="7675">
          <cell r="G7675" t="str">
            <v>ASV2040</v>
          </cell>
          <cell r="H7675" t="str">
            <v>g__unclassified_f__Lachnospiraceae</v>
          </cell>
          <cell r="I7675" t="str">
            <v>s__unclassified_f__Lachnospiraceae</v>
          </cell>
        </row>
        <row r="7676">
          <cell r="G7676" t="str">
            <v>ASV17912</v>
          </cell>
          <cell r="H7676" t="str">
            <v>g__unclassified_c__Clostridia</v>
          </cell>
          <cell r="I7676" t="str">
            <v>s__unclassified_c__Clostridia</v>
          </cell>
        </row>
        <row r="7677">
          <cell r="G7677" t="str">
            <v>ASV17862</v>
          </cell>
          <cell r="H7677" t="str">
            <v>g__Cloacibacillus</v>
          </cell>
          <cell r="I7677" t="str">
            <v>s__unclassified_g__Cloacibacillus</v>
          </cell>
        </row>
        <row r="7678">
          <cell r="G7678" t="str">
            <v>ASV3453</v>
          </cell>
          <cell r="H7678" t="str">
            <v>g__Collinsella</v>
          </cell>
          <cell r="I7678" t="str">
            <v>s__uncultured_bacterium_g__Collinsella</v>
          </cell>
        </row>
        <row r="7679">
          <cell r="G7679" t="str">
            <v>ASV20650</v>
          </cell>
          <cell r="H7679" t="str">
            <v>g__unclassified_c__Bacilli</v>
          </cell>
          <cell r="I7679" t="str">
            <v>s__unclassified_c__Bacilli</v>
          </cell>
        </row>
        <row r="7680">
          <cell r="G7680" t="str">
            <v>ASV23164</v>
          </cell>
          <cell r="H7680" t="str">
            <v>g__unclassified_f__Oscillospiraceae</v>
          </cell>
          <cell r="I7680" t="str">
            <v>s__unclassified_f__Oscillospiraceae</v>
          </cell>
        </row>
        <row r="7681">
          <cell r="G7681" t="str">
            <v>ASV20660</v>
          </cell>
          <cell r="H7681" t="str">
            <v>g__Lactobacillus</v>
          </cell>
          <cell r="I7681" t="str">
            <v>s__unclassified_g__Lactobacillus</v>
          </cell>
        </row>
        <row r="7682">
          <cell r="G7682" t="str">
            <v>ASV5765</v>
          </cell>
          <cell r="H7682" t="str">
            <v>g__Escherichia-Shigella</v>
          </cell>
          <cell r="I7682" t="str">
            <v>s__unclassified_g__Escherichia-Shigella</v>
          </cell>
        </row>
        <row r="7683">
          <cell r="G7683" t="str">
            <v>ASV24127</v>
          </cell>
          <cell r="H7683" t="str">
            <v>g__Collinsella</v>
          </cell>
          <cell r="I7683" t="str">
            <v>s__unclassified_g__Collinsella</v>
          </cell>
        </row>
        <row r="7684">
          <cell r="G7684" t="str">
            <v>ASV19378</v>
          </cell>
          <cell r="H7684" t="str">
            <v>g__Prevotella</v>
          </cell>
          <cell r="I7684" t="str">
            <v>s__uncultured_bacterium_g__Prevotella</v>
          </cell>
        </row>
        <row r="7685">
          <cell r="G7685" t="str">
            <v>ASV7615</v>
          </cell>
          <cell r="H7685" t="str">
            <v>g__unclassified_f__Peptostreptococcaceae</v>
          </cell>
          <cell r="I7685" t="str">
            <v>s__unclassified_f__Peptostreptococcaceae</v>
          </cell>
        </row>
        <row r="7686">
          <cell r="G7686" t="str">
            <v>ASV488</v>
          </cell>
          <cell r="H7686" t="str">
            <v>g__norank_f__Eubacterium_coprostanoligenes_group</v>
          </cell>
          <cell r="I7686" t="str">
            <v>s__unclassified_g__norank_f__Eubacterium_coprostanoligenes_group</v>
          </cell>
        </row>
        <row r="7687">
          <cell r="G7687" t="str">
            <v>ASV506</v>
          </cell>
          <cell r="H7687" t="str">
            <v>g__unclassified_f__Lachnospiraceae</v>
          </cell>
          <cell r="I7687" t="str">
            <v>s__unclassified_f__Lachnospiraceae</v>
          </cell>
        </row>
        <row r="7688">
          <cell r="G7688" t="str">
            <v>ASV20672</v>
          </cell>
          <cell r="H7688" t="str">
            <v>g__Turicibacter</v>
          </cell>
          <cell r="I7688" t="str">
            <v>s__uncultured_bacterium_g__Turicibacter</v>
          </cell>
        </row>
        <row r="7689">
          <cell r="G7689" t="str">
            <v>ASV12625</v>
          </cell>
          <cell r="H7689" t="str">
            <v>g__Lactobacillus</v>
          </cell>
          <cell r="I7689" t="str">
            <v>s__unclassified_g__Lactobacillus</v>
          </cell>
        </row>
        <row r="7690">
          <cell r="G7690" t="str">
            <v>ASV7638</v>
          </cell>
          <cell r="H7690" t="str">
            <v>g__unclassified_c__Clostridia</v>
          </cell>
          <cell r="I7690" t="str">
            <v>s__unclassified_c__Clostridia</v>
          </cell>
        </row>
        <row r="7691">
          <cell r="G7691" t="str">
            <v>ASV11377</v>
          </cell>
          <cell r="H7691" t="str">
            <v>g__norank_f__UCG-010</v>
          </cell>
          <cell r="I7691" t="str">
            <v>s__unclassified_g__norank_f__UCG-010</v>
          </cell>
        </row>
        <row r="7692">
          <cell r="G7692" t="str">
            <v>ASV3166</v>
          </cell>
          <cell r="H7692" t="str">
            <v>g__Fusobacterium</v>
          </cell>
          <cell r="I7692" t="str">
            <v>s__unclassified_g__Fusobacterium</v>
          </cell>
        </row>
        <row r="7693">
          <cell r="G7693" t="str">
            <v>ASV11376</v>
          </cell>
          <cell r="H7693" t="str">
            <v>g__Sharpea</v>
          </cell>
          <cell r="I7693" t="str">
            <v>s__unclassified_g__Sharpea</v>
          </cell>
        </row>
        <row r="7694">
          <cell r="G7694" t="str">
            <v>ASV17877</v>
          </cell>
          <cell r="H7694" t="str">
            <v>g__Enterococcus</v>
          </cell>
          <cell r="I7694" t="str">
            <v>s__unclassified_g__Enterococcus</v>
          </cell>
        </row>
        <row r="7695">
          <cell r="G7695" t="str">
            <v>ASV15942</v>
          </cell>
          <cell r="H7695" t="str">
            <v>g__Lactobacillus</v>
          </cell>
          <cell r="I7695" t="str">
            <v>s__unclassified_g__Lactobacillus</v>
          </cell>
        </row>
        <row r="7696">
          <cell r="G7696" t="str">
            <v>ASV23154</v>
          </cell>
          <cell r="H7696" t="str">
            <v>g__unclassified_o__Oscillospirales</v>
          </cell>
          <cell r="I7696" t="str">
            <v>s__unclassified_o__Oscillospirales</v>
          </cell>
        </row>
        <row r="7697">
          <cell r="G7697" t="str">
            <v>ASV11467</v>
          </cell>
          <cell r="H7697" t="str">
            <v>g__unclassified_o__Oscillospirales</v>
          </cell>
          <cell r="I7697" t="str">
            <v>s__unclassified_o__Oscillospirales</v>
          </cell>
        </row>
        <row r="7698">
          <cell r="G7698" t="str">
            <v>ASV10295</v>
          </cell>
          <cell r="H7698" t="str">
            <v>g__Bacillus</v>
          </cell>
          <cell r="I7698" t="str">
            <v>s__Lactobacillus_vaginalis_g__Bacillus</v>
          </cell>
        </row>
        <row r="7699">
          <cell r="G7699" t="str">
            <v>ASV11422</v>
          </cell>
          <cell r="H7699" t="str">
            <v>g__Prevotella</v>
          </cell>
          <cell r="I7699" t="str">
            <v>s__unclassified_g__Prevotella</v>
          </cell>
        </row>
        <row r="7700">
          <cell r="G7700" t="str">
            <v>ASV484</v>
          </cell>
          <cell r="H7700" t="str">
            <v>g__unclassified_f__Christensenellaceae</v>
          </cell>
          <cell r="I7700" t="str">
            <v>s__unclassified_f__Christensenellaceae</v>
          </cell>
        </row>
        <row r="7701">
          <cell r="G7701" t="str">
            <v>ASV22031</v>
          </cell>
          <cell r="H7701" t="str">
            <v>g__unclassified_f__Lachnospiraceae</v>
          </cell>
          <cell r="I7701" t="str">
            <v>s__unclassified_f__Lachnospiraceae</v>
          </cell>
        </row>
        <row r="7702">
          <cell r="G7702" t="str">
            <v>ASV7621</v>
          </cell>
          <cell r="H7702" t="str">
            <v>g__Lactobacillus</v>
          </cell>
          <cell r="I7702" t="str">
            <v>s__unclassified_g__Lactobacillus</v>
          </cell>
        </row>
        <row r="7703">
          <cell r="G7703" t="str">
            <v>ASV544</v>
          </cell>
          <cell r="H7703" t="str">
            <v>g__Lactobacillus</v>
          </cell>
          <cell r="I7703" t="str">
            <v>s__unclassified_g__Lactobacillus</v>
          </cell>
        </row>
        <row r="7704">
          <cell r="G7704" t="str">
            <v>ASV19424</v>
          </cell>
          <cell r="H7704" t="str">
            <v>g__unclassified_c__Clostridia</v>
          </cell>
          <cell r="I7704" t="str">
            <v>s__unclassified_c__Clostridia</v>
          </cell>
        </row>
        <row r="7705">
          <cell r="G7705" t="str">
            <v>ASV11400</v>
          </cell>
          <cell r="H7705" t="str">
            <v>g__unclassified_f__Lachnospiraceae</v>
          </cell>
          <cell r="I7705" t="str">
            <v>s__unclassified_f__Lachnospiraceae</v>
          </cell>
        </row>
        <row r="7706">
          <cell r="G7706" t="str">
            <v>ASV23160</v>
          </cell>
          <cell r="H7706" t="str">
            <v>g__unclassified_c__Clostridia</v>
          </cell>
          <cell r="I7706" t="str">
            <v>s__unclassified_c__Clostridia</v>
          </cell>
        </row>
        <row r="7707">
          <cell r="G7707" t="str">
            <v>ASV16338</v>
          </cell>
          <cell r="H7707" t="str">
            <v>g__unclassified_f__Spirochaetaceae</v>
          </cell>
          <cell r="I7707" t="str">
            <v>s__unclassified_f__Spirochaetaceae</v>
          </cell>
        </row>
        <row r="7708">
          <cell r="G7708" t="str">
            <v>ASV16855</v>
          </cell>
          <cell r="H7708" t="str">
            <v>g__Lactobacillus</v>
          </cell>
          <cell r="I7708" t="str">
            <v>s__uncultured_bacterium_g__Lactobacillus</v>
          </cell>
        </row>
        <row r="7709">
          <cell r="G7709" t="str">
            <v>ASV6609</v>
          </cell>
          <cell r="H7709" t="str">
            <v>g__Escherichia-Shigella</v>
          </cell>
          <cell r="I7709" t="str">
            <v>s__unclassified_g__Escherichia-Shigella</v>
          </cell>
        </row>
        <row r="7710">
          <cell r="G7710" t="str">
            <v>ASV16323</v>
          </cell>
          <cell r="H7710" t="str">
            <v>g__Bacteroides</v>
          </cell>
          <cell r="I7710" t="str">
            <v>s__unclassified_g__Bacteroides</v>
          </cell>
        </row>
        <row r="7711">
          <cell r="G7711" t="str">
            <v>ASV19401</v>
          </cell>
          <cell r="H7711" t="str">
            <v>g__unclassified_f__Lachnospiraceae</v>
          </cell>
          <cell r="I7711" t="str">
            <v>s__unclassified_f__Lachnospiraceae</v>
          </cell>
        </row>
        <row r="7712">
          <cell r="G7712" t="str">
            <v>ASV20665</v>
          </cell>
          <cell r="H7712" t="str">
            <v>g__Ruminococcus</v>
          </cell>
          <cell r="I7712" t="str">
            <v>s__bacterium_ic1277</v>
          </cell>
        </row>
        <row r="7713">
          <cell r="G7713" t="str">
            <v>ASV20234</v>
          </cell>
          <cell r="H7713" t="str">
            <v>g__unclassified_f__Lachnospiraceae</v>
          </cell>
          <cell r="I7713" t="str">
            <v>s__unclassified_f__Lachnospiraceae</v>
          </cell>
        </row>
        <row r="7714">
          <cell r="G7714" t="str">
            <v>ASV17916</v>
          </cell>
          <cell r="H7714" t="str">
            <v>g__unclassified_c__Clostridia</v>
          </cell>
          <cell r="I7714" t="str">
            <v>s__unclassified_c__Clostridia</v>
          </cell>
        </row>
        <row r="7715">
          <cell r="G7715" t="str">
            <v>ASV17883</v>
          </cell>
          <cell r="H7715" t="str">
            <v>g__unclassified_f__Oscillospiraceae</v>
          </cell>
          <cell r="I7715" t="str">
            <v>s__unclassified_f__Oscillospiraceae</v>
          </cell>
        </row>
        <row r="7716">
          <cell r="G7716" t="str">
            <v>ASV14106</v>
          </cell>
          <cell r="H7716" t="str">
            <v>g__Clostridium_sensu_stricto_1</v>
          </cell>
          <cell r="I7716" t="str">
            <v>s__unclassified_g__Clostridium_sensu_stricto_1</v>
          </cell>
        </row>
        <row r="7717">
          <cell r="G7717" t="str">
            <v>ASV21186</v>
          </cell>
          <cell r="H7717" t="str">
            <v>g__unclassified_c__Clostridia</v>
          </cell>
          <cell r="I7717" t="str">
            <v>s__unclassified_c__Clostridia</v>
          </cell>
        </row>
        <row r="7718">
          <cell r="G7718" t="str">
            <v>ASV21587</v>
          </cell>
          <cell r="H7718" t="str">
            <v>g__Prevotella</v>
          </cell>
          <cell r="I7718" t="str">
            <v>s__unclassified_g__Prevotella</v>
          </cell>
        </row>
        <row r="7719">
          <cell r="G7719" t="str">
            <v>ASV4686</v>
          </cell>
          <cell r="H7719" t="str">
            <v>g__unclassified_f__Lachnospiraceae</v>
          </cell>
          <cell r="I7719" t="str">
            <v>s__unclassified_f__Lachnospiraceae</v>
          </cell>
        </row>
        <row r="7720">
          <cell r="G7720" t="str">
            <v>ASV15929</v>
          </cell>
          <cell r="H7720" t="str">
            <v>g__Phascolarctobacterium</v>
          </cell>
          <cell r="I7720" t="str">
            <v>s__unclassified_g__Phascolarctobacterium</v>
          </cell>
        </row>
        <row r="7721">
          <cell r="G7721" t="str">
            <v>ASV23169</v>
          </cell>
          <cell r="H7721" t="str">
            <v>g__Peptococcus</v>
          </cell>
          <cell r="I7721" t="str">
            <v>s__uncultured_bacterium_g__Peptococcus</v>
          </cell>
        </row>
        <row r="7722">
          <cell r="G7722" t="str">
            <v>ASV10179</v>
          </cell>
          <cell r="H7722" t="str">
            <v>g__unclassified_o__Lactobacillales</v>
          </cell>
          <cell r="I7722" t="str">
            <v>s__unclassified_o__Lactobacillales</v>
          </cell>
        </row>
        <row r="7723">
          <cell r="G7723" t="str">
            <v>ASV20232</v>
          </cell>
          <cell r="H7723" t="str">
            <v>g__unclassified_f__Lachnospiraceae</v>
          </cell>
          <cell r="I7723" t="str">
            <v>s__unclassified_f__Lachnospiraceae</v>
          </cell>
        </row>
        <row r="7724">
          <cell r="G7724" t="str">
            <v>ASV18550</v>
          </cell>
          <cell r="H7724" t="str">
            <v>g__Acidaminococcus</v>
          </cell>
          <cell r="I7724" t="str">
            <v>s__Acidaminococcus_fermentans</v>
          </cell>
        </row>
        <row r="7725">
          <cell r="G7725" t="str">
            <v>ASV530</v>
          </cell>
          <cell r="H7725" t="str">
            <v>g__unclassified_f__Lachnospiraceae</v>
          </cell>
          <cell r="I7725" t="str">
            <v>s__unclassified_f__Lachnospiraceae</v>
          </cell>
        </row>
        <row r="7726">
          <cell r="G7726" t="str">
            <v>ASV9303</v>
          </cell>
          <cell r="H7726" t="str">
            <v>g__unclassified_c__Clostridia</v>
          </cell>
          <cell r="I7726" t="str">
            <v>s__unclassified_c__Clostridia</v>
          </cell>
        </row>
        <row r="7727">
          <cell r="G7727" t="str">
            <v>ASV13359</v>
          </cell>
          <cell r="H7727" t="str">
            <v>g__unclassified_f__Lachnospiraceae</v>
          </cell>
          <cell r="I7727" t="str">
            <v>s__unclassified_f__Lachnospiraceae</v>
          </cell>
        </row>
        <row r="7728">
          <cell r="G7728" t="str">
            <v>ASV3168</v>
          </cell>
          <cell r="H7728" t="str">
            <v>g__unclassified_f__Lachnospiraceae</v>
          </cell>
          <cell r="I7728" t="str">
            <v>s__unclassified_f__Lachnospiraceae</v>
          </cell>
        </row>
        <row r="7729">
          <cell r="G7729" t="str">
            <v>ASV4706</v>
          </cell>
          <cell r="H7729" t="str">
            <v>g__unclassified_f__Ruminococcaceae</v>
          </cell>
          <cell r="I7729" t="str">
            <v>s__unclassified_f__Ruminococcaceae</v>
          </cell>
        </row>
        <row r="7730">
          <cell r="G7730" t="str">
            <v>ASV6605</v>
          </cell>
          <cell r="H7730" t="str">
            <v>g__unclassified_c__Bacilli</v>
          </cell>
          <cell r="I7730" t="str">
            <v>s__unclassified_c__Bacilli</v>
          </cell>
        </row>
        <row r="7731">
          <cell r="G7731" t="str">
            <v>ASV13701</v>
          </cell>
          <cell r="H7731" t="str">
            <v>g__Lactobacillus</v>
          </cell>
          <cell r="I7731" t="str">
            <v>s__unclassified_g__Lactobacillus</v>
          </cell>
        </row>
        <row r="7732">
          <cell r="G7732" t="str">
            <v>ASV11407</v>
          </cell>
          <cell r="H7732" t="str">
            <v>g__Faecalibacterium</v>
          </cell>
          <cell r="I7732" t="str">
            <v>s__unclassified_g__Faecalibacterium</v>
          </cell>
        </row>
        <row r="7733">
          <cell r="G7733" t="str">
            <v>ASV19451</v>
          </cell>
          <cell r="H7733" t="str">
            <v>g__norank_f__Muribaculaceae</v>
          </cell>
          <cell r="I7733" t="str">
            <v>s__uncultured_bacterium_g__norank_f__Muribaculaceae</v>
          </cell>
        </row>
        <row r="7734">
          <cell r="G7734" t="str">
            <v>ASV15274</v>
          </cell>
          <cell r="H7734" t="str">
            <v>g__unclassified_f__Lachnospiraceae</v>
          </cell>
          <cell r="I7734" t="str">
            <v>s__unclassified_f__Lachnospiraceae</v>
          </cell>
        </row>
        <row r="7735">
          <cell r="G7735" t="str">
            <v>ASV16852</v>
          </cell>
          <cell r="H7735" t="str">
            <v>g__unclassified_f__Oscillospiraceae</v>
          </cell>
          <cell r="I7735" t="str">
            <v>s__unclassified_f__Oscillospiraceae</v>
          </cell>
        </row>
        <row r="7736">
          <cell r="G7736" t="str">
            <v>ASV5759</v>
          </cell>
          <cell r="H7736" t="str">
            <v>g__unclassified_f__Clostridiaceae</v>
          </cell>
          <cell r="I7736" t="str">
            <v>s__unclassified_f__Clostridiaceae</v>
          </cell>
        </row>
        <row r="7737">
          <cell r="G7737" t="str">
            <v>ASV7040</v>
          </cell>
          <cell r="H7737" t="str">
            <v>g__Fusicatenibacter</v>
          </cell>
          <cell r="I7737" t="str">
            <v>s__unclassified_g__Fusicatenibacter</v>
          </cell>
        </row>
        <row r="7738">
          <cell r="G7738" t="str">
            <v>ASV12675</v>
          </cell>
          <cell r="H7738" t="str">
            <v>g__Monoglobus</v>
          </cell>
          <cell r="I7738" t="str">
            <v>s__uncultured_bacterium_g__Monoglobus</v>
          </cell>
        </row>
        <row r="7739">
          <cell r="G7739" t="str">
            <v>ASV21586</v>
          </cell>
          <cell r="H7739" t="str">
            <v>g__Lactobacillus</v>
          </cell>
          <cell r="I7739" t="str">
            <v>s__unclassified_g__Lactobacillus</v>
          </cell>
        </row>
        <row r="7740">
          <cell r="G7740" t="str">
            <v>ASV5766</v>
          </cell>
          <cell r="H7740" t="str">
            <v>g__Christensenellaceae_R-7_group</v>
          </cell>
          <cell r="I7740" t="str">
            <v>s__uncultured_bacterium_g__Christensenellaceae_R-7_group</v>
          </cell>
        </row>
        <row r="7741">
          <cell r="G7741" t="str">
            <v>ASV9996</v>
          </cell>
          <cell r="H7741" t="str">
            <v>g__Z20</v>
          </cell>
          <cell r="I7741" t="str">
            <v>s__uncultured_bacterium_g__Z20</v>
          </cell>
        </row>
        <row r="7742">
          <cell r="G7742" t="str">
            <v>ASV12632</v>
          </cell>
          <cell r="H7742" t="str">
            <v>g__unclassified_c__Clostridia</v>
          </cell>
          <cell r="I7742" t="str">
            <v>s__unclassified_c__Clostridia</v>
          </cell>
        </row>
        <row r="7743">
          <cell r="G7743" t="str">
            <v>ASV9856</v>
          </cell>
          <cell r="H7743" t="str">
            <v>g__Moraxella</v>
          </cell>
          <cell r="I7743" t="str">
            <v>s__unclassified_g__Moraxella</v>
          </cell>
        </row>
        <row r="7744">
          <cell r="G7744" t="str">
            <v>ASV19460</v>
          </cell>
          <cell r="H7744" t="str">
            <v>g__unclassified_o__Oscillospirales</v>
          </cell>
          <cell r="I7744" t="str">
            <v>s__unclassified_o__Oscillospirales</v>
          </cell>
        </row>
        <row r="7745">
          <cell r="G7745" t="str">
            <v>ASV10534</v>
          </cell>
          <cell r="H7745" t="str">
            <v>g__unclassified_c__Clostridia</v>
          </cell>
          <cell r="I7745" t="str">
            <v>s__unclassified_c__Clostridia</v>
          </cell>
        </row>
        <row r="7746">
          <cell r="G7746" t="str">
            <v>ASV19455</v>
          </cell>
          <cell r="H7746" t="str">
            <v>g__Lachnospiraceae_UCG-004</v>
          </cell>
          <cell r="I7746" t="str">
            <v>s__uncultured_bacterium_g__Lachnospiraceae_UCG-004</v>
          </cell>
        </row>
        <row r="7747">
          <cell r="G7747" t="str">
            <v>ASV13694</v>
          </cell>
          <cell r="H7747" t="str">
            <v>g__Lactobacillus</v>
          </cell>
          <cell r="I7747" t="str">
            <v>s__unclassified_g__Lactobacillus</v>
          </cell>
        </row>
        <row r="7748">
          <cell r="G7748" t="str">
            <v>ASV20692</v>
          </cell>
          <cell r="H7748" t="str">
            <v>g__norank_f__norank_o__Clostridia_vadinBB60_group</v>
          </cell>
          <cell r="I7748" t="str">
            <v>s__gut_metagenome_g__norank_f__norank</v>
          </cell>
        </row>
        <row r="7749">
          <cell r="G7749" t="str">
            <v>ASV8460</v>
          </cell>
          <cell r="H7749" t="str">
            <v>g__Lactobacillus</v>
          </cell>
          <cell r="I7749" t="str">
            <v>s__unclassified_g__Lactobacillus</v>
          </cell>
        </row>
        <row r="7750">
          <cell r="G7750" t="str">
            <v>ASV19373</v>
          </cell>
          <cell r="H7750" t="str">
            <v>g__Enterococcus</v>
          </cell>
          <cell r="I7750" t="str">
            <v>s__unclassified_g__Enterococcus</v>
          </cell>
        </row>
        <row r="7751">
          <cell r="G7751" t="str">
            <v>ASV9878</v>
          </cell>
          <cell r="H7751" t="str">
            <v>g__Corynebacterium</v>
          </cell>
          <cell r="I7751" t="str">
            <v>s__Corynebacterium_testudinoris</v>
          </cell>
        </row>
        <row r="7752">
          <cell r="G7752" t="str">
            <v>ASV7618</v>
          </cell>
          <cell r="H7752" t="str">
            <v>g__unclassified_c__Bacilli</v>
          </cell>
          <cell r="I7752" t="str">
            <v>s__unclassified_c__Bacilli</v>
          </cell>
        </row>
        <row r="7753">
          <cell r="G7753" t="str">
            <v>ASV2078</v>
          </cell>
          <cell r="H7753" t="str">
            <v>g__unclassified_f__Lachnospiraceae</v>
          </cell>
          <cell r="I7753" t="str">
            <v>s__unclassified_f__Lachnospiraceae</v>
          </cell>
        </row>
        <row r="7754">
          <cell r="G7754" t="str">
            <v>ASV7632</v>
          </cell>
          <cell r="H7754" t="str">
            <v>g__Parabacteroides</v>
          </cell>
          <cell r="I7754" t="str">
            <v>s__Porphyromonadaceae_bacterium_DJF_B175</v>
          </cell>
        </row>
        <row r="7755">
          <cell r="G7755" t="str">
            <v>ASV6636</v>
          </cell>
          <cell r="H7755" t="str">
            <v>g__Family_XIII_AD3011_group</v>
          </cell>
          <cell r="I7755" t="str">
            <v>s__uncultured_bacterium_g__Family_XIII_AD3011_group</v>
          </cell>
        </row>
        <row r="7756">
          <cell r="G7756" t="str">
            <v>ASV2072</v>
          </cell>
          <cell r="H7756" t="str">
            <v>g__norank_f__Eubacterium_coprostanoligenes_group</v>
          </cell>
          <cell r="I7756" t="str">
            <v>s__unclassified_g__norank_f__Eubacterium_coprostanoligenes_group</v>
          </cell>
        </row>
        <row r="7757">
          <cell r="G7757" t="str">
            <v>ASV6599</v>
          </cell>
          <cell r="H7757" t="str">
            <v>g__unclassified_c__Clostridia</v>
          </cell>
          <cell r="I7757" t="str">
            <v>s__unclassified_c__Clostridia</v>
          </cell>
        </row>
        <row r="7758">
          <cell r="G7758" t="str">
            <v>ASV19389</v>
          </cell>
          <cell r="H7758" t="str">
            <v>g__Clostridium_sensu_stricto_1</v>
          </cell>
          <cell r="I7758" t="str">
            <v>s__unclassified_g__Clostridium_sensu_stricto_1</v>
          </cell>
        </row>
        <row r="7759">
          <cell r="G7759" t="str">
            <v>ASV555</v>
          </cell>
          <cell r="H7759" t="str">
            <v>g__Lactobacillus</v>
          </cell>
          <cell r="I7759" t="str">
            <v>s__unclassified_g__Lactobacillus</v>
          </cell>
        </row>
        <row r="7760">
          <cell r="G7760" t="str">
            <v>ASV3922</v>
          </cell>
          <cell r="H7760" t="str">
            <v>g__unclassified_f__Oscillospiraceae</v>
          </cell>
          <cell r="I7760" t="str">
            <v>s__unclassified_f__Oscillospiraceae</v>
          </cell>
        </row>
        <row r="7761">
          <cell r="G7761" t="str">
            <v>ASV21997</v>
          </cell>
          <cell r="H7761" t="str">
            <v>g__Alloprevotella</v>
          </cell>
          <cell r="I7761" t="str">
            <v>s__uncultured_bacterium_g__Alloprevotella</v>
          </cell>
        </row>
        <row r="7762">
          <cell r="G7762" t="str">
            <v>ASV10555</v>
          </cell>
          <cell r="H7762" t="str">
            <v>g__unclassified_f__Ruminococcaceae</v>
          </cell>
          <cell r="I7762" t="str">
            <v>s__unclassified_f__Ruminococcaceae</v>
          </cell>
        </row>
        <row r="7763">
          <cell r="G7763" t="str">
            <v>ASV21732</v>
          </cell>
          <cell r="H7763" t="str">
            <v>g__Acetoanaerobium</v>
          </cell>
          <cell r="I7763" t="str">
            <v>s__unclassified_g__Acetoanaerobium</v>
          </cell>
        </row>
        <row r="7764">
          <cell r="G7764" t="str">
            <v>ASV563</v>
          </cell>
          <cell r="H7764" t="str">
            <v>g__Colidextribacter</v>
          </cell>
          <cell r="I7764" t="str">
            <v>s__unclassified_g__Colidextribacter</v>
          </cell>
        </row>
        <row r="7765">
          <cell r="G7765" t="str">
            <v>ASV6612</v>
          </cell>
          <cell r="H7765" t="str">
            <v>g__Enterococcus</v>
          </cell>
          <cell r="I7765" t="str">
            <v>s__unclassified_g__Enterococcus</v>
          </cell>
        </row>
        <row r="7766">
          <cell r="G7766" t="str">
            <v>ASV9302</v>
          </cell>
          <cell r="H7766" t="str">
            <v>g__Lactobacillus</v>
          </cell>
          <cell r="I7766" t="str">
            <v>s__unclassified_g__Lactobacillus</v>
          </cell>
        </row>
        <row r="7767">
          <cell r="G7767" t="str">
            <v>ASV14064</v>
          </cell>
          <cell r="H7767" t="str">
            <v>g__Eubacterium_oxidoreducens_group</v>
          </cell>
          <cell r="I7767" t="str">
            <v>s__uncultured_bacterium_g__Eubacterium_oxidoreducens_group</v>
          </cell>
        </row>
        <row r="7768">
          <cell r="G7768" t="str">
            <v>ASV8461</v>
          </cell>
          <cell r="H7768" t="str">
            <v>g__unclassified_p__Firmicutes</v>
          </cell>
          <cell r="I7768" t="str">
            <v>s__unclassified_p__Firmicutes</v>
          </cell>
        </row>
        <row r="7769">
          <cell r="G7769" t="str">
            <v>ASV2073</v>
          </cell>
          <cell r="H7769" t="str">
            <v>g__unclassified_c__Bacilli</v>
          </cell>
          <cell r="I7769" t="str">
            <v>s__unclassified_c__Bacilli</v>
          </cell>
        </row>
        <row r="7770">
          <cell r="G7770" t="str">
            <v>ASV4727</v>
          </cell>
          <cell r="H7770" t="str">
            <v>g__Streptococcus</v>
          </cell>
          <cell r="I7770" t="str">
            <v>s__unclassified_g__Streptococcus</v>
          </cell>
        </row>
        <row r="7771">
          <cell r="G7771" t="str">
            <v>ASV17924</v>
          </cell>
          <cell r="H7771" t="str">
            <v>g__unclassified_o__Oscillospirales</v>
          </cell>
          <cell r="I7771" t="str">
            <v>s__unclassified_o__Oscillospirales</v>
          </cell>
        </row>
        <row r="7772">
          <cell r="G7772" t="str">
            <v>ASV9268</v>
          </cell>
          <cell r="H7772" t="str">
            <v>g__unclassified_f__Lachnospiraceae</v>
          </cell>
          <cell r="I7772" t="str">
            <v>s__unclassified_f__Lachnospiraceae</v>
          </cell>
        </row>
        <row r="7773">
          <cell r="G7773" t="str">
            <v>ASV525</v>
          </cell>
          <cell r="H7773" t="str">
            <v>g__Lactobacillus</v>
          </cell>
          <cell r="I7773" t="str">
            <v>s__unclassified_g__Lactobacillus</v>
          </cell>
        </row>
        <row r="7774">
          <cell r="G7774" t="str">
            <v>ASV18844</v>
          </cell>
          <cell r="H7774" t="str">
            <v>g__unclassified_f__Lachnospiraceae</v>
          </cell>
          <cell r="I7774" t="str">
            <v>s__unclassified_f__Lachnospiraceae</v>
          </cell>
        </row>
        <row r="7775">
          <cell r="G7775" t="str">
            <v>ASV11452</v>
          </cell>
          <cell r="H7775" t="str">
            <v>g__unclassified_c__Clostridia</v>
          </cell>
          <cell r="I7775" t="str">
            <v>s__unclassified_c__Clostridia</v>
          </cell>
        </row>
        <row r="7776">
          <cell r="G7776" t="str">
            <v>ASV14062</v>
          </cell>
          <cell r="H7776" t="str">
            <v>g__unclassified_k__norank_d__Bacteria</v>
          </cell>
          <cell r="I7776" t="str">
            <v>s__unclassified_k__norank_d__Bacteria</v>
          </cell>
        </row>
        <row r="7777">
          <cell r="G7777" t="str">
            <v>ASV6081</v>
          </cell>
          <cell r="H7777" t="str">
            <v>g__norank_f__norank_o__Clostridia_vadinBB60_group</v>
          </cell>
          <cell r="I7777" t="str">
            <v>s__uncultured_bacterium_g__norank_f__norank_o__Clostridia_vadinBB60_group</v>
          </cell>
        </row>
        <row r="7778">
          <cell r="G7778" t="str">
            <v>ASV19046</v>
          </cell>
          <cell r="H7778" t="str">
            <v>g__unclassified_k__norank_d__Bacteria</v>
          </cell>
          <cell r="I7778" t="str">
            <v>s__unclassified_k__norank_d__Bacteria</v>
          </cell>
        </row>
        <row r="7779">
          <cell r="G7779" t="str">
            <v>ASV15947</v>
          </cell>
          <cell r="H7779" t="str">
            <v>g__unclassified_f__Lachnospiraceae</v>
          </cell>
          <cell r="I7779" t="str">
            <v>s__unclassified_f__Lachnospiraceae</v>
          </cell>
        </row>
        <row r="7780">
          <cell r="G7780" t="str">
            <v>ASV23927</v>
          </cell>
          <cell r="H7780" t="str">
            <v>g__Anaerovibrio</v>
          </cell>
          <cell r="I7780" t="str">
            <v>s__unclassified_g__Anaerovibrio</v>
          </cell>
        </row>
        <row r="7781">
          <cell r="G7781" t="str">
            <v>ASV15927</v>
          </cell>
          <cell r="H7781" t="str">
            <v>g__unclassified_k__norank_d__Bacteria</v>
          </cell>
          <cell r="I7781" t="str">
            <v>s__unclassified_k__norank_d__Bacteria</v>
          </cell>
        </row>
        <row r="7782">
          <cell r="G7782" t="str">
            <v>ASV20237</v>
          </cell>
          <cell r="H7782" t="str">
            <v>g__Fusobacterium</v>
          </cell>
          <cell r="I7782" t="str">
            <v>s__unclassified_g__Fusobacterium</v>
          </cell>
        </row>
        <row r="7783">
          <cell r="G7783" t="str">
            <v>ASV7672</v>
          </cell>
          <cell r="H7783" t="str">
            <v>g__Streptococcus</v>
          </cell>
          <cell r="I7783" t="str">
            <v>s__Streptococcus_thermophilus_TH1435</v>
          </cell>
        </row>
        <row r="7784">
          <cell r="G7784" t="str">
            <v>ASV3909</v>
          </cell>
          <cell r="H7784" t="str">
            <v>g__Escherichia-Shigella</v>
          </cell>
          <cell r="I7784" t="str">
            <v>s__unclassified_g__Escherichia-Shigella</v>
          </cell>
        </row>
        <row r="7785">
          <cell r="G7785" t="str">
            <v>ASV474</v>
          </cell>
          <cell r="H7785" t="str">
            <v>g__Alloprevotella</v>
          </cell>
          <cell r="I7785" t="str">
            <v>s__uncultured_bacterium_g__Alloprevotella</v>
          </cell>
        </row>
        <row r="7786">
          <cell r="G7786" t="str">
            <v>ASV18833</v>
          </cell>
          <cell r="H7786" t="str">
            <v>g__Prevotellaceae_NK3B31_group</v>
          </cell>
          <cell r="I7786" t="str">
            <v>s__uncultured_bacterium_g__Prevotellaceae_NK3B31_group</v>
          </cell>
        </row>
        <row r="7787">
          <cell r="G7787" t="str">
            <v>ASV22065</v>
          </cell>
          <cell r="H7787" t="str">
            <v>g__Bacillus</v>
          </cell>
          <cell r="I7787" t="str">
            <v>s__Lactobacillus_vaginalis_g__Bacillus</v>
          </cell>
        </row>
        <row r="7788">
          <cell r="G7788" t="str">
            <v>ASV17596</v>
          </cell>
          <cell r="H7788" t="str">
            <v>g__Staphylococcus</v>
          </cell>
          <cell r="I7788" t="str">
            <v>s__unclassified_g__Staphylococcus</v>
          </cell>
        </row>
        <row r="7789">
          <cell r="G7789" t="str">
            <v>ASV573</v>
          </cell>
          <cell r="H7789" t="str">
            <v>g__unclassified_c__Clostridia</v>
          </cell>
          <cell r="I7789" t="str">
            <v>s__unclassified_c__Clostridia</v>
          </cell>
        </row>
        <row r="7790">
          <cell r="G7790" t="str">
            <v>ASV20705</v>
          </cell>
          <cell r="H7790" t="str">
            <v>g__unclassified_f__Lachnospiraceae</v>
          </cell>
          <cell r="I7790" t="str">
            <v>s__unclassified_f__Lachnospiraceae</v>
          </cell>
        </row>
        <row r="7791">
          <cell r="G7791" t="str">
            <v>ASV19403</v>
          </cell>
          <cell r="H7791" t="str">
            <v>g__unclassified_f__Lachnospiraceae</v>
          </cell>
          <cell r="I7791" t="str">
            <v>s__unclassified_f__Lachnospiraceae</v>
          </cell>
        </row>
        <row r="7792">
          <cell r="G7792" t="str">
            <v>ASV9993</v>
          </cell>
          <cell r="H7792" t="str">
            <v>g__unclassified_o__Rickettsiales</v>
          </cell>
          <cell r="I7792" t="str">
            <v>s__unclassified_o__Rickettsiales</v>
          </cell>
        </row>
        <row r="7793">
          <cell r="G7793" t="str">
            <v>ASV18552</v>
          </cell>
          <cell r="H7793" t="str">
            <v>g__Lactobacillus</v>
          </cell>
          <cell r="I7793" t="str">
            <v>s__unclassified_g__Lactobacillus</v>
          </cell>
        </row>
        <row r="7794">
          <cell r="G7794" t="str">
            <v>ASV10557</v>
          </cell>
          <cell r="H7794" t="str">
            <v>g__Prevotella</v>
          </cell>
          <cell r="I7794" t="str">
            <v>s__unclassified_g__Prevotella</v>
          </cell>
        </row>
        <row r="7795">
          <cell r="G7795" t="str">
            <v>ASV7630</v>
          </cell>
          <cell r="H7795" t="str">
            <v>g__norank_f__Erysipelotrichaceae</v>
          </cell>
          <cell r="I7795" t="str">
            <v>s__uncultured_bacterium_g__norank_f__Erysipelotrichaceae</v>
          </cell>
        </row>
        <row r="7796">
          <cell r="G7796" t="str">
            <v>ASV10547</v>
          </cell>
          <cell r="H7796" t="str">
            <v>g__Clostridium_sensu_stricto_1</v>
          </cell>
          <cell r="I7796" t="str">
            <v>s__unclassified_g__Clostridium_sensu_stricto_1</v>
          </cell>
        </row>
        <row r="7797">
          <cell r="G7797" t="str">
            <v>ASV12682</v>
          </cell>
          <cell r="H7797" t="str">
            <v>g__unclassified_f__Lachnospiraceae</v>
          </cell>
          <cell r="I7797" t="str">
            <v>s__unclassified_f__Lachnospiraceae</v>
          </cell>
        </row>
        <row r="7798">
          <cell r="G7798" t="str">
            <v>ASV11438</v>
          </cell>
          <cell r="H7798" t="str">
            <v>g__norank_f__norank_o__WCHB1-41</v>
          </cell>
          <cell r="I7798" t="str">
            <v>s__uncultured_bacterium_g__norank_f__norank_o__WCHB1-41</v>
          </cell>
        </row>
        <row r="7799">
          <cell r="G7799" t="str">
            <v>ASV9299</v>
          </cell>
          <cell r="H7799" t="str">
            <v>g__unclassified_o__Oscillospirales</v>
          </cell>
          <cell r="I7799" t="str">
            <v>s__unclassified_o__Oscillospirales</v>
          </cell>
        </row>
        <row r="7800">
          <cell r="G7800" t="str">
            <v>ASV13332</v>
          </cell>
          <cell r="H7800" t="str">
            <v>g__unclassified_c__Bacilli</v>
          </cell>
          <cell r="I7800" t="str">
            <v>s__unclassified_c__Bacilli</v>
          </cell>
        </row>
        <row r="7801">
          <cell r="G7801" t="str">
            <v>ASV2081</v>
          </cell>
          <cell r="H7801" t="str">
            <v>g__unclassified_f__Lachnospiraceae</v>
          </cell>
          <cell r="I7801" t="str">
            <v>s__unclassified_f__Lachnospiraceae</v>
          </cell>
        </row>
        <row r="7802">
          <cell r="G7802" t="str">
            <v>ASV534</v>
          </cell>
          <cell r="H7802" t="str">
            <v>g__unclassified_p__Firmicutes</v>
          </cell>
          <cell r="I7802" t="str">
            <v>s__unclassified_p__Firmicutes</v>
          </cell>
        </row>
        <row r="7803">
          <cell r="G7803" t="str">
            <v>ASV23929</v>
          </cell>
          <cell r="H7803" t="str">
            <v>g__unclassified_f__Anaerovoracaceae</v>
          </cell>
          <cell r="I7803" t="str">
            <v>s__unclassified_f__Anaerovoracaceae</v>
          </cell>
        </row>
        <row r="7804">
          <cell r="G7804" t="str">
            <v>ASV18753</v>
          </cell>
          <cell r="H7804" t="str">
            <v>g__unclassified_f__Lachnospiraceae</v>
          </cell>
          <cell r="I7804" t="str">
            <v>s__unclassified_f__Lachnospiraceae</v>
          </cell>
        </row>
        <row r="7805">
          <cell r="G7805" t="str">
            <v>ASV15950</v>
          </cell>
          <cell r="H7805" t="str">
            <v>g__Lactobacillus</v>
          </cell>
          <cell r="I7805" t="str">
            <v>s__unclassified_g__Lactobacillus</v>
          </cell>
        </row>
        <row r="7806">
          <cell r="G7806" t="str">
            <v>ASV8951</v>
          </cell>
          <cell r="H7806" t="str">
            <v>g__UCG-005</v>
          </cell>
          <cell r="I7806" t="str">
            <v>s__uncultured_bacterium_g__UCG-005</v>
          </cell>
        </row>
        <row r="7807">
          <cell r="G7807" t="str">
            <v>ASV10542</v>
          </cell>
          <cell r="H7807" t="str">
            <v>g__Streptococcus</v>
          </cell>
          <cell r="I7807" t="str">
            <v>s__unclassified_g__Streptococcus</v>
          </cell>
        </row>
        <row r="7808">
          <cell r="G7808" t="str">
            <v>ASV5741</v>
          </cell>
          <cell r="H7808" t="str">
            <v>g__Treponema</v>
          </cell>
          <cell r="I7808" t="str">
            <v>s__uncultured_bacterium_g__Treponema</v>
          </cell>
        </row>
        <row r="7809">
          <cell r="G7809" t="str">
            <v>ASV3153</v>
          </cell>
          <cell r="H7809" t="str">
            <v>g__unclassified_f__Lachnospiraceae</v>
          </cell>
          <cell r="I7809" t="str">
            <v>s__unclassified_f__Lachnospiraceae</v>
          </cell>
        </row>
        <row r="7810">
          <cell r="G7810" t="str">
            <v>ASV8628</v>
          </cell>
          <cell r="H7810" t="str">
            <v>g__Acidovorax</v>
          </cell>
          <cell r="I7810" t="str">
            <v>s__unclassified_g__Acidovorax</v>
          </cell>
        </row>
        <row r="7811">
          <cell r="G7811" t="str">
            <v>ASV502</v>
          </cell>
          <cell r="H7811" t="str">
            <v>g__unclassified_f__Lachnospiraceae</v>
          </cell>
          <cell r="I7811" t="str">
            <v>s__unclassified_f__Lachnospiraceae</v>
          </cell>
        </row>
        <row r="7812">
          <cell r="G7812" t="str">
            <v>ASV2052</v>
          </cell>
          <cell r="H7812" t="str">
            <v>g__Peptococcus</v>
          </cell>
          <cell r="I7812" t="str">
            <v>s__uncultured_bacterium_g__Peptococcus</v>
          </cell>
        </row>
        <row r="7813">
          <cell r="G7813" t="str">
            <v>ASV20671</v>
          </cell>
          <cell r="H7813" t="str">
            <v>g__Christensenellaceae_R-7_group</v>
          </cell>
          <cell r="I7813" t="str">
            <v>s__unclassified_g__Christensenellaceae_R-7_group</v>
          </cell>
        </row>
        <row r="7814">
          <cell r="G7814" t="str">
            <v>ASV5728</v>
          </cell>
          <cell r="H7814" t="str">
            <v>g__unclassified_f__Ruminococcaceae</v>
          </cell>
          <cell r="I7814" t="str">
            <v>s__unclassified_f__Ruminococcaceae</v>
          </cell>
        </row>
        <row r="7815">
          <cell r="G7815" t="str">
            <v>ASV23163</v>
          </cell>
          <cell r="H7815" t="str">
            <v>g__Rikenellaceae_RC9_gut_group</v>
          </cell>
          <cell r="I7815" t="str">
            <v>s__uncultured_bacterium_g__Rikenellaceae_RC9_gut_group</v>
          </cell>
        </row>
        <row r="7816">
          <cell r="G7816" t="str">
            <v>ASV9308</v>
          </cell>
          <cell r="H7816" t="str">
            <v>g__Eubacterium_oxidoreducens_group</v>
          </cell>
          <cell r="I7816" t="str">
            <v>s__uncultured_bacterium_g__Eubacterium_oxidoreducens_group</v>
          </cell>
        </row>
        <row r="7817">
          <cell r="G7817" t="str">
            <v>ASV14100</v>
          </cell>
          <cell r="H7817" t="str">
            <v>g__unclassified_c__Clostridia</v>
          </cell>
          <cell r="I7817" t="str">
            <v>s__unclassified_c__Clostridia</v>
          </cell>
        </row>
        <row r="7818">
          <cell r="G7818" t="str">
            <v>ASV23137</v>
          </cell>
          <cell r="H7818" t="str">
            <v>g__norank_f__UCG-010</v>
          </cell>
          <cell r="I7818" t="str">
            <v>s__uncultured_bacterium_g__norank_f__UCG-010</v>
          </cell>
        </row>
        <row r="7819">
          <cell r="G7819" t="str">
            <v>ASV6623</v>
          </cell>
          <cell r="H7819" t="str">
            <v>g__unclassified_c__Bacilli</v>
          </cell>
          <cell r="I7819" t="str">
            <v>s__unclassified_c__Bacilli</v>
          </cell>
        </row>
        <row r="7820">
          <cell r="G7820" t="str">
            <v>ASV22013</v>
          </cell>
          <cell r="H7820" t="str">
            <v>g__Turicibacter</v>
          </cell>
          <cell r="I7820" t="str">
            <v>s__uncultured_bacterium_g__Turicibacter</v>
          </cell>
        </row>
        <row r="7821">
          <cell r="G7821" t="str">
            <v>ASV11453</v>
          </cell>
          <cell r="H7821" t="str">
            <v>g__unclassified_f__Muribaculaceae</v>
          </cell>
          <cell r="I7821" t="str">
            <v>s__unclassified_f__Muribaculaceae</v>
          </cell>
        </row>
        <row r="7822">
          <cell r="G7822" t="str">
            <v>ASV2037</v>
          </cell>
          <cell r="H7822" t="str">
            <v>g__norank_f__Eubacterium_coprostanoligenes_group</v>
          </cell>
          <cell r="I7822" t="str">
            <v>s__unclassified_g__norank_f__Eubacterium_coprostanoligenes_group</v>
          </cell>
        </row>
        <row r="7823">
          <cell r="G7823" t="str">
            <v>ASV13358</v>
          </cell>
          <cell r="H7823" t="str">
            <v>g__Clostridium_sensu_stricto_1</v>
          </cell>
          <cell r="I7823" t="str">
            <v>s__unclassified_g__Clostridium_sensu_stricto_1</v>
          </cell>
        </row>
        <row r="7824">
          <cell r="G7824" t="str">
            <v>ASV10174</v>
          </cell>
          <cell r="H7824" t="str">
            <v>g__unclassified_p__Firmicutes</v>
          </cell>
          <cell r="I7824" t="str">
            <v>s__unclassified_p__Firmicutes</v>
          </cell>
        </row>
        <row r="7825">
          <cell r="G7825" t="str">
            <v>ASV13334</v>
          </cell>
          <cell r="H7825" t="str">
            <v>g__Christensenellaceae_R-7_group</v>
          </cell>
          <cell r="I7825" t="str">
            <v>s__unclassified_g__Christensenellaceae_R-7_group</v>
          </cell>
        </row>
        <row r="7826">
          <cell r="G7826" t="str">
            <v>ASV16325</v>
          </cell>
          <cell r="H7826" t="str">
            <v>g__Bacteroides</v>
          </cell>
          <cell r="I7826" t="str">
            <v>s__unclassified_g__Bacteroides</v>
          </cell>
        </row>
        <row r="7827">
          <cell r="G7827" t="str">
            <v>ASV9991</v>
          </cell>
          <cell r="H7827" t="str">
            <v>g__unclassified_o__Saccharimonadales</v>
          </cell>
          <cell r="I7827" t="str">
            <v>s__unclassified_o__Saccharimonadales</v>
          </cell>
        </row>
        <row r="7828">
          <cell r="G7828" t="str">
            <v>ASV24118</v>
          </cell>
          <cell r="H7828" t="str">
            <v>g__norank_f__Muribaculaceae</v>
          </cell>
          <cell r="I7828" t="str">
            <v>s__uncultured_Porphyromonadaceae_bacterium_g__norank_f__Muribaculaceae</v>
          </cell>
        </row>
        <row r="7829">
          <cell r="G7829" t="str">
            <v>ASV15283</v>
          </cell>
          <cell r="H7829" t="str">
            <v>g__unclassified_c__Clostridia</v>
          </cell>
          <cell r="I7829" t="str">
            <v>s__unclassified_c__Clostridia</v>
          </cell>
        </row>
        <row r="7830">
          <cell r="G7830" t="str">
            <v>ASV14101</v>
          </cell>
          <cell r="H7830" t="str">
            <v>g__Colidextribacter</v>
          </cell>
          <cell r="I7830" t="str">
            <v>s__unclassified_g__Colidextribacter</v>
          </cell>
        </row>
        <row r="7831">
          <cell r="G7831" t="str">
            <v>ASV5780</v>
          </cell>
          <cell r="H7831" t="str">
            <v>g__Terrisporobacter</v>
          </cell>
          <cell r="I7831" t="str">
            <v>s__unclassified_g__Terrisporobacter</v>
          </cell>
        </row>
        <row r="7832">
          <cell r="G7832" t="str">
            <v>ASV11412</v>
          </cell>
          <cell r="H7832" t="str">
            <v>g__unclassified_f__Oscillospiraceae</v>
          </cell>
          <cell r="I7832" t="str">
            <v>s__unclassified_f__Oscillospiraceae</v>
          </cell>
        </row>
        <row r="7833">
          <cell r="G7833" t="str">
            <v>ASV17898</v>
          </cell>
          <cell r="H7833" t="str">
            <v>g__unclassified_f__Peptostreptococcaceae</v>
          </cell>
          <cell r="I7833" t="str">
            <v>s__unclassified_f__Peptostreptococcaceae</v>
          </cell>
        </row>
        <row r="7834">
          <cell r="G7834" t="str">
            <v>ASV15291</v>
          </cell>
          <cell r="H7834" t="str">
            <v>g__unclassified_c__Clostridia</v>
          </cell>
          <cell r="I7834" t="str">
            <v>s__unclassified_c__Clostridia</v>
          </cell>
        </row>
        <row r="7835">
          <cell r="G7835" t="str">
            <v>ASV8794</v>
          </cell>
          <cell r="H7835" t="str">
            <v>g__UCG-009</v>
          </cell>
          <cell r="I7835" t="str">
            <v>s__uncultured_organism_g__UCG-009</v>
          </cell>
        </row>
        <row r="7836">
          <cell r="G7836" t="str">
            <v>ASV18554</v>
          </cell>
          <cell r="H7836" t="str">
            <v>g__unclassified_c__Bacilli</v>
          </cell>
          <cell r="I7836" t="str">
            <v>s__unclassified_c__Bacilli</v>
          </cell>
        </row>
        <row r="7837">
          <cell r="G7837" t="str">
            <v>ASV7046</v>
          </cell>
          <cell r="H7837" t="str">
            <v>g__Veillonella</v>
          </cell>
          <cell r="I7837" t="str">
            <v>s__unclassified_g__Veillonella</v>
          </cell>
        </row>
        <row r="7838">
          <cell r="G7838" t="str">
            <v>ASV3372</v>
          </cell>
          <cell r="H7838" t="str">
            <v>g__Cellulosilyticum</v>
          </cell>
          <cell r="I7838" t="str">
            <v>s__unclassified_g__Cellulosilyticum</v>
          </cell>
        </row>
        <row r="7839">
          <cell r="G7839" t="str">
            <v>ASV14076</v>
          </cell>
          <cell r="H7839" t="str">
            <v>g__unclassified_c__Bacilli</v>
          </cell>
          <cell r="I7839" t="str">
            <v>s__unclassified_c__Bacilli</v>
          </cell>
        </row>
        <row r="7840">
          <cell r="G7840" t="str">
            <v>ASV19366</v>
          </cell>
          <cell r="H7840" t="str">
            <v>g__unclassified_k__norank_d__Bacteria</v>
          </cell>
          <cell r="I7840" t="str">
            <v>s__unclassified_k__norank_d__Bacteria</v>
          </cell>
        </row>
        <row r="7841">
          <cell r="G7841" t="str">
            <v>ASV9277</v>
          </cell>
          <cell r="H7841" t="str">
            <v>g__unclassified_c__Clostridia</v>
          </cell>
          <cell r="I7841" t="str">
            <v>s__unclassified_c__Clostridia</v>
          </cell>
        </row>
        <row r="7842">
          <cell r="G7842" t="str">
            <v>ASV22022</v>
          </cell>
          <cell r="H7842" t="str">
            <v>g__Colidextribacter</v>
          </cell>
          <cell r="I7842" t="str">
            <v>s__uncultured_Clostridia_bacterium_g__Colidextribacter</v>
          </cell>
        </row>
        <row r="7843">
          <cell r="G7843" t="str">
            <v>ASV6630</v>
          </cell>
          <cell r="H7843" t="str">
            <v>g__norank_f__Peptostreptococcaceae</v>
          </cell>
          <cell r="I7843" t="str">
            <v>s__unclassified_g__norank_f__Peptostreptococcaceae</v>
          </cell>
        </row>
        <row r="7844">
          <cell r="G7844" t="str">
            <v>ASV3926</v>
          </cell>
          <cell r="H7844" t="str">
            <v>g__Christensenellaceae_R-7_group</v>
          </cell>
          <cell r="I7844" t="str">
            <v>s__unclassified_g__Christensenellaceae_R-7_group</v>
          </cell>
        </row>
        <row r="7845">
          <cell r="G7845" t="str">
            <v>ASV11448</v>
          </cell>
          <cell r="H7845" t="str">
            <v>g__Subdoligranulum</v>
          </cell>
          <cell r="I7845" t="str">
            <v>s__unclassified_g__Subdoligranulum</v>
          </cell>
        </row>
        <row r="7846">
          <cell r="G7846" t="str">
            <v>ASV17882</v>
          </cell>
          <cell r="H7846" t="str">
            <v>g__UCG-002</v>
          </cell>
          <cell r="I7846" t="str">
            <v>s__unclassified_g__UCG-002</v>
          </cell>
        </row>
        <row r="7847">
          <cell r="G7847" t="str">
            <v>ASV23125</v>
          </cell>
          <cell r="H7847" t="str">
            <v>g__unclassified_p__Firmicutes</v>
          </cell>
          <cell r="I7847" t="str">
            <v>s__unclassified_p__Firmicutes</v>
          </cell>
        </row>
        <row r="7848">
          <cell r="G7848" t="str">
            <v>ASV22016</v>
          </cell>
          <cell r="H7848" t="str">
            <v>g__Ruminococcus</v>
          </cell>
          <cell r="I7848" t="str">
            <v>s__uncultured_bacterium_g__Ruminococcus</v>
          </cell>
        </row>
        <row r="7849">
          <cell r="G7849" t="str">
            <v>ASV12647</v>
          </cell>
          <cell r="H7849" t="str">
            <v>g__unclassified_f__Ruminococcaceae</v>
          </cell>
          <cell r="I7849" t="str">
            <v>s__unclassified_f__Ruminococcaceae</v>
          </cell>
        </row>
        <row r="7850">
          <cell r="G7850" t="str">
            <v>ASV18840</v>
          </cell>
          <cell r="H7850" t="str">
            <v>g__Lactobacillus</v>
          </cell>
          <cell r="I7850" t="str">
            <v>s__unclassified_g__Lactobacillus</v>
          </cell>
        </row>
        <row r="7851">
          <cell r="G7851" t="str">
            <v>ASV20642</v>
          </cell>
          <cell r="H7851" t="str">
            <v>g__unclassified_c__Clostridia</v>
          </cell>
          <cell r="I7851" t="str">
            <v>s__unclassified_c__Clostridia</v>
          </cell>
        </row>
        <row r="7852">
          <cell r="G7852" t="str">
            <v>ASV11427</v>
          </cell>
          <cell r="H7852" t="str">
            <v>g__Negativibacillus</v>
          </cell>
          <cell r="I7852" t="str">
            <v>s__unclassified_g__Negativibacillus</v>
          </cell>
        </row>
        <row r="7853">
          <cell r="G7853" t="str">
            <v>ASV22916</v>
          </cell>
          <cell r="H7853" t="str">
            <v>g__Blautia</v>
          </cell>
          <cell r="I7853" t="str">
            <v>s__unclassified_g__Blautia</v>
          </cell>
        </row>
        <row r="7854">
          <cell r="G7854" t="str">
            <v>ASV20669</v>
          </cell>
          <cell r="H7854" t="str">
            <v>g__unclassified_f__Lachnospiraceae</v>
          </cell>
          <cell r="I7854" t="str">
            <v>s__unclassified_f__Lachnospiraceae</v>
          </cell>
        </row>
        <row r="7855">
          <cell r="G7855" t="str">
            <v>ASV4674</v>
          </cell>
          <cell r="H7855" t="str">
            <v>g__unclassified_f__Lachnospiraceae</v>
          </cell>
          <cell r="I7855" t="str">
            <v>s__unclassified_f__Lachnospiraceae</v>
          </cell>
        </row>
        <row r="7856">
          <cell r="G7856" t="str">
            <v>ASV5063</v>
          </cell>
          <cell r="H7856" t="str">
            <v>g__norank_f__UCG-010</v>
          </cell>
          <cell r="I7856" t="str">
            <v>s__uncultured_bacterium_g__norank_f__UCG-010</v>
          </cell>
        </row>
        <row r="7857">
          <cell r="G7857" t="str">
            <v>ASV15924</v>
          </cell>
          <cell r="H7857" t="str">
            <v>g__Veillonella</v>
          </cell>
          <cell r="I7857" t="str">
            <v>s__unclassified_g__Veillonella</v>
          </cell>
        </row>
        <row r="7858">
          <cell r="G7858" t="str">
            <v>ASV3160</v>
          </cell>
          <cell r="H7858" t="str">
            <v>g__Holdemanella</v>
          </cell>
          <cell r="I7858" t="str">
            <v>s__uncultured_bacterium_g__Holdemanella</v>
          </cell>
        </row>
        <row r="7859">
          <cell r="G7859" t="str">
            <v>ASV19391</v>
          </cell>
          <cell r="H7859" t="str">
            <v>g__unclassified_o__Bacteroidales</v>
          </cell>
          <cell r="I7859" t="str">
            <v>s__unclassified_o__Bacteroidales</v>
          </cell>
        </row>
        <row r="7860">
          <cell r="G7860" t="str">
            <v>ASV11046</v>
          </cell>
          <cell r="H7860" t="str">
            <v>g__Clostridium_sensu_stricto_1</v>
          </cell>
          <cell r="I7860" t="str">
            <v>s__unclassified_g__Clostridium_sensu_stricto_1</v>
          </cell>
        </row>
        <row r="7861">
          <cell r="G7861" t="str">
            <v>ASV3464</v>
          </cell>
          <cell r="H7861" t="str">
            <v>g__Howardella</v>
          </cell>
          <cell r="I7861" t="str">
            <v>s__uncultured_bacterium_g__Howardella</v>
          </cell>
        </row>
        <row r="7862">
          <cell r="G7862" t="str">
            <v>ASV3947</v>
          </cell>
          <cell r="H7862" t="str">
            <v>g__unclassified_c__Bacilli</v>
          </cell>
          <cell r="I7862" t="str">
            <v>s__unclassified_c__Bacilli</v>
          </cell>
        </row>
        <row r="7863">
          <cell r="G7863" t="str">
            <v>ASV4654</v>
          </cell>
          <cell r="H7863" t="str">
            <v>g__norank_f__Ruminococcaceae</v>
          </cell>
          <cell r="I7863" t="str">
            <v>s__uncultured_bacterium_g__norank_f__Ruminococcaceae</v>
          </cell>
        </row>
        <row r="7864">
          <cell r="G7864" t="str">
            <v>ASV17272</v>
          </cell>
          <cell r="H7864" t="str">
            <v>g__Bifidobacterium</v>
          </cell>
          <cell r="I7864" t="str">
            <v>s__unclassified_g__Bifidobacterium</v>
          </cell>
        </row>
        <row r="7865">
          <cell r="G7865" t="str">
            <v>ASV14107</v>
          </cell>
          <cell r="H7865" t="str">
            <v>g__unclassified_f__Lachnospiraceae</v>
          </cell>
          <cell r="I7865" t="str">
            <v>s__unclassified_f__Lachnospiraceae</v>
          </cell>
        </row>
        <row r="7866">
          <cell r="G7866" t="str">
            <v>ASV12633</v>
          </cell>
          <cell r="H7866" t="str">
            <v>g__unclassified_f__Oscillospiraceae</v>
          </cell>
          <cell r="I7866" t="str">
            <v>s__unclassified_f__Oscillospiraceae</v>
          </cell>
        </row>
        <row r="7867">
          <cell r="G7867" t="str">
            <v>ASV20682</v>
          </cell>
          <cell r="H7867" t="str">
            <v>g__unclassified_f__Lachnospiraceae</v>
          </cell>
          <cell r="I7867" t="str">
            <v>s__unclassified_f__Lachnospiraceae</v>
          </cell>
        </row>
        <row r="7868">
          <cell r="G7868" t="str">
            <v>ASV6621</v>
          </cell>
          <cell r="H7868" t="str">
            <v>g__Escherichia-Shigella</v>
          </cell>
          <cell r="I7868" t="str">
            <v>s__unclassified_g__Escherichia-Shigella</v>
          </cell>
        </row>
        <row r="7869">
          <cell r="G7869" t="str">
            <v>ASV24124</v>
          </cell>
          <cell r="H7869" t="str">
            <v>g__unclassified_f__Peptostreptococcaceae</v>
          </cell>
          <cell r="I7869" t="str">
            <v>s__unclassified_f__Peptostreptococcaceae</v>
          </cell>
        </row>
        <row r="7870">
          <cell r="G7870" t="str">
            <v>ASV3458</v>
          </cell>
          <cell r="H7870" t="str">
            <v>g__unclassified_k__norank_d__Bacteria</v>
          </cell>
          <cell r="I7870" t="str">
            <v>s__unclassified_k__norank_d__Bacteria</v>
          </cell>
        </row>
        <row r="7871">
          <cell r="G7871" t="str">
            <v>ASV23151</v>
          </cell>
          <cell r="H7871" t="str">
            <v>g__Megasphaera</v>
          </cell>
          <cell r="I7871" t="str">
            <v>s__unclassified_g__Megasphaera</v>
          </cell>
        </row>
        <row r="7872">
          <cell r="G7872" t="str">
            <v>ASV3635</v>
          </cell>
          <cell r="H7872" t="str">
            <v>g__unclassified_f__Prevotellaceae</v>
          </cell>
          <cell r="I7872" t="str">
            <v>s__unclassified_f__Prevotellaceae</v>
          </cell>
        </row>
        <row r="7873">
          <cell r="G7873" t="str">
            <v>ASV5773</v>
          </cell>
          <cell r="H7873" t="str">
            <v>g__norank_f__Eubacterium_coprostanoligenes_group</v>
          </cell>
          <cell r="I7873" t="str">
            <v>s__uncultured_bacterium_g__norank_f__Eubacterium_coprostanoligenes_group</v>
          </cell>
        </row>
        <row r="7874">
          <cell r="G7874" t="str">
            <v>ASV14933</v>
          </cell>
          <cell r="H7874" t="str">
            <v>g__unclassified_f__Lachnospiraceae</v>
          </cell>
          <cell r="I7874" t="str">
            <v>s__unclassified_f__Lachnospiraceae</v>
          </cell>
        </row>
        <row r="7875">
          <cell r="G7875" t="str">
            <v>ASV22000</v>
          </cell>
          <cell r="H7875" t="str">
            <v>g__Faecalibacterium</v>
          </cell>
          <cell r="I7875" t="str">
            <v>s__uncultured_bacterium_g__Faecalibacterium</v>
          </cell>
        </row>
        <row r="7876">
          <cell r="G7876" t="str">
            <v>ASV22076</v>
          </cell>
          <cell r="H7876" t="str">
            <v>g__Christensenellaceae_R-7_group</v>
          </cell>
          <cell r="I7876" t="str">
            <v>s__unclassified_g__Christensenellaceae_R-7_group</v>
          </cell>
        </row>
        <row r="7877">
          <cell r="G7877" t="str">
            <v>ASV18547</v>
          </cell>
          <cell r="H7877" t="str">
            <v>g__Sharpea</v>
          </cell>
          <cell r="I7877" t="str">
            <v>s__unclassified_g__Sharpea</v>
          </cell>
        </row>
        <row r="7878">
          <cell r="G7878" t="str">
            <v>ASV7663</v>
          </cell>
          <cell r="H7878" t="str">
            <v>g__unclassified_p__Firmicutes</v>
          </cell>
          <cell r="I7878" t="str">
            <v>s__unclassified_p__Firmicutes</v>
          </cell>
        </row>
        <row r="7879">
          <cell r="G7879" t="str">
            <v>ASV3167</v>
          </cell>
          <cell r="H7879" t="str">
            <v>g__unclassified_f__Lachnospiraceae</v>
          </cell>
          <cell r="I7879" t="str">
            <v>s__unclassified_f__Lachnospiraceae</v>
          </cell>
        </row>
        <row r="7880">
          <cell r="G7880" t="str">
            <v>ASV13354</v>
          </cell>
          <cell r="H7880" t="str">
            <v>g__unclassified_k__norank_d__Bacteria</v>
          </cell>
          <cell r="I7880" t="str">
            <v>s__unclassified_k__norank_d__Bacteria</v>
          </cell>
        </row>
        <row r="7881">
          <cell r="G7881" t="str">
            <v>ASV3938</v>
          </cell>
          <cell r="H7881" t="str">
            <v>g__Cloacibacillus</v>
          </cell>
          <cell r="I7881" t="str">
            <v>s__unclassified_g__Cloacibacillus</v>
          </cell>
        </row>
        <row r="7882">
          <cell r="G7882" t="str">
            <v>ASV5755</v>
          </cell>
          <cell r="H7882" t="str">
            <v>g__unclassified_c__Clostridia</v>
          </cell>
          <cell r="I7882" t="str">
            <v>s__unclassified_c__Clostridia</v>
          </cell>
        </row>
        <row r="7883">
          <cell r="G7883" t="str">
            <v>ASV15928</v>
          </cell>
          <cell r="H7883" t="str">
            <v>g__unclassified_f__Oscillospiraceae</v>
          </cell>
          <cell r="I7883" t="str">
            <v>s__unclassified_f__Oscillospiraceae</v>
          </cell>
        </row>
        <row r="7884">
          <cell r="G7884" t="str">
            <v>ASV5774</v>
          </cell>
          <cell r="H7884" t="str">
            <v>g__Eubacterium_oxidoreducens_group</v>
          </cell>
          <cell r="I7884" t="str">
            <v>s__uncultured_bacterium_g__Eubacterium_oxidoreducens_group</v>
          </cell>
        </row>
        <row r="7885">
          <cell r="G7885" t="str">
            <v>ASV8276</v>
          </cell>
          <cell r="H7885" t="str">
            <v>g__Luteococcus</v>
          </cell>
          <cell r="I7885" t="str">
            <v>s__Luteococcus_peritonei</v>
          </cell>
        </row>
        <row r="7886">
          <cell r="G7886" t="str">
            <v>ASV6602</v>
          </cell>
          <cell r="H7886" t="str">
            <v>g__unclassified_o__Oscillospirales</v>
          </cell>
          <cell r="I7886" t="str">
            <v>s__unclassified_o__Oscillospirales</v>
          </cell>
        </row>
        <row r="7887">
          <cell r="G7887" t="str">
            <v>ASV20231</v>
          </cell>
          <cell r="H7887" t="str">
            <v>g__Desulfovibrio</v>
          </cell>
          <cell r="I7887" t="str">
            <v>s__Desulfovibrio_sp._enrichment_culture_clone_Jdgsrb034</v>
          </cell>
        </row>
        <row r="7888">
          <cell r="G7888" t="str">
            <v>ASV11403</v>
          </cell>
          <cell r="H7888" t="str">
            <v>g__norank_f__Muribaculaceae</v>
          </cell>
          <cell r="I7888" t="str">
            <v>s__uncultured_Porphyromonadaceae_bacterium_g__norank_f__Muribaculaceae</v>
          </cell>
        </row>
        <row r="7889">
          <cell r="G7889" t="str">
            <v>ASV9313</v>
          </cell>
          <cell r="H7889" t="str">
            <v>g__unclassified_f__Lachnospiraceae</v>
          </cell>
          <cell r="I7889" t="str">
            <v>s__unclassified_f__Lachnospiraceae</v>
          </cell>
        </row>
        <row r="7890">
          <cell r="G7890" t="str">
            <v>ASV14138</v>
          </cell>
          <cell r="H7890" t="str">
            <v>g__unclassified_f__Lachnospiraceae</v>
          </cell>
          <cell r="I7890" t="str">
            <v>s__unclassified_f__Lachnospiraceae</v>
          </cell>
        </row>
        <row r="7891">
          <cell r="G7891" t="str">
            <v>ASV23141</v>
          </cell>
          <cell r="H7891" t="str">
            <v>g__unclassified_f__Peptostreptococcaceae</v>
          </cell>
          <cell r="I7891" t="str">
            <v>s__unclassified_f__Peptostreptococcaceae</v>
          </cell>
        </row>
        <row r="7892">
          <cell r="G7892" t="str">
            <v>ASV22056</v>
          </cell>
          <cell r="H7892" t="str">
            <v>g__Bacillus</v>
          </cell>
          <cell r="I7892" t="str">
            <v>s__unclassified_g__Bacillus</v>
          </cell>
        </row>
        <row r="7893">
          <cell r="G7893" t="str">
            <v>ASV10551</v>
          </cell>
          <cell r="H7893" t="str">
            <v>g__unclassified_c__Clostridia</v>
          </cell>
          <cell r="I7893" t="str">
            <v>s__unclassified_c__Clostridia</v>
          </cell>
        </row>
        <row r="7894">
          <cell r="G7894" t="str">
            <v>ASV19440</v>
          </cell>
          <cell r="H7894" t="str">
            <v>g__norank_f__Eubacterium_coprostanoligenes_group</v>
          </cell>
          <cell r="I7894" t="str">
            <v>s__uncultured_bacterium_g__norank_f__Eubacterium_coprostanoligenes_group</v>
          </cell>
        </row>
        <row r="7895">
          <cell r="G7895" t="str">
            <v>ASV12678</v>
          </cell>
          <cell r="H7895" t="str">
            <v>g__Ruminococcus</v>
          </cell>
          <cell r="I7895" t="str">
            <v>s__unclassified_g__Ruminococcus</v>
          </cell>
        </row>
        <row r="7896">
          <cell r="G7896" t="str">
            <v>ASV558</v>
          </cell>
          <cell r="H7896" t="str">
            <v>g__unclassified_c__Bacilli</v>
          </cell>
          <cell r="I7896" t="str">
            <v>s__unclassified_c__Bacilli</v>
          </cell>
        </row>
        <row r="7897">
          <cell r="G7897" t="str">
            <v>ASV13335</v>
          </cell>
          <cell r="H7897" t="str">
            <v>g__Lactobacillus</v>
          </cell>
          <cell r="I7897" t="str">
            <v>s__unclassified_g__Lactobacillus</v>
          </cell>
        </row>
        <row r="7898">
          <cell r="G7898" t="str">
            <v>ASV16361</v>
          </cell>
          <cell r="H7898" t="str">
            <v>g__Rikenellaceae_RC9_gut_group</v>
          </cell>
          <cell r="I7898" t="str">
            <v>s__uncultured_bacterium_g__Rikenellaceae_RC9_gut_group</v>
          </cell>
        </row>
        <row r="7899">
          <cell r="G7899" t="str">
            <v>ASV22047</v>
          </cell>
          <cell r="H7899" t="str">
            <v>g__unclassified_f__Oscillospiraceae</v>
          </cell>
          <cell r="I7899" t="str">
            <v>s__unclassified_f__Oscillospiraceae</v>
          </cell>
        </row>
        <row r="7900">
          <cell r="G7900" t="str">
            <v>ASV22002</v>
          </cell>
          <cell r="H7900" t="str">
            <v>g__Escherichia-Shigella</v>
          </cell>
          <cell r="I7900" t="str">
            <v>s__unclassified_g__Escherichia-Shigella</v>
          </cell>
        </row>
        <row r="7901">
          <cell r="G7901" t="str">
            <v>ASV22008</v>
          </cell>
          <cell r="H7901" t="str">
            <v>g__unclassified_c__Clostridia</v>
          </cell>
          <cell r="I7901" t="str">
            <v>s__unclassified_c__Clostridia</v>
          </cell>
        </row>
        <row r="7902">
          <cell r="G7902" t="str">
            <v>ASV17408</v>
          </cell>
          <cell r="H7902" t="str">
            <v>g__Lactobacillus</v>
          </cell>
          <cell r="I7902" t="str">
            <v>s__unclassified_g__Lactobacillus</v>
          </cell>
        </row>
        <row r="7903">
          <cell r="G7903" t="str">
            <v>ASV10554</v>
          </cell>
          <cell r="H7903" t="str">
            <v>g__unclassified_f__Lachnospiraceae</v>
          </cell>
          <cell r="I7903" t="str">
            <v>s__unclassified_f__Lachnospiraceae</v>
          </cell>
        </row>
        <row r="7904">
          <cell r="G7904" t="str">
            <v>ASV10003</v>
          </cell>
          <cell r="H7904" t="str">
            <v>g__Lactobacillus</v>
          </cell>
          <cell r="I7904" t="str">
            <v>s__Lactobacillus_agilis</v>
          </cell>
        </row>
        <row r="7905">
          <cell r="G7905" t="str">
            <v>ASV20648</v>
          </cell>
          <cell r="H7905" t="str">
            <v>g__norank_f__Eubacterium_coprostanoligenes_group</v>
          </cell>
          <cell r="I7905" t="str">
            <v>s__unclassified_g__norank_f__Eubacterium_coprostanoligenes_group</v>
          </cell>
        </row>
        <row r="7906">
          <cell r="G7906" t="str">
            <v>ASV9281</v>
          </cell>
          <cell r="H7906" t="str">
            <v>g__Eubacterium_oxidoreducens_group</v>
          </cell>
          <cell r="I7906" t="str">
            <v>s__uncultured_bacterium_g__Eubacterium_oxidoreducens_group</v>
          </cell>
        </row>
        <row r="7907">
          <cell r="G7907" t="str">
            <v>ASV5767</v>
          </cell>
          <cell r="H7907" t="str">
            <v>g__Desulfovibrio</v>
          </cell>
          <cell r="I7907" t="str">
            <v>s__unclassified_g__Desulfovibrio</v>
          </cell>
        </row>
        <row r="7908">
          <cell r="G7908" t="str">
            <v>ASV2087</v>
          </cell>
          <cell r="H7908" t="str">
            <v>g__Subdoligranulum</v>
          </cell>
          <cell r="I7908" t="str">
            <v>s__uncultured_bacterium_g__Subdoligranulum</v>
          </cell>
        </row>
        <row r="7909">
          <cell r="G7909" t="str">
            <v>ASV8349</v>
          </cell>
          <cell r="H7909" t="str">
            <v>g__Lactobacillus</v>
          </cell>
          <cell r="I7909" t="str">
            <v>s__unclassified_g__Lactobacillus</v>
          </cell>
        </row>
        <row r="7910">
          <cell r="G7910" t="str">
            <v>ASV19442</v>
          </cell>
          <cell r="H7910" t="str">
            <v>g__unclassified_f__Oscillospiraceae</v>
          </cell>
          <cell r="I7910" t="str">
            <v>s__unclassified_f__Oscillospiraceae</v>
          </cell>
        </row>
        <row r="7911">
          <cell r="G7911" t="str">
            <v>ASV14088</v>
          </cell>
          <cell r="H7911" t="str">
            <v>g__unclassified_f__Lachnospiraceae</v>
          </cell>
          <cell r="I7911" t="str">
            <v>s__unclassified_f__Lachnospiraceae</v>
          </cell>
        </row>
        <row r="7912">
          <cell r="G7912" t="str">
            <v>ASV14059</v>
          </cell>
          <cell r="H7912" t="str">
            <v>g__norank_f__Peptococcaceae</v>
          </cell>
          <cell r="I7912" t="str">
            <v>s__unclassified_g__norank_f__Peptococcaceae</v>
          </cell>
        </row>
        <row r="7913">
          <cell r="G7913" t="str">
            <v>ASV7045</v>
          </cell>
          <cell r="H7913" t="str">
            <v>g__Bacillus</v>
          </cell>
          <cell r="I7913" t="str">
            <v>s__Lactobacillus_vaginalis_g__Bacillus</v>
          </cell>
        </row>
        <row r="7914">
          <cell r="G7914" t="str">
            <v>ASV11458</v>
          </cell>
          <cell r="H7914" t="str">
            <v>g__norank_f__Muribaculaceae</v>
          </cell>
          <cell r="I7914" t="str">
            <v>s__uncultured_bacterium_g__norank_f__Muribaculaceae</v>
          </cell>
        </row>
        <row r="7915">
          <cell r="G7915" t="str">
            <v>ASV15287</v>
          </cell>
          <cell r="H7915" t="str">
            <v>g__unclassified_f__Ruminococcaceae</v>
          </cell>
          <cell r="I7915" t="str">
            <v>s__unclassified_f__Ruminococcaceae</v>
          </cell>
        </row>
        <row r="7916">
          <cell r="G7916" t="str">
            <v>ASV3373</v>
          </cell>
          <cell r="H7916" t="str">
            <v>g__Clostridium_sensu_stricto_1</v>
          </cell>
          <cell r="I7916" t="str">
            <v>s__unclassified_g__Clostridium_sensu_stricto_1</v>
          </cell>
        </row>
        <row r="7917">
          <cell r="G7917" t="str">
            <v>ASV19367</v>
          </cell>
          <cell r="H7917" t="str">
            <v>g__unclassified_f__Lachnospiraceae</v>
          </cell>
          <cell r="I7917" t="str">
            <v>s__unclassified_f__Lachnospiraceae</v>
          </cell>
        </row>
        <row r="7918">
          <cell r="G7918" t="str">
            <v>ASV23940</v>
          </cell>
          <cell r="H7918" t="str">
            <v>g__Megasphaera</v>
          </cell>
          <cell r="I7918" t="str">
            <v>s__unclassified_g__Megasphaera</v>
          </cell>
        </row>
        <row r="7919">
          <cell r="G7919" t="str">
            <v>ASV6641</v>
          </cell>
          <cell r="H7919" t="str">
            <v>g__unclassified_o__Peptostreptococcales-Tissierellales</v>
          </cell>
          <cell r="I7919" t="str">
            <v>s__unclassified_o__Peptostreptococcales-Tissierellales</v>
          </cell>
        </row>
        <row r="7920">
          <cell r="G7920" t="str">
            <v>ASV19394</v>
          </cell>
          <cell r="H7920" t="str">
            <v>g__norank_f__Eubacterium_coprostanoligenes_group</v>
          </cell>
          <cell r="I7920" t="str">
            <v>s__uncultured_bacterium_g__norank_f__Eubacterium_coprostanoligenes_group</v>
          </cell>
        </row>
        <row r="7921">
          <cell r="G7921" t="str">
            <v>ASV2952</v>
          </cell>
          <cell r="H7921" t="str">
            <v>g__Flavobacterium</v>
          </cell>
          <cell r="I7921" t="str">
            <v>s__unclassified_g__Flavobacterium</v>
          </cell>
        </row>
        <row r="7922">
          <cell r="G7922" t="str">
            <v>ASV9273</v>
          </cell>
          <cell r="H7922" t="str">
            <v>g__unclassified_c__Clostridia</v>
          </cell>
          <cell r="I7922" t="str">
            <v>s__unclassified_c__Clostridia</v>
          </cell>
        </row>
        <row r="7923">
          <cell r="G7923" t="str">
            <v>ASV22032</v>
          </cell>
          <cell r="H7923" t="str">
            <v>g__unclassified_f__Lachnospiraceae</v>
          </cell>
          <cell r="I7923" t="str">
            <v>s__unclassified_f__Lachnospiraceae</v>
          </cell>
        </row>
        <row r="7924">
          <cell r="G7924" t="str">
            <v>ASV8469</v>
          </cell>
          <cell r="H7924" t="str">
            <v>g__Bifidobacterium</v>
          </cell>
          <cell r="I7924" t="str">
            <v>s__unclassified_g__Bifidobacterium</v>
          </cell>
        </row>
        <row r="7925">
          <cell r="G7925" t="str">
            <v>ASV3933</v>
          </cell>
          <cell r="H7925" t="str">
            <v>g__Escherichia-Shigella</v>
          </cell>
          <cell r="I7925" t="str">
            <v>s__unclassified_g__Escherichia-Shigella</v>
          </cell>
        </row>
        <row r="7926">
          <cell r="G7926" t="str">
            <v>ASV14079</v>
          </cell>
          <cell r="H7926" t="str">
            <v>g__unclassified_p__Firmicutes</v>
          </cell>
          <cell r="I7926" t="str">
            <v>s__unclassified_p__Firmicutes</v>
          </cell>
        </row>
        <row r="7927">
          <cell r="G7927" t="str">
            <v>ASV546</v>
          </cell>
          <cell r="H7927" t="str">
            <v>g__unclassified_o__Bacteroidales</v>
          </cell>
          <cell r="I7927" t="str">
            <v>s__unclassified_o__Bacteroidales</v>
          </cell>
        </row>
        <row r="7928">
          <cell r="G7928" t="str">
            <v>ASV23756</v>
          </cell>
          <cell r="H7928" t="str">
            <v>g__Bacteroides</v>
          </cell>
          <cell r="I7928" t="str">
            <v>s__unclassified_g__Bacteroides</v>
          </cell>
        </row>
        <row r="7929">
          <cell r="G7929" t="str">
            <v>ASV517</v>
          </cell>
          <cell r="H7929" t="str">
            <v>g__unclassified_f__Lachnospiraceae</v>
          </cell>
          <cell r="I7929" t="str">
            <v>s__unclassified_f__Lachnospiraceae</v>
          </cell>
        </row>
        <row r="7930">
          <cell r="G7930" t="str">
            <v>ASV11398</v>
          </cell>
          <cell r="H7930" t="str">
            <v>g__unclassified_c__Clostridia</v>
          </cell>
          <cell r="I7930" t="str">
            <v>s__unclassified_c__Clostridia</v>
          </cell>
        </row>
        <row r="7931">
          <cell r="G7931" t="str">
            <v>ASV2901</v>
          </cell>
          <cell r="H7931" t="str">
            <v>g__Lactobacillus</v>
          </cell>
          <cell r="I7931" t="str">
            <v>s__unclassified_g__Lactobacillus</v>
          </cell>
        </row>
        <row r="7932">
          <cell r="G7932" t="str">
            <v>ASV8975</v>
          </cell>
          <cell r="H7932" t="str">
            <v>g__unclassified_c__Bacilli</v>
          </cell>
          <cell r="I7932" t="str">
            <v>s__unclassified_c__Bacilli</v>
          </cell>
        </row>
        <row r="7933">
          <cell r="G7933" t="str">
            <v>ASV10523</v>
          </cell>
          <cell r="H7933" t="str">
            <v>g__unclassified_c__Clostridia</v>
          </cell>
          <cell r="I7933" t="str">
            <v>s__unclassified_c__Clostridia</v>
          </cell>
        </row>
        <row r="7934">
          <cell r="G7934" t="str">
            <v>ASV23138</v>
          </cell>
          <cell r="H7934" t="str">
            <v>g__unclassified_c__Clostridia</v>
          </cell>
          <cell r="I7934" t="str">
            <v>s__unclassified_c__Clostridia</v>
          </cell>
        </row>
        <row r="7935">
          <cell r="G7935" t="str">
            <v>ASV21200</v>
          </cell>
          <cell r="H7935" t="str">
            <v>g__unclassified_f__Lachnospiraceae</v>
          </cell>
          <cell r="I7935" t="str">
            <v>s__unclassified_f__Lachnospiraceae</v>
          </cell>
        </row>
        <row r="7936">
          <cell r="G7936" t="str">
            <v>ASV22051</v>
          </cell>
          <cell r="H7936" t="str">
            <v>g__unclassified_p__Firmicutes</v>
          </cell>
          <cell r="I7936" t="str">
            <v>s__unclassified_p__Firmicutes</v>
          </cell>
        </row>
        <row r="7937">
          <cell r="G7937" t="str">
            <v>ASV11370</v>
          </cell>
          <cell r="H7937" t="str">
            <v>g__norank_f__norank_o__Clostridia_UCG-014</v>
          </cell>
          <cell r="I7937" t="str">
            <v>s__unclassified_g__norank_f__norank_o__Clostridia_UCG-014</v>
          </cell>
        </row>
        <row r="7938">
          <cell r="G7938" t="str">
            <v>ASV15790</v>
          </cell>
          <cell r="H7938" t="str">
            <v>g__Lactobacillus</v>
          </cell>
          <cell r="I7938" t="str">
            <v>s__unclassified_g__Lactobacillus</v>
          </cell>
        </row>
        <row r="7939">
          <cell r="G7939" t="str">
            <v>ASV9309</v>
          </cell>
          <cell r="H7939" t="str">
            <v>g__unclassified_p__Firmicutes</v>
          </cell>
          <cell r="I7939" t="str">
            <v>s__unclassified_p__Firmicutes</v>
          </cell>
        </row>
        <row r="7940">
          <cell r="G7940" t="str">
            <v>ASV6635</v>
          </cell>
          <cell r="H7940" t="str">
            <v>g__Escherichia-Shigella</v>
          </cell>
          <cell r="I7940" t="str">
            <v>s__unclassified_g__Escherichia-Shigella</v>
          </cell>
        </row>
        <row r="7941">
          <cell r="G7941" t="str">
            <v>ASV8971</v>
          </cell>
          <cell r="H7941" t="str">
            <v>g__Porphyromonas</v>
          </cell>
          <cell r="I7941" t="str">
            <v>s__unclassified_g__Porphyromonas</v>
          </cell>
        </row>
        <row r="7942">
          <cell r="G7942" t="str">
            <v>ASV5747</v>
          </cell>
          <cell r="H7942" t="str">
            <v>g__Christensenellaceae_R-7_group</v>
          </cell>
          <cell r="I7942" t="str">
            <v>s__unclassified_g__Christensenellaceae_R-7_group</v>
          </cell>
        </row>
        <row r="7943">
          <cell r="G7943" t="str">
            <v>ASV529</v>
          </cell>
          <cell r="H7943" t="str">
            <v>g__unclassified_p__Firmicutes</v>
          </cell>
          <cell r="I7943" t="str">
            <v>s__unclassified_p__Firmicutes</v>
          </cell>
        </row>
        <row r="7944">
          <cell r="G7944" t="str">
            <v>ASV20702</v>
          </cell>
          <cell r="H7944" t="str">
            <v>g__Lactobacillus</v>
          </cell>
          <cell r="I7944" t="str">
            <v>s__unclassified_g__Lactobacillus</v>
          </cell>
        </row>
        <row r="7945">
          <cell r="G7945" t="str">
            <v>ASV3629</v>
          </cell>
          <cell r="H7945" t="str">
            <v>g__unclassified_c__Actinobacteria</v>
          </cell>
          <cell r="I7945" t="str">
            <v>s__unclassified_c__Actinobacteria</v>
          </cell>
        </row>
        <row r="7946">
          <cell r="G7946" t="str">
            <v>ASV23150</v>
          </cell>
          <cell r="H7946" t="str">
            <v>g__unclassified_c__Clostridia</v>
          </cell>
          <cell r="I7946" t="str">
            <v>s__unclassified_c__Clostridia</v>
          </cell>
        </row>
        <row r="7947">
          <cell r="G7947" t="str">
            <v>ASV6645</v>
          </cell>
          <cell r="H7947" t="str">
            <v>g__unclassified_f__Lachnospiraceae</v>
          </cell>
          <cell r="I7947" t="str">
            <v>s__unclassified_f__Lachnospiraceae</v>
          </cell>
        </row>
        <row r="7948">
          <cell r="G7948" t="str">
            <v>ASV10539</v>
          </cell>
          <cell r="H7948" t="str">
            <v>g__Lactobacillus</v>
          </cell>
          <cell r="I7948" t="str">
            <v>s__unclassified_g__Lactobacillus</v>
          </cell>
        </row>
        <row r="7949">
          <cell r="G7949" t="str">
            <v>ASV514</v>
          </cell>
          <cell r="H7949" t="str">
            <v>g__NK4A214_group</v>
          </cell>
          <cell r="I7949" t="str">
            <v>s__unclassified_g__NK4A214_group</v>
          </cell>
        </row>
        <row r="7950">
          <cell r="G7950" t="str">
            <v>ASV559</v>
          </cell>
          <cell r="H7950" t="str">
            <v>g__Parabacteroides</v>
          </cell>
          <cell r="I7950" t="str">
            <v>s__Porphyromonadaceae_bacterium_DJF_B175</v>
          </cell>
        </row>
        <row r="7951">
          <cell r="G7951" t="str">
            <v>ASV21734</v>
          </cell>
          <cell r="H7951" t="str">
            <v>g__Dechloromonas</v>
          </cell>
          <cell r="I7951" t="str">
            <v>s__unclassified_g__Dechloromonas</v>
          </cell>
        </row>
        <row r="7952">
          <cell r="G7952" t="str">
            <v>ASV7661</v>
          </cell>
          <cell r="H7952" t="str">
            <v>g__Megasphaera</v>
          </cell>
          <cell r="I7952" t="str">
            <v>s__unclassified_g__Megasphaera</v>
          </cell>
        </row>
        <row r="7953">
          <cell r="G7953" t="str">
            <v>ASV20233</v>
          </cell>
          <cell r="H7953" t="str">
            <v>g__Streptococcus</v>
          </cell>
          <cell r="I7953" t="str">
            <v>s__unclassified_g__Streptococcus</v>
          </cell>
        </row>
        <row r="7954">
          <cell r="G7954" t="str">
            <v>ASV20652</v>
          </cell>
          <cell r="H7954" t="str">
            <v>g__norank_f__Eubacterium_coprostanoligenes_group</v>
          </cell>
          <cell r="I7954" t="str">
            <v>s__unclassified_g__norank_f__Eubacterium_coprostanoligenes_group</v>
          </cell>
        </row>
        <row r="7955">
          <cell r="G7955" t="str">
            <v>ASV22062</v>
          </cell>
          <cell r="H7955" t="str">
            <v>g__unclassified_c__Clostridia</v>
          </cell>
          <cell r="I7955" t="str">
            <v>s__unclassified_c__Clostridia</v>
          </cell>
        </row>
        <row r="7956">
          <cell r="G7956" t="str">
            <v>ASV8965</v>
          </cell>
          <cell r="H7956" t="str">
            <v>g__Moraxella</v>
          </cell>
          <cell r="I7956" t="str">
            <v>s__unclassified_g__Moraxella</v>
          </cell>
        </row>
        <row r="7957">
          <cell r="G7957" t="str">
            <v>ASV15281</v>
          </cell>
          <cell r="H7957" t="str">
            <v>g__unclassified_f__Ruminococcaceae</v>
          </cell>
          <cell r="I7957" t="str">
            <v>s__unclassified_f__Ruminococcaceae</v>
          </cell>
        </row>
        <row r="7958">
          <cell r="G7958" t="str">
            <v>ASV21199</v>
          </cell>
          <cell r="H7958" t="str">
            <v>g__Peptostreptococcus</v>
          </cell>
          <cell r="I7958" t="str">
            <v>s__unclassified_g__Peptostreptococcus</v>
          </cell>
        </row>
        <row r="7959">
          <cell r="G7959" t="str">
            <v>ASV13697</v>
          </cell>
          <cell r="H7959" t="str">
            <v>g__Lactobacillus</v>
          </cell>
          <cell r="I7959" t="str">
            <v>s__unclassified_g__Lactobacillus</v>
          </cell>
        </row>
        <row r="7960">
          <cell r="G7960" t="str">
            <v>ASV11369</v>
          </cell>
          <cell r="H7960" t="str">
            <v>g__unclassified_o__Oscillospirales</v>
          </cell>
          <cell r="I7960" t="str">
            <v>s__unclassified_o__Oscillospirales</v>
          </cell>
        </row>
        <row r="7961">
          <cell r="G7961" t="str">
            <v>ASV4702</v>
          </cell>
          <cell r="H7961" t="str">
            <v>g__Christensenellaceae_R-7_group</v>
          </cell>
          <cell r="I7961" t="str">
            <v>s__unclassified_g__Christensenellaceae_R-7_group</v>
          </cell>
        </row>
        <row r="7962">
          <cell r="G7962" t="str">
            <v>ASV4719</v>
          </cell>
          <cell r="H7962" t="str">
            <v>g__unclassified_f__Lachnospiraceae</v>
          </cell>
          <cell r="I7962" t="str">
            <v>s__unclassified_f__Lachnospiraceae</v>
          </cell>
        </row>
        <row r="7963">
          <cell r="G7963" t="str">
            <v>ASV3949</v>
          </cell>
          <cell r="H7963" t="str">
            <v>g__Escherichia-Shigella</v>
          </cell>
          <cell r="I7963" t="str">
            <v>s__unclassified_g__Escherichia-Shigella</v>
          </cell>
        </row>
        <row r="7964">
          <cell r="G7964" t="str">
            <v>ASV14087</v>
          </cell>
          <cell r="H7964" t="str">
            <v>g__Blautia</v>
          </cell>
          <cell r="I7964" t="str">
            <v>s__unclassified_g__Blautia</v>
          </cell>
        </row>
        <row r="7965">
          <cell r="G7965" t="str">
            <v>ASV21436</v>
          </cell>
          <cell r="H7965" t="str">
            <v>g__Lactobacillus</v>
          </cell>
          <cell r="I7965" t="str">
            <v>s__unclassified_g__Lactobacillus</v>
          </cell>
        </row>
        <row r="7966">
          <cell r="G7966" t="str">
            <v>ASV19448</v>
          </cell>
          <cell r="H7966" t="str">
            <v>g__unclassified_c__Clostridia</v>
          </cell>
          <cell r="I7966" t="str">
            <v>s__unclassified_c__Clostridia</v>
          </cell>
        </row>
        <row r="7967">
          <cell r="G7967" t="str">
            <v>ASV16334</v>
          </cell>
          <cell r="H7967" t="str">
            <v>g__Sphaerochaeta</v>
          </cell>
          <cell r="I7967" t="str">
            <v>s__uncultured_bacterium_g__Sphaerochaeta</v>
          </cell>
        </row>
        <row r="7968">
          <cell r="G7968" t="str">
            <v>ASV19433</v>
          </cell>
          <cell r="H7968" t="str">
            <v>g__Anaerovibrio</v>
          </cell>
          <cell r="I7968" t="str">
            <v>s__unclassified_g__Anaerovibrio</v>
          </cell>
        </row>
        <row r="7969">
          <cell r="G7969" t="str">
            <v>ASV19162</v>
          </cell>
          <cell r="H7969" t="str">
            <v>g__unclassified_f__Saccharimonadaceae</v>
          </cell>
          <cell r="I7969" t="str">
            <v>s__unclassified_f__Saccharimonadaceae</v>
          </cell>
        </row>
        <row r="7970">
          <cell r="G7970" t="str">
            <v>ASV16333</v>
          </cell>
          <cell r="H7970" t="str">
            <v>g__Bacteroides</v>
          </cell>
          <cell r="I7970" t="str">
            <v>s__unclassified_g__Bacteroides</v>
          </cell>
        </row>
        <row r="7971">
          <cell r="G7971" t="str">
            <v>ASV10170</v>
          </cell>
          <cell r="H7971" t="str">
            <v>g__Lactobacillus</v>
          </cell>
          <cell r="I7971" t="str">
            <v>s__unclassified_g__Lactobacillus</v>
          </cell>
        </row>
        <row r="7972">
          <cell r="G7972" t="str">
            <v>ASV8332</v>
          </cell>
          <cell r="H7972" t="str">
            <v>g__Globicatella</v>
          </cell>
          <cell r="I7972" t="str">
            <v>s__Globicatella_sp._canine_oral_taxon_218</v>
          </cell>
        </row>
        <row r="7973">
          <cell r="G7973" t="str">
            <v>ASV536</v>
          </cell>
          <cell r="H7973" t="str">
            <v>g__Lactobacillus</v>
          </cell>
          <cell r="I7973" t="str">
            <v>s__unclassified_g__Lactobacillus</v>
          </cell>
        </row>
        <row r="7974">
          <cell r="G7974" t="str">
            <v>ASV10525</v>
          </cell>
          <cell r="H7974" t="str">
            <v>g__unclassified_c__Bacilli</v>
          </cell>
          <cell r="I7974" t="str">
            <v>s__unclassified_c__Bacilli</v>
          </cell>
        </row>
        <row r="7975">
          <cell r="G7975" t="str">
            <v>ASV19396</v>
          </cell>
          <cell r="H7975" t="str">
            <v>g__norank_f__UCG-010</v>
          </cell>
          <cell r="I7975" t="str">
            <v>s__unclassified_g__norank_f__UCG-010</v>
          </cell>
        </row>
        <row r="7976">
          <cell r="G7976" t="str">
            <v>ASV17895</v>
          </cell>
          <cell r="H7976" t="str">
            <v>g__Christensenellaceae_R-7_group</v>
          </cell>
          <cell r="I7976" t="str">
            <v>s__unclassified_g__Christensenellaceae_R-7_group</v>
          </cell>
        </row>
        <row r="7977">
          <cell r="G7977" t="str">
            <v>ASV4665</v>
          </cell>
          <cell r="H7977" t="str">
            <v>g__unclassified_o__Oscillospirales</v>
          </cell>
          <cell r="I7977" t="str">
            <v>s__unclassified_o__Oscillospirales</v>
          </cell>
        </row>
        <row r="7978">
          <cell r="G7978" t="str">
            <v>ASV2041</v>
          </cell>
          <cell r="H7978" t="str">
            <v>g__unclassified_p__Firmicutes</v>
          </cell>
          <cell r="I7978" t="str">
            <v>s__unclassified_p__Firmicutes</v>
          </cell>
        </row>
        <row r="7979">
          <cell r="G7979" t="str">
            <v>ASV23161</v>
          </cell>
          <cell r="H7979" t="str">
            <v>g__unclassified_f__Peptostreptococcaceae</v>
          </cell>
          <cell r="I7979" t="str">
            <v>s__unclassified_f__Peptostreptococcaceae</v>
          </cell>
        </row>
        <row r="7980">
          <cell r="G7980" t="str">
            <v>ASV8350</v>
          </cell>
          <cell r="H7980" t="str">
            <v>g__Mitsuokella</v>
          </cell>
          <cell r="I7980" t="str">
            <v>s__unclassified_g__Mitsuokella</v>
          </cell>
        </row>
        <row r="7981">
          <cell r="G7981" t="str">
            <v>ASV17869</v>
          </cell>
          <cell r="H7981" t="str">
            <v>g__Parabacteroides</v>
          </cell>
          <cell r="I7981" t="str">
            <v>s__Porphyromonadaceae_bacterium_DJF_B175</v>
          </cell>
        </row>
        <row r="7982">
          <cell r="G7982" t="str">
            <v>ASV18842</v>
          </cell>
          <cell r="H7982" t="str">
            <v>g__norank_f__Muribaculaceae</v>
          </cell>
          <cell r="I7982" t="str">
            <v>s__uncultured_Porphyromonadaceae_bacterium_g__norank_f__Muribaculaceae</v>
          </cell>
        </row>
        <row r="7983">
          <cell r="G7983" t="str">
            <v>ASV21429</v>
          </cell>
          <cell r="H7983" t="str">
            <v>g__Lactobacillus</v>
          </cell>
          <cell r="I7983" t="str">
            <v>s__unclassified_g__Lactobacillus</v>
          </cell>
        </row>
        <row r="7984">
          <cell r="G7984" t="str">
            <v>ASV22007</v>
          </cell>
          <cell r="H7984" t="str">
            <v>g__Eubacterium_oxidoreducens_group</v>
          </cell>
          <cell r="I7984" t="str">
            <v>s__uncultured_bacterium_g__Eubacterium_oxidoreducens_group</v>
          </cell>
        </row>
        <row r="7985">
          <cell r="G7985" t="str">
            <v>ASV22072</v>
          </cell>
          <cell r="H7985" t="str">
            <v>g__Lactobacillus</v>
          </cell>
          <cell r="I7985" t="str">
            <v>s__unclassified_g__Lactobacillus</v>
          </cell>
        </row>
        <row r="7986">
          <cell r="G7986" t="str">
            <v>ASV12810</v>
          </cell>
          <cell r="H7986" t="str">
            <v>g__norank_f__norank_o__RF39</v>
          </cell>
          <cell r="I7986" t="str">
            <v>s__unclassified_g__norank_f__norank_o__RF39</v>
          </cell>
        </row>
        <row r="7987">
          <cell r="G7987" t="str">
            <v>ASV20703</v>
          </cell>
          <cell r="H7987" t="str">
            <v>g__unclassified_c__Clostridia</v>
          </cell>
          <cell r="I7987" t="str">
            <v>s__unclassified_c__Clostridia</v>
          </cell>
        </row>
        <row r="7988">
          <cell r="G7988" t="str">
            <v>ASV17906</v>
          </cell>
          <cell r="H7988" t="str">
            <v>g__Eubacterium_siraeum_group</v>
          </cell>
          <cell r="I7988" t="str">
            <v>s__unclassified_g__Eubacterium_siraeum_group</v>
          </cell>
        </row>
        <row r="7989">
          <cell r="G7989" t="str">
            <v>ASV12651</v>
          </cell>
          <cell r="H7989" t="str">
            <v>g__norank_f__norank_o__Clostridia_vadinBB60_group</v>
          </cell>
          <cell r="I7989" t="str">
            <v>s__unclassified_g__norank_f__norank_o__Clostridia_vadinBB60_group</v>
          </cell>
        </row>
        <row r="7990">
          <cell r="G7990" t="str">
            <v>ASV19462</v>
          </cell>
          <cell r="H7990" t="str">
            <v>g__unclassified_f__Prevotellaceae</v>
          </cell>
          <cell r="I7990" t="str">
            <v>s__unclassified_f__Prevotellaceae</v>
          </cell>
        </row>
        <row r="7991">
          <cell r="G7991" t="str">
            <v>ASV20681</v>
          </cell>
          <cell r="H7991" t="str">
            <v>g__unclassified_f__Clostridiaceae</v>
          </cell>
          <cell r="I7991" t="str">
            <v>s__unclassified_f__Clostridiaceae</v>
          </cell>
        </row>
        <row r="7992">
          <cell r="G7992" t="str">
            <v>ASV20694</v>
          </cell>
          <cell r="H7992" t="str">
            <v>g__Christensenellaceae_R-7_group</v>
          </cell>
          <cell r="I7992" t="str">
            <v>s__unclassified_g__Christensenellaceae_R-7_group</v>
          </cell>
        </row>
        <row r="7993">
          <cell r="G7993" t="str">
            <v>ASV10079</v>
          </cell>
          <cell r="H7993" t="str">
            <v>g__Lactobacillus</v>
          </cell>
          <cell r="I7993" t="str">
            <v>s__unclassified_g__Lactobacillus</v>
          </cell>
        </row>
        <row r="7994">
          <cell r="G7994" t="str">
            <v>ASV11446</v>
          </cell>
          <cell r="H7994" t="str">
            <v>g__unclassified_f__Lachnospiraceae</v>
          </cell>
          <cell r="I7994" t="str">
            <v>s__unclassified_f__Lachnospiraceae</v>
          </cell>
        </row>
        <row r="7995">
          <cell r="G7995" t="str">
            <v>ASV23167</v>
          </cell>
          <cell r="H7995" t="str">
            <v>g__unclassified_f__Lachnospiraceae</v>
          </cell>
          <cell r="I7995" t="str">
            <v>s__unclassified_f__Lachnospiraceae</v>
          </cell>
        </row>
        <row r="7996">
          <cell r="G7996" t="str">
            <v>ASV22064</v>
          </cell>
          <cell r="H7996" t="str">
            <v>g__unclassified_f__Lachnospiraceae</v>
          </cell>
          <cell r="I7996" t="str">
            <v>s__unclassified_f__Lachnospiraceae</v>
          </cell>
        </row>
        <row r="7997">
          <cell r="G7997" t="str">
            <v>ASV9298</v>
          </cell>
          <cell r="H7997" t="str">
            <v>g__norank_f__Eubacterium_coprostanoligenes_group</v>
          </cell>
          <cell r="I7997" t="str">
            <v>s__unclassified_g__norank_f__Eubacterium_coprostanoligenes_group</v>
          </cell>
        </row>
        <row r="7998">
          <cell r="G7998" t="str">
            <v>ASV8955</v>
          </cell>
          <cell r="H7998" t="str">
            <v>g__norank_f__Selenomonadaceae</v>
          </cell>
          <cell r="I7998" t="str">
            <v>s__Selenomonas_sp._oral_clone_JI021</v>
          </cell>
        </row>
        <row r="7999">
          <cell r="G7999" t="str">
            <v>ASV19444</v>
          </cell>
          <cell r="H7999" t="str">
            <v>g__Terrisporobacter</v>
          </cell>
          <cell r="I7999" t="str">
            <v>s__unclassified_g__Terrisporobacter</v>
          </cell>
        </row>
        <row r="8000">
          <cell r="G8000" t="str">
            <v>ASV22048</v>
          </cell>
          <cell r="H8000" t="str">
            <v>g__unclassified_f__Lachnospiraceae</v>
          </cell>
          <cell r="I8000" t="str">
            <v>s__unclassified_f__Lachnospiraceae</v>
          </cell>
        </row>
        <row r="8001">
          <cell r="G8001" t="str">
            <v>ASV22043</v>
          </cell>
          <cell r="H8001" t="str">
            <v>g__norank_f__Muribaculaceae</v>
          </cell>
          <cell r="I8001" t="str">
            <v>s__uncultured_Porphyromonadaceae_bacterium_g__norank_f__Muribaculaceae</v>
          </cell>
        </row>
        <row r="8002">
          <cell r="G8002" t="str">
            <v>ASV15926</v>
          </cell>
          <cell r="H8002" t="str">
            <v>g__Lactobacillus</v>
          </cell>
          <cell r="I8002" t="str">
            <v>s__unclassified_g__Lactobacillus</v>
          </cell>
        </row>
        <row r="8003">
          <cell r="G8003" t="str">
            <v>ASV14070</v>
          </cell>
          <cell r="H8003" t="str">
            <v>g__unclassified_p__Firmicutes</v>
          </cell>
          <cell r="I8003" t="str">
            <v>s__unclassified_p__Firmicutes</v>
          </cell>
        </row>
        <row r="8004">
          <cell r="G8004" t="str">
            <v>ASV15937</v>
          </cell>
          <cell r="H8004" t="str">
            <v>g__Fusobacterium</v>
          </cell>
          <cell r="I8004" t="str">
            <v>s__unclassified_g__Fusobacterium</v>
          </cell>
        </row>
        <row r="8005">
          <cell r="G8005" t="str">
            <v>ASV5764</v>
          </cell>
          <cell r="H8005" t="str">
            <v>g__unclassified_c__Clostridia</v>
          </cell>
          <cell r="I8005" t="str">
            <v>s__unclassified_c__Clostridia</v>
          </cell>
        </row>
        <row r="8006">
          <cell r="G8006" t="str">
            <v>ASV22078</v>
          </cell>
          <cell r="H8006" t="str">
            <v>g__unclassified_f__Anaerovoracaceae</v>
          </cell>
          <cell r="I8006" t="str">
            <v>s__unclassified_f__Anaerovoracaceae</v>
          </cell>
        </row>
        <row r="8007">
          <cell r="G8007" t="str">
            <v>ASV17184</v>
          </cell>
          <cell r="H8007" t="str">
            <v>g__Bacillus</v>
          </cell>
          <cell r="I8007" t="str">
            <v>s__unclassified_g__Bacillus</v>
          </cell>
        </row>
        <row r="8008">
          <cell r="G8008" t="str">
            <v>ASV5769</v>
          </cell>
          <cell r="H8008" t="str">
            <v>g__norank_f__Eubacterium_coprostanoligenes_group</v>
          </cell>
          <cell r="I8008" t="str">
            <v>s__uncultured_Clostridiales_bacterium_g__norank_f__Eubacterium_coprostanoligenes_group</v>
          </cell>
        </row>
        <row r="8009">
          <cell r="G8009" t="str">
            <v>ASV22964</v>
          </cell>
          <cell r="H8009" t="str">
            <v>g__Mogibacterium</v>
          </cell>
          <cell r="I8009" t="str">
            <v>s__uncultured_Enterococcus_sp._g__Mogibacterium</v>
          </cell>
        </row>
        <row r="8010">
          <cell r="G8010" t="str">
            <v>ASV22055</v>
          </cell>
          <cell r="H8010" t="str">
            <v>g__norank_f__UCG-010</v>
          </cell>
          <cell r="I8010" t="str">
            <v>s__uncultured_bacterium_g__norank_f__UCG-010</v>
          </cell>
        </row>
        <row r="8011">
          <cell r="G8011" t="str">
            <v>ASV19411</v>
          </cell>
          <cell r="H8011" t="str">
            <v>g__Subdoligranulum</v>
          </cell>
          <cell r="I8011" t="str">
            <v>s__uncultured_bacterium_g__Subdoligranulum</v>
          </cell>
        </row>
        <row r="8012">
          <cell r="G8012" t="str">
            <v>ASV7648</v>
          </cell>
          <cell r="H8012" t="str">
            <v>g__Lactobacillus</v>
          </cell>
          <cell r="I8012" t="str">
            <v>s__unclassified_g__Lactobacillus</v>
          </cell>
        </row>
        <row r="8013">
          <cell r="G8013" t="str">
            <v>ASV10552</v>
          </cell>
          <cell r="H8013" t="str">
            <v>g__Eubacterium_oxidoreducens_group</v>
          </cell>
          <cell r="I8013" t="str">
            <v>s__uncultured_bacterium_g__Eubacterium_oxidoreducens_group</v>
          </cell>
        </row>
        <row r="8014">
          <cell r="G8014" t="str">
            <v>ASV8470</v>
          </cell>
          <cell r="H8014" t="str">
            <v>g__Prevotella</v>
          </cell>
          <cell r="I8014" t="str">
            <v>s__unclassified_g__Prevotella</v>
          </cell>
        </row>
        <row r="8015">
          <cell r="G8015" t="str">
            <v>ASV11379</v>
          </cell>
          <cell r="H8015" t="str">
            <v>g__unclassified_o__Oscillospirales</v>
          </cell>
          <cell r="I8015" t="str">
            <v>s__unclassified_o__Oscillospirales</v>
          </cell>
        </row>
        <row r="8016">
          <cell r="G8016" t="str">
            <v>ASV16859</v>
          </cell>
          <cell r="H8016" t="str">
            <v>g__Streptococcus</v>
          </cell>
          <cell r="I8016" t="str">
            <v>s__unclassified_g__Streptococcus</v>
          </cell>
        </row>
        <row r="8017">
          <cell r="G8017" t="str">
            <v>ASV549</v>
          </cell>
          <cell r="H8017" t="str">
            <v>g__unclassified_f__Prevotellaceae</v>
          </cell>
          <cell r="I8017" t="str">
            <v>s__unclassified_f__Prevotellaceae</v>
          </cell>
        </row>
        <row r="8018">
          <cell r="G8018" t="str">
            <v>ASV22042</v>
          </cell>
          <cell r="H8018" t="str">
            <v>g__Eubacterium_hallii_group</v>
          </cell>
          <cell r="I8018" t="str">
            <v>s__unclassified_g__Eubacterium_hallii_group</v>
          </cell>
        </row>
        <row r="8019">
          <cell r="G8019" t="str">
            <v>ASV7675</v>
          </cell>
          <cell r="H8019" t="str">
            <v>g__norank_f__Erysipelotrichaceae</v>
          </cell>
          <cell r="I8019" t="str">
            <v>s__uncultured_bacterium_g__norank_f__Erysipelotrichaceae</v>
          </cell>
        </row>
        <row r="8020">
          <cell r="G8020" t="str">
            <v>ASV4662</v>
          </cell>
          <cell r="H8020" t="str">
            <v>g__unclassified_k__norank_d__Bacteria</v>
          </cell>
          <cell r="I8020" t="str">
            <v>s__unclassified_k__norank_d__Bacteria</v>
          </cell>
        </row>
        <row r="8021">
          <cell r="G8021" t="str">
            <v>ASV20427</v>
          </cell>
          <cell r="H8021" t="str">
            <v>g__Methylobacterium-Methylorubrum</v>
          </cell>
          <cell r="I8021" t="str">
            <v>s__unclassified_g__Methylobacterium-Methylorubrum</v>
          </cell>
        </row>
        <row r="8022">
          <cell r="G8022" t="str">
            <v>ASV17902</v>
          </cell>
          <cell r="H8022" t="str">
            <v>g__unclassified_c__Clostridia</v>
          </cell>
          <cell r="I8022" t="str">
            <v>s__unclassified_c__Clostridia</v>
          </cell>
        </row>
        <row r="8023">
          <cell r="G8023" t="str">
            <v>ASV2890</v>
          </cell>
          <cell r="H8023" t="str">
            <v>g__unclassified_f__Lachnospiraceae</v>
          </cell>
          <cell r="I8023" t="str">
            <v>s__unclassified_f__Lachnospiraceae</v>
          </cell>
        </row>
        <row r="8024">
          <cell r="G8024" t="str">
            <v>ASV20655</v>
          </cell>
          <cell r="H8024" t="str">
            <v>g__unclassified_c__Clostridia</v>
          </cell>
          <cell r="I8024" t="str">
            <v>s__unclassified_c__Clostridia</v>
          </cell>
        </row>
        <row r="8025">
          <cell r="G8025" t="str">
            <v>ASV4671</v>
          </cell>
          <cell r="H8025" t="str">
            <v>g__unclassified_f__Lachnospiraceae</v>
          </cell>
          <cell r="I8025" t="str">
            <v>s__unclassified_f__Lachnospiraceae</v>
          </cell>
        </row>
        <row r="8026">
          <cell r="G8026" t="str">
            <v>ASV7636</v>
          </cell>
          <cell r="H8026" t="str">
            <v>g__unclassified_f__Erysipelotrichaceae</v>
          </cell>
          <cell r="I8026" t="str">
            <v>s__unclassified_f__Erysipelotrichaceae</v>
          </cell>
        </row>
        <row r="8027">
          <cell r="G8027" t="str">
            <v>ASV14074</v>
          </cell>
          <cell r="H8027" t="str">
            <v>g__unclassified_k__norank_d__Bacteria</v>
          </cell>
          <cell r="I8027" t="str">
            <v>s__unclassified_k__norank_d__Bacteria</v>
          </cell>
        </row>
        <row r="8028">
          <cell r="G8028" t="str">
            <v>ASV5749</v>
          </cell>
          <cell r="H8028" t="str">
            <v>g__norank_f__Oscillospiraceae</v>
          </cell>
          <cell r="I8028" t="str">
            <v>s__unclassified_g__norank_f__Oscillospiraceae</v>
          </cell>
        </row>
        <row r="8029">
          <cell r="G8029" t="str">
            <v>ASV20646</v>
          </cell>
          <cell r="H8029" t="str">
            <v>g__unclassified_o__Peptostreptococcales-Tissierellales</v>
          </cell>
          <cell r="I8029" t="str">
            <v>s__unclassified_o__Peptostreptococcales-Tissierellales</v>
          </cell>
        </row>
        <row r="8030">
          <cell r="G8030" t="str">
            <v>ASV17864</v>
          </cell>
          <cell r="H8030" t="str">
            <v>g__unclassified_c__Clostridia</v>
          </cell>
          <cell r="I8030" t="str">
            <v>s__unclassified_c__Clostridia</v>
          </cell>
        </row>
        <row r="8031">
          <cell r="G8031" t="str">
            <v>ASV19410</v>
          </cell>
          <cell r="H8031" t="str">
            <v>g__unclassified_f__Lachnospiraceae</v>
          </cell>
          <cell r="I8031" t="str">
            <v>s__unclassified_f__Lachnospiraceae</v>
          </cell>
        </row>
        <row r="8032">
          <cell r="G8032" t="str">
            <v>ASV5783</v>
          </cell>
          <cell r="H8032" t="str">
            <v>g__UCG-002</v>
          </cell>
          <cell r="I8032" t="str">
            <v>s__unclassified_g__UCG-002</v>
          </cell>
        </row>
        <row r="8033">
          <cell r="G8033" t="str">
            <v>ASV9988</v>
          </cell>
          <cell r="H8033" t="str">
            <v>g__Rikenellaceae_RC9_gut_group</v>
          </cell>
          <cell r="I8033" t="str">
            <v>s__uncultured_bacterium_g__Rikenellaceae_RC9_gut_group</v>
          </cell>
        </row>
        <row r="8034">
          <cell r="G8034" t="str">
            <v>ASV3928</v>
          </cell>
          <cell r="H8034" t="str">
            <v>g__Butyricimonas</v>
          </cell>
          <cell r="I8034" t="str">
            <v>s__uncultured_bacterium_g__Butyricimonas</v>
          </cell>
        </row>
        <row r="8035">
          <cell r="G8035" t="str">
            <v>ASV11384</v>
          </cell>
          <cell r="H8035" t="str">
            <v>g__norank_f__norank_o__Clostridia_UCG-014</v>
          </cell>
          <cell r="I8035" t="str">
            <v>s__uncultured_bacterium_g__norank_f__norank_o__Clostridia_UCG-014</v>
          </cell>
        </row>
        <row r="8036">
          <cell r="G8036" t="str">
            <v>ASV12669</v>
          </cell>
          <cell r="H8036" t="str">
            <v>g__unclassified_c__Clostridia</v>
          </cell>
          <cell r="I8036" t="str">
            <v>s__unclassified_c__Clostridia</v>
          </cell>
        </row>
        <row r="8037">
          <cell r="G8037" t="str">
            <v>ASV15061</v>
          </cell>
          <cell r="H8037" t="str">
            <v>g__norank_f__Neisseriaceae</v>
          </cell>
          <cell r="I8037" t="str">
            <v>s__uncultured_beta_proteobacterium_g__norank_f__Neisseriaceae</v>
          </cell>
        </row>
        <row r="8038">
          <cell r="G8038" t="str">
            <v>ASV21767</v>
          </cell>
          <cell r="H8038" t="str">
            <v>g__Cellulosilyticum</v>
          </cell>
          <cell r="I8038" t="str">
            <v>s__unclassified_g__Cellulosilyticum</v>
          </cell>
        </row>
        <row r="8039">
          <cell r="G8039" t="str">
            <v>ASV4695</v>
          </cell>
          <cell r="H8039" t="str">
            <v>g__Parabacteroides</v>
          </cell>
          <cell r="I8039" t="str">
            <v>s__Porphyromonadaceae_bacterium_DJF_B175</v>
          </cell>
        </row>
        <row r="8040">
          <cell r="G8040" t="str">
            <v>ASV11392</v>
          </cell>
          <cell r="H8040" t="str">
            <v>g__unclassified_o__Saccharimonadales</v>
          </cell>
          <cell r="I8040" t="str">
            <v>s__unclassified_o__Saccharimonadales</v>
          </cell>
        </row>
        <row r="8041">
          <cell r="G8041" t="str">
            <v>ASV22039</v>
          </cell>
          <cell r="H8041" t="str">
            <v>g__unclassified_c__Bacilli</v>
          </cell>
          <cell r="I8041" t="str">
            <v>s__unclassified_c__Bacilli</v>
          </cell>
        </row>
        <row r="8042">
          <cell r="G8042" t="str">
            <v>ASV10544</v>
          </cell>
          <cell r="H8042" t="str">
            <v>g__Collinsella</v>
          </cell>
          <cell r="I8042" t="str">
            <v>s__unclassified_g__Collinsella</v>
          </cell>
        </row>
        <row r="8043">
          <cell r="G8043" t="str">
            <v>ASV20680</v>
          </cell>
          <cell r="H8043" t="str">
            <v>g__unclassified_f__Clostridiaceae</v>
          </cell>
          <cell r="I8043" t="str">
            <v>s__unclassified_f__Clostridiaceae</v>
          </cell>
        </row>
        <row r="8044">
          <cell r="G8044" t="str">
            <v>ASV3936</v>
          </cell>
          <cell r="H8044" t="str">
            <v>g__Bacteroides</v>
          </cell>
          <cell r="I8044" t="str">
            <v>s__unclassified_g__Bacteroides</v>
          </cell>
        </row>
        <row r="8045">
          <cell r="G8045" t="str">
            <v>ASV6643</v>
          </cell>
          <cell r="H8045" t="str">
            <v>g__Sharpea</v>
          </cell>
          <cell r="I8045" t="str">
            <v>s__unclassified_g__Sharpea</v>
          </cell>
        </row>
        <row r="8046">
          <cell r="G8046" t="str">
            <v>ASV13341</v>
          </cell>
          <cell r="H8046" t="str">
            <v>g__Parabacteroides</v>
          </cell>
          <cell r="I8046" t="str">
            <v>s__Porphyromonadaceae_bacterium_DJF_B175</v>
          </cell>
        </row>
        <row r="8047">
          <cell r="G8047" t="str">
            <v>ASV2088</v>
          </cell>
          <cell r="H8047" t="str">
            <v>g__Escherichia-Shigella</v>
          </cell>
          <cell r="I8047" t="str">
            <v>s__unclassified_g__Escherichia-Shigella</v>
          </cell>
        </row>
        <row r="8048">
          <cell r="G8048" t="str">
            <v>ASV19388</v>
          </cell>
          <cell r="H8048" t="str">
            <v>g__Lactobacillus</v>
          </cell>
          <cell r="I8048" t="str">
            <v>s__unclassified_g__Lactobacillus</v>
          </cell>
        </row>
        <row r="8049">
          <cell r="G8049" t="str">
            <v>ASV7042</v>
          </cell>
          <cell r="H8049" t="str">
            <v>g__unclassified_p__Firmicutes</v>
          </cell>
          <cell r="I8049" t="str">
            <v>s__unclassified_p__Firmicutes</v>
          </cell>
        </row>
        <row r="8050">
          <cell r="G8050" t="str">
            <v>ASV15793</v>
          </cell>
          <cell r="H8050" t="str">
            <v>g__Mogibacterium</v>
          </cell>
          <cell r="I8050" t="str">
            <v>s__uncultured_bacterium_g__Mogibacterium</v>
          </cell>
        </row>
        <row r="8051">
          <cell r="G8051" t="str">
            <v>ASV3706</v>
          </cell>
          <cell r="H8051" t="str">
            <v>g__Peptoniphilus</v>
          </cell>
          <cell r="I8051" t="str">
            <v>s__unclassified_g__Peptoniphilus</v>
          </cell>
        </row>
        <row r="8052">
          <cell r="G8052" t="str">
            <v>ASV23941</v>
          </cell>
          <cell r="H8052" t="str">
            <v>g__Lactobacillus</v>
          </cell>
          <cell r="I8052" t="str">
            <v>s__unclassified_g__Lactobacillus</v>
          </cell>
        </row>
        <row r="8053">
          <cell r="G8053" t="str">
            <v>ASV3154</v>
          </cell>
          <cell r="H8053" t="str">
            <v>g__unclassified_f__Lachnospiraceae</v>
          </cell>
          <cell r="I8053" t="str">
            <v>s__unclassified_f__Lachnospiraceae</v>
          </cell>
        </row>
        <row r="8054">
          <cell r="G8054" t="str">
            <v>ASV17891</v>
          </cell>
          <cell r="H8054" t="str">
            <v>g__unclassified_c__Clostridia</v>
          </cell>
          <cell r="I8054" t="str">
            <v>s__unclassified_c__Clostridia</v>
          </cell>
        </row>
        <row r="8055">
          <cell r="G8055" t="str">
            <v>ASV14109</v>
          </cell>
          <cell r="H8055" t="str">
            <v>g__UCG-002</v>
          </cell>
          <cell r="I8055" t="str">
            <v>s__uncultured_bacterium_g__UCG-002</v>
          </cell>
        </row>
        <row r="8056">
          <cell r="G8056" t="str">
            <v>ASV501</v>
          </cell>
          <cell r="H8056" t="str">
            <v>g__unclassified_c__Clostridia</v>
          </cell>
          <cell r="I8056" t="str">
            <v>s__unclassified_c__Clostridia</v>
          </cell>
        </row>
        <row r="8057">
          <cell r="G8057" t="str">
            <v>ASV16316</v>
          </cell>
          <cell r="H8057" t="str">
            <v>g__unclassified_c__Clostridia</v>
          </cell>
          <cell r="I8057" t="str">
            <v>s__unclassified_c__Clostridia</v>
          </cell>
        </row>
        <row r="8058">
          <cell r="G8058" t="str">
            <v>ASV24117</v>
          </cell>
          <cell r="H8058" t="str">
            <v>g__unclassified_f__Selenomonadaceae</v>
          </cell>
          <cell r="I8058" t="str">
            <v>s__unclassified_f__Selenomonadaceae</v>
          </cell>
        </row>
        <row r="8059">
          <cell r="G8059" t="str">
            <v>ASV3925</v>
          </cell>
          <cell r="H8059" t="str">
            <v>g__unclassified_c__Clostridia</v>
          </cell>
          <cell r="I8059" t="str">
            <v>s__unclassified_c__Clostridia</v>
          </cell>
        </row>
        <row r="8060">
          <cell r="G8060" t="str">
            <v>ASV3674</v>
          </cell>
          <cell r="H8060" t="str">
            <v>g__Porphyromonas</v>
          </cell>
          <cell r="I8060" t="str">
            <v>s__unclassified_g__Porphyromonas</v>
          </cell>
        </row>
        <row r="8061">
          <cell r="G8061" t="str">
            <v>ASV8707</v>
          </cell>
          <cell r="H8061" t="str">
            <v>g__Johnsonella</v>
          </cell>
          <cell r="I8061" t="str">
            <v>s__unclassified_g__Johnsonella</v>
          </cell>
        </row>
        <row r="8062">
          <cell r="G8062" t="str">
            <v>ASV8278</v>
          </cell>
          <cell r="H8062" t="str">
            <v>g__Lactobacillus</v>
          </cell>
          <cell r="I8062" t="str">
            <v>s__unclassified_g__Lactobacillus</v>
          </cell>
        </row>
        <row r="8063">
          <cell r="G8063" t="str">
            <v>ASV19431</v>
          </cell>
          <cell r="H8063" t="str">
            <v>g__unclassified_f__Lachnospiraceae</v>
          </cell>
          <cell r="I8063" t="str">
            <v>s__unclassified_f__Lachnospiraceae</v>
          </cell>
        </row>
        <row r="8064">
          <cell r="G8064" t="str">
            <v>ASV24132</v>
          </cell>
          <cell r="H8064" t="str">
            <v>g__norank_f__Eggerthellaceae</v>
          </cell>
          <cell r="I8064" t="str">
            <v>s__uncultured_bacterium_g__norank_f__Eggerthellaceae</v>
          </cell>
        </row>
        <row r="8065">
          <cell r="G8065" t="str">
            <v>ASV5785</v>
          </cell>
          <cell r="H8065" t="str">
            <v>g__Faecalibacterium</v>
          </cell>
          <cell r="I8065" t="str">
            <v>s__uncultured_bacterium_g__Faecalibacterium</v>
          </cell>
        </row>
        <row r="8066">
          <cell r="G8066" t="str">
            <v>ASV12653</v>
          </cell>
          <cell r="H8066" t="str">
            <v>g__unclassified_f__Oscillospiraceae</v>
          </cell>
          <cell r="I8066" t="str">
            <v>s__unclassified_f__Oscillospiraceae</v>
          </cell>
        </row>
        <row r="8067">
          <cell r="G8067" t="str">
            <v>ASV568</v>
          </cell>
          <cell r="H8067" t="str">
            <v>g__Lactobacillus</v>
          </cell>
          <cell r="I8067" t="str">
            <v>s__unclassified_g__Lactobacillus</v>
          </cell>
        </row>
        <row r="8068">
          <cell r="G8068" t="str">
            <v>ASV15062</v>
          </cell>
          <cell r="H8068" t="str">
            <v>g__unclassified_f__Prevotellaceae</v>
          </cell>
          <cell r="I8068" t="str">
            <v>s__unclassified_f__Prevotellaceae</v>
          </cell>
        </row>
        <row r="8069">
          <cell r="G8069" t="str">
            <v>ASV21580</v>
          </cell>
          <cell r="H8069" t="str">
            <v>g__Hydrogenoanaerobacterium</v>
          </cell>
          <cell r="I8069" t="str">
            <v>s__Selenomonadales_bacterium_Marseille-P2399</v>
          </cell>
        </row>
        <row r="8070">
          <cell r="G8070" t="str">
            <v>ASV7670</v>
          </cell>
          <cell r="H8070" t="str">
            <v>g__Christensenellaceae_R-7_group</v>
          </cell>
          <cell r="I8070" t="str">
            <v>s__unclassified_g__Christensenellaceae_R-7_group</v>
          </cell>
        </row>
        <row r="8071">
          <cell r="G8071" t="str">
            <v>ASV15301</v>
          </cell>
          <cell r="H8071" t="str">
            <v>g__Turicibacter</v>
          </cell>
          <cell r="I8071" t="str">
            <v>s__uncultured_bacterium_g__Turicibacter</v>
          </cell>
        </row>
        <row r="8072">
          <cell r="G8072" t="str">
            <v>ASV18548</v>
          </cell>
          <cell r="H8072" t="str">
            <v>g__unclassified_c__Bacilli</v>
          </cell>
          <cell r="I8072" t="str">
            <v>s__unclassified_c__Bacilli</v>
          </cell>
        </row>
        <row r="8073">
          <cell r="G8073" t="str">
            <v>ASV11445</v>
          </cell>
          <cell r="H8073" t="str">
            <v>g__unclassified_f__Lachnospiraceae</v>
          </cell>
          <cell r="I8073" t="str">
            <v>s__unclassified_f__Lachnospiraceae</v>
          </cell>
        </row>
        <row r="8074">
          <cell r="G8074" t="str">
            <v>ASV20675</v>
          </cell>
          <cell r="H8074" t="str">
            <v>g__Christensenellaceae_R-7_group</v>
          </cell>
          <cell r="I8074" t="str">
            <v>s__unclassified_g__Christensenellaceae_R-7_group</v>
          </cell>
        </row>
        <row r="8075">
          <cell r="G8075" t="str">
            <v>ASV19395</v>
          </cell>
          <cell r="H8075" t="str">
            <v>g__unclassified_c__Clostridia</v>
          </cell>
          <cell r="I8075" t="str">
            <v>s__unclassified_c__Clostridia</v>
          </cell>
        </row>
        <row r="8076">
          <cell r="G8076" t="str">
            <v>ASV526</v>
          </cell>
          <cell r="H8076" t="str">
            <v>g__Christensenellaceae_R-7_group</v>
          </cell>
          <cell r="I8076" t="str">
            <v>s__unclassified_g__Christensenellaceae_R-7_group</v>
          </cell>
        </row>
        <row r="8077">
          <cell r="G8077" t="str">
            <v>ASV2045</v>
          </cell>
          <cell r="H8077" t="str">
            <v>g__unclassified_f__Lachnospiraceae</v>
          </cell>
          <cell r="I8077" t="str">
            <v>s__unclassified_f__Lachnospiraceae</v>
          </cell>
        </row>
        <row r="8078">
          <cell r="G8078" t="str">
            <v>ASV4693</v>
          </cell>
          <cell r="H8078" t="str">
            <v>g__Christensenellaceae_R-7_group</v>
          </cell>
          <cell r="I8078" t="str">
            <v>s__unclassified_g__Christensenellaceae_R-7_group</v>
          </cell>
        </row>
        <row r="8079">
          <cell r="G8079" t="str">
            <v>ASV19387</v>
          </cell>
          <cell r="H8079" t="str">
            <v>g__unclassified_f__Lachnospiraceae</v>
          </cell>
          <cell r="I8079" t="str">
            <v>s__unclassified_f__Lachnospiraceae</v>
          </cell>
        </row>
        <row r="8080">
          <cell r="G8080" t="str">
            <v>ASV7341</v>
          </cell>
          <cell r="H8080" t="str">
            <v>g__Subdoligranulum</v>
          </cell>
          <cell r="I8080" t="str">
            <v>s__uncultured_bacterium_g__Subdoligranulum</v>
          </cell>
        </row>
        <row r="8081">
          <cell r="G8081" t="str">
            <v>ASV13702</v>
          </cell>
          <cell r="H8081" t="str">
            <v>g__unclassified_p__Firmicutes</v>
          </cell>
          <cell r="I8081" t="str">
            <v>s__unclassified_p__Firmicutes</v>
          </cell>
        </row>
        <row r="8082">
          <cell r="G8082" t="str">
            <v>ASV19377</v>
          </cell>
          <cell r="H8082" t="str">
            <v>g__unclassified_k__norank_d__Bacteria</v>
          </cell>
          <cell r="I8082" t="str">
            <v>s__unclassified_k__norank_d__Bacteria</v>
          </cell>
        </row>
        <row r="8083">
          <cell r="G8083" t="str">
            <v>ASV13788</v>
          </cell>
          <cell r="H8083" t="str">
            <v>g__Anaerococcus</v>
          </cell>
          <cell r="I8083" t="str">
            <v>s__unclassified_g__Anaerococcus</v>
          </cell>
        </row>
        <row r="8084">
          <cell r="G8084" t="str">
            <v>ASV6639</v>
          </cell>
          <cell r="H8084" t="str">
            <v>g__Enterococcus</v>
          </cell>
          <cell r="I8084" t="str">
            <v>s__unclassified_g__Enterococcus</v>
          </cell>
        </row>
        <row r="8085">
          <cell r="G8085" t="str">
            <v>ASV21437</v>
          </cell>
          <cell r="H8085" t="str">
            <v>g__Megasphaera</v>
          </cell>
          <cell r="I8085" t="str">
            <v>s__unclassified_g__Megasphaera</v>
          </cell>
        </row>
        <row r="8086">
          <cell r="G8086" t="str">
            <v>ASV570</v>
          </cell>
          <cell r="H8086" t="str">
            <v>g__Lactobacillus</v>
          </cell>
          <cell r="I8086" t="str">
            <v>s__unclassified_g__Lactobacillus</v>
          </cell>
        </row>
        <row r="8087">
          <cell r="G8087" t="str">
            <v>ASV22049</v>
          </cell>
          <cell r="H8087" t="str">
            <v>g__unclassified_o__Oscillospirales</v>
          </cell>
          <cell r="I8087" t="str">
            <v>s__unclassified_o__Oscillospirales</v>
          </cell>
        </row>
        <row r="8088">
          <cell r="G8088" t="str">
            <v>ASV2094</v>
          </cell>
          <cell r="H8088" t="str">
            <v>g__unclassified_f__Lachnospiraceae</v>
          </cell>
          <cell r="I8088" t="str">
            <v>s__unclassified_f__Lachnospiraceae</v>
          </cell>
        </row>
        <row r="8089">
          <cell r="G8089" t="str">
            <v>ASV7669</v>
          </cell>
          <cell r="H8089" t="str">
            <v>g__unclassified_c__Clostridia</v>
          </cell>
          <cell r="I8089" t="str">
            <v>s__unclassified_c__Clostridia</v>
          </cell>
        </row>
        <row r="8090">
          <cell r="G8090" t="str">
            <v>ASV23133</v>
          </cell>
          <cell r="H8090" t="str">
            <v>g__unclassified_p__Firmicutes</v>
          </cell>
          <cell r="I8090" t="str">
            <v>s__unclassified_p__Firmicutes</v>
          </cell>
        </row>
        <row r="8091">
          <cell r="G8091" t="str">
            <v>ASV15260</v>
          </cell>
          <cell r="H8091" t="str">
            <v>g__Streptococcus</v>
          </cell>
          <cell r="I8091" t="str">
            <v>s__unclassified_g__Streptococcus</v>
          </cell>
        </row>
        <row r="8092">
          <cell r="G8092" t="str">
            <v>ASV12654</v>
          </cell>
          <cell r="H8092" t="str">
            <v>g__unclassified_f__Clostridiaceae</v>
          </cell>
          <cell r="I8092" t="str">
            <v>s__unclassified_f__Clostridiaceae</v>
          </cell>
        </row>
        <row r="8093">
          <cell r="G8093" t="str">
            <v>ASV3454</v>
          </cell>
          <cell r="H8093" t="str">
            <v>g__Veillonella</v>
          </cell>
          <cell r="I8093" t="str">
            <v>s__unclassified_g__Veillonella</v>
          </cell>
        </row>
        <row r="8094">
          <cell r="G8094" t="str">
            <v>ASV4659</v>
          </cell>
          <cell r="H8094" t="str">
            <v>g__unclassified_c__Clostridia</v>
          </cell>
          <cell r="I8094" t="str">
            <v>s__unclassified_c__Clostridia</v>
          </cell>
        </row>
        <row r="8095">
          <cell r="G8095" t="str">
            <v>ASV3469</v>
          </cell>
          <cell r="H8095" t="str">
            <v>g__Escherichia-Shigella</v>
          </cell>
          <cell r="I8095" t="str">
            <v>s__unclassified_g__Escherichia-Shigella</v>
          </cell>
        </row>
        <row r="8096">
          <cell r="G8096" t="str">
            <v>ASV4670</v>
          </cell>
          <cell r="H8096" t="str">
            <v>g__Rikenellaceae_RC9_gut_group</v>
          </cell>
          <cell r="I8096" t="str">
            <v>s__uncultured_bacterium_g__Rikenellaceae_RC9_gut_group</v>
          </cell>
        </row>
        <row r="8097">
          <cell r="G8097" t="str">
            <v>ASV18752</v>
          </cell>
          <cell r="H8097" t="str">
            <v>g__norank_f__UCG-010</v>
          </cell>
          <cell r="I8097" t="str">
            <v>s__unclassified_g__norank_f__UCG-010</v>
          </cell>
        </row>
        <row r="8098">
          <cell r="G8098" t="str">
            <v>ASV560</v>
          </cell>
          <cell r="H8098" t="str">
            <v>g__unclassified_f__Lachnospiraceae</v>
          </cell>
          <cell r="I8098" t="str">
            <v>s__unclassified_f__Lachnospiraceae</v>
          </cell>
        </row>
        <row r="8099">
          <cell r="G8099" t="str">
            <v>ASV21194</v>
          </cell>
          <cell r="H8099" t="str">
            <v>g__Lactobacillus</v>
          </cell>
          <cell r="I8099" t="str">
            <v>s__unclassified_g__Lactobacillus</v>
          </cell>
        </row>
        <row r="8100">
          <cell r="G8100" t="str">
            <v>ASV10560</v>
          </cell>
          <cell r="H8100" t="str">
            <v>g__Lactobacillus</v>
          </cell>
          <cell r="I8100" t="str">
            <v>s__unclassified_g__Lactobacillus</v>
          </cell>
        </row>
        <row r="8101">
          <cell r="G8101" t="str">
            <v>ASV19402</v>
          </cell>
          <cell r="H8101" t="str">
            <v>g__unclassified_f__Lachnospiraceae</v>
          </cell>
          <cell r="I8101" t="str">
            <v>s__unclassified_f__Lachnospiraceae</v>
          </cell>
        </row>
        <row r="8102">
          <cell r="G8102" t="str">
            <v>ASV12668</v>
          </cell>
          <cell r="H8102" t="str">
            <v>g__unclassified_f__Oscillospiraceae</v>
          </cell>
          <cell r="I8102" t="str">
            <v>s__unclassified_f__Oscillospiraceae</v>
          </cell>
        </row>
        <row r="8103">
          <cell r="G8103" t="str">
            <v>ASV23934</v>
          </cell>
          <cell r="H8103" t="str">
            <v>g__Lactobacillus</v>
          </cell>
          <cell r="I8103" t="str">
            <v>s__unclassified_g__Lactobacillus</v>
          </cell>
        </row>
        <row r="8104">
          <cell r="G8104" t="str">
            <v>ASV23122</v>
          </cell>
          <cell r="H8104" t="str">
            <v>g__unclassified_k__norank_d__Bacteria</v>
          </cell>
          <cell r="I8104" t="str">
            <v>s__unclassified_k__norank_d__Bacteria</v>
          </cell>
        </row>
        <row r="8105">
          <cell r="G8105" t="str">
            <v>ASV4655</v>
          </cell>
          <cell r="H8105" t="str">
            <v>g__unclassified_k__norank_d__Bacteria</v>
          </cell>
          <cell r="I8105" t="str">
            <v>s__unclassified_k__norank_d__Bacteria</v>
          </cell>
        </row>
        <row r="8106">
          <cell r="G8106" t="str">
            <v>ASV545</v>
          </cell>
          <cell r="H8106" t="str">
            <v>g__unclassified_f__Oscillospiraceae</v>
          </cell>
          <cell r="I8106" t="str">
            <v>s__unclassified_f__Oscillospiraceae</v>
          </cell>
        </row>
        <row r="8107">
          <cell r="G8107" t="str">
            <v>ASV22961</v>
          </cell>
          <cell r="H8107" t="str">
            <v>g__Dialister</v>
          </cell>
          <cell r="I8107" t="str">
            <v>s__unclassified_g__Dialister</v>
          </cell>
        </row>
        <row r="8108">
          <cell r="G8108" t="str">
            <v>ASV23132</v>
          </cell>
          <cell r="H8108" t="str">
            <v>g__unclassified_f__Lachnospiraceae</v>
          </cell>
          <cell r="I8108" t="str">
            <v>s__unclassified_f__Lachnospiraceae</v>
          </cell>
        </row>
        <row r="8109">
          <cell r="G8109" t="str">
            <v>ASV4730</v>
          </cell>
          <cell r="H8109" t="str">
            <v>g__unclassified_c__Clostridia</v>
          </cell>
          <cell r="I8109" t="str">
            <v>s__unclassified_c__Clostridia</v>
          </cell>
        </row>
        <row r="8110">
          <cell r="G8110" t="str">
            <v>ASV19456</v>
          </cell>
          <cell r="H8110" t="str">
            <v>g__unclassified_c__Bacilli</v>
          </cell>
          <cell r="I8110" t="str">
            <v>s__unclassified_c__Bacilli</v>
          </cell>
        </row>
        <row r="8111">
          <cell r="G8111" t="str">
            <v>ASV22079</v>
          </cell>
          <cell r="H8111" t="str">
            <v>g__Ruminococcus</v>
          </cell>
          <cell r="I8111" t="str">
            <v>s__unclassified_g__Ruminococcus</v>
          </cell>
        </row>
        <row r="8112">
          <cell r="G8112" t="str">
            <v>ASV9000</v>
          </cell>
          <cell r="H8112" t="str">
            <v>g__Suttonella</v>
          </cell>
          <cell r="I8112" t="str">
            <v>s__Suttonella_indologenes</v>
          </cell>
        </row>
        <row r="8113">
          <cell r="G8113" t="str">
            <v>ASV16347</v>
          </cell>
          <cell r="H8113" t="str">
            <v>g__unclassified_o__Bacteroidales</v>
          </cell>
          <cell r="I8113" t="str">
            <v>s__unclassified_o__Bacteroidales</v>
          </cell>
        </row>
        <row r="8114">
          <cell r="G8114" t="str">
            <v>ASV551</v>
          </cell>
          <cell r="H8114" t="str">
            <v>g__unclassified_c__Clostridia</v>
          </cell>
          <cell r="I8114" t="str">
            <v>s__unclassified_c__Clostridia</v>
          </cell>
        </row>
        <row r="8115">
          <cell r="G8115" t="str">
            <v>ASV11418</v>
          </cell>
          <cell r="H8115" t="str">
            <v>g__Prevotella</v>
          </cell>
          <cell r="I8115" t="str">
            <v>s__unclassified_g__Prevotella</v>
          </cell>
        </row>
        <row r="8116">
          <cell r="G8116" t="str">
            <v>ASV6597</v>
          </cell>
          <cell r="H8116" t="str">
            <v>g__norank_f__Eubacterium_coprostanoligenes_group</v>
          </cell>
          <cell r="I8116" t="str">
            <v>s__uncultured_bacterium_g__norank_f__Eubacterium_coprostanoligenes_group</v>
          </cell>
        </row>
        <row r="8117">
          <cell r="G8117" t="str">
            <v>ASV12663</v>
          </cell>
          <cell r="H8117" t="str">
            <v>g__unclassified_f__Lachnospiraceae</v>
          </cell>
          <cell r="I8117" t="str">
            <v>s__unclassified_f__Lachnospiraceae</v>
          </cell>
        </row>
        <row r="8118">
          <cell r="G8118" t="str">
            <v>ASV4726</v>
          </cell>
          <cell r="H8118" t="str">
            <v>g__unclassified_f__Erysipelotrichaceae</v>
          </cell>
          <cell r="I8118" t="str">
            <v>s__unclassified_f__Erysipelotrichaceae</v>
          </cell>
        </row>
        <row r="8119">
          <cell r="G8119" t="str">
            <v>ASV12626</v>
          </cell>
          <cell r="H8119" t="str">
            <v>g__unclassified_c__Clostridia</v>
          </cell>
          <cell r="I8119" t="str">
            <v>s__unclassified_c__Clostridia</v>
          </cell>
        </row>
        <row r="8120">
          <cell r="G8120" t="str">
            <v>ASV17187</v>
          </cell>
          <cell r="H8120" t="str">
            <v>g__Bacillus</v>
          </cell>
          <cell r="I8120" t="str">
            <v>s__Lactobacillus_vaginalis_g__Bacillus</v>
          </cell>
        </row>
        <row r="8121">
          <cell r="G8121" t="str">
            <v>ASV7634</v>
          </cell>
          <cell r="H8121" t="str">
            <v>g__Lactobacillus</v>
          </cell>
          <cell r="I8121" t="str">
            <v>s__unclassified_g__Lactobacillus</v>
          </cell>
        </row>
        <row r="8122">
          <cell r="G8122" t="str">
            <v>ASV3370</v>
          </cell>
          <cell r="H8122" t="str">
            <v>g__Agathobacter</v>
          </cell>
          <cell r="I8122" t="str">
            <v>s__unclassified_g__Agathobacter</v>
          </cell>
        </row>
        <row r="8123">
          <cell r="G8123" t="str">
            <v>ASV18832</v>
          </cell>
          <cell r="H8123" t="str">
            <v>g__Bacteroides</v>
          </cell>
          <cell r="I8123" t="str">
            <v>s__unclassified_g__Bacteroides</v>
          </cell>
        </row>
        <row r="8124">
          <cell r="G8124" t="str">
            <v>ASV2900</v>
          </cell>
          <cell r="H8124" t="str">
            <v>g__unclassified_c__Bacilli</v>
          </cell>
          <cell r="I8124" t="str">
            <v>s__unclassified_c__Bacilli</v>
          </cell>
        </row>
        <row r="8125">
          <cell r="G8125" t="str">
            <v>ASV11461</v>
          </cell>
          <cell r="H8125" t="str">
            <v>g__unclassified_o__Bacteroidales</v>
          </cell>
          <cell r="I8125" t="str">
            <v>s__unclassified_o__Bacteroidales</v>
          </cell>
        </row>
        <row r="8126">
          <cell r="G8126" t="str">
            <v>ASV18845</v>
          </cell>
          <cell r="H8126" t="str">
            <v>g__Fusobacterium</v>
          </cell>
          <cell r="I8126" t="str">
            <v>s__unclassified_g__Fusobacterium</v>
          </cell>
        </row>
        <row r="8127">
          <cell r="G8127" t="str">
            <v>ASV4678</v>
          </cell>
          <cell r="H8127" t="str">
            <v>g__norank_f__Eubacterium_coprostanoligenes_group</v>
          </cell>
          <cell r="I8127" t="str">
            <v>s__Eubacterium_coprostanoligenes</v>
          </cell>
        </row>
        <row r="8128">
          <cell r="G8128" t="str">
            <v>ASV16863</v>
          </cell>
          <cell r="H8128" t="str">
            <v>g__norank_f__Eubacterium_coprostanoligenes_group</v>
          </cell>
          <cell r="I8128" t="str">
            <v>s__uncultured_bacterium_g__norank_f__Eubacterium_coprostanoligenes_group</v>
          </cell>
        </row>
        <row r="8129">
          <cell r="G8129" t="str">
            <v>ASV5736</v>
          </cell>
          <cell r="H8129" t="str">
            <v>g__unclassified_k__norank_d__Bacteria</v>
          </cell>
          <cell r="I8129" t="str">
            <v>s__unclassified_k__norank_d__Bacteria</v>
          </cell>
        </row>
        <row r="8130">
          <cell r="G8130" t="str">
            <v>ASV15938</v>
          </cell>
          <cell r="H8130" t="str">
            <v>g__unclassified_f__Lachnospiraceae</v>
          </cell>
          <cell r="I8130" t="str">
            <v>s__unclassified_f__Lachnospiraceae</v>
          </cell>
        </row>
        <row r="8131">
          <cell r="G8131" t="str">
            <v>ASV23170</v>
          </cell>
          <cell r="H8131" t="str">
            <v>g__unclassified_f__Peptostreptococcaceae</v>
          </cell>
          <cell r="I8131" t="str">
            <v>s__unclassified_f__Peptostreptococcaceae</v>
          </cell>
        </row>
        <row r="8132">
          <cell r="G8132" t="str">
            <v>ASV22021</v>
          </cell>
          <cell r="H8132" t="str">
            <v>g__Ruminococcus</v>
          </cell>
          <cell r="I8132" t="str">
            <v>s__unclassified_g__Ruminococcus</v>
          </cell>
        </row>
        <row r="8133">
          <cell r="G8133" t="str">
            <v>ASV17875</v>
          </cell>
          <cell r="H8133" t="str">
            <v>g__norank_f__Eubacterium_coprostanoligenes_group</v>
          </cell>
          <cell r="I8133" t="str">
            <v>s__uncultured_bacterium_g__norank_f__Eubacterium_coprostanoligenes_group</v>
          </cell>
        </row>
        <row r="8134">
          <cell r="G8134" t="str">
            <v>ASV19371</v>
          </cell>
          <cell r="H8134" t="str">
            <v>g__unclassified_f__Lachnospiraceae</v>
          </cell>
          <cell r="I8134" t="str">
            <v>s__unclassified_f__Lachnospiraceae</v>
          </cell>
        </row>
        <row r="8135">
          <cell r="G8135" t="str">
            <v>ASV10176</v>
          </cell>
          <cell r="H8135" t="str">
            <v>g__unclassified_f__Oscillospiraceae</v>
          </cell>
          <cell r="I8135" t="str">
            <v>s__unclassified_f__Oscillospiraceae</v>
          </cell>
        </row>
        <row r="8136">
          <cell r="G8136" t="str">
            <v>ASV18731</v>
          </cell>
          <cell r="H8136" t="str">
            <v>g__Lactobacillus</v>
          </cell>
          <cell r="I8136" t="str">
            <v>s__unclassified_g__Lactobacillus</v>
          </cell>
        </row>
        <row r="8137">
          <cell r="G8137" t="str">
            <v>ASV15282</v>
          </cell>
          <cell r="H8137" t="str">
            <v>g__unclassified_c__Clostridia</v>
          </cell>
          <cell r="I8137" t="str">
            <v>s__unclassified_c__Clostridia</v>
          </cell>
        </row>
        <row r="8138">
          <cell r="G8138" t="str">
            <v>ASV11419</v>
          </cell>
          <cell r="H8138" t="str">
            <v>g__norank_f__Ruminococcaceae</v>
          </cell>
          <cell r="I8138" t="str">
            <v>s__uncultured_Clostridium_sp._g__norank_f__Ruminococcaceae</v>
          </cell>
        </row>
        <row r="8139">
          <cell r="G8139" t="str">
            <v>ASV4651</v>
          </cell>
          <cell r="H8139" t="str">
            <v>g__unclassified_f__Lachnospiraceae</v>
          </cell>
          <cell r="I8139" t="str">
            <v>s__unclassified_f__Lachnospiraceae</v>
          </cell>
        </row>
        <row r="8140">
          <cell r="G8140" t="str">
            <v>ASV12664</v>
          </cell>
          <cell r="H8140" t="str">
            <v>g__unclassified_f__Lachnospiraceae</v>
          </cell>
          <cell r="I8140" t="str">
            <v>s__unclassified_f__Lachnospiraceae</v>
          </cell>
        </row>
        <row r="8141">
          <cell r="G8141" t="str">
            <v>ASV2069</v>
          </cell>
          <cell r="H8141" t="str">
            <v>g__norank_f__Erysipelotrichaceae</v>
          </cell>
          <cell r="I8141" t="str">
            <v>s__uncultured_bacterium_g__norank_f__Erysipelotrichaceae</v>
          </cell>
        </row>
        <row r="8142">
          <cell r="G8142" t="str">
            <v>ASV16317</v>
          </cell>
          <cell r="H8142" t="str">
            <v>g__Clostridium_sensu_stricto_1</v>
          </cell>
          <cell r="I8142" t="str">
            <v>s__unclassified_g__Clostridium_sensu_stricto_1</v>
          </cell>
        </row>
        <row r="8143">
          <cell r="G8143" t="str">
            <v>ASV24119</v>
          </cell>
          <cell r="H8143" t="str">
            <v>g__unclassified_f__Lachnospiraceae</v>
          </cell>
          <cell r="I8143" t="str">
            <v>s__unclassified_f__Lachnospiraceae</v>
          </cell>
        </row>
        <row r="8144">
          <cell r="G8144" t="str">
            <v>ASV22069</v>
          </cell>
          <cell r="H8144" t="str">
            <v>g__norank_f__Eubacterium_coprostanoligenes_group</v>
          </cell>
          <cell r="I8144" t="str">
            <v>s__unclassified_g__norank_f__Eubacterium_coprostanoligenes_group</v>
          </cell>
        </row>
        <row r="8145">
          <cell r="G8145" t="str">
            <v>ASV9304</v>
          </cell>
          <cell r="H8145" t="str">
            <v>g__unclassified_f__Oscillospiraceae</v>
          </cell>
          <cell r="I8145" t="str">
            <v>s__unclassified_f__Oscillospiraceae</v>
          </cell>
        </row>
        <row r="8146">
          <cell r="G8146" t="str">
            <v>ASV3906</v>
          </cell>
          <cell r="H8146" t="str">
            <v>g__Peptococcus</v>
          </cell>
          <cell r="I8146" t="str">
            <v>s__uncultured_bacterium_g__Peptococcus</v>
          </cell>
        </row>
        <row r="8147">
          <cell r="G8147" t="str">
            <v>ASV10553</v>
          </cell>
          <cell r="H8147" t="str">
            <v>g__Veillonella</v>
          </cell>
          <cell r="I8147" t="str">
            <v>s__unclassified_g__Veillonella</v>
          </cell>
        </row>
        <row r="8148">
          <cell r="G8148" t="str">
            <v>ASV20661</v>
          </cell>
          <cell r="H8148" t="str">
            <v>g__Clostridium_sensu_stricto_1</v>
          </cell>
          <cell r="I8148" t="str">
            <v>s__uncultured_bacterium_g__Clostridium_sensu_stricto_1</v>
          </cell>
        </row>
        <row r="8149">
          <cell r="G8149" t="str">
            <v>ASV17886</v>
          </cell>
          <cell r="H8149" t="str">
            <v>g__unclassified_c__Clostridia</v>
          </cell>
          <cell r="I8149" t="str">
            <v>s__unclassified_c__Clostridia</v>
          </cell>
        </row>
        <row r="8150">
          <cell r="G8150" t="str">
            <v>ASV12660</v>
          </cell>
          <cell r="H8150" t="str">
            <v>g__norank_f__Muribaculaceae</v>
          </cell>
          <cell r="I8150" t="str">
            <v>s__uncultured_bacterium_g__norank_f__Muribaculaceae</v>
          </cell>
        </row>
        <row r="8151">
          <cell r="G8151" t="str">
            <v>ASV14127</v>
          </cell>
          <cell r="H8151" t="str">
            <v>g__unclassified_f__Lachnospiraceae</v>
          </cell>
          <cell r="I8151" t="str">
            <v>s__unclassified_f__Lachnospiraceae</v>
          </cell>
        </row>
        <row r="8152">
          <cell r="G8152" t="str">
            <v>ASV471</v>
          </cell>
          <cell r="H8152" t="str">
            <v>g__Enterococcus</v>
          </cell>
          <cell r="I8152" t="str">
            <v>s__unclassified_g__Enterococcus</v>
          </cell>
        </row>
        <row r="8153">
          <cell r="G8153" t="str">
            <v>ASV2090</v>
          </cell>
          <cell r="H8153" t="str">
            <v>g__Lactobacillus</v>
          </cell>
          <cell r="I8153" t="str">
            <v>s__unclassified_g__Lactobacillus</v>
          </cell>
        </row>
        <row r="8154">
          <cell r="G8154" t="str">
            <v>ASV17874</v>
          </cell>
          <cell r="H8154" t="str">
            <v>g__Ruminococcus</v>
          </cell>
          <cell r="I8154" t="str">
            <v>s__unclassified_g__Ruminococcus</v>
          </cell>
        </row>
        <row r="8155">
          <cell r="G8155" t="str">
            <v>ASV3937</v>
          </cell>
          <cell r="H8155" t="str">
            <v>g__unclassified_c__Negativicutes</v>
          </cell>
          <cell r="I8155" t="str">
            <v>s__unclassified_c__Negativicutes</v>
          </cell>
        </row>
        <row r="8156">
          <cell r="G8156" t="str">
            <v>ASV8969</v>
          </cell>
          <cell r="H8156" t="str">
            <v>g__Lactobacillus</v>
          </cell>
          <cell r="I8156" t="str">
            <v>s__uncultured_bacterium_g__Lactobacillus</v>
          </cell>
        </row>
        <row r="8157">
          <cell r="G8157" t="str">
            <v>ASV3638</v>
          </cell>
          <cell r="H8157" t="str">
            <v>g__Psychrobacter</v>
          </cell>
          <cell r="I8157" t="str">
            <v>s__unclassified_g__Psychrobacter</v>
          </cell>
        </row>
        <row r="8158">
          <cell r="G8158" t="str">
            <v>ASV13344</v>
          </cell>
          <cell r="H8158" t="str">
            <v>g__unclassified_f__Lachnospiraceae</v>
          </cell>
          <cell r="I8158" t="str">
            <v>s__unclassified_f__Lachnospiraceae</v>
          </cell>
        </row>
        <row r="8159">
          <cell r="G8159" t="str">
            <v>ASV17900</v>
          </cell>
          <cell r="H8159" t="str">
            <v>g__Monoglobus</v>
          </cell>
          <cell r="I8159" t="str">
            <v>s__uncultured_bacterium_g__Monoglobus</v>
          </cell>
        </row>
        <row r="8160">
          <cell r="G8160" t="str">
            <v>ASV5758</v>
          </cell>
          <cell r="H8160" t="str">
            <v>g__unclassified_c__Clostridia</v>
          </cell>
          <cell r="I8160" t="str">
            <v>s__unclassified_c__Clostridia</v>
          </cell>
        </row>
        <row r="8161">
          <cell r="G8161" t="str">
            <v>ASV490</v>
          </cell>
          <cell r="H8161" t="str">
            <v>g__NK4A214_group</v>
          </cell>
          <cell r="I8161" t="str">
            <v>s__unclassified_g__NK4A214_group</v>
          </cell>
        </row>
        <row r="8162">
          <cell r="G8162" t="str">
            <v>ASV22080</v>
          </cell>
          <cell r="H8162" t="str">
            <v>g__norank_f__Eubacterium_coprostanoligenes_group</v>
          </cell>
          <cell r="I8162" t="str">
            <v>s__uncultured_bacterium_g__norank_f__Eubacterium_coprostanoligenes_group</v>
          </cell>
        </row>
        <row r="8163">
          <cell r="G8163" t="str">
            <v>ASV20698</v>
          </cell>
          <cell r="H8163" t="str">
            <v>g__Eubacterium_fissicatena_group</v>
          </cell>
          <cell r="I8163" t="str">
            <v>s__unclassified_g__Eubacterium_fissicatena_group</v>
          </cell>
        </row>
        <row r="8164">
          <cell r="G8164" t="str">
            <v>ASV23126</v>
          </cell>
          <cell r="H8164" t="str">
            <v>g__unclassified_f__Ruminococcaceae</v>
          </cell>
          <cell r="I8164" t="str">
            <v>s__unclassified_f__Ruminococcaceae</v>
          </cell>
        </row>
        <row r="8165">
          <cell r="G8165" t="str">
            <v>ASV10540</v>
          </cell>
          <cell r="H8165" t="str">
            <v>g__unclassified_f__Lachnospiraceae</v>
          </cell>
          <cell r="I8165" t="str">
            <v>s__unclassified_f__Lachnospiraceae</v>
          </cell>
        </row>
        <row r="8166">
          <cell r="G8166" t="str">
            <v>ASV18838</v>
          </cell>
          <cell r="H8166" t="str">
            <v>g__Bacteroides</v>
          </cell>
          <cell r="I8166" t="str">
            <v>s__unclassified_g__Bacteroides</v>
          </cell>
        </row>
        <row r="8167">
          <cell r="G8167" t="str">
            <v>ASV19459</v>
          </cell>
          <cell r="H8167" t="str">
            <v>g__Subdoligranulum</v>
          </cell>
          <cell r="I8167" t="str">
            <v>s__uncultured_bacterium_g__Subdoligranulum</v>
          </cell>
        </row>
        <row r="8168">
          <cell r="G8168" t="str">
            <v>ASV19425</v>
          </cell>
          <cell r="H8168" t="str">
            <v>g__Enterococcus</v>
          </cell>
          <cell r="I8168" t="str">
            <v>s__unclassified_g__Enterococcus</v>
          </cell>
        </row>
        <row r="8169">
          <cell r="G8169" t="str">
            <v>ASV7419</v>
          </cell>
          <cell r="H8169" t="str">
            <v>g__Lactobacillus</v>
          </cell>
          <cell r="I8169" t="str">
            <v>s__unclassified_g__Lactobacillus</v>
          </cell>
        </row>
        <row r="8170">
          <cell r="G8170" t="str">
            <v>ASV24383</v>
          </cell>
          <cell r="H8170" t="str">
            <v>g__Olsenella</v>
          </cell>
          <cell r="I8170" t="str">
            <v>s__unclassified_g__Olsenella</v>
          </cell>
        </row>
        <row r="8171">
          <cell r="G8171" t="str">
            <v>ASV13346</v>
          </cell>
          <cell r="H8171" t="str">
            <v>g__unclassified_f__Lachnospiraceae</v>
          </cell>
          <cell r="I8171" t="str">
            <v>s__unclassified_f__Lachnospiraceae</v>
          </cell>
        </row>
        <row r="8172">
          <cell r="G8172" t="str">
            <v>ASV15935</v>
          </cell>
          <cell r="H8172" t="str">
            <v>g__unclassified_k__norank_d__Bacteria</v>
          </cell>
          <cell r="I8172" t="str">
            <v>s__unclassified_k__norank_d__Bacteria</v>
          </cell>
        </row>
        <row r="8173">
          <cell r="G8173" t="str">
            <v>ASV19422</v>
          </cell>
          <cell r="H8173" t="str">
            <v>g__unclassified_f__Oscillospiraceae</v>
          </cell>
          <cell r="I8173" t="str">
            <v>s__unclassified_f__Oscillospiraceae</v>
          </cell>
        </row>
        <row r="8174">
          <cell r="G8174" t="str">
            <v>ASV23153</v>
          </cell>
          <cell r="H8174" t="str">
            <v>g__unclassified_f__Ruminococcaceae</v>
          </cell>
          <cell r="I8174" t="str">
            <v>s__unclassified_f__Ruminococcaceae</v>
          </cell>
        </row>
        <row r="8175">
          <cell r="G8175" t="str">
            <v>ASV3953</v>
          </cell>
          <cell r="H8175" t="str">
            <v>g__Phascolarctobacterium</v>
          </cell>
          <cell r="I8175" t="str">
            <v>s__Ruminococcus_sp._N15.MGS-57_g__Phascolarctobacterium</v>
          </cell>
        </row>
        <row r="8176">
          <cell r="G8176" t="str">
            <v>ASV15258</v>
          </cell>
          <cell r="H8176" t="str">
            <v>g__unclassified_f__Lachnospiraceae</v>
          </cell>
          <cell r="I8176" t="str">
            <v>s__unclassified_f__Lachnospiraceae</v>
          </cell>
        </row>
        <row r="8177">
          <cell r="G8177" t="str">
            <v>ASV19363</v>
          </cell>
          <cell r="H8177" t="str">
            <v>g__Prevotellaceae_UCG-003</v>
          </cell>
          <cell r="I8177" t="str">
            <v>s__uncultured_bacterium_g__Prevotellaceae_UCG-003</v>
          </cell>
        </row>
        <row r="8178">
          <cell r="G8178" t="str">
            <v>ASV17927</v>
          </cell>
          <cell r="H8178" t="str">
            <v>g__unclassified_p__Firmicutes</v>
          </cell>
          <cell r="I8178" t="str">
            <v>s__unclassified_p__Firmicutes</v>
          </cell>
        </row>
        <row r="8179">
          <cell r="G8179" t="str">
            <v>ASV16363</v>
          </cell>
          <cell r="H8179" t="str">
            <v>g__Bacteroides</v>
          </cell>
          <cell r="I8179" t="str">
            <v>s__unclassified_g__Bacteroides</v>
          </cell>
        </row>
        <row r="8180">
          <cell r="G8180" t="str">
            <v>ASV20635</v>
          </cell>
          <cell r="H8180" t="str">
            <v>g__Bacteroides</v>
          </cell>
          <cell r="I8180" t="str">
            <v>s__unclassified_g__Bacteroides</v>
          </cell>
        </row>
        <row r="8181">
          <cell r="G8181" t="str">
            <v>ASV16324</v>
          </cell>
          <cell r="H8181" t="str">
            <v>g__unclassified_f__Lachnospiraceae</v>
          </cell>
          <cell r="I8181" t="str">
            <v>s__unclassified_f__Lachnospiraceae</v>
          </cell>
        </row>
        <row r="8182">
          <cell r="G8182" t="str">
            <v>ASV19435</v>
          </cell>
          <cell r="H8182" t="str">
            <v>g__unclassified_f__Lachnospiraceae</v>
          </cell>
          <cell r="I8182" t="str">
            <v>s__unclassified_f__Lachnospiraceae</v>
          </cell>
        </row>
        <row r="8183">
          <cell r="G8183" t="str">
            <v>ASV3022</v>
          </cell>
          <cell r="H8183" t="str">
            <v>g__Streptococcus</v>
          </cell>
          <cell r="I8183" t="str">
            <v>s__Streptococcus_sp._C5I1</v>
          </cell>
        </row>
        <row r="8184">
          <cell r="G8184" t="str">
            <v>ASV10002</v>
          </cell>
          <cell r="H8184" t="str">
            <v>g__Parabacteroides</v>
          </cell>
          <cell r="I8184" t="str">
            <v>s__Porphyromonadaceae_bacterium_DJF_B175</v>
          </cell>
        </row>
        <row r="8185">
          <cell r="G8185" t="str">
            <v>ASV22077</v>
          </cell>
          <cell r="H8185" t="str">
            <v>g__unclassified_f__Lachnospiraceae</v>
          </cell>
          <cell r="I8185" t="str">
            <v>s__unclassified_f__Lachnospiraceae</v>
          </cell>
        </row>
        <row r="8186">
          <cell r="G8186" t="str">
            <v>ASV17913</v>
          </cell>
          <cell r="H8186" t="str">
            <v>g__unclassified_c__Clostridia</v>
          </cell>
          <cell r="I8186" t="str">
            <v>s__unclassified_c__Clostridia</v>
          </cell>
        </row>
        <row r="8187">
          <cell r="G8187" t="str">
            <v>ASV22028</v>
          </cell>
          <cell r="H8187" t="str">
            <v>g__unclassified_f__Lachnospiraceae</v>
          </cell>
          <cell r="I8187" t="str">
            <v>s__unclassified_f__Lachnospiraceae</v>
          </cell>
        </row>
        <row r="8188">
          <cell r="G8188" t="str">
            <v>ASV2077</v>
          </cell>
          <cell r="H8188" t="str">
            <v>g__UCG-002</v>
          </cell>
          <cell r="I8188" t="str">
            <v>s__uncultured_bacterium_g__UCG-002</v>
          </cell>
        </row>
        <row r="8189">
          <cell r="G8189" t="str">
            <v>ASV22009</v>
          </cell>
          <cell r="H8189" t="str">
            <v>g__norank_f__Muribaculaceae</v>
          </cell>
          <cell r="I8189" t="str">
            <v>s__uncultured_bacterium_g__norank_f__Muribaculaceae</v>
          </cell>
        </row>
        <row r="8190">
          <cell r="G8190" t="str">
            <v>ASV11420</v>
          </cell>
          <cell r="H8190" t="str">
            <v>g__NK4A214_group</v>
          </cell>
          <cell r="I8190" t="str">
            <v>s__unclassified_g__NK4A214_group</v>
          </cell>
        </row>
        <row r="8191">
          <cell r="G8191" t="str">
            <v>ASV14086</v>
          </cell>
          <cell r="H8191" t="str">
            <v>g__Prevotellaceae_UCG-003</v>
          </cell>
          <cell r="I8191" t="str">
            <v>s__uncultured_bacterium_g__Prevotellaceae_UCG-003</v>
          </cell>
        </row>
        <row r="8192">
          <cell r="G8192" t="str">
            <v>ASV19408</v>
          </cell>
          <cell r="H8192" t="str">
            <v>g__unclassified_c__Clostridia</v>
          </cell>
          <cell r="I8192" t="str">
            <v>s__unclassified_c__Clostridia</v>
          </cell>
        </row>
        <row r="8193">
          <cell r="G8193" t="str">
            <v>ASV17873</v>
          </cell>
          <cell r="H8193" t="str">
            <v>g__Synergistes</v>
          </cell>
          <cell r="I8193" t="str">
            <v>s__Synergistes_jonesii</v>
          </cell>
        </row>
        <row r="8194">
          <cell r="G8194" t="str">
            <v>ASV20230</v>
          </cell>
          <cell r="H8194" t="str">
            <v>g__Acinetobacter</v>
          </cell>
          <cell r="I8194" t="str">
            <v>s__unclassified_g__Acinetobacter</v>
          </cell>
        </row>
        <row r="8195">
          <cell r="G8195" t="str">
            <v>ASV14080</v>
          </cell>
          <cell r="H8195" t="str">
            <v>g__norank_f__Muribaculaceae</v>
          </cell>
          <cell r="I8195" t="str">
            <v>s__uncultured_bacterium_g__norank_f__Muribaculaceae</v>
          </cell>
        </row>
        <row r="8196">
          <cell r="G8196" t="str">
            <v>ASV3943</v>
          </cell>
          <cell r="H8196" t="str">
            <v>g__unclassified_c__Clostridia</v>
          </cell>
          <cell r="I8196" t="str">
            <v>s__unclassified_c__Clostridia</v>
          </cell>
        </row>
        <row r="8197">
          <cell r="G8197" t="str">
            <v>ASV17600</v>
          </cell>
          <cell r="H8197" t="str">
            <v>g__Fusobacterium</v>
          </cell>
          <cell r="I8197" t="str">
            <v>s__unclassified_g__Fusobacterium</v>
          </cell>
        </row>
        <row r="8198">
          <cell r="G8198" t="str">
            <v>ASV7651</v>
          </cell>
          <cell r="H8198" t="str">
            <v>g__norank_f__Ruminococcaceae</v>
          </cell>
          <cell r="I8198" t="str">
            <v>s__uncultured_bacterium_g__norank_f__Ruminococcaceae</v>
          </cell>
        </row>
        <row r="8199">
          <cell r="G8199" t="str">
            <v>ASV12674</v>
          </cell>
          <cell r="H8199" t="str">
            <v>g__norank_f__Oscillospiraceae</v>
          </cell>
          <cell r="I8199" t="str">
            <v>s__uncultured_rumen_bacterium_g__norank_f__Oscillospiraceae</v>
          </cell>
        </row>
        <row r="8200">
          <cell r="G8200" t="str">
            <v>ASV24123</v>
          </cell>
          <cell r="H8200" t="str">
            <v>g__Lactobacillus</v>
          </cell>
          <cell r="I8200" t="str">
            <v>s__unclassified_g__Lactobacillus</v>
          </cell>
        </row>
        <row r="8201">
          <cell r="G8201" t="str">
            <v>ASV22919</v>
          </cell>
          <cell r="H8201" t="str">
            <v>g__unclassified_f__Dermatophilaceae</v>
          </cell>
          <cell r="I8201" t="str">
            <v>s__unclassified_f__Dermatophilaceae</v>
          </cell>
        </row>
        <row r="8202">
          <cell r="G8202" t="str">
            <v>ASV10078</v>
          </cell>
          <cell r="H8202" t="str">
            <v>g__Mogibacterium</v>
          </cell>
          <cell r="I8202" t="str">
            <v>s__uncultured_bacterium_g__Mogibacterium</v>
          </cell>
        </row>
        <row r="8203">
          <cell r="G8203" t="str">
            <v>ASV11423</v>
          </cell>
          <cell r="H8203" t="str">
            <v>g__unclassified_f__Oscillospiraceae</v>
          </cell>
          <cell r="I8203" t="str">
            <v>s__unclassified_f__Oscillospiraceae</v>
          </cell>
        </row>
        <row r="8204">
          <cell r="G8204" t="str">
            <v>ASV16337</v>
          </cell>
          <cell r="H8204" t="str">
            <v>g__Bacteroides</v>
          </cell>
          <cell r="I8204" t="str">
            <v>s__unclassified_g__Bacteroides</v>
          </cell>
        </row>
        <row r="8205">
          <cell r="G8205" t="str">
            <v>ASV7629</v>
          </cell>
          <cell r="H8205" t="str">
            <v>g__unclassified_f__Lachnospiraceae</v>
          </cell>
          <cell r="I8205" t="str">
            <v>s__unclassified_f__Lachnospiraceae</v>
          </cell>
        </row>
        <row r="8206">
          <cell r="G8206" t="str">
            <v>ASV7650</v>
          </cell>
          <cell r="H8206" t="str">
            <v>g__unclassified_f__Lachnospiraceae</v>
          </cell>
          <cell r="I8206" t="str">
            <v>s__unclassified_f__Lachnospiraceae</v>
          </cell>
        </row>
        <row r="8207">
          <cell r="G8207" t="str">
            <v>ASV10004</v>
          </cell>
          <cell r="H8207" t="str">
            <v>g__Parabacteroides</v>
          </cell>
          <cell r="I8207" t="str">
            <v>s__Porphyromonadaceae_bacterium_DJF_B175</v>
          </cell>
        </row>
        <row r="8208">
          <cell r="G8208" t="str">
            <v>ASV15266</v>
          </cell>
          <cell r="H8208" t="str">
            <v>g__Clostridium_sensu_stricto_1</v>
          </cell>
          <cell r="I8208" t="str">
            <v>s__uncultured_bacterium_g__Clostridium_sensu_stricto_1</v>
          </cell>
        </row>
        <row r="8209">
          <cell r="G8209" t="str">
            <v>ASV7678</v>
          </cell>
          <cell r="H8209" t="str">
            <v>g__unclassified_f__Lachnospiraceae</v>
          </cell>
          <cell r="I8209" t="str">
            <v>s__unclassified_f__Lachnospiraceae</v>
          </cell>
        </row>
        <row r="8210">
          <cell r="G8210" t="str">
            <v>ASV2377</v>
          </cell>
          <cell r="H8210" t="str">
            <v>g__Actinobacillus</v>
          </cell>
          <cell r="I8210" t="str">
            <v>s__unclassified_g__Actinobacillus</v>
          </cell>
        </row>
        <row r="8211">
          <cell r="G8211" t="str">
            <v>ASV17352</v>
          </cell>
          <cell r="H8211" t="str">
            <v>g__Helicobacter</v>
          </cell>
          <cell r="I8211" t="str">
            <v>s__unclassified_g__Helicobacter</v>
          </cell>
        </row>
        <row r="8212">
          <cell r="G8212" t="str">
            <v>ASV3035</v>
          </cell>
          <cell r="H8212" t="str">
            <v>g__Erysipelothrix</v>
          </cell>
          <cell r="I8212" t="str">
            <v>s__Erysipelothrix_inopinata</v>
          </cell>
        </row>
        <row r="8213">
          <cell r="G8213" t="str">
            <v>ASV17567</v>
          </cell>
          <cell r="H8213" t="str">
            <v>g__unclassified_f__Micrococcaceae</v>
          </cell>
          <cell r="I8213" t="str">
            <v>s__unclassified_f__Micrococcaceae</v>
          </cell>
        </row>
        <row r="8214">
          <cell r="G8214" t="str">
            <v>ASV17405</v>
          </cell>
          <cell r="H8214" t="str">
            <v>g__unclassified_o__Lactobacillales</v>
          </cell>
          <cell r="I8214" t="str">
            <v>s__unclassified_o__Lactobacillales</v>
          </cell>
        </row>
        <row r="8215">
          <cell r="G8215" t="str">
            <v>ASV6607</v>
          </cell>
          <cell r="H8215" t="str">
            <v>g__Synergistes</v>
          </cell>
          <cell r="I8215" t="str">
            <v>s__uncultured_organism_g__Synergistes</v>
          </cell>
        </row>
        <row r="8216">
          <cell r="G8216" t="str">
            <v>ASV21430</v>
          </cell>
          <cell r="H8216" t="str">
            <v>g__unclassified_k__norank_d__Bacteria</v>
          </cell>
          <cell r="I8216" t="str">
            <v>s__unclassified_k__norank_d__Bacteria</v>
          </cell>
        </row>
        <row r="8217">
          <cell r="G8217" t="str">
            <v>ASV20431</v>
          </cell>
          <cell r="H8217" t="str">
            <v>g__Myroides</v>
          </cell>
          <cell r="I8217" t="str">
            <v>s__unclassified_g__Myroides</v>
          </cell>
        </row>
        <row r="8218">
          <cell r="G8218" t="str">
            <v>ASV11378</v>
          </cell>
          <cell r="H8218" t="str">
            <v>g__unclassified_c__Clostridia</v>
          </cell>
          <cell r="I8218" t="str">
            <v>s__unclassified_c__Clostridia</v>
          </cell>
        </row>
        <row r="8219">
          <cell r="G8219" t="str">
            <v>ASV20691</v>
          </cell>
          <cell r="H8219" t="str">
            <v>g__norank_f__Eubacterium_coprostanoligenes_group</v>
          </cell>
          <cell r="I8219" t="str">
            <v>s__unclassified_g__norank_f__Eubacterium_coprostanoligenes_group</v>
          </cell>
        </row>
        <row r="8220">
          <cell r="G8220" t="str">
            <v>ASV19370</v>
          </cell>
          <cell r="H8220" t="str">
            <v>g__norank_f__Eubacterium_coprostanoligenes_group</v>
          </cell>
          <cell r="I8220" t="str">
            <v>s__unclassified_g__norank_f__Eubacterium_coprostanoligenes_group</v>
          </cell>
        </row>
        <row r="8221">
          <cell r="G8221" t="str">
            <v>ASV8476</v>
          </cell>
          <cell r="H8221" t="str">
            <v>g__unclassified_f__Selenomonadaceae</v>
          </cell>
          <cell r="I8221" t="str">
            <v>s__unclassified_f__Selenomonadaceae</v>
          </cell>
        </row>
        <row r="8222">
          <cell r="G8222" t="str">
            <v>ASV22023</v>
          </cell>
          <cell r="H8222" t="str">
            <v>g__UCG-002</v>
          </cell>
          <cell r="I8222" t="str">
            <v>s__uncultured_bacterium_g__UCG-002</v>
          </cell>
        </row>
        <row r="8223">
          <cell r="G8223" t="str">
            <v>ASV11424</v>
          </cell>
          <cell r="H8223" t="str">
            <v>g__Lactobacillus</v>
          </cell>
          <cell r="I8223" t="str">
            <v>s__unclassified_g__Lactobacillus</v>
          </cell>
        </row>
        <row r="8224">
          <cell r="G8224" t="str">
            <v>ASV19432</v>
          </cell>
          <cell r="H8224" t="str">
            <v>g__unclassified_f__Ruminococcaceae</v>
          </cell>
          <cell r="I8224" t="str">
            <v>s__unclassified_f__Ruminococcaceae</v>
          </cell>
        </row>
        <row r="8225">
          <cell r="G8225" t="str">
            <v>ASV4669</v>
          </cell>
          <cell r="H8225" t="str">
            <v>g__Enterococcus</v>
          </cell>
          <cell r="I8225" t="str">
            <v>s__unclassified_g__Enterococcus</v>
          </cell>
        </row>
        <row r="8226">
          <cell r="G8226" t="str">
            <v>ASV13696</v>
          </cell>
          <cell r="H8226" t="str">
            <v>g__Megasphaera</v>
          </cell>
          <cell r="I8226" t="str">
            <v>s__uncultured_Megasphaera_sp.</v>
          </cell>
        </row>
        <row r="8227">
          <cell r="G8227" t="str">
            <v>ASV17878</v>
          </cell>
          <cell r="H8227" t="str">
            <v>g__norank_f__UCG-010</v>
          </cell>
          <cell r="I8227" t="str">
            <v>s__metagenome_g__norank_f__UCG-010</v>
          </cell>
        </row>
        <row r="8228">
          <cell r="G8228" t="str">
            <v>ASV17909</v>
          </cell>
          <cell r="H8228" t="str">
            <v>g__unclassified_c__Clostridia</v>
          </cell>
          <cell r="I8228" t="str">
            <v>s__unclassified_c__Clostridia</v>
          </cell>
        </row>
        <row r="8229">
          <cell r="G8229" t="str">
            <v>ASV22035</v>
          </cell>
          <cell r="H8229" t="str">
            <v>g__Bacteroides</v>
          </cell>
          <cell r="I8229" t="str">
            <v>s__unclassified_g__Bacteroides</v>
          </cell>
        </row>
        <row r="8230">
          <cell r="G8230" t="str">
            <v>ASV10528</v>
          </cell>
          <cell r="H8230" t="str">
            <v>g__norank_f__Eubacterium_coprostanoligenes_group</v>
          </cell>
          <cell r="I8230" t="str">
            <v>s__unclassified_g__norank_f__Eubacterium_coprostanoligenes_group</v>
          </cell>
        </row>
        <row r="8231">
          <cell r="G8231" t="str">
            <v>ASV11383</v>
          </cell>
          <cell r="H8231" t="str">
            <v>g__Monoglobus</v>
          </cell>
          <cell r="I8231" t="str">
            <v>s__unclassified_g__Monoglobus</v>
          </cell>
        </row>
        <row r="8232">
          <cell r="G8232" t="str">
            <v>ASV3918</v>
          </cell>
          <cell r="H8232" t="str">
            <v>g__Phascolarctobacterium</v>
          </cell>
          <cell r="I8232" t="str">
            <v>s__unclassified_g__Phascolarctobacterium</v>
          </cell>
        </row>
        <row r="8233">
          <cell r="G8233" t="str">
            <v>ASV10005</v>
          </cell>
          <cell r="H8233" t="str">
            <v>g__unclassified_f__Peptostreptococcaceae</v>
          </cell>
          <cell r="I8233" t="str">
            <v>s__unclassified_f__Peptostreptococcaceae</v>
          </cell>
        </row>
        <row r="8234">
          <cell r="G8234" t="str">
            <v>ASV22063</v>
          </cell>
          <cell r="H8234" t="str">
            <v>g__unclassified_p__Firmicutes</v>
          </cell>
          <cell r="I8234" t="str">
            <v>s__unclassified_p__Firmicutes</v>
          </cell>
        </row>
        <row r="8235">
          <cell r="G8235" t="str">
            <v>ASV13693</v>
          </cell>
          <cell r="H8235" t="str">
            <v>g__Lactobacillus</v>
          </cell>
          <cell r="I8235" t="str">
            <v>s__unclassified_g__Lactobacillus</v>
          </cell>
        </row>
        <row r="8236">
          <cell r="G8236" t="str">
            <v>ASV7340</v>
          </cell>
          <cell r="H8236" t="str">
            <v>g__Family_XIII_UCG-001</v>
          </cell>
          <cell r="I8236" t="str">
            <v>s__uncultured_bacterium_g__Family_XIII_UCG-001</v>
          </cell>
        </row>
        <row r="8237">
          <cell r="G8237" t="str">
            <v>ASV16856</v>
          </cell>
          <cell r="H8237" t="str">
            <v>g__Prevotella</v>
          </cell>
          <cell r="I8237" t="str">
            <v>s__unclassified_g__Prevotella</v>
          </cell>
        </row>
        <row r="8238">
          <cell r="G8238" t="str">
            <v>ASV15288</v>
          </cell>
          <cell r="H8238" t="str">
            <v>g__norank_f__Eubacterium_coprostanoligenes_group</v>
          </cell>
          <cell r="I8238" t="str">
            <v>s__uncultured_bacterium_g__norank_f__Eubacterium_coprostanoligenes_group</v>
          </cell>
        </row>
        <row r="8239">
          <cell r="G8239" t="str">
            <v>ASV14123</v>
          </cell>
          <cell r="H8239" t="str">
            <v>g__Sharpea</v>
          </cell>
          <cell r="I8239" t="str">
            <v>s__unclassified_g__Sharpea</v>
          </cell>
        </row>
        <row r="8240">
          <cell r="G8240" t="str">
            <v>ASV10077</v>
          </cell>
          <cell r="H8240" t="str">
            <v>g__Bifidobacterium</v>
          </cell>
          <cell r="I8240" t="str">
            <v>s__unclassified_g__Bifidobacterium</v>
          </cell>
        </row>
        <row r="8241">
          <cell r="G8241" t="str">
            <v>ASV12670</v>
          </cell>
          <cell r="H8241" t="str">
            <v>g__UCG-002</v>
          </cell>
          <cell r="I8241" t="str">
            <v>s__uncultured_bacterium_g__UCG-002</v>
          </cell>
        </row>
        <row r="8242">
          <cell r="G8242" t="str">
            <v>ASV22024</v>
          </cell>
          <cell r="H8242" t="str">
            <v>g__unclassified_c__Bacilli</v>
          </cell>
          <cell r="I8242" t="str">
            <v>s__unclassified_c__Bacilli</v>
          </cell>
        </row>
        <row r="8243">
          <cell r="G8243" t="str">
            <v>ASV19436</v>
          </cell>
          <cell r="H8243" t="str">
            <v>g__norank_f__Eubacterium_coprostanoligenes_group</v>
          </cell>
          <cell r="I8243" t="str">
            <v>s__unclassified_g__norank_f__Eubacterium_coprostanoligenes_group</v>
          </cell>
        </row>
        <row r="8244">
          <cell r="G8244" t="str">
            <v>ASV19381</v>
          </cell>
          <cell r="H8244" t="str">
            <v>g__norank_f__Peptococcaceae</v>
          </cell>
          <cell r="I8244" t="str">
            <v>s__uncultured_bacterium_g__norank_f__Peptococcaceae</v>
          </cell>
        </row>
        <row r="8245">
          <cell r="G8245" t="str">
            <v>ASV22887</v>
          </cell>
          <cell r="H8245" t="str">
            <v>g__unclassified_f__Intrasporangiaceae</v>
          </cell>
          <cell r="I8245" t="str">
            <v>s__unclassified_f__Intrasporangiaceae</v>
          </cell>
        </row>
        <row r="8246">
          <cell r="G8246" t="str">
            <v>ASV16341</v>
          </cell>
          <cell r="H8246" t="str">
            <v>g__Monoglobus</v>
          </cell>
          <cell r="I8246" t="str">
            <v>s__uncultured_bacterium_g__Monoglobus</v>
          </cell>
        </row>
        <row r="8247">
          <cell r="G8247" t="str">
            <v>ASV23937</v>
          </cell>
          <cell r="H8247" t="str">
            <v>g__unclassified_o__Lactobacillales</v>
          </cell>
          <cell r="I8247" t="str">
            <v>s__unclassified_o__Lactobacillales</v>
          </cell>
        </row>
        <row r="8248">
          <cell r="G8248" t="str">
            <v>ASV23938</v>
          </cell>
          <cell r="H8248" t="str">
            <v>g__unclassified_f__Lachnospiraceae</v>
          </cell>
          <cell r="I8248" t="str">
            <v>s__unclassified_f__Lachnospiraceae</v>
          </cell>
        </row>
        <row r="8249">
          <cell r="G8249" t="str">
            <v>ASV13351</v>
          </cell>
          <cell r="H8249" t="str">
            <v>g__unclassified_c__Clostridia</v>
          </cell>
          <cell r="I8249" t="str">
            <v>s__unclassified_c__Clostridia</v>
          </cell>
        </row>
        <row r="8250">
          <cell r="G8250" t="str">
            <v>ASV9292</v>
          </cell>
          <cell r="H8250" t="str">
            <v>g__unclassified_k__norank_d__Bacteria</v>
          </cell>
          <cell r="I8250" t="str">
            <v>s__unclassified_k__norank_d__Bacteria</v>
          </cell>
        </row>
        <row r="8251">
          <cell r="G8251" t="str">
            <v>ASV3161</v>
          </cell>
          <cell r="H8251" t="str">
            <v>g__unclassified_c__Bacilli</v>
          </cell>
          <cell r="I8251" t="str">
            <v>s__unclassified_c__Bacilli</v>
          </cell>
        </row>
        <row r="8252">
          <cell r="G8252" t="str">
            <v>ASV14108</v>
          </cell>
          <cell r="H8252" t="str">
            <v>g__unclassified_f__Lachnospiraceae</v>
          </cell>
          <cell r="I8252" t="str">
            <v>s__unclassified_f__Lachnospiraceae</v>
          </cell>
        </row>
        <row r="8253">
          <cell r="G8253" t="str">
            <v>ASV19051</v>
          </cell>
          <cell r="H8253" t="str">
            <v>g__unclassified_f__Veillonellaceae</v>
          </cell>
          <cell r="I8253" t="str">
            <v>s__unclassified_f__Veillonellaceae</v>
          </cell>
        </row>
        <row r="8254">
          <cell r="G8254" t="str">
            <v>ASV7662</v>
          </cell>
          <cell r="H8254" t="str">
            <v>g__Streptococcus</v>
          </cell>
          <cell r="I8254" t="str">
            <v>s__unclassified_g__Streptococcus</v>
          </cell>
        </row>
        <row r="8255">
          <cell r="G8255" t="str">
            <v>ASV14117</v>
          </cell>
          <cell r="H8255" t="str">
            <v>g__unclassified_o__Oscillospirales</v>
          </cell>
          <cell r="I8255" t="str">
            <v>s__unclassified_o__Oscillospirales</v>
          </cell>
        </row>
        <row r="8256">
          <cell r="G8256" t="str">
            <v>ASV8956</v>
          </cell>
          <cell r="H8256" t="str">
            <v>g__Globicatella</v>
          </cell>
          <cell r="I8256" t="str">
            <v>s__Globicatella_sp._canine_oral_taxon_218</v>
          </cell>
        </row>
        <row r="8257">
          <cell r="G8257" t="str">
            <v>ASV7279</v>
          </cell>
          <cell r="H8257" t="str">
            <v>g__Novosphingobium</v>
          </cell>
          <cell r="I8257" t="str">
            <v>s__unclassified_g__Novosphingobium</v>
          </cell>
        </row>
        <row r="8258">
          <cell r="G8258" t="str">
            <v>ASV23124</v>
          </cell>
          <cell r="H8258" t="str">
            <v>g__Synergistes</v>
          </cell>
          <cell r="I8258" t="str">
            <v>s__Synergistes_jonesii</v>
          </cell>
        </row>
        <row r="8259">
          <cell r="G8259" t="str">
            <v>ASV13361</v>
          </cell>
          <cell r="H8259" t="str">
            <v>g__Family_XIII_AD3011_group</v>
          </cell>
          <cell r="I8259" t="str">
            <v>s__uncultured_bacterium_g__Family_XIII_AD3011_group</v>
          </cell>
        </row>
        <row r="8260">
          <cell r="G8260" t="str">
            <v>ASV13699</v>
          </cell>
          <cell r="H8260" t="str">
            <v>g__Lactobacillus</v>
          </cell>
          <cell r="I8260" t="str">
            <v>s__unclassified_g__Lactobacillus</v>
          </cell>
        </row>
        <row r="8261">
          <cell r="G8261" t="str">
            <v>ASV10177</v>
          </cell>
          <cell r="H8261" t="str">
            <v>g__Lactobacillus</v>
          </cell>
          <cell r="I8261" t="str">
            <v>s__unclassified_g__Lactobacillus</v>
          </cell>
        </row>
        <row r="8262">
          <cell r="G8262" t="str">
            <v>ASV6611</v>
          </cell>
          <cell r="H8262" t="str">
            <v>g__unclassified_c__Clostridia</v>
          </cell>
          <cell r="I8262" t="str">
            <v>s__unclassified_c__Clostridia</v>
          </cell>
        </row>
        <row r="8263">
          <cell r="G8263" t="str">
            <v>ASV7284</v>
          </cell>
          <cell r="H8263" t="str">
            <v>g__Chryseobacterium</v>
          </cell>
          <cell r="I8263" t="str">
            <v>s__unclassified_g__Chryseobacterium</v>
          </cell>
        </row>
        <row r="8264">
          <cell r="G8264" t="str">
            <v>ASV20679</v>
          </cell>
          <cell r="H8264" t="str">
            <v>g__unclassified_c__Clostridia</v>
          </cell>
          <cell r="I8264" t="str">
            <v>s__unclassified_c__Clostridia</v>
          </cell>
        </row>
        <row r="8265">
          <cell r="G8265" t="str">
            <v>ASV14102</v>
          </cell>
          <cell r="H8265" t="str">
            <v>g__unclassified_f__Peptostreptococcaceae</v>
          </cell>
          <cell r="I8265" t="str">
            <v>s__unclassified_f__Peptostreptococcaceae</v>
          </cell>
        </row>
        <row r="8266">
          <cell r="G8266" t="str">
            <v>ASV5727</v>
          </cell>
          <cell r="H8266" t="str">
            <v>g__unclassified_p__Firmicutes</v>
          </cell>
          <cell r="I8266" t="str">
            <v>s__unclassified_p__Firmicutes</v>
          </cell>
        </row>
        <row r="8267">
          <cell r="G8267" t="str">
            <v>ASV23144</v>
          </cell>
          <cell r="H8267" t="str">
            <v>g__unclassified_f__Lachnospiraceae</v>
          </cell>
          <cell r="I8267" t="str">
            <v>s__unclassified_f__Lachnospiraceae</v>
          </cell>
        </row>
        <row r="8268">
          <cell r="G8268" t="str">
            <v>ASV18843</v>
          </cell>
          <cell r="H8268" t="str">
            <v>g__Prevotella</v>
          </cell>
          <cell r="I8268" t="str">
            <v>s__unclassified_g__Prevotella</v>
          </cell>
        </row>
        <row r="8269">
          <cell r="G8269" t="str">
            <v>ASV16850</v>
          </cell>
          <cell r="H8269" t="str">
            <v>g__Bacteroides</v>
          </cell>
          <cell r="I8269" t="str">
            <v>s__unclassified_g__Bacteroides</v>
          </cell>
        </row>
        <row r="8270">
          <cell r="G8270" t="str">
            <v>ASV14058</v>
          </cell>
          <cell r="H8270" t="str">
            <v>g__unclassified_k__norank_d__Bacteria</v>
          </cell>
          <cell r="I8270" t="str">
            <v>s__unclassified_k__norank_d__Bacteria</v>
          </cell>
        </row>
        <row r="8271">
          <cell r="G8271" t="str">
            <v>ASV20667</v>
          </cell>
          <cell r="H8271" t="str">
            <v>g__unclassified_f__Peptostreptococcaceae</v>
          </cell>
          <cell r="I8271" t="str">
            <v>s__unclassified_f__Peptostreptococcaceae</v>
          </cell>
        </row>
        <row r="8272">
          <cell r="G8272" t="str">
            <v>ASV23135</v>
          </cell>
          <cell r="H8272" t="str">
            <v>g__norank_f__Erysipelotrichaceae</v>
          </cell>
          <cell r="I8272" t="str">
            <v>s__uncultured_bacterium_g__norank_f__Erysipelotrichaceae</v>
          </cell>
        </row>
        <row r="8273">
          <cell r="G8273" t="str">
            <v>ASV15933</v>
          </cell>
          <cell r="H8273" t="str">
            <v>g__Megasphaera</v>
          </cell>
          <cell r="I8273" t="str">
            <v>s__unclassified_g__Megasphaera</v>
          </cell>
        </row>
        <row r="8274">
          <cell r="G8274" t="str">
            <v>ASV12620</v>
          </cell>
          <cell r="H8274" t="str">
            <v>g__unclassified_k__norank_d__Bacteria</v>
          </cell>
          <cell r="I8274" t="str">
            <v>s__unclassified_k__norank_d__Bacteria</v>
          </cell>
        </row>
        <row r="8275">
          <cell r="G8275" t="str">
            <v>ASV15277</v>
          </cell>
          <cell r="H8275" t="str">
            <v>g__unclassified_c__Clostridia</v>
          </cell>
          <cell r="I8275" t="str">
            <v>s__unclassified_c__Clostridia</v>
          </cell>
        </row>
        <row r="8276">
          <cell r="G8276" t="str">
            <v>ASV10529</v>
          </cell>
          <cell r="H8276" t="str">
            <v>g__Acetitomaculum</v>
          </cell>
          <cell r="I8276" t="str">
            <v>s__unclassified_g__Acetitomaculum</v>
          </cell>
        </row>
        <row r="8277">
          <cell r="G8277" t="str">
            <v>ASV11432</v>
          </cell>
          <cell r="H8277" t="str">
            <v>g__unclassified_f__Lachnospiraceae</v>
          </cell>
          <cell r="I8277" t="str">
            <v>s__unclassified_f__Lachnospiraceae</v>
          </cell>
        </row>
        <row r="8278">
          <cell r="G8278" t="str">
            <v>ASV17472</v>
          </cell>
          <cell r="H8278" t="str">
            <v>g__unclassified_c__Clostridia</v>
          </cell>
          <cell r="I8278" t="str">
            <v>s__unclassified_c__Clostridia</v>
          </cell>
        </row>
        <row r="8279">
          <cell r="G8279" t="str">
            <v>ASV11468</v>
          </cell>
          <cell r="H8279" t="str">
            <v>g__unclassified_f__Lachnospiraceae</v>
          </cell>
          <cell r="I8279" t="str">
            <v>s__unclassified_f__Lachnospiraceae</v>
          </cell>
        </row>
        <row r="8280">
          <cell r="G8280" t="str">
            <v>ASV16353</v>
          </cell>
          <cell r="H8280" t="str">
            <v>g__Rikenellaceae_RC9_gut_group</v>
          </cell>
          <cell r="I8280" t="str">
            <v>s__uncultured_bacterium_g__Rikenellaceae_RC9_gut_group</v>
          </cell>
        </row>
        <row r="8281">
          <cell r="G8281" t="str">
            <v>ASV7655</v>
          </cell>
          <cell r="H8281" t="str">
            <v>g__unclassified_f__Oscillospiraceae</v>
          </cell>
          <cell r="I8281" t="str">
            <v>s__unclassified_f__Oscillospiraceae</v>
          </cell>
        </row>
        <row r="8282">
          <cell r="G8282" t="str">
            <v>ASV7343</v>
          </cell>
          <cell r="H8282" t="str">
            <v>g__Veillonella</v>
          </cell>
          <cell r="I8282" t="str">
            <v>s__unclassified_g__Veillonella</v>
          </cell>
        </row>
        <row r="8283">
          <cell r="G8283" t="str">
            <v>ASV5734</v>
          </cell>
          <cell r="H8283" t="str">
            <v>g__Rikenellaceae_RC9_gut_group</v>
          </cell>
          <cell r="I8283" t="str">
            <v>s__uncultured_bacterium_g__Rikenellaceae_RC9_gut_group</v>
          </cell>
        </row>
        <row r="8284">
          <cell r="G8284" t="str">
            <v>ASV10548</v>
          </cell>
          <cell r="H8284" t="str">
            <v>g__unclassified_c__Clostridia</v>
          </cell>
          <cell r="I8284" t="str">
            <v>s__unclassified_c__Clostridia</v>
          </cell>
        </row>
        <row r="8285">
          <cell r="G8285" t="str">
            <v>ASV14139</v>
          </cell>
          <cell r="H8285" t="str">
            <v>g__unclassified_f__Oscillospiraceae</v>
          </cell>
          <cell r="I8285" t="str">
            <v>s__unclassified_f__Oscillospiraceae</v>
          </cell>
        </row>
        <row r="8286">
          <cell r="G8286" t="str">
            <v>ASV7645</v>
          </cell>
          <cell r="H8286" t="str">
            <v>g__Bifidobacterium</v>
          </cell>
          <cell r="I8286" t="str">
            <v>s__unclassified_g__Bifidobacterium</v>
          </cell>
        </row>
        <row r="8287">
          <cell r="G8287" t="str">
            <v>ASV3457</v>
          </cell>
          <cell r="H8287" t="str">
            <v>g__unclassified_f__Veillonellaceae</v>
          </cell>
          <cell r="I8287" t="str">
            <v>s__unclassified_f__Veillonellaceae</v>
          </cell>
        </row>
        <row r="8288">
          <cell r="G8288" t="str">
            <v>ASV2089</v>
          </cell>
          <cell r="H8288" t="str">
            <v>g__unclassified_f__Peptostreptococcaceae</v>
          </cell>
          <cell r="I8288" t="str">
            <v>s__unclassified_f__Peptostreptococcaceae</v>
          </cell>
        </row>
        <row r="8289">
          <cell r="G8289" t="str">
            <v>ASV10562</v>
          </cell>
          <cell r="H8289" t="str">
            <v>g__unclassified_c__Clostridia</v>
          </cell>
          <cell r="I8289" t="str">
            <v>s__unclassified_c__Clostridia</v>
          </cell>
        </row>
        <row r="8290">
          <cell r="G8290" t="str">
            <v>ASV8280</v>
          </cell>
          <cell r="H8290" t="str">
            <v>g__Lactobacillus</v>
          </cell>
          <cell r="I8290" t="str">
            <v>s__unclassified_g__Lactobacillus</v>
          </cell>
        </row>
        <row r="8291">
          <cell r="G8291" t="str">
            <v>ASV12679</v>
          </cell>
          <cell r="H8291" t="str">
            <v>g__NK4A214_group</v>
          </cell>
          <cell r="I8291" t="str">
            <v>s__unclassified_g__NK4A214_group</v>
          </cell>
        </row>
        <row r="8292">
          <cell r="G8292" t="str">
            <v>ASV2067</v>
          </cell>
          <cell r="H8292" t="str">
            <v>g__unclassified_c__Bacilli</v>
          </cell>
          <cell r="I8292" t="str">
            <v>s__unclassified_c__Bacilli</v>
          </cell>
        </row>
        <row r="8293">
          <cell r="G8293" t="str">
            <v>ASV10037</v>
          </cell>
          <cell r="H8293" t="str">
            <v>g__Sutterella</v>
          </cell>
          <cell r="I8293" t="str">
            <v>s__unclassified_g__Sutterella</v>
          </cell>
        </row>
        <row r="8294">
          <cell r="G8294" t="str">
            <v>ASV9319</v>
          </cell>
          <cell r="H8294" t="str">
            <v>g__norank_f__Eubacterium_coprostanoligenes_group</v>
          </cell>
          <cell r="I8294" t="str">
            <v>s__unclassified_g__norank_f__Eubacterium_coprostanoligenes_group</v>
          </cell>
        </row>
        <row r="8295">
          <cell r="G8295" t="str">
            <v>ASV11409</v>
          </cell>
          <cell r="H8295" t="str">
            <v>g__UCG-005</v>
          </cell>
          <cell r="I8295" t="str">
            <v>s__unclassified_g__UCG-005</v>
          </cell>
        </row>
        <row r="8296">
          <cell r="G8296" t="str">
            <v>ASV19447</v>
          </cell>
          <cell r="H8296" t="str">
            <v>g__unclassified_c__Bacilli</v>
          </cell>
          <cell r="I8296" t="str">
            <v>s__unclassified_c__Bacilli</v>
          </cell>
        </row>
        <row r="8297">
          <cell r="G8297" t="str">
            <v>ASV13794</v>
          </cell>
          <cell r="H8297" t="str">
            <v>g__Enterococcus</v>
          </cell>
          <cell r="I8297" t="str">
            <v>s__unclassified_g__Enterococcus</v>
          </cell>
        </row>
        <row r="8298">
          <cell r="G8298" t="str">
            <v>ASV22014</v>
          </cell>
          <cell r="H8298" t="str">
            <v>g__norank_f__UCG-011</v>
          </cell>
          <cell r="I8298" t="str">
            <v>s__uncultured_bacterium_g__norank_f__UCG-011</v>
          </cell>
        </row>
        <row r="8299">
          <cell r="G8299" t="str">
            <v>ASV17139</v>
          </cell>
          <cell r="H8299" t="str">
            <v>g__Clostridium_sensu_stricto_1</v>
          </cell>
          <cell r="I8299" t="str">
            <v>s__unclassified_g__Clostridium_sensu_stricto_1</v>
          </cell>
        </row>
        <row r="8300">
          <cell r="G8300" t="str">
            <v>ASV13340</v>
          </cell>
          <cell r="H8300" t="str">
            <v>g__Lactobacillus</v>
          </cell>
          <cell r="I8300" t="str">
            <v>s__unclassified_g__Lactobacillus</v>
          </cell>
        </row>
        <row r="8301">
          <cell r="G8301" t="str">
            <v>ASV23149</v>
          </cell>
          <cell r="H8301" t="str">
            <v>g__unclassified_c__Clostridia</v>
          </cell>
          <cell r="I8301" t="str">
            <v>s__unclassified_c__Clostridia</v>
          </cell>
        </row>
        <row r="8302">
          <cell r="G8302" t="str">
            <v>ASV23148</v>
          </cell>
          <cell r="H8302" t="str">
            <v>g__Christensenellaceae_R-7_group</v>
          </cell>
          <cell r="I8302" t="str">
            <v>s__unclassified_g__Christensenellaceae_R-7_group</v>
          </cell>
        </row>
        <row r="8303">
          <cell r="G8303" t="str">
            <v>ASV2056</v>
          </cell>
          <cell r="H8303" t="str">
            <v>g__unclassified_f__Lachnospiraceae</v>
          </cell>
          <cell r="I8303" t="str">
            <v>s__unclassified_f__Lachnospiraceae</v>
          </cell>
        </row>
        <row r="8304">
          <cell r="G8304" t="str">
            <v>ASV19464</v>
          </cell>
          <cell r="H8304" t="str">
            <v>g__unclassified_f__Lachnospiraceae</v>
          </cell>
          <cell r="I8304" t="str">
            <v>s__unclassified_f__Lachnospiraceae</v>
          </cell>
        </row>
        <row r="8305">
          <cell r="G8305" t="str">
            <v>ASV4711</v>
          </cell>
          <cell r="H8305" t="str">
            <v>g__unclassified_o__Oscillospirales</v>
          </cell>
          <cell r="I8305" t="str">
            <v>s__unclassified_o__Oscillospirales</v>
          </cell>
        </row>
        <row r="8306">
          <cell r="G8306" t="str">
            <v>ASV19379</v>
          </cell>
          <cell r="H8306" t="str">
            <v>g__unclassified_p__Firmicutes</v>
          </cell>
          <cell r="I8306" t="str">
            <v>s__unclassified_p__Firmicutes</v>
          </cell>
        </row>
        <row r="8307">
          <cell r="G8307" t="str">
            <v>ASV554</v>
          </cell>
          <cell r="H8307" t="str">
            <v>g__unclassified_c__Bacilli</v>
          </cell>
          <cell r="I8307" t="str">
            <v>s__unclassified_c__Bacilli</v>
          </cell>
        </row>
        <row r="8308">
          <cell r="G8308" t="str">
            <v>ASV1624</v>
          </cell>
          <cell r="H8308" t="str">
            <v>g__norank_f__norank_o__Clostridia_UCG-014</v>
          </cell>
          <cell r="I8308" t="str">
            <v>s__unclassified_g__norank_f__norank_o__Clostridia_UCG-014</v>
          </cell>
        </row>
        <row r="8309">
          <cell r="G8309" t="str">
            <v>ASV7646</v>
          </cell>
          <cell r="H8309" t="str">
            <v>g__Lactobacillus</v>
          </cell>
          <cell r="I8309" t="str">
            <v>s__unclassified_g__Lactobacillus</v>
          </cell>
        </row>
        <row r="8310">
          <cell r="G8310" t="str">
            <v>ASV18542</v>
          </cell>
          <cell r="H8310" t="str">
            <v>g__Lactobacillus</v>
          </cell>
          <cell r="I8310" t="str">
            <v>s__unclassified_g__Lactobacillus</v>
          </cell>
        </row>
        <row r="8311">
          <cell r="G8311" t="str">
            <v>ASV22075</v>
          </cell>
          <cell r="H8311" t="str">
            <v>g__unclassified_o__Veillonellales-Selenomonadales</v>
          </cell>
          <cell r="I8311" t="str">
            <v>s__unclassified_o__Veillonellales-Selenomonadales</v>
          </cell>
        </row>
        <row r="8312">
          <cell r="G8312" t="str">
            <v>ASV19047</v>
          </cell>
          <cell r="H8312" t="str">
            <v>g__Monoglobus</v>
          </cell>
          <cell r="I8312" t="str">
            <v>s__uncultured_rumen_bacterium_g__Monoglobus</v>
          </cell>
        </row>
        <row r="8313">
          <cell r="G8313" t="str">
            <v>ASV16177</v>
          </cell>
          <cell r="H8313" t="str">
            <v>g__unclassified_f__Lachnospiraceae</v>
          </cell>
          <cell r="I8313" t="str">
            <v>s__unclassified_f__Lachnospiraceae</v>
          </cell>
        </row>
        <row r="8314">
          <cell r="G8314" t="str">
            <v>ASV21198</v>
          </cell>
          <cell r="H8314" t="str">
            <v>g__Lactobacillus</v>
          </cell>
          <cell r="I8314" t="str">
            <v>s__unclassified_g__Lactobacillus</v>
          </cell>
        </row>
        <row r="8315">
          <cell r="G8315" t="str">
            <v>ASV8966</v>
          </cell>
          <cell r="H8315" t="str">
            <v>g__unclassified_c__Gammaproteobacteria</v>
          </cell>
          <cell r="I8315" t="str">
            <v>s__unclassified_c__Gammaproteobacteria</v>
          </cell>
        </row>
        <row r="8316">
          <cell r="G8316" t="str">
            <v>ASV9990</v>
          </cell>
          <cell r="H8316" t="str">
            <v>g__norank_f__norank_o__WCHB1-41</v>
          </cell>
          <cell r="I8316" t="str">
            <v>s__uncultured_rumen_bacterium_g__norank_f__norank</v>
          </cell>
        </row>
        <row r="8317">
          <cell r="G8317" t="str">
            <v>ASV21203</v>
          </cell>
          <cell r="H8317" t="str">
            <v>g__Lactobacillus</v>
          </cell>
          <cell r="I8317" t="str">
            <v>s__unclassified_g__Lactobacillus</v>
          </cell>
        </row>
        <row r="8318">
          <cell r="G8318" t="str">
            <v>ASV19421</v>
          </cell>
          <cell r="H8318" t="str">
            <v>g__unclassified_f__Oscillospiraceae</v>
          </cell>
          <cell r="I8318" t="str">
            <v>s__unclassified_f__Oscillospiraceae</v>
          </cell>
        </row>
        <row r="8319">
          <cell r="G8319" t="str">
            <v>ASV15273</v>
          </cell>
          <cell r="H8319" t="str">
            <v>g__unclassified_c__Clostridia</v>
          </cell>
          <cell r="I8319" t="str">
            <v>s__unclassified_c__Clostridia</v>
          </cell>
        </row>
        <row r="8320">
          <cell r="G8320" t="str">
            <v>ASV13353</v>
          </cell>
          <cell r="H8320" t="str">
            <v>g__unclassified_f__Lachnospiraceae</v>
          </cell>
          <cell r="I8320" t="str">
            <v>s__unclassified_f__Lachnospiraceae</v>
          </cell>
        </row>
        <row r="8321">
          <cell r="G8321" t="str">
            <v>ASV13703</v>
          </cell>
          <cell r="H8321" t="str">
            <v>g__Lactobacillus</v>
          </cell>
          <cell r="I8321" t="str">
            <v>s__uncultured_bacterium_g__Lactobacillus</v>
          </cell>
        </row>
        <row r="8322">
          <cell r="G8322" t="str">
            <v>ASV2057</v>
          </cell>
          <cell r="H8322" t="str">
            <v>g__unclassified_c__Clostridia</v>
          </cell>
          <cell r="I8322" t="str">
            <v>s__unclassified_c__Clostridia</v>
          </cell>
        </row>
        <row r="8323">
          <cell r="G8323" t="str">
            <v>ASV19453</v>
          </cell>
          <cell r="H8323" t="str">
            <v>g__unclassified_f__Ruminococcaceae</v>
          </cell>
          <cell r="I8323" t="str">
            <v>s__unclassified_f__Ruminococcaceae</v>
          </cell>
        </row>
        <row r="8324">
          <cell r="G8324" t="str">
            <v>ASV17876</v>
          </cell>
          <cell r="H8324" t="str">
            <v>g__Christensenellaceae_R-7_group</v>
          </cell>
          <cell r="I8324" t="str">
            <v>s__unclassified_g__Christensenellaceae_R-7_group</v>
          </cell>
        </row>
        <row r="8325">
          <cell r="G8325" t="str">
            <v>ASV5013</v>
          </cell>
          <cell r="H8325" t="str">
            <v>g__unclassified_f__Lachnospiraceae</v>
          </cell>
          <cell r="I8325" t="str">
            <v>s__unclassified_f__Lachnospiraceae</v>
          </cell>
        </row>
        <row r="8326">
          <cell r="G8326" t="str">
            <v>ASV10532</v>
          </cell>
          <cell r="H8326" t="str">
            <v>g__unclassified_o__Bacteroidales</v>
          </cell>
          <cell r="I8326" t="str">
            <v>s__unclassified_o__Bacteroidales</v>
          </cell>
        </row>
        <row r="8327">
          <cell r="G8327" t="str">
            <v>ASV14072</v>
          </cell>
          <cell r="H8327" t="str">
            <v>g__Lactobacillus</v>
          </cell>
          <cell r="I8327" t="str">
            <v>s__unclassified_g__Lactobacillus</v>
          </cell>
        </row>
        <row r="8328">
          <cell r="G8328" t="str">
            <v>ASV23145</v>
          </cell>
          <cell r="H8328" t="str">
            <v>g__Clostridium_sensu_stricto_1</v>
          </cell>
          <cell r="I8328" t="str">
            <v>s__unclassified_g__Clostridium_sensu_stricto_1</v>
          </cell>
        </row>
        <row r="8329">
          <cell r="G8329" t="str">
            <v>ASV21185</v>
          </cell>
          <cell r="H8329" t="str">
            <v>g__unclassified_k__norank_d__Bacteria</v>
          </cell>
          <cell r="I8329" t="str">
            <v>s__unclassified_k__norank_d__Bacteria</v>
          </cell>
        </row>
        <row r="8330">
          <cell r="G8330" t="str">
            <v>ASV9301</v>
          </cell>
          <cell r="H8330" t="str">
            <v>g__unclassified_c__Clostridia</v>
          </cell>
          <cell r="I8330" t="str">
            <v>s__unclassified_c__Clostridia</v>
          </cell>
        </row>
        <row r="8331">
          <cell r="G8331" t="str">
            <v>ASV17407</v>
          </cell>
          <cell r="H8331" t="str">
            <v>g__Lactobacillus</v>
          </cell>
          <cell r="I8331" t="str">
            <v>s__unclassified_g__Lactobacillus</v>
          </cell>
        </row>
        <row r="8332">
          <cell r="G8332" t="str">
            <v>ASV19406</v>
          </cell>
          <cell r="H8332" t="str">
            <v>g__unclassified_p__Firmicutes</v>
          </cell>
          <cell r="I8332" t="str">
            <v>s__unclassified_p__Firmicutes</v>
          </cell>
        </row>
        <row r="8333">
          <cell r="G8333" t="str">
            <v>ASV15943</v>
          </cell>
          <cell r="H8333" t="str">
            <v>g__Campylobacter</v>
          </cell>
          <cell r="I8333" t="str">
            <v>s__unclassified_g__Campylobacter</v>
          </cell>
        </row>
        <row r="8334">
          <cell r="G8334" t="str">
            <v>ASV18835</v>
          </cell>
          <cell r="H8334" t="str">
            <v>g__unclassified_k__norank_d__Bacteria</v>
          </cell>
          <cell r="I8334" t="str">
            <v>s__unclassified_k__norank_d__Bacteria</v>
          </cell>
        </row>
        <row r="8335">
          <cell r="G8335" t="str">
            <v>ASV23757</v>
          </cell>
          <cell r="H8335" t="str">
            <v>g__Marvinbryantia</v>
          </cell>
          <cell r="I8335" t="str">
            <v>s__unclassified_g__Marvinbryantia</v>
          </cell>
        </row>
        <row r="8336">
          <cell r="G8336" t="str">
            <v>ASV9285</v>
          </cell>
          <cell r="H8336" t="str">
            <v>g__unclassified_f__Lachnospiraceae</v>
          </cell>
          <cell r="I8336" t="str">
            <v>s__unclassified_f__Lachnospiraceae</v>
          </cell>
        </row>
        <row r="8337">
          <cell r="G8337" t="str">
            <v>ASV11431</v>
          </cell>
          <cell r="H8337" t="str">
            <v>g__Treponema</v>
          </cell>
          <cell r="I8337" t="str">
            <v>s__uncultured_bacterium_g__Treponema</v>
          </cell>
        </row>
        <row r="8338">
          <cell r="G8338" t="str">
            <v>ASV14134</v>
          </cell>
          <cell r="H8338" t="str">
            <v>g__Clostridium_sensu_stricto_1</v>
          </cell>
          <cell r="I8338" t="str">
            <v>s__unclassified_g__Clostridium_sensu_stricto_1</v>
          </cell>
        </row>
        <row r="8339">
          <cell r="G8339" t="str">
            <v>ASV20673</v>
          </cell>
          <cell r="H8339" t="str">
            <v>g__Lachnospiraceae_NC2004_group</v>
          </cell>
          <cell r="I8339" t="str">
            <v>s__unclassified_g__Lachnospiraceae_NC2004_group</v>
          </cell>
        </row>
        <row r="8340">
          <cell r="G8340" t="str">
            <v>ASV4725</v>
          </cell>
          <cell r="H8340" t="str">
            <v>g__unclassified_f__Lachnospiraceae</v>
          </cell>
          <cell r="I8340" t="str">
            <v>s__unclassified_f__Lachnospiraceae</v>
          </cell>
        </row>
        <row r="8341">
          <cell r="G8341" t="str">
            <v>ASV23755</v>
          </cell>
          <cell r="H8341" t="str">
            <v>g__norank_f__Lachnospiraceae</v>
          </cell>
          <cell r="I8341" t="str">
            <v>s__Lachnospiraceae_bacterium_feline_oral_taxon_008</v>
          </cell>
        </row>
        <row r="8342">
          <cell r="G8342" t="str">
            <v>ASV523</v>
          </cell>
          <cell r="H8342" t="str">
            <v>g__unclassified_c__Bacilli</v>
          </cell>
          <cell r="I8342" t="str">
            <v>s__unclassified_c__Bacilli</v>
          </cell>
        </row>
        <row r="8343">
          <cell r="G8343" t="str">
            <v>ASV5722</v>
          </cell>
          <cell r="H8343" t="str">
            <v>g__unclassified_p__Firmicutes</v>
          </cell>
          <cell r="I8343" t="str">
            <v>s__unclassified_p__Firmicutes</v>
          </cell>
        </row>
        <row r="8344">
          <cell r="G8344" t="str">
            <v>ASV4716</v>
          </cell>
          <cell r="H8344" t="str">
            <v>g__unclassified_p__Firmicutes</v>
          </cell>
          <cell r="I8344" t="str">
            <v>s__unclassified_p__Firmicutes</v>
          </cell>
        </row>
        <row r="8345">
          <cell r="G8345" t="str">
            <v>ASV17917</v>
          </cell>
          <cell r="H8345" t="str">
            <v>g__Ruminococcus</v>
          </cell>
          <cell r="I8345" t="str">
            <v>s__unclassified_g__Ruminococcus</v>
          </cell>
        </row>
        <row r="8346">
          <cell r="G8346" t="str">
            <v>ASV3019</v>
          </cell>
          <cell r="H8346" t="str">
            <v>g__Prevotella</v>
          </cell>
          <cell r="I8346" t="str">
            <v>s__Prevotella_sp._DJF_CP65</v>
          </cell>
        </row>
        <row r="8347">
          <cell r="G8347" t="str">
            <v>ASV22895</v>
          </cell>
          <cell r="H8347" t="str">
            <v>g__Sutterella</v>
          </cell>
          <cell r="I8347" t="str">
            <v>s__Sutterella_parvirubra</v>
          </cell>
        </row>
        <row r="8348">
          <cell r="G8348" t="str">
            <v>ASV16359</v>
          </cell>
          <cell r="H8348" t="str">
            <v>g__norank_f__Muribaculaceae</v>
          </cell>
          <cell r="I8348" t="str">
            <v>s__uncultured_Porphyromonadaceae_bacterium_g__norank_f__Muribaculaceae</v>
          </cell>
        </row>
        <row r="8349">
          <cell r="G8349" t="str">
            <v>ASV12662</v>
          </cell>
          <cell r="H8349" t="str">
            <v>g__Helicobacter</v>
          </cell>
          <cell r="I8349" t="str">
            <v>s__unclassified_g__Helicobacter</v>
          </cell>
        </row>
        <row r="8350">
          <cell r="G8350" t="str">
            <v>ASV565</v>
          </cell>
          <cell r="H8350" t="str">
            <v>g__unclassified_f__Ruminococcaceae</v>
          </cell>
          <cell r="I8350" t="str">
            <v>s__unclassified_f__Ruminococcaceae</v>
          </cell>
        </row>
        <row r="8351">
          <cell r="G8351" t="str">
            <v>ASV8457</v>
          </cell>
          <cell r="H8351" t="str">
            <v>g__unclassified_p__Firmicutes</v>
          </cell>
          <cell r="I8351" t="str">
            <v>s__unclassified_p__Firmicutes</v>
          </cell>
        </row>
        <row r="8352">
          <cell r="G8352" t="str">
            <v>ASV14085</v>
          </cell>
          <cell r="H8352" t="str">
            <v>g__Lactobacillus</v>
          </cell>
          <cell r="I8352" t="str">
            <v>s__unclassified_g__Lactobacillus</v>
          </cell>
        </row>
        <row r="8353">
          <cell r="G8353" t="str">
            <v>ASV6644</v>
          </cell>
          <cell r="H8353" t="str">
            <v>g__unclassified_f__Oscillospiraceae</v>
          </cell>
          <cell r="I8353" t="str">
            <v>s__unclassified_f__Oscillospiraceae</v>
          </cell>
        </row>
        <row r="8354">
          <cell r="G8354" t="str">
            <v>ASV2079</v>
          </cell>
          <cell r="H8354" t="str">
            <v>g__Escherichia-Shigella</v>
          </cell>
          <cell r="I8354" t="str">
            <v>s__unclassified_g__Escherichia-Shigella</v>
          </cell>
        </row>
        <row r="8355">
          <cell r="G8355" t="str">
            <v>ASV2062</v>
          </cell>
          <cell r="H8355" t="str">
            <v>g__unclassified_f__Lachnospiraceae</v>
          </cell>
          <cell r="I8355" t="str">
            <v>s__unclassified_f__Lachnospiraceae</v>
          </cell>
        </row>
        <row r="8356">
          <cell r="G8356" t="str">
            <v>ASV3917</v>
          </cell>
          <cell r="H8356" t="str">
            <v>g__unclassified_f__Ruminococcaceae</v>
          </cell>
          <cell r="I8356" t="str">
            <v>s__unclassified_f__Ruminococcaceae</v>
          </cell>
        </row>
        <row r="8357">
          <cell r="G8357" t="str">
            <v>ASV3916</v>
          </cell>
          <cell r="H8357" t="str">
            <v>g__unclassified_f__Synergistaceae</v>
          </cell>
          <cell r="I8357" t="str">
            <v>s__unclassified_f__Synergistaceae</v>
          </cell>
        </row>
        <row r="8358">
          <cell r="G8358" t="str">
            <v>ASV15948</v>
          </cell>
          <cell r="H8358" t="str">
            <v>g__unclassified_f__Lachnospiraceae</v>
          </cell>
          <cell r="I8358" t="str">
            <v>s__unclassified_f__Lachnospiraceae</v>
          </cell>
        </row>
        <row r="8359">
          <cell r="G8359" t="str">
            <v>ASV15293</v>
          </cell>
          <cell r="H8359" t="str">
            <v>g__unclassified_c__Clostridia</v>
          </cell>
          <cell r="I8359" t="str">
            <v>s__unclassified_c__Clostridia</v>
          </cell>
        </row>
        <row r="8360">
          <cell r="G8360" t="str">
            <v>ASV10549</v>
          </cell>
          <cell r="H8360" t="str">
            <v>g__Lactobacillus</v>
          </cell>
          <cell r="I8360" t="str">
            <v>s__unclassified_g__Lactobacillus</v>
          </cell>
        </row>
        <row r="8361">
          <cell r="G8361" t="str">
            <v>ASV20429</v>
          </cell>
          <cell r="H8361" t="str">
            <v>g__Deinococcus</v>
          </cell>
          <cell r="I8361" t="str">
            <v>s__unclassified_g__Deinococcus</v>
          </cell>
        </row>
        <row r="8362">
          <cell r="G8362" t="str">
            <v>ASV21736</v>
          </cell>
          <cell r="H8362" t="str">
            <v>g__Ottowia</v>
          </cell>
          <cell r="I8362" t="str">
            <v>s__unclassified_g__Ottowia</v>
          </cell>
        </row>
        <row r="8363">
          <cell r="G8363" t="str">
            <v>ASV2055</v>
          </cell>
          <cell r="H8363" t="str">
            <v>g__Mogibacterium</v>
          </cell>
          <cell r="I8363" t="str">
            <v>s__unclassified_g__Mogibacterium</v>
          </cell>
        </row>
        <row r="8364">
          <cell r="G8364" t="str">
            <v>ASV1619</v>
          </cell>
          <cell r="H8364" t="str">
            <v>g__unclassified_c__Clostridia</v>
          </cell>
          <cell r="I8364" t="str">
            <v>s__unclassified_c__Clostridia</v>
          </cell>
        </row>
        <row r="8365">
          <cell r="G8365" t="str">
            <v>ASV13349</v>
          </cell>
          <cell r="H8365" t="str">
            <v>g__unclassified_f__Lachnospiraceae</v>
          </cell>
          <cell r="I8365" t="str">
            <v>s__unclassified_f__Lachnospiraceae</v>
          </cell>
        </row>
        <row r="8366">
          <cell r="G8366" t="str">
            <v>ASV14092</v>
          </cell>
          <cell r="H8366" t="str">
            <v>g__Clostridium_sensu_stricto_1</v>
          </cell>
          <cell r="I8366" t="str">
            <v>s__unclassified_g__Clostridium_sensu_stricto_1</v>
          </cell>
        </row>
        <row r="8367">
          <cell r="G8367" t="str">
            <v>ASV3941</v>
          </cell>
          <cell r="H8367" t="str">
            <v>g__unclassified_c__Clostridia</v>
          </cell>
          <cell r="I8367" t="str">
            <v>s__unclassified_c__Clostridia</v>
          </cell>
        </row>
        <row r="8368">
          <cell r="G8368" t="str">
            <v>ASV5777</v>
          </cell>
          <cell r="H8368" t="str">
            <v>g__unclassified_o__Oscillospirales</v>
          </cell>
          <cell r="I8368" t="str">
            <v>s__unclassified_o__Oscillospirales</v>
          </cell>
        </row>
        <row r="8369">
          <cell r="G8369" t="str">
            <v>ASV3934</v>
          </cell>
          <cell r="H8369" t="str">
            <v>g__unclassified_p__Firmicutes</v>
          </cell>
          <cell r="I8369" t="str">
            <v>s__unclassified_p__Firmicutes</v>
          </cell>
        </row>
        <row r="8370">
          <cell r="G8370" t="str">
            <v>ASV14066</v>
          </cell>
          <cell r="H8370" t="str">
            <v>g__unclassified_o__Oscillospirales</v>
          </cell>
          <cell r="I8370" t="str">
            <v>s__unclassified_o__Oscillospirales</v>
          </cell>
        </row>
        <row r="8371">
          <cell r="G8371" t="str">
            <v>ASV23172</v>
          </cell>
          <cell r="H8371" t="str">
            <v>g__Peptococcus</v>
          </cell>
          <cell r="I8371" t="str">
            <v>s__uncultured_bacterium_g__Peptococcus</v>
          </cell>
        </row>
        <row r="8372">
          <cell r="G8372" t="str">
            <v>ASV9998</v>
          </cell>
          <cell r="H8372" t="str">
            <v>g__norank_f__norank_o__Rhodospirillales</v>
          </cell>
          <cell r="I8372" t="str">
            <v>s__uncultured_bacterium_g__norank_f__norank_o__Rhodospirillales</v>
          </cell>
        </row>
        <row r="8373">
          <cell r="G8373" t="str">
            <v>ASV13338</v>
          </cell>
          <cell r="H8373" t="str">
            <v>g__unclassified_p__Firmicutes</v>
          </cell>
          <cell r="I8373" t="str">
            <v>s__unclassified_p__Firmicutes</v>
          </cell>
        </row>
        <row r="8374">
          <cell r="G8374" t="str">
            <v>ASV18540</v>
          </cell>
          <cell r="H8374" t="str">
            <v>g__Lactobacillus</v>
          </cell>
          <cell r="I8374" t="str">
            <v>s__unclassified_g__Lactobacillus</v>
          </cell>
        </row>
        <row r="8375">
          <cell r="G8375" t="str">
            <v>ASV5738</v>
          </cell>
          <cell r="H8375" t="str">
            <v>g__unclassified_c__Clostridia</v>
          </cell>
          <cell r="I8375" t="str">
            <v>s__unclassified_c__Clostridia</v>
          </cell>
        </row>
        <row r="8376">
          <cell r="G8376" t="str">
            <v>ASV15940</v>
          </cell>
          <cell r="H8376" t="str">
            <v>g__unclassified_f__Lachnospiraceae</v>
          </cell>
          <cell r="I8376" t="str">
            <v>s__unclassified_f__Lachnospiraceae</v>
          </cell>
        </row>
        <row r="8377">
          <cell r="G8377" t="str">
            <v>ASV14130</v>
          </cell>
          <cell r="H8377" t="str">
            <v>g__unclassified_c__Clostridia</v>
          </cell>
          <cell r="I8377" t="str">
            <v>s__unclassified_c__Clostridia</v>
          </cell>
        </row>
        <row r="8378">
          <cell r="G8378" t="str">
            <v>ASV16861</v>
          </cell>
          <cell r="H8378" t="str">
            <v>g__unclassified_p__Firmicutes</v>
          </cell>
          <cell r="I8378" t="str">
            <v>s__unclassified_p__Firmicutes</v>
          </cell>
        </row>
        <row r="8379">
          <cell r="G8379" t="str">
            <v>ASV12631</v>
          </cell>
          <cell r="H8379" t="str">
            <v>g__Parabacteroides</v>
          </cell>
          <cell r="I8379" t="str">
            <v>s__unclassified_g__Parabacteroides</v>
          </cell>
        </row>
        <row r="8380">
          <cell r="G8380" t="str">
            <v>ASV12661</v>
          </cell>
          <cell r="H8380" t="str">
            <v>g__Christensenellaceae_R-7_group</v>
          </cell>
          <cell r="I8380" t="str">
            <v>s__unclassified_g__Christensenellaceae_R-7_group</v>
          </cell>
        </row>
        <row r="8381">
          <cell r="G8381" t="str">
            <v>ASV2063</v>
          </cell>
          <cell r="H8381" t="str">
            <v>g__unclassified_o__Oscillospirales</v>
          </cell>
          <cell r="I8381" t="str">
            <v>s__unclassified_o__Oscillospirales</v>
          </cell>
        </row>
        <row r="8382">
          <cell r="G8382" t="str">
            <v>ASV17897</v>
          </cell>
          <cell r="H8382" t="str">
            <v>g__unclassified_o__Oscillospirales</v>
          </cell>
          <cell r="I8382" t="str">
            <v>s__unclassified_o__Oscillospirales</v>
          </cell>
        </row>
        <row r="8383">
          <cell r="G8383" t="str">
            <v>ASV5757</v>
          </cell>
          <cell r="H8383" t="str">
            <v>g__unclassified_c__Clostridia</v>
          </cell>
          <cell r="I8383" t="str">
            <v>s__unclassified_c__Clostridia</v>
          </cell>
        </row>
        <row r="8384">
          <cell r="G8384" t="str">
            <v>ASV3456</v>
          </cell>
          <cell r="H8384" t="str">
            <v>g__Bacillus</v>
          </cell>
          <cell r="I8384" t="str">
            <v>s__Lactobacillus_vaginalis_g__Bacillus</v>
          </cell>
        </row>
        <row r="8385">
          <cell r="G8385" t="str">
            <v>ASV20664</v>
          </cell>
          <cell r="H8385" t="str">
            <v>g__Christensenellaceae_R-7_group</v>
          </cell>
          <cell r="I8385" t="str">
            <v>s__unclassified_g__Christensenellaceae_R-7_group</v>
          </cell>
        </row>
        <row r="8386">
          <cell r="G8386" t="str">
            <v>ASV6625</v>
          </cell>
          <cell r="H8386" t="str">
            <v>g__Escherichia-Shigella</v>
          </cell>
          <cell r="I8386" t="str">
            <v>s__unclassified_g__Escherichia-Shigella</v>
          </cell>
        </row>
        <row r="8387">
          <cell r="G8387" t="str">
            <v>ASV20436</v>
          </cell>
          <cell r="H8387" t="str">
            <v>g__Hydrogenophaga</v>
          </cell>
          <cell r="I8387" t="str">
            <v>s__unclassified_g__Hydrogenophaga</v>
          </cell>
        </row>
        <row r="8388">
          <cell r="G8388" t="str">
            <v>ASV12643</v>
          </cell>
          <cell r="H8388" t="str">
            <v>g__Clostridium_sensu_stricto_1</v>
          </cell>
          <cell r="I8388" t="str">
            <v>s__uncultured_bacterium_g__Clostridium_sensu_stricto_1</v>
          </cell>
        </row>
        <row r="8389">
          <cell r="G8389" t="str">
            <v>ASV23165</v>
          </cell>
          <cell r="H8389" t="str">
            <v>g__Lactobacillus</v>
          </cell>
          <cell r="I8389" t="str">
            <v>s__unclassified_g__Lactobacillus</v>
          </cell>
        </row>
        <row r="8390">
          <cell r="G8390" t="str">
            <v>ASV3172</v>
          </cell>
          <cell r="H8390" t="str">
            <v>g__Desulfovibrio</v>
          </cell>
          <cell r="I8390" t="str">
            <v>s__Desulfovibrio_sp._enrichment_culture_clone_Jdgsrb034</v>
          </cell>
        </row>
        <row r="8391">
          <cell r="G8391" t="str">
            <v>ASV11433</v>
          </cell>
          <cell r="H8391" t="str">
            <v>g__norank_f__Muribaculaceae</v>
          </cell>
          <cell r="I8391" t="str">
            <v>s__uncultured_bacterium_g__norank_f__Muribaculaceae</v>
          </cell>
        </row>
        <row r="8392">
          <cell r="G8392" t="str">
            <v>ASV16340</v>
          </cell>
          <cell r="H8392" t="str">
            <v>g__unclassified_f__Rikenellaceae</v>
          </cell>
          <cell r="I8392" t="str">
            <v>s__unclassified_f__Rikenellaceae</v>
          </cell>
        </row>
        <row r="8393">
          <cell r="G8393" t="str">
            <v>ASV16350</v>
          </cell>
          <cell r="H8393" t="str">
            <v>g__Parabacteroides</v>
          </cell>
          <cell r="I8393" t="str">
            <v>s__uncultured_bacterium_g__Parabacteroides</v>
          </cell>
        </row>
        <row r="8394">
          <cell r="G8394" t="str">
            <v>ASV8468</v>
          </cell>
          <cell r="H8394" t="str">
            <v>g__Veillonella</v>
          </cell>
          <cell r="I8394" t="str">
            <v>s__unclassified_g__Veillonella</v>
          </cell>
        </row>
        <row r="8395">
          <cell r="G8395" t="str">
            <v>ASV17894</v>
          </cell>
          <cell r="H8395" t="str">
            <v>g__UCG-009</v>
          </cell>
          <cell r="I8395" t="str">
            <v>s__uncultured_bacterium_g__UCG-009</v>
          </cell>
        </row>
        <row r="8396">
          <cell r="G8396" t="str">
            <v>ASV684</v>
          </cell>
          <cell r="H8396" t="str">
            <v>g__unclassified_k__norank_d__Bacteria</v>
          </cell>
          <cell r="I8396" t="str">
            <v>s__unclassified_k__norank_d__Bacteria</v>
          </cell>
        </row>
        <row r="8397">
          <cell r="G8397" t="str">
            <v>ASV18861</v>
          </cell>
          <cell r="H8397" t="str">
            <v>g__Megasphaera</v>
          </cell>
          <cell r="I8397" t="str">
            <v>s__unclassified_g__Megasphaera</v>
          </cell>
        </row>
        <row r="8398">
          <cell r="G8398" t="str">
            <v>ASV3211</v>
          </cell>
          <cell r="H8398" t="str">
            <v>g__Lactobacillus</v>
          </cell>
          <cell r="I8398" t="str">
            <v>s__unclassified_g__Lactobacillus</v>
          </cell>
        </row>
        <row r="8399">
          <cell r="G8399" t="str">
            <v>ASV4846</v>
          </cell>
          <cell r="H8399" t="str">
            <v>g__NK4A214_group</v>
          </cell>
          <cell r="I8399" t="str">
            <v>s__unclassified_g__NK4A214_group</v>
          </cell>
        </row>
        <row r="8400">
          <cell r="G8400" t="str">
            <v>ASV20788</v>
          </cell>
          <cell r="H8400" t="str">
            <v>g__Lactobacillus</v>
          </cell>
          <cell r="I8400" t="str">
            <v>s__unclassified_g__Lactobacillus</v>
          </cell>
        </row>
        <row r="8401">
          <cell r="G8401" t="str">
            <v>ASV12776</v>
          </cell>
          <cell r="H8401" t="str">
            <v>g__Subdoligranulum</v>
          </cell>
          <cell r="I8401" t="str">
            <v>s__uncultured_bacterium_g__Subdoligranulum</v>
          </cell>
        </row>
        <row r="8402">
          <cell r="G8402" t="str">
            <v>ASV9384</v>
          </cell>
          <cell r="H8402" t="str">
            <v>g__unclassified_f__Oscillospiraceae</v>
          </cell>
          <cell r="I8402" t="str">
            <v>s__unclassified_f__Oscillospiraceae</v>
          </cell>
        </row>
        <row r="8403">
          <cell r="G8403" t="str">
            <v>ASV4797</v>
          </cell>
          <cell r="H8403" t="str">
            <v>g__Eubacterium_oxidoreducens_group</v>
          </cell>
          <cell r="I8403" t="str">
            <v>s__uncultured_bacterium_g__Eubacterium_oxidoreducens_group</v>
          </cell>
        </row>
        <row r="8404">
          <cell r="G8404" t="str">
            <v>ASV20723</v>
          </cell>
          <cell r="H8404" t="str">
            <v>g__Phascolarctobacterium</v>
          </cell>
          <cell r="I8404" t="str">
            <v>s__Ruminococcus_sp._N15.MGS-57_g__Phascolarctobacterium</v>
          </cell>
        </row>
        <row r="8405">
          <cell r="G8405" t="str">
            <v>ASV11054</v>
          </cell>
          <cell r="H8405" t="str">
            <v>g__Escherichia-Shigella</v>
          </cell>
          <cell r="I8405" t="str">
            <v>s__unclassified_g__Escherichia-Shigella</v>
          </cell>
        </row>
        <row r="8406">
          <cell r="G8406" t="str">
            <v>ASV23220</v>
          </cell>
          <cell r="H8406" t="str">
            <v>g__Megasphaera</v>
          </cell>
          <cell r="I8406" t="str">
            <v>s__unclassified_g__Megasphaera</v>
          </cell>
        </row>
        <row r="8407">
          <cell r="G8407" t="str">
            <v>ASV19518</v>
          </cell>
          <cell r="H8407" t="str">
            <v>g__unclassified_f__Lachnospiraceae</v>
          </cell>
          <cell r="I8407" t="str">
            <v>s__unclassified_f__Lachnospiraceae</v>
          </cell>
        </row>
        <row r="8408">
          <cell r="G8408" t="str">
            <v>ASV11659</v>
          </cell>
          <cell r="H8408" t="str">
            <v>g__norank_f__Eubacterium_coprostanoligenes_group</v>
          </cell>
          <cell r="I8408" t="str">
            <v>s__uncultured_bacterium_g__norank_f__Eubacterium_coprostanoligenes_group</v>
          </cell>
        </row>
        <row r="8409">
          <cell r="G8409" t="str">
            <v>ASV16905</v>
          </cell>
          <cell r="H8409" t="str">
            <v>g__unclassified_f__Oscillospiraceae</v>
          </cell>
          <cell r="I8409" t="str">
            <v>s__unclassified_f__Oscillospiraceae</v>
          </cell>
        </row>
        <row r="8410">
          <cell r="G8410" t="str">
            <v>ASV15982</v>
          </cell>
          <cell r="H8410" t="str">
            <v>g__Megasphaera</v>
          </cell>
          <cell r="I8410" t="str">
            <v>s__unclassified_g__Megasphaera</v>
          </cell>
        </row>
        <row r="8411">
          <cell r="G8411" t="str">
            <v>ASV14153</v>
          </cell>
          <cell r="H8411" t="str">
            <v>g__Rikenellaceae_RC9_gut_group</v>
          </cell>
          <cell r="I8411" t="str">
            <v>s__uncultured_bacterium_g__Rikenellaceae_RC9_gut_group</v>
          </cell>
        </row>
        <row r="8412">
          <cell r="G8412" t="str">
            <v>ASV3966</v>
          </cell>
          <cell r="H8412" t="str">
            <v>g__Fusobacterium</v>
          </cell>
          <cell r="I8412" t="str">
            <v>s__unclassified_g__Fusobacterium</v>
          </cell>
        </row>
        <row r="8413">
          <cell r="G8413" t="str">
            <v>ASV4826</v>
          </cell>
          <cell r="H8413" t="str">
            <v>g__Escherichia-Shigella</v>
          </cell>
          <cell r="I8413" t="str">
            <v>s__unclassified_g__Escherichia-Shigella</v>
          </cell>
        </row>
        <row r="8414">
          <cell r="G8414" t="str">
            <v>ASV22201</v>
          </cell>
          <cell r="H8414" t="str">
            <v>g__Eubacterium_oxidoreducens_group</v>
          </cell>
          <cell r="I8414" t="str">
            <v>s__uncultured_bacterium_g__Eubacterium_oxidoreducens_group</v>
          </cell>
        </row>
        <row r="8415">
          <cell r="G8415" t="str">
            <v>ASV18021</v>
          </cell>
          <cell r="H8415" t="str">
            <v>g__unclassified_f__Oscillospiraceae</v>
          </cell>
          <cell r="I8415" t="str">
            <v>s__unclassified_f__Oscillospiraceae</v>
          </cell>
        </row>
        <row r="8416">
          <cell r="G8416" t="str">
            <v>ASV8635</v>
          </cell>
          <cell r="H8416" t="str">
            <v>g__Pedobacter</v>
          </cell>
          <cell r="I8416" t="str">
            <v>s__unclassified_g__Pedobacter</v>
          </cell>
        </row>
        <row r="8417">
          <cell r="G8417" t="str">
            <v>ASV8502</v>
          </cell>
          <cell r="H8417" t="str">
            <v>g__Megasphaera</v>
          </cell>
          <cell r="I8417" t="str">
            <v>s__unclassified_g__Megasphaera</v>
          </cell>
        </row>
        <row r="8418">
          <cell r="G8418" t="str">
            <v>ASV4014</v>
          </cell>
          <cell r="H8418" t="str">
            <v>g__Phascolarctobacterium</v>
          </cell>
          <cell r="I8418" t="str">
            <v>s__unclassified_g__Phascolarctobacterium</v>
          </cell>
        </row>
        <row r="8419">
          <cell r="G8419" t="str">
            <v>ASV10581</v>
          </cell>
          <cell r="H8419" t="str">
            <v>g__Subdoligranulum</v>
          </cell>
          <cell r="I8419" t="str">
            <v>s__unclassified_g__Subdoligranulum</v>
          </cell>
        </row>
        <row r="8420">
          <cell r="G8420" t="str">
            <v>ASV23190</v>
          </cell>
          <cell r="H8420" t="str">
            <v>g__norank_f__Peptococcaceae</v>
          </cell>
          <cell r="I8420" t="str">
            <v>s__uncultured_bacterium_g__norank_f__Peptococcaceae</v>
          </cell>
        </row>
        <row r="8421">
          <cell r="G8421" t="str">
            <v>ASV6671</v>
          </cell>
          <cell r="H8421" t="str">
            <v>g__unclassified_p__Firmicutes</v>
          </cell>
          <cell r="I8421" t="str">
            <v>s__unclassified_p__Firmicutes</v>
          </cell>
        </row>
        <row r="8422">
          <cell r="G8422" t="str">
            <v>ASV11674</v>
          </cell>
          <cell r="H8422" t="str">
            <v>g__unclassified_c__Clostridia</v>
          </cell>
          <cell r="I8422" t="str">
            <v>s__unclassified_c__Clostridia</v>
          </cell>
        </row>
        <row r="8423">
          <cell r="G8423" t="str">
            <v>ASV14286</v>
          </cell>
          <cell r="H8423" t="str">
            <v>g__Escherichia-Shigella</v>
          </cell>
          <cell r="I8423" t="str">
            <v>s__unclassified_g__Escherichia-Shigella</v>
          </cell>
        </row>
        <row r="8424">
          <cell r="G8424" t="str">
            <v>ASV22103</v>
          </cell>
          <cell r="H8424" t="str">
            <v>g__unclassified_f__Lachnospiraceae</v>
          </cell>
          <cell r="I8424" t="str">
            <v>s__unclassified_f__Lachnospiraceae</v>
          </cell>
        </row>
        <row r="8425">
          <cell r="G8425" t="str">
            <v>ASV15968</v>
          </cell>
          <cell r="H8425" t="str">
            <v>g__unclassified_f__Oscillospiraceae</v>
          </cell>
          <cell r="I8425" t="str">
            <v>s__unclassified_f__Oscillospiraceae</v>
          </cell>
        </row>
        <row r="8426">
          <cell r="G8426" t="str">
            <v>ASV3185</v>
          </cell>
          <cell r="H8426" t="str">
            <v>g__unclassified_f__Lachnospiraceae</v>
          </cell>
          <cell r="I8426" t="str">
            <v>s__unclassified_f__Lachnospiraceae</v>
          </cell>
        </row>
        <row r="8427">
          <cell r="G8427" t="str">
            <v>ASV19065</v>
          </cell>
          <cell r="H8427" t="str">
            <v>g__Lachnospiraceae_NC2004_group</v>
          </cell>
          <cell r="I8427" t="str">
            <v>s__unclassified_g__Lachnospiraceae_NC2004_group</v>
          </cell>
        </row>
        <row r="8428">
          <cell r="G8428" t="str">
            <v>ASV10635</v>
          </cell>
          <cell r="H8428" t="str">
            <v>g__Clostridium_sensu_stricto_1</v>
          </cell>
          <cell r="I8428" t="str">
            <v>s__uncultured_bacterium_g__Clostridium_sensu_stricto_1</v>
          </cell>
        </row>
        <row r="8429">
          <cell r="G8429" t="str">
            <v>ASV13426</v>
          </cell>
          <cell r="H8429" t="str">
            <v>g__Clostridium_sensu_stricto_1</v>
          </cell>
          <cell r="I8429" t="str">
            <v>s__unclassified_g__Clostridium_sensu_stricto_1</v>
          </cell>
        </row>
        <row r="8430">
          <cell r="G8430" t="str">
            <v>ASV11671</v>
          </cell>
          <cell r="H8430" t="str">
            <v>g__unclassified_c__Clostridia</v>
          </cell>
          <cell r="I8430" t="str">
            <v>s__unclassified_c__Clostridia</v>
          </cell>
        </row>
        <row r="8431">
          <cell r="G8431" t="str">
            <v>ASV9375</v>
          </cell>
          <cell r="H8431" t="str">
            <v>g__unclassified_o__Oscillospirales</v>
          </cell>
          <cell r="I8431" t="str">
            <v>s__unclassified_o__Oscillospirales</v>
          </cell>
        </row>
        <row r="8432">
          <cell r="G8432" t="str">
            <v>ASV13801</v>
          </cell>
          <cell r="H8432" t="str">
            <v>g__unclassified_o__Micrococcales</v>
          </cell>
          <cell r="I8432" t="str">
            <v>s__unclassified_o__Micrococcales</v>
          </cell>
        </row>
        <row r="8433">
          <cell r="G8433" t="str">
            <v>ASV607</v>
          </cell>
          <cell r="H8433" t="str">
            <v>g__unclassified_c__Clostridia</v>
          </cell>
          <cell r="I8433" t="str">
            <v>s__unclassified_c__Clostridia</v>
          </cell>
        </row>
        <row r="8434">
          <cell r="G8434" t="str">
            <v>ASV11500</v>
          </cell>
          <cell r="H8434" t="str">
            <v>g__Lachnospiraceae_NC2004_group</v>
          </cell>
          <cell r="I8434" t="str">
            <v>s__unclassified_g__Lachnospiraceae_NC2004_group</v>
          </cell>
        </row>
        <row r="8435">
          <cell r="G8435" t="str">
            <v>ASV23284</v>
          </cell>
          <cell r="H8435" t="str">
            <v>g__norank_f__Eubacterium_coprostanoligenes_group</v>
          </cell>
          <cell r="I8435" t="str">
            <v>s__uncultured_bacterium_g__norank_f__Eubacterium_coprostanoligenes_group</v>
          </cell>
        </row>
        <row r="8436">
          <cell r="G8436" t="str">
            <v>ASV16906</v>
          </cell>
          <cell r="H8436" t="str">
            <v>g__Lactobacillus</v>
          </cell>
          <cell r="I8436" t="str">
            <v>s__unclassified_g__Lactobacillus</v>
          </cell>
        </row>
        <row r="8437">
          <cell r="G8437" t="str">
            <v>ASV23227</v>
          </cell>
          <cell r="H8437" t="str">
            <v>g__unclassified_o__Oscillospirales</v>
          </cell>
          <cell r="I8437" t="str">
            <v>s__unclassified_o__Oscillospirales</v>
          </cell>
        </row>
        <row r="8438">
          <cell r="G8438" t="str">
            <v>ASV4753</v>
          </cell>
          <cell r="H8438" t="str">
            <v>g__unclassified_k__norank_d__Bacteria</v>
          </cell>
          <cell r="I8438" t="str">
            <v>s__unclassified_k__norank_d__Bacteria</v>
          </cell>
        </row>
        <row r="8439">
          <cell r="G8439" t="str">
            <v>ASV11660</v>
          </cell>
          <cell r="H8439" t="str">
            <v>g__unclassified_f__Anaerovoracaceae</v>
          </cell>
          <cell r="I8439" t="str">
            <v>s__unclassified_f__Anaerovoracaceae</v>
          </cell>
        </row>
        <row r="8440">
          <cell r="G8440" t="str">
            <v>ASV19971</v>
          </cell>
          <cell r="H8440" t="str">
            <v>g__norank_f__UCG-010</v>
          </cell>
          <cell r="I8440" t="str">
            <v>s__unclassified_g__norank_f__UCG-010</v>
          </cell>
        </row>
        <row r="8441">
          <cell r="G8441" t="str">
            <v>ASV11644</v>
          </cell>
          <cell r="H8441" t="str">
            <v>g__Colidextribacter</v>
          </cell>
          <cell r="I8441" t="str">
            <v>s__uncultured_bacterium_g__Colidextribacter</v>
          </cell>
        </row>
        <row r="8442">
          <cell r="G8442" t="str">
            <v>ASV3188</v>
          </cell>
          <cell r="H8442" t="str">
            <v>g__unclassified_f__Lachnospiraceae</v>
          </cell>
          <cell r="I8442" t="str">
            <v>s__unclassified_f__Lachnospiraceae</v>
          </cell>
        </row>
        <row r="8443">
          <cell r="G8443" t="str">
            <v>ASV672</v>
          </cell>
          <cell r="H8443" t="str">
            <v>g__norank_f__Muribaculaceae</v>
          </cell>
          <cell r="I8443" t="str">
            <v>s__uncultured_bacterium_g__norank_f__Muribaculaceae</v>
          </cell>
        </row>
        <row r="8444">
          <cell r="G8444" t="str">
            <v>ASV22965</v>
          </cell>
          <cell r="H8444" t="str">
            <v>g__Sharpea</v>
          </cell>
          <cell r="I8444" t="str">
            <v>s__unclassified_g__Sharpea</v>
          </cell>
        </row>
        <row r="8445">
          <cell r="G8445" t="str">
            <v>ASV23189</v>
          </cell>
          <cell r="H8445" t="str">
            <v>g__unclassified_k__norank_d__Bacteria</v>
          </cell>
          <cell r="I8445" t="str">
            <v>s__unclassified_k__norank_d__Bacteria</v>
          </cell>
        </row>
        <row r="8446">
          <cell r="G8446" t="str">
            <v>ASV18879</v>
          </cell>
          <cell r="H8446" t="str">
            <v>g__unclassified_f__Lachnospiraceae</v>
          </cell>
          <cell r="I8446" t="str">
            <v>s__unclassified_f__Lachnospiraceae</v>
          </cell>
        </row>
        <row r="8447">
          <cell r="G8447" t="str">
            <v>ASV6702</v>
          </cell>
          <cell r="H8447" t="str">
            <v>g__Escherichia-Shigella</v>
          </cell>
          <cell r="I8447" t="str">
            <v>s__unclassified_g__Escherichia-Shigella</v>
          </cell>
        </row>
        <row r="8448">
          <cell r="G8448" t="str">
            <v>ASV10634</v>
          </cell>
          <cell r="H8448" t="str">
            <v>g__unclassified_f__Lachnospiraceae</v>
          </cell>
          <cell r="I8448" t="str">
            <v>s__unclassified_f__Lachnospiraceae</v>
          </cell>
        </row>
        <row r="8449">
          <cell r="G8449" t="str">
            <v>ASV10053</v>
          </cell>
          <cell r="H8449" t="str">
            <v>g__norank_f__norank_o__Clostridia_vadinBB60_group</v>
          </cell>
          <cell r="I8449" t="str">
            <v>s__uncultured_bacterium_g__norank_f__norank_o__Clostridia_vadinBB60_group</v>
          </cell>
        </row>
        <row r="8450">
          <cell r="G8450" t="str">
            <v>ASV23179</v>
          </cell>
          <cell r="H8450" t="str">
            <v>g__Bifidobacterium</v>
          </cell>
          <cell r="I8450" t="str">
            <v>s__unclassified_g__Bifidobacterium</v>
          </cell>
        </row>
        <row r="8451">
          <cell r="G8451" t="str">
            <v>ASV757</v>
          </cell>
          <cell r="H8451" t="str">
            <v>g__unclassified_c__Clostridia</v>
          </cell>
          <cell r="I8451" t="str">
            <v>s__unclassified_c__Clostridia</v>
          </cell>
        </row>
        <row r="8452">
          <cell r="G8452" t="str">
            <v>ASV8478</v>
          </cell>
          <cell r="H8452" t="str">
            <v>g__unclassified_p__Firmicutes</v>
          </cell>
          <cell r="I8452" t="str">
            <v>s__unclassified_p__Firmicutes</v>
          </cell>
        </row>
        <row r="8453">
          <cell r="G8453" t="str">
            <v>ASV9419</v>
          </cell>
          <cell r="H8453" t="str">
            <v>g__unclassified_c__Clostridia</v>
          </cell>
          <cell r="I8453" t="str">
            <v>s__unclassified_c__Clostridia</v>
          </cell>
        </row>
        <row r="8454">
          <cell r="G8454" t="str">
            <v>ASV23764</v>
          </cell>
          <cell r="H8454" t="str">
            <v>g__Streptococcus</v>
          </cell>
          <cell r="I8454" t="str">
            <v>s__unclassified_g__Streptococcus</v>
          </cell>
        </row>
        <row r="8455">
          <cell r="G8455" t="str">
            <v>ASV5925</v>
          </cell>
          <cell r="H8455" t="str">
            <v>g__Escherichia-Shigella</v>
          </cell>
          <cell r="I8455" t="str">
            <v>s__unclassified_g__Escherichia-Shigella</v>
          </cell>
        </row>
        <row r="8456">
          <cell r="G8456" t="str">
            <v>ASV7307</v>
          </cell>
          <cell r="H8456" t="str">
            <v>g__unclassified_c__Clostridia</v>
          </cell>
          <cell r="I8456" t="str">
            <v>s__unclassified_c__Clostridia</v>
          </cell>
        </row>
        <row r="8457">
          <cell r="G8457" t="str">
            <v>ASV7777</v>
          </cell>
          <cell r="H8457" t="str">
            <v>g__unclassified_p__Firmicutes</v>
          </cell>
          <cell r="I8457" t="str">
            <v>s__unclassified_p__Firmicutes</v>
          </cell>
        </row>
        <row r="8458">
          <cell r="G8458" t="str">
            <v>ASV9386</v>
          </cell>
          <cell r="H8458" t="str">
            <v>g__Lactobacillus</v>
          </cell>
          <cell r="I8458" t="str">
            <v>s__unclassified_g__Lactobacillus</v>
          </cell>
        </row>
        <row r="8459">
          <cell r="G8459" t="str">
            <v>ASV22134</v>
          </cell>
          <cell r="H8459" t="str">
            <v>g__unclassified_f__Oscillospiraceae</v>
          </cell>
          <cell r="I8459" t="str">
            <v>s__unclassified_f__Oscillospiraceae</v>
          </cell>
        </row>
        <row r="8460">
          <cell r="G8460" t="str">
            <v>ASV12782</v>
          </cell>
          <cell r="H8460" t="str">
            <v>g__norank_f__UCG-010</v>
          </cell>
          <cell r="I8460" t="str">
            <v>s__metagenome_g__norank_f__UCG-010</v>
          </cell>
        </row>
        <row r="8461">
          <cell r="G8461" t="str">
            <v>ASV13403</v>
          </cell>
          <cell r="H8461" t="str">
            <v>g__unclassified_c__Clostridia</v>
          </cell>
          <cell r="I8461" t="str">
            <v>s__unclassified_c__Clostridia</v>
          </cell>
        </row>
        <row r="8462">
          <cell r="G8462" t="str">
            <v>ASV5850</v>
          </cell>
          <cell r="H8462" t="str">
            <v>g__norank_f__Ruminococcaceae</v>
          </cell>
          <cell r="I8462" t="str">
            <v>s__unclassified_g__norank_f__Ruminococcaceae</v>
          </cell>
        </row>
        <row r="8463">
          <cell r="G8463" t="str">
            <v>ASV22133</v>
          </cell>
          <cell r="H8463" t="str">
            <v>g__unclassified_f__Pasteurellaceae</v>
          </cell>
          <cell r="I8463" t="str">
            <v>s__unclassified_f__Pasteurellaceae</v>
          </cell>
        </row>
        <row r="8464">
          <cell r="G8464" t="str">
            <v>ASV15079</v>
          </cell>
          <cell r="H8464" t="str">
            <v>g__Monoglobus</v>
          </cell>
          <cell r="I8464" t="str">
            <v>s__unclassified_g__Monoglobus</v>
          </cell>
        </row>
        <row r="8465">
          <cell r="G8465" t="str">
            <v>ASV14281</v>
          </cell>
          <cell r="H8465" t="str">
            <v>g__unclassified_c__Clostridia</v>
          </cell>
          <cell r="I8465" t="str">
            <v>s__unclassified_c__Clostridia</v>
          </cell>
        </row>
        <row r="8466">
          <cell r="G8466" t="str">
            <v>ASV22216</v>
          </cell>
          <cell r="H8466" t="str">
            <v>g__unclassified_c__Clostridia</v>
          </cell>
          <cell r="I8466" t="str">
            <v>s__unclassified_c__Clostridia</v>
          </cell>
        </row>
        <row r="8467">
          <cell r="G8467" t="str">
            <v>ASV7053</v>
          </cell>
          <cell r="H8467" t="str">
            <v>g__Sutterella</v>
          </cell>
          <cell r="I8467" t="str">
            <v>s__Sutterella_parvirubra</v>
          </cell>
        </row>
        <row r="8468">
          <cell r="G8468" t="str">
            <v>ASV13796</v>
          </cell>
          <cell r="H8468" t="str">
            <v>g__unclassified_f__Peptostreptococcaceae</v>
          </cell>
          <cell r="I8468" t="str">
            <v>s__unclassified_f__Peptostreptococcaceae</v>
          </cell>
        </row>
        <row r="8469">
          <cell r="G8469" t="str">
            <v>ASV10652</v>
          </cell>
          <cell r="H8469" t="str">
            <v>g__Enterococcus</v>
          </cell>
          <cell r="I8469" t="str">
            <v>s__unclassified_g__Enterococcus</v>
          </cell>
        </row>
        <row r="8470">
          <cell r="G8470" t="str">
            <v>ASV23181</v>
          </cell>
          <cell r="H8470" t="str">
            <v>g__unclassified_c__Clostridia</v>
          </cell>
          <cell r="I8470" t="str">
            <v>s__unclassified_c__Clostridia</v>
          </cell>
        </row>
        <row r="8471">
          <cell r="G8471" t="str">
            <v>ASV23231</v>
          </cell>
          <cell r="H8471" t="str">
            <v>g__unclassified_o__Bacteroidales</v>
          </cell>
          <cell r="I8471" t="str">
            <v>s__unclassified_o__Bacteroidales</v>
          </cell>
        </row>
        <row r="8472">
          <cell r="G8472" t="str">
            <v>ASV22101</v>
          </cell>
          <cell r="H8472" t="str">
            <v>g__norank_f__UCG-011</v>
          </cell>
          <cell r="I8472" t="str">
            <v>s__uncultured_bacterium_g__norank_f__UCG-011</v>
          </cell>
        </row>
        <row r="8473">
          <cell r="G8473" t="str">
            <v>ASV10021</v>
          </cell>
          <cell r="H8473" t="str">
            <v>g__unclassified_c__Clostridia</v>
          </cell>
          <cell r="I8473" t="str">
            <v>s__unclassified_c__Clostridia</v>
          </cell>
        </row>
        <row r="8474">
          <cell r="G8474" t="str">
            <v>ASV10587</v>
          </cell>
          <cell r="H8474" t="str">
            <v>g__Lachnospiraceae_NC2004_group</v>
          </cell>
          <cell r="I8474" t="str">
            <v>s__unclassified_g__Lachnospiraceae_NC2004_group</v>
          </cell>
        </row>
        <row r="8475">
          <cell r="G8475" t="str">
            <v>ASV23282</v>
          </cell>
          <cell r="H8475" t="str">
            <v>g__Megasphaera</v>
          </cell>
          <cell r="I8475" t="str">
            <v>s__unclassified_g__Megasphaera</v>
          </cell>
        </row>
        <row r="8476">
          <cell r="G8476" t="str">
            <v>ASV22181</v>
          </cell>
          <cell r="H8476" t="str">
            <v>g__Megasphaera</v>
          </cell>
          <cell r="I8476" t="str">
            <v>s__unclassified_g__Megasphaera</v>
          </cell>
        </row>
        <row r="8477">
          <cell r="G8477" t="str">
            <v>ASV22198</v>
          </cell>
          <cell r="H8477" t="str">
            <v>g__Terrisporobacter</v>
          </cell>
          <cell r="I8477" t="str">
            <v>s__uncultured_bacterium_g__Terrisporobacter</v>
          </cell>
        </row>
        <row r="8478">
          <cell r="G8478" t="str">
            <v>ASV5902</v>
          </cell>
          <cell r="H8478" t="str">
            <v>g__unclassified_f__Oscillospiraceae</v>
          </cell>
          <cell r="I8478" t="str">
            <v>s__unclassified_f__Oscillospiraceae</v>
          </cell>
        </row>
        <row r="8479">
          <cell r="G8479" t="str">
            <v>ASV13384</v>
          </cell>
          <cell r="H8479" t="str">
            <v>g__unclassified_f__Peptostreptococcaceae</v>
          </cell>
          <cell r="I8479" t="str">
            <v>s__unclassified_f__Peptostreptococcaceae</v>
          </cell>
        </row>
        <row r="8480">
          <cell r="G8480" t="str">
            <v>ASV23215</v>
          </cell>
          <cell r="H8480" t="str">
            <v>g__unclassified_f__Ruminococcaceae</v>
          </cell>
          <cell r="I8480" t="str">
            <v>s__unclassified_f__Ruminococcaceae</v>
          </cell>
        </row>
        <row r="8481">
          <cell r="G8481" t="str">
            <v>ASV20712</v>
          </cell>
          <cell r="H8481" t="str">
            <v>g__unclassified_o__Oscillospirales</v>
          </cell>
          <cell r="I8481" t="str">
            <v>s__unclassified_o__Oscillospirales</v>
          </cell>
        </row>
        <row r="8482">
          <cell r="G8482" t="str">
            <v>ASV21456</v>
          </cell>
          <cell r="H8482" t="str">
            <v>g__Olsenella</v>
          </cell>
          <cell r="I8482" t="str">
            <v>s__unclassified_g__Olsenella</v>
          </cell>
        </row>
        <row r="8483">
          <cell r="G8483" t="str">
            <v>ASV19604</v>
          </cell>
          <cell r="H8483" t="str">
            <v>g__Monoglobus</v>
          </cell>
          <cell r="I8483" t="str">
            <v>s__uncultured_bacterium_g__Monoglobus</v>
          </cell>
        </row>
        <row r="8484">
          <cell r="G8484" t="str">
            <v>ASV9398</v>
          </cell>
          <cell r="H8484" t="str">
            <v>g__unclassified_f__Lachnospiraceae</v>
          </cell>
          <cell r="I8484" t="str">
            <v>s__unclassified_f__Lachnospiraceae</v>
          </cell>
        </row>
        <row r="8485">
          <cell r="G8485" t="str">
            <v>ASV24164</v>
          </cell>
          <cell r="H8485" t="str">
            <v>g__Lactobacillus</v>
          </cell>
          <cell r="I8485" t="str">
            <v>s__uncultured_bacterium_g__Lactobacillus</v>
          </cell>
        </row>
        <row r="8486">
          <cell r="G8486" t="str">
            <v>ASV23238</v>
          </cell>
          <cell r="H8486" t="str">
            <v>g__Megasphaera</v>
          </cell>
          <cell r="I8486" t="str">
            <v>s__unclassified_g__Megasphaera</v>
          </cell>
        </row>
        <row r="8487">
          <cell r="G8487" t="str">
            <v>ASV16895</v>
          </cell>
          <cell r="H8487" t="str">
            <v>g__Campylobacter</v>
          </cell>
          <cell r="I8487" t="str">
            <v>s__unclassified_g__Campylobacter</v>
          </cell>
        </row>
        <row r="8488">
          <cell r="G8488" t="str">
            <v>ASV2126</v>
          </cell>
          <cell r="H8488" t="str">
            <v>g__unclassified_f__Lachnospiraceae</v>
          </cell>
          <cell r="I8488" t="str">
            <v>s__unclassified_f__Lachnospiraceae</v>
          </cell>
        </row>
        <row r="8489">
          <cell r="G8489" t="str">
            <v>ASV5812</v>
          </cell>
          <cell r="H8489" t="str">
            <v>g__unclassified_k__norank_d__Bacteria</v>
          </cell>
          <cell r="I8489" t="str">
            <v>s__unclassified_k__norank_d__Bacteria</v>
          </cell>
        </row>
        <row r="8490">
          <cell r="G8490" t="str">
            <v>ASV620</v>
          </cell>
          <cell r="H8490" t="str">
            <v>g__Streptococcus</v>
          </cell>
          <cell r="I8490" t="str">
            <v>s__unclassified_g__Streptococcus</v>
          </cell>
        </row>
        <row r="8491">
          <cell r="G8491" t="str">
            <v>ASV4861</v>
          </cell>
          <cell r="H8491" t="str">
            <v>g__Lachnoclostridium</v>
          </cell>
          <cell r="I8491" t="str">
            <v>s__unclassified_g__Lachnoclostridium</v>
          </cell>
        </row>
        <row r="8492">
          <cell r="G8492" t="str">
            <v>ASV18578</v>
          </cell>
          <cell r="H8492" t="str">
            <v>g__Lactobacillus</v>
          </cell>
          <cell r="I8492" t="str">
            <v>s__unclassified_g__Lactobacillus</v>
          </cell>
        </row>
        <row r="8493">
          <cell r="G8493" t="str">
            <v>ASV14266</v>
          </cell>
          <cell r="H8493" t="str">
            <v>g__Lactobacillus</v>
          </cell>
          <cell r="I8493" t="str">
            <v>s__unclassified_g__Lactobacillus</v>
          </cell>
        </row>
        <row r="8494">
          <cell r="G8494" t="str">
            <v>ASV4871</v>
          </cell>
          <cell r="H8494" t="str">
            <v>g__Eubacterium_eligens_group</v>
          </cell>
          <cell r="I8494" t="str">
            <v>s__uncultured_bacterium_g__Eubacterium_eligens_group</v>
          </cell>
        </row>
        <row r="8495">
          <cell r="G8495" t="str">
            <v>ASV20791</v>
          </cell>
          <cell r="H8495" t="str">
            <v>g__Enterococcus</v>
          </cell>
          <cell r="I8495" t="str">
            <v>s__unclassified_g__Enterococcus</v>
          </cell>
        </row>
        <row r="8496">
          <cell r="G8496" t="str">
            <v>ASV23830</v>
          </cell>
          <cell r="H8496" t="str">
            <v>g__unclassified_k__norank_d__Bacteria</v>
          </cell>
          <cell r="I8496" t="str">
            <v>s__unclassified_k__norank_d__Bacteria</v>
          </cell>
        </row>
        <row r="8497">
          <cell r="G8497" t="str">
            <v>ASV2144</v>
          </cell>
          <cell r="H8497" t="str">
            <v>g__Lachnoclostridium</v>
          </cell>
          <cell r="I8497" t="str">
            <v>s__unclassified_g__Lachnoclostridium</v>
          </cell>
        </row>
        <row r="8498">
          <cell r="G8498" t="str">
            <v>ASV15342</v>
          </cell>
          <cell r="H8498" t="str">
            <v>g__Lactobacillus</v>
          </cell>
          <cell r="I8498" t="str">
            <v>s__unclassified_g__Lactobacillus</v>
          </cell>
        </row>
        <row r="8499">
          <cell r="G8499" t="str">
            <v>ASV15983</v>
          </cell>
          <cell r="H8499" t="str">
            <v>g__Fusobacterium</v>
          </cell>
          <cell r="I8499" t="str">
            <v>s__Bacillus_bogoriensis_ATCC_BAA-922</v>
          </cell>
        </row>
        <row r="8500">
          <cell r="G8500" t="str">
            <v>ASV23288</v>
          </cell>
          <cell r="H8500" t="str">
            <v>g__Christensenellaceae_R-7_group</v>
          </cell>
          <cell r="I8500" t="str">
            <v>s__unclassified_g__Christensenellaceae_R-7_group</v>
          </cell>
        </row>
        <row r="8501">
          <cell r="G8501" t="str">
            <v>ASV23254</v>
          </cell>
          <cell r="H8501" t="str">
            <v>g__unclassified_c__Clostridia</v>
          </cell>
          <cell r="I8501" t="str">
            <v>s__unclassified_c__Clostridia</v>
          </cell>
        </row>
        <row r="8502">
          <cell r="G8502" t="str">
            <v>ASV13407</v>
          </cell>
          <cell r="H8502" t="str">
            <v>g__unclassified_f__Clostridiaceae</v>
          </cell>
          <cell r="I8502" t="str">
            <v>s__unclassified_f__Clostridiaceae</v>
          </cell>
        </row>
        <row r="8503">
          <cell r="G8503" t="str">
            <v>ASV629</v>
          </cell>
          <cell r="H8503" t="str">
            <v>g__unclassified_f__Peptostreptococcaceae</v>
          </cell>
          <cell r="I8503" t="str">
            <v>s__unclassified_f__Peptostreptococcaceae</v>
          </cell>
        </row>
        <row r="8504">
          <cell r="G8504" t="str">
            <v>ASV15353</v>
          </cell>
          <cell r="H8504" t="str">
            <v>g__UCG-005</v>
          </cell>
          <cell r="I8504" t="str">
            <v>s__uncultured_bacterium_g__UCG-005</v>
          </cell>
        </row>
        <row r="8505">
          <cell r="G8505" t="str">
            <v>ASV6703</v>
          </cell>
          <cell r="H8505" t="str">
            <v>g__unclassified_k__norank_d__Bacteria</v>
          </cell>
          <cell r="I8505" t="str">
            <v>s__unclassified_k__norank_d__Bacteria</v>
          </cell>
        </row>
        <row r="8506">
          <cell r="G8506" t="str">
            <v>ASV755</v>
          </cell>
          <cell r="H8506" t="str">
            <v>g__Akkermansia</v>
          </cell>
          <cell r="I8506" t="str">
            <v>s__uncultured_bacterium_g__Akkermansia</v>
          </cell>
        </row>
        <row r="8507">
          <cell r="G8507" t="str">
            <v>ASV20789</v>
          </cell>
          <cell r="H8507" t="str">
            <v>g__unclassified_c__Clostridia</v>
          </cell>
          <cell r="I8507" t="str">
            <v>s__unclassified_c__Clostridia</v>
          </cell>
        </row>
        <row r="8508">
          <cell r="G8508" t="str">
            <v>ASV6688</v>
          </cell>
          <cell r="H8508" t="str">
            <v>g__unclassified_o__Lactobacillales</v>
          </cell>
          <cell r="I8508" t="str">
            <v>s__unclassified_o__Lactobacillales</v>
          </cell>
        </row>
        <row r="8509">
          <cell r="G8509" t="str">
            <v>ASV12749</v>
          </cell>
          <cell r="H8509" t="str">
            <v>g__unclassified_f__Lachnospiraceae</v>
          </cell>
          <cell r="I8509" t="str">
            <v>s__unclassified_f__Lachnospiraceae</v>
          </cell>
        </row>
        <row r="8510">
          <cell r="G8510" t="str">
            <v>ASV17955</v>
          </cell>
          <cell r="H8510" t="str">
            <v>g__unclassified_c__Clostridia</v>
          </cell>
          <cell r="I8510" t="str">
            <v>s__unclassified_c__Clostridia</v>
          </cell>
        </row>
        <row r="8511">
          <cell r="G8511" t="str">
            <v>ASV22234</v>
          </cell>
          <cell r="H8511" t="str">
            <v>g__unclassified_f__Lachnospiraceae</v>
          </cell>
          <cell r="I8511" t="str">
            <v>s__unclassified_f__Lachnospiraceae</v>
          </cell>
        </row>
        <row r="8512">
          <cell r="G8512" t="str">
            <v>ASV22123</v>
          </cell>
          <cell r="H8512" t="str">
            <v>g__unclassified_o__Oscillospirales</v>
          </cell>
          <cell r="I8512" t="str">
            <v>s__unclassified_o__Oscillospirales</v>
          </cell>
        </row>
        <row r="8513">
          <cell r="G8513" t="str">
            <v>ASV4804</v>
          </cell>
          <cell r="H8513" t="str">
            <v>g__unclassified_p__Firmicutes</v>
          </cell>
          <cell r="I8513" t="str">
            <v>s__unclassified_p__Firmicutes</v>
          </cell>
        </row>
        <row r="8514">
          <cell r="G8514" t="str">
            <v>ASV7687</v>
          </cell>
          <cell r="H8514" t="str">
            <v>g__unclassified_f__Lachnospiraceae</v>
          </cell>
          <cell r="I8514" t="str">
            <v>s__unclassified_f__Lachnospiraceae</v>
          </cell>
        </row>
        <row r="8515">
          <cell r="G8515" t="str">
            <v>ASV18885</v>
          </cell>
          <cell r="H8515" t="str">
            <v>g__unclassified_c__Bacilli</v>
          </cell>
          <cell r="I8515" t="str">
            <v>s__unclassified_c__Bacilli</v>
          </cell>
        </row>
        <row r="8516">
          <cell r="G8516" t="str">
            <v>ASV11527</v>
          </cell>
          <cell r="H8516" t="str">
            <v>g__norank_f__norank_o__Clostridia_UCG-014</v>
          </cell>
          <cell r="I8516" t="str">
            <v>s__uncultured_bacterium_g__norank_f__norank_o__Clostridia_UCG-014</v>
          </cell>
        </row>
        <row r="8517">
          <cell r="G8517" t="str">
            <v>ASV8286</v>
          </cell>
          <cell r="H8517" t="str">
            <v>g__Sharpea</v>
          </cell>
          <cell r="I8517" t="str">
            <v>s__unclassified_g__Sharpea</v>
          </cell>
        </row>
        <row r="8518">
          <cell r="G8518" t="str">
            <v>ASV18754</v>
          </cell>
          <cell r="H8518" t="str">
            <v>g__Monoglobus</v>
          </cell>
          <cell r="I8518" t="str">
            <v>s__unclassified_g__Monoglobus</v>
          </cell>
        </row>
        <row r="8519">
          <cell r="G8519" t="str">
            <v>ASV23229</v>
          </cell>
          <cell r="H8519" t="str">
            <v>g__Rikenellaceae_RC9_gut_group</v>
          </cell>
          <cell r="I8519" t="str">
            <v>s__uncultured_bacterium_g__Rikenellaceae_RC9_gut_group</v>
          </cell>
        </row>
        <row r="8520">
          <cell r="G8520" t="str">
            <v>ASV22108</v>
          </cell>
          <cell r="H8520" t="str">
            <v>g__unclassified_c__Bacilli</v>
          </cell>
          <cell r="I8520" t="str">
            <v>s__unclassified_c__Bacilli</v>
          </cell>
        </row>
        <row r="8521">
          <cell r="G8521" t="str">
            <v>ASV16888</v>
          </cell>
          <cell r="H8521" t="str">
            <v>g__unclassified_f__Lachnospiraceae</v>
          </cell>
          <cell r="I8521" t="str">
            <v>s__unclassified_f__Lachnospiraceae</v>
          </cell>
        </row>
        <row r="8522">
          <cell r="G8522" t="str">
            <v>ASV5919</v>
          </cell>
          <cell r="H8522" t="str">
            <v>g__Ruminococcus</v>
          </cell>
          <cell r="I8522" t="str">
            <v>s__unclassified_g__Ruminococcus</v>
          </cell>
        </row>
        <row r="8523">
          <cell r="G8523" t="str">
            <v>ASV11528</v>
          </cell>
          <cell r="H8523" t="str">
            <v>g__Treponema</v>
          </cell>
          <cell r="I8523" t="str">
            <v>s__uncultured_bacterium_g__Treponema</v>
          </cell>
        </row>
        <row r="8524">
          <cell r="G8524" t="str">
            <v>ASV15370</v>
          </cell>
          <cell r="H8524" t="str">
            <v>g__unclassified_f__Lachnospiraceae</v>
          </cell>
          <cell r="I8524" t="str">
            <v>s__unclassified_f__Lachnospiraceae</v>
          </cell>
        </row>
        <row r="8525">
          <cell r="G8525" t="str">
            <v>ASV10191</v>
          </cell>
          <cell r="H8525" t="str">
            <v>g__unclassified_p__Firmicutes</v>
          </cell>
          <cell r="I8525" t="str">
            <v>s__unclassified_p__Firmicutes</v>
          </cell>
        </row>
        <row r="8526">
          <cell r="G8526" t="str">
            <v>ASV19572</v>
          </cell>
          <cell r="H8526" t="str">
            <v>g__unclassified_f__Oscillospiraceae</v>
          </cell>
          <cell r="I8526" t="str">
            <v>s__unclassified_f__Oscillospiraceae</v>
          </cell>
        </row>
        <row r="8527">
          <cell r="G8527" t="str">
            <v>ASV11580</v>
          </cell>
          <cell r="H8527" t="str">
            <v>g__unclassified_c__Clostridia</v>
          </cell>
          <cell r="I8527" t="str">
            <v>s__unclassified_c__Clostridia</v>
          </cell>
        </row>
        <row r="8528">
          <cell r="G8528" t="str">
            <v>ASV14177</v>
          </cell>
          <cell r="H8528" t="str">
            <v>g__Lachnospiraceae_NC2004_group</v>
          </cell>
          <cell r="I8528" t="str">
            <v>s__uncultured_bacterium_g__Lachnospiraceae_NC2004_group</v>
          </cell>
        </row>
        <row r="8529">
          <cell r="G8529" t="str">
            <v>ASV11576</v>
          </cell>
          <cell r="H8529" t="str">
            <v>g__unclassified_f__Prevotellaceae</v>
          </cell>
          <cell r="I8529" t="str">
            <v>s__unclassified_f__Prevotellaceae</v>
          </cell>
        </row>
        <row r="8530">
          <cell r="G8530" t="str">
            <v>ASV16778</v>
          </cell>
          <cell r="H8530" t="str">
            <v>g__Veillonella</v>
          </cell>
          <cell r="I8530" t="str">
            <v>s__unclassified_g__Veillonella</v>
          </cell>
        </row>
        <row r="8531">
          <cell r="G8531" t="str">
            <v>ASV11503</v>
          </cell>
          <cell r="H8531" t="str">
            <v>g__unclassified_p__Firmicutes</v>
          </cell>
          <cell r="I8531" t="str">
            <v>s__unclassified_p__Firmicutes</v>
          </cell>
        </row>
        <row r="8532">
          <cell r="G8532" t="str">
            <v>ASV4026</v>
          </cell>
          <cell r="H8532" t="str">
            <v>g__norank_f__Synergistaceae</v>
          </cell>
          <cell r="I8532" t="str">
            <v>s__uncultured_bacterium_g__norank_f__Synergistaceae</v>
          </cell>
        </row>
        <row r="8533">
          <cell r="G8533" t="str">
            <v>ASV18560</v>
          </cell>
          <cell r="H8533" t="str">
            <v>g__Lactobacillus</v>
          </cell>
          <cell r="I8533" t="str">
            <v>s__unclassified_g__Lactobacillus</v>
          </cell>
        </row>
        <row r="8534">
          <cell r="G8534" t="str">
            <v>ASV737</v>
          </cell>
          <cell r="H8534" t="str">
            <v>g__Colidextribacter</v>
          </cell>
          <cell r="I8534" t="str">
            <v>s__unclassified_g__Colidextribacter</v>
          </cell>
        </row>
        <row r="8535">
          <cell r="G8535" t="str">
            <v>ASV2213</v>
          </cell>
          <cell r="H8535" t="str">
            <v>g__Subdoligranulum</v>
          </cell>
          <cell r="I8535" t="str">
            <v>s__uncultured_bacterium_g__Subdoligranulum</v>
          </cell>
        </row>
        <row r="8536">
          <cell r="G8536" t="str">
            <v>ASV19569</v>
          </cell>
          <cell r="H8536" t="str">
            <v>g__Christensenellaceae_R-7_group</v>
          </cell>
          <cell r="I8536" t="str">
            <v>s__uncultured_spirochete_g__Christensenellaceae_R-7_group</v>
          </cell>
        </row>
        <row r="8537">
          <cell r="G8537" t="str">
            <v>ASV10591</v>
          </cell>
          <cell r="H8537" t="str">
            <v>g__unclassified_c__Clostridia</v>
          </cell>
          <cell r="I8537" t="str">
            <v>s__unclassified_c__Clostridia</v>
          </cell>
        </row>
        <row r="8538">
          <cell r="G8538" t="str">
            <v>ASV12695</v>
          </cell>
          <cell r="H8538" t="str">
            <v>g__unclassified_c__Clostridia</v>
          </cell>
          <cell r="I8538" t="str">
            <v>s__unclassified_c__Clostridia</v>
          </cell>
        </row>
        <row r="8539">
          <cell r="G8539" t="str">
            <v>ASV12724</v>
          </cell>
          <cell r="H8539" t="str">
            <v>g__Eubacterium_hallii_group</v>
          </cell>
          <cell r="I8539" t="str">
            <v>s__unclassified_g__Eubacterium_hallii_group</v>
          </cell>
        </row>
        <row r="8540">
          <cell r="G8540" t="str">
            <v>ASV614</v>
          </cell>
          <cell r="H8540" t="str">
            <v>g__unclassified_c__Clostridia</v>
          </cell>
          <cell r="I8540" t="str">
            <v>s__unclassified_c__Clostridia</v>
          </cell>
        </row>
        <row r="8541">
          <cell r="G8541" t="str">
            <v>ASV7175</v>
          </cell>
          <cell r="H8541" t="str">
            <v>g__CL500-29_marine_group</v>
          </cell>
          <cell r="I8541" t="str">
            <v>s__unclassified_g__CL500-29_marine_group</v>
          </cell>
        </row>
        <row r="8542">
          <cell r="G8542" t="str">
            <v>ASV20710</v>
          </cell>
          <cell r="H8542" t="str">
            <v>g__unclassified_c__Clostridia</v>
          </cell>
          <cell r="I8542" t="str">
            <v>s__unclassified_c__Clostridia</v>
          </cell>
        </row>
        <row r="8543">
          <cell r="G8543" t="str">
            <v>ASV10647</v>
          </cell>
          <cell r="H8543" t="str">
            <v>g__unclassified_c__Clostridia</v>
          </cell>
          <cell r="I8543" t="str">
            <v>s__unclassified_c__Clostridia</v>
          </cell>
        </row>
        <row r="8544">
          <cell r="G8544" t="str">
            <v>ASV10662</v>
          </cell>
          <cell r="H8544" t="str">
            <v>g__Turicibacter</v>
          </cell>
          <cell r="I8544" t="str">
            <v>s__uncultured_bacterium_g__Turicibacter</v>
          </cell>
        </row>
        <row r="8545">
          <cell r="G8545" t="str">
            <v>ASV2165</v>
          </cell>
          <cell r="H8545" t="str">
            <v>g__unclassified_c__Clostridia</v>
          </cell>
          <cell r="I8545" t="str">
            <v>s__unclassified_c__Clostridia</v>
          </cell>
        </row>
        <row r="8546">
          <cell r="G8546" t="str">
            <v>ASV14165</v>
          </cell>
          <cell r="H8546" t="str">
            <v>g__Eubacterium_nodatum_group</v>
          </cell>
          <cell r="I8546" t="str">
            <v>s__uncultured_bacterium_g__Eubacterium_nodatum_group</v>
          </cell>
        </row>
        <row r="8547">
          <cell r="G8547" t="str">
            <v>ASV23955</v>
          </cell>
          <cell r="H8547" t="str">
            <v>g__Lactobacillus</v>
          </cell>
          <cell r="I8547" t="str">
            <v>s__unclassified_g__Lactobacillus</v>
          </cell>
        </row>
        <row r="8548">
          <cell r="G8548" t="str">
            <v>ASV10622</v>
          </cell>
          <cell r="H8548" t="str">
            <v>g__unclassified_f__Lachnospiraceae</v>
          </cell>
          <cell r="I8548" t="str">
            <v>s__unclassified_f__Lachnospiraceae</v>
          </cell>
        </row>
        <row r="8549">
          <cell r="G8549" t="str">
            <v>ASV20773</v>
          </cell>
          <cell r="H8549" t="str">
            <v>g__unclassified_p__Firmicutes</v>
          </cell>
          <cell r="I8549" t="str">
            <v>s__unclassified_p__Firmicutes</v>
          </cell>
        </row>
        <row r="8550">
          <cell r="G8550" t="str">
            <v>ASV20709</v>
          </cell>
          <cell r="H8550" t="str">
            <v>g__unclassified_f__Oxalobacteraceae</v>
          </cell>
          <cell r="I8550" t="str">
            <v>s__unclassified_f__Oxalobacteraceae</v>
          </cell>
        </row>
        <row r="8551">
          <cell r="G8551" t="str">
            <v>ASV4798</v>
          </cell>
          <cell r="H8551" t="str">
            <v>g__unclassified_o__Oscillospirales</v>
          </cell>
          <cell r="I8551" t="str">
            <v>s__unclassified_o__Oscillospirales</v>
          </cell>
        </row>
        <row r="8552">
          <cell r="G8552" t="str">
            <v>ASV11484</v>
          </cell>
          <cell r="H8552" t="str">
            <v>g__unclassified_f__Lachnospiraceae</v>
          </cell>
          <cell r="I8552" t="str">
            <v>s__unclassified_f__Lachnospiraceae</v>
          </cell>
        </row>
        <row r="8553">
          <cell r="G8553" t="str">
            <v>ASV19576</v>
          </cell>
          <cell r="H8553" t="str">
            <v>g__Fournierella</v>
          </cell>
          <cell r="I8553" t="str">
            <v>s__uncultured_organism_g__Fournierella</v>
          </cell>
        </row>
        <row r="8554">
          <cell r="G8554" t="str">
            <v>ASV22969</v>
          </cell>
          <cell r="H8554" t="str">
            <v>g__Megasphaera</v>
          </cell>
          <cell r="I8554" t="str">
            <v>s__unclassified_g__Megasphaera</v>
          </cell>
        </row>
        <row r="8555">
          <cell r="G8555" t="str">
            <v>ASV5917</v>
          </cell>
          <cell r="H8555" t="str">
            <v>g__Enterococcus</v>
          </cell>
          <cell r="I8555" t="str">
            <v>s__unclassified_g__Enterococcus</v>
          </cell>
        </row>
        <row r="8556">
          <cell r="G8556" t="str">
            <v>ASV20794</v>
          </cell>
          <cell r="H8556" t="str">
            <v>g__Peptococcus</v>
          </cell>
          <cell r="I8556" t="str">
            <v>s__uncultured_bacterium_g__Peptococcus</v>
          </cell>
        </row>
        <row r="8557">
          <cell r="G8557" t="str">
            <v>ASV24163</v>
          </cell>
          <cell r="H8557" t="str">
            <v>g__Christensenellaceae_R-7_group</v>
          </cell>
          <cell r="I8557" t="str">
            <v>s__uncultured_prokaryote_g__Christensenellaceae_R-7_group</v>
          </cell>
        </row>
        <row r="8558">
          <cell r="G8558" t="str">
            <v>ASV10087</v>
          </cell>
          <cell r="H8558" t="str">
            <v>g__Colidextribacter</v>
          </cell>
          <cell r="I8558" t="str">
            <v>s__unclassified_g__Colidextribacter</v>
          </cell>
        </row>
        <row r="8559">
          <cell r="G8559" t="str">
            <v>ASV6695</v>
          </cell>
          <cell r="H8559" t="str">
            <v>g__unclassified_f__Oscillospiraceae</v>
          </cell>
          <cell r="I8559" t="str">
            <v>s__unclassified_f__Oscillospiraceae</v>
          </cell>
        </row>
        <row r="8560">
          <cell r="G8560" t="str">
            <v>ASV17356</v>
          </cell>
          <cell r="H8560" t="str">
            <v>g__norank_f__Eubacterium_coprostanoligenes_group</v>
          </cell>
          <cell r="I8560" t="str">
            <v>s__uncultured_bacterium_g__norank_f__Eubacterium_coprostanoligenes_group</v>
          </cell>
        </row>
        <row r="8561">
          <cell r="G8561" t="str">
            <v>ASV14211</v>
          </cell>
          <cell r="H8561" t="str">
            <v>g__norank_f__Ruminococcaceae</v>
          </cell>
          <cell r="I8561" t="str">
            <v>s__unclassified_g__norank_f__Ruminococcaceae</v>
          </cell>
        </row>
        <row r="8562">
          <cell r="G8562" t="str">
            <v>ASV24146</v>
          </cell>
          <cell r="H8562" t="str">
            <v>g__Lachnospiraceae_NC2004_group</v>
          </cell>
          <cell r="I8562" t="str">
            <v>s__uncultured_bacterium_g__Lachnospiraceae_NC2004_group</v>
          </cell>
        </row>
        <row r="8563">
          <cell r="G8563" t="str">
            <v>ASV6670</v>
          </cell>
          <cell r="H8563" t="str">
            <v>g__unclassified_o__Erysipelotrichales</v>
          </cell>
          <cell r="I8563" t="str">
            <v>s__unclassified_o__Erysipelotrichales</v>
          </cell>
        </row>
        <row r="8564">
          <cell r="G8564" t="str">
            <v>ASV11599</v>
          </cell>
          <cell r="H8564" t="str">
            <v>g__Prevotella</v>
          </cell>
          <cell r="I8564" t="str">
            <v>s__unclassified_g__Prevotella</v>
          </cell>
        </row>
        <row r="8565">
          <cell r="G8565" t="str">
            <v>ASV16398</v>
          </cell>
          <cell r="H8565" t="str">
            <v>g__unclassified_c__Clostridia</v>
          </cell>
          <cell r="I8565" t="str">
            <v>s__unclassified_c__Clostridia</v>
          </cell>
        </row>
        <row r="8566">
          <cell r="G8566" t="str">
            <v>ASV759</v>
          </cell>
          <cell r="H8566" t="str">
            <v>g__unclassified_o__Oscillospirales</v>
          </cell>
          <cell r="I8566" t="str">
            <v>s__unclassified_o__Oscillospirales</v>
          </cell>
        </row>
        <row r="8567">
          <cell r="G8567" t="str">
            <v>ASV19505</v>
          </cell>
          <cell r="H8567" t="str">
            <v>g__norank_f__Muribaculaceae</v>
          </cell>
          <cell r="I8567" t="str">
            <v>s__uncultured_bacterium_g__norank_f__Muribaculaceae</v>
          </cell>
        </row>
        <row r="8568">
          <cell r="G8568" t="str">
            <v>ASV20770</v>
          </cell>
          <cell r="H8568" t="str">
            <v>g__unclassified_f__Lachnospiraceae</v>
          </cell>
          <cell r="I8568" t="str">
            <v>s__unclassified_f__Lachnospiraceae</v>
          </cell>
        </row>
        <row r="8569">
          <cell r="G8569" t="str">
            <v>ASV10597</v>
          </cell>
          <cell r="H8569" t="str">
            <v>g__Sphaerochaeta</v>
          </cell>
          <cell r="I8569" t="str">
            <v>s__unclassified_g__Sphaerochaeta</v>
          </cell>
        </row>
        <row r="8570">
          <cell r="G8570" t="str">
            <v>ASV21450</v>
          </cell>
          <cell r="H8570" t="str">
            <v>g__Escherichia-Shigella</v>
          </cell>
          <cell r="I8570" t="str">
            <v>s__unclassified_g__Escherichia-Shigella</v>
          </cell>
        </row>
        <row r="8571">
          <cell r="G8571" t="str">
            <v>ASV11611</v>
          </cell>
          <cell r="H8571" t="str">
            <v>g__unclassified_o__Oscillospirales</v>
          </cell>
          <cell r="I8571" t="str">
            <v>s__unclassified_o__Oscillospirales</v>
          </cell>
        </row>
        <row r="8572">
          <cell r="G8572" t="str">
            <v>ASV19598</v>
          </cell>
          <cell r="H8572" t="str">
            <v>g__Peptococcus</v>
          </cell>
          <cell r="I8572" t="str">
            <v>s__uncultured_bacterium_g__Peptococcus</v>
          </cell>
        </row>
        <row r="8573">
          <cell r="G8573" t="str">
            <v>ASV6682</v>
          </cell>
          <cell r="H8573" t="str">
            <v>g__unclassified_f__Oscillospiraceae</v>
          </cell>
          <cell r="I8573" t="str">
            <v>s__unclassified_f__Oscillospiraceae</v>
          </cell>
        </row>
        <row r="8574">
          <cell r="G8574" t="str">
            <v>ASV23836</v>
          </cell>
          <cell r="H8574" t="str">
            <v>g__Veillonella</v>
          </cell>
          <cell r="I8574" t="str">
            <v>s__unclassified_g__Veillonella</v>
          </cell>
        </row>
        <row r="8575">
          <cell r="G8575" t="str">
            <v>ASV765</v>
          </cell>
          <cell r="H8575" t="str">
            <v>g__Lactobacillus</v>
          </cell>
          <cell r="I8575" t="str">
            <v>s__unclassified_g__Lactobacillus</v>
          </cell>
        </row>
        <row r="8576">
          <cell r="G8576" t="str">
            <v>ASV24148</v>
          </cell>
          <cell r="H8576" t="str">
            <v>g__norank_f__norank_o__Clostridia_vadinBB60_group</v>
          </cell>
          <cell r="I8576" t="str">
            <v>s__gut_metagenome_g__norank_f__norank</v>
          </cell>
        </row>
        <row r="8577">
          <cell r="G8577" t="str">
            <v>ASV8990</v>
          </cell>
          <cell r="H8577" t="str">
            <v>g__Veillonella</v>
          </cell>
          <cell r="I8577" t="str">
            <v>s__unclassified_g__Veillonella</v>
          </cell>
        </row>
        <row r="8578">
          <cell r="G8578" t="str">
            <v>ASV3208</v>
          </cell>
          <cell r="H8578" t="str">
            <v>g__unclassified_k__norank_d__Bacteria</v>
          </cell>
          <cell r="I8578" t="str">
            <v>s__unclassified_k__norank_d__Bacteria</v>
          </cell>
        </row>
        <row r="8579">
          <cell r="G8579" t="str">
            <v>ASV17958</v>
          </cell>
          <cell r="H8579" t="str">
            <v>g__unclassified_c__Clostridia</v>
          </cell>
          <cell r="I8579" t="str">
            <v>s__unclassified_c__Clostridia</v>
          </cell>
        </row>
        <row r="8580">
          <cell r="G8580" t="str">
            <v>ASV16179</v>
          </cell>
          <cell r="H8580" t="str">
            <v>g__Lachnoclostridium</v>
          </cell>
          <cell r="I8580" t="str">
            <v>s__Clostridium_aldenense</v>
          </cell>
        </row>
        <row r="8581">
          <cell r="G8581" t="str">
            <v>ASV22195</v>
          </cell>
          <cell r="H8581" t="str">
            <v>g__Eubacterium_oxidoreducens_group</v>
          </cell>
          <cell r="I8581" t="str">
            <v>s__uncultured_bacterium_g__Eubacterium_oxidoreducens_group</v>
          </cell>
        </row>
        <row r="8582">
          <cell r="G8582" t="str">
            <v>ASV2187</v>
          </cell>
          <cell r="H8582" t="str">
            <v>g__unclassified_c__Bacilli</v>
          </cell>
          <cell r="I8582" t="str">
            <v>s__unclassified_c__Bacilli</v>
          </cell>
        </row>
        <row r="8583">
          <cell r="G8583" t="str">
            <v>ASV14229</v>
          </cell>
          <cell r="H8583" t="str">
            <v>g__unclassified_k__norank_d__Bacteria</v>
          </cell>
          <cell r="I8583" t="str">
            <v>s__unclassified_k__norank_d__Bacteria</v>
          </cell>
        </row>
        <row r="8584">
          <cell r="G8584" t="str">
            <v>ASV19477</v>
          </cell>
          <cell r="H8584" t="str">
            <v>g__unclassified_c__Clostridia</v>
          </cell>
          <cell r="I8584" t="str">
            <v>s__unclassified_c__Clostridia</v>
          </cell>
        </row>
        <row r="8585">
          <cell r="G8585" t="str">
            <v>ASV589</v>
          </cell>
          <cell r="H8585" t="str">
            <v>g__Prevotella</v>
          </cell>
          <cell r="I8585" t="str">
            <v>s__Prevotella_sp._RS2</v>
          </cell>
        </row>
        <row r="8586">
          <cell r="G8586" t="str">
            <v>ASV11651</v>
          </cell>
          <cell r="H8586" t="str">
            <v>g__unclassified_o__Oscillospirales</v>
          </cell>
          <cell r="I8586" t="str">
            <v>s__unclassified_o__Oscillospirales</v>
          </cell>
        </row>
        <row r="8587">
          <cell r="G8587" t="str">
            <v>ASV8994</v>
          </cell>
          <cell r="H8587" t="str">
            <v>g__Streptococcus</v>
          </cell>
          <cell r="I8587" t="str">
            <v>s__Streptococcus_plurextorum</v>
          </cell>
        </row>
        <row r="8588">
          <cell r="G8588" t="str">
            <v>ASV13383</v>
          </cell>
          <cell r="H8588" t="str">
            <v>g__unclassified_c__Clostridia</v>
          </cell>
          <cell r="I8588" t="str">
            <v>s__unclassified_c__Clostridia</v>
          </cell>
        </row>
        <row r="8589">
          <cell r="G8589" t="str">
            <v>ASV22135</v>
          </cell>
          <cell r="H8589" t="str">
            <v>g__Enterococcus</v>
          </cell>
          <cell r="I8589" t="str">
            <v>s__unclassified_g__Enterococcus</v>
          </cell>
        </row>
        <row r="8590">
          <cell r="G8590" t="str">
            <v>ASV23248</v>
          </cell>
          <cell r="H8590" t="str">
            <v>g__unclassified_c__Clostridia</v>
          </cell>
          <cell r="I8590" t="str">
            <v>s__unclassified_c__Clostridia</v>
          </cell>
        </row>
        <row r="8591">
          <cell r="G8591" t="str">
            <v>ASV4801</v>
          </cell>
          <cell r="H8591" t="str">
            <v>g__norank_f__Ruminococcaceae</v>
          </cell>
          <cell r="I8591" t="str">
            <v>s__unclassified_g__norank_f__Ruminococcaceae</v>
          </cell>
        </row>
        <row r="8592">
          <cell r="G8592" t="str">
            <v>ASV2198</v>
          </cell>
          <cell r="H8592" t="str">
            <v>g__unclassified_f__Lachnospiraceae</v>
          </cell>
          <cell r="I8592" t="str">
            <v>s__unclassified_f__Lachnospiraceae</v>
          </cell>
        </row>
        <row r="8593">
          <cell r="G8593" t="str">
            <v>ASV5821</v>
          </cell>
          <cell r="H8593" t="str">
            <v>g__unclassified_f__Lachnospiraceae</v>
          </cell>
          <cell r="I8593" t="str">
            <v>s__unclassified_f__Lachnospiraceae</v>
          </cell>
        </row>
        <row r="8594">
          <cell r="G8594" t="str">
            <v>ASV660</v>
          </cell>
          <cell r="H8594" t="str">
            <v>g__unclassified_f__Oscillospiraceae</v>
          </cell>
          <cell r="I8594" t="str">
            <v>s__unclassified_f__Oscillospiraceae</v>
          </cell>
        </row>
        <row r="8595">
          <cell r="G8595" t="str">
            <v>ASV2124</v>
          </cell>
          <cell r="H8595" t="str">
            <v>g__Cloacibacillus</v>
          </cell>
          <cell r="I8595" t="str">
            <v>s__unclassified_g__Cloacibacillus</v>
          </cell>
        </row>
        <row r="8596">
          <cell r="G8596" t="str">
            <v>ASV7772</v>
          </cell>
          <cell r="H8596" t="str">
            <v>g__Bacillus</v>
          </cell>
          <cell r="I8596" t="str">
            <v>s__Lactobacillus_vaginalis_g__Bacillus</v>
          </cell>
        </row>
        <row r="8597">
          <cell r="G8597" t="str">
            <v>ASV24137</v>
          </cell>
          <cell r="H8597" t="str">
            <v>g__unclassified_k__norank_d__Bacteria</v>
          </cell>
          <cell r="I8597" t="str">
            <v>s__unclassified_k__norank_d__Bacteria</v>
          </cell>
        </row>
        <row r="8598">
          <cell r="G8598" t="str">
            <v>ASV14167</v>
          </cell>
          <cell r="H8598" t="str">
            <v>g__unclassified_f__Oscillospiraceae</v>
          </cell>
          <cell r="I8598" t="str">
            <v>s__unclassified_f__Oscillospiraceae</v>
          </cell>
        </row>
        <row r="8599">
          <cell r="G8599" t="str">
            <v>ASV22176</v>
          </cell>
          <cell r="H8599" t="str">
            <v>g__unclassified_f__Lachnospiraceae</v>
          </cell>
          <cell r="I8599" t="str">
            <v>s__unclassified_f__Lachnospiraceae</v>
          </cell>
        </row>
        <row r="8600">
          <cell r="G8600" t="str">
            <v>ASV21452</v>
          </cell>
          <cell r="H8600" t="str">
            <v>g__Desulfovibrio</v>
          </cell>
          <cell r="I8600" t="str">
            <v>s__unclassified_g__Desulfovibrio</v>
          </cell>
        </row>
        <row r="8601">
          <cell r="G8601" t="str">
            <v>ASV17963</v>
          </cell>
          <cell r="H8601" t="str">
            <v>g__unclassified_f__Ruminococcaceae</v>
          </cell>
          <cell r="I8601" t="str">
            <v>s__unclassified_f__Ruminococcaceae</v>
          </cell>
        </row>
        <row r="8602">
          <cell r="G8602" t="str">
            <v>ASV14220</v>
          </cell>
          <cell r="H8602" t="str">
            <v>g__Monoglobus</v>
          </cell>
          <cell r="I8602" t="str">
            <v>s__unclassified_g__Monoglobus</v>
          </cell>
        </row>
        <row r="8603">
          <cell r="G8603" t="str">
            <v>ASV18017</v>
          </cell>
          <cell r="H8603" t="str">
            <v>g__Eubacterium_oxidoreducens_group</v>
          </cell>
          <cell r="I8603" t="str">
            <v>s__uncultured_bacterium_g__Eubacterium_oxidoreducens_group</v>
          </cell>
        </row>
        <row r="8604">
          <cell r="G8604" t="str">
            <v>ASV716</v>
          </cell>
          <cell r="H8604" t="str">
            <v>g__unclassified_c__Clostridia</v>
          </cell>
          <cell r="I8604" t="str">
            <v>s__unclassified_c__Clostridia</v>
          </cell>
        </row>
        <row r="8605">
          <cell r="G8605" t="str">
            <v>ASV9353</v>
          </cell>
          <cell r="H8605" t="str">
            <v>g__unclassified_f__Ruminococcaceae</v>
          </cell>
          <cell r="I8605" t="str">
            <v>s__unclassified_f__Ruminococcaceae</v>
          </cell>
        </row>
        <row r="8606">
          <cell r="G8606" t="str">
            <v>ASV17968</v>
          </cell>
          <cell r="H8606" t="str">
            <v>g__Enterococcus</v>
          </cell>
          <cell r="I8606" t="str">
            <v>s__unclassified_g__Enterococcus</v>
          </cell>
        </row>
        <row r="8607">
          <cell r="G8607" t="str">
            <v>ASV16382</v>
          </cell>
          <cell r="H8607" t="str">
            <v>g__Bacteroides</v>
          </cell>
          <cell r="I8607" t="str">
            <v>s__unclassified_g__Bacteroides</v>
          </cell>
        </row>
        <row r="8608">
          <cell r="G8608" t="str">
            <v>ASV1645</v>
          </cell>
          <cell r="H8608" t="str">
            <v>g__unclassified_f__Lachnospiraceae</v>
          </cell>
          <cell r="I8608" t="str">
            <v>s__unclassified_f__Lachnospiraceae</v>
          </cell>
        </row>
        <row r="8609">
          <cell r="G8609" t="str">
            <v>ASV8483</v>
          </cell>
          <cell r="H8609" t="str">
            <v>g__unclassified_f__Selenomonadaceae</v>
          </cell>
          <cell r="I8609" t="str">
            <v>s__unclassified_f__Selenomonadaceae</v>
          </cell>
        </row>
        <row r="8610">
          <cell r="G8610" t="str">
            <v>ASV1677</v>
          </cell>
          <cell r="H8610" t="str">
            <v>g__Lactobacillus</v>
          </cell>
          <cell r="I8610" t="str">
            <v>s__unclassified_g__Lactobacillus</v>
          </cell>
        </row>
        <row r="8611">
          <cell r="G8611" t="str">
            <v>ASV12789</v>
          </cell>
          <cell r="H8611" t="str">
            <v>g__unclassified_c__Clostridia</v>
          </cell>
          <cell r="I8611" t="str">
            <v>s__unclassified_c__Clostridia</v>
          </cell>
        </row>
        <row r="8612">
          <cell r="G8612" t="str">
            <v>ASV9368</v>
          </cell>
          <cell r="H8612" t="str">
            <v>g__unclassified_f__Lachnospiraceae</v>
          </cell>
          <cell r="I8612" t="str">
            <v>s__unclassified_f__Lachnospiraceae</v>
          </cell>
        </row>
        <row r="8613">
          <cell r="G8613" t="str">
            <v>ASV22254</v>
          </cell>
          <cell r="H8613" t="str">
            <v>g__norank_f__Eubacterium_coprostanoligenes_group</v>
          </cell>
          <cell r="I8613" t="str">
            <v>s__unclassified_g__norank_f__Eubacterium_coprostanoligenes_group</v>
          </cell>
        </row>
        <row r="8614">
          <cell r="G8614" t="str">
            <v>ASV20811</v>
          </cell>
          <cell r="H8614" t="str">
            <v>g__unclassified_c__Clostridia</v>
          </cell>
          <cell r="I8614" t="str">
            <v>s__unclassified_c__Clostridia</v>
          </cell>
        </row>
        <row r="8615">
          <cell r="G8615" t="str">
            <v>ASV10188</v>
          </cell>
          <cell r="H8615" t="str">
            <v>g__unclassified_f__Lachnospiraceae</v>
          </cell>
          <cell r="I8615" t="str">
            <v>s__unclassified_f__Lachnospiraceae</v>
          </cell>
        </row>
        <row r="8616">
          <cell r="G8616" t="str">
            <v>ASV6707</v>
          </cell>
          <cell r="H8616" t="str">
            <v>g__unclassified_p__Firmicutes</v>
          </cell>
          <cell r="I8616" t="str">
            <v>s__unclassified_p__Firmicutes</v>
          </cell>
        </row>
        <row r="8617">
          <cell r="G8617" t="str">
            <v>ASV21235</v>
          </cell>
          <cell r="H8617" t="str">
            <v>g__Campylobacter</v>
          </cell>
          <cell r="I8617" t="str">
            <v>s__unclassified_g__Campylobacter</v>
          </cell>
        </row>
        <row r="8618">
          <cell r="G8618" t="str">
            <v>ASV4774</v>
          </cell>
          <cell r="H8618" t="str">
            <v>g__unclassified_k__norank_d__Bacteria</v>
          </cell>
          <cell r="I8618" t="str">
            <v>s__unclassified_k__norank_d__Bacteria</v>
          </cell>
        </row>
        <row r="8619">
          <cell r="G8619" t="str">
            <v>ASV19467</v>
          </cell>
          <cell r="H8619" t="str">
            <v>g__Clostridium_sensu_stricto_1</v>
          </cell>
          <cell r="I8619" t="str">
            <v>s__unclassified_g__Clostridium_sensu_stricto_1</v>
          </cell>
        </row>
        <row r="8620">
          <cell r="G8620" t="str">
            <v>ASV9370</v>
          </cell>
          <cell r="H8620" t="str">
            <v>g__Christensenellaceae_R-7_group</v>
          </cell>
          <cell r="I8620" t="str">
            <v>s__uncultured_spirochete_g__Christensenellaceae_R-7_group</v>
          </cell>
        </row>
        <row r="8621">
          <cell r="G8621" t="str">
            <v>ASV15954</v>
          </cell>
          <cell r="H8621" t="str">
            <v>g__Veillonella</v>
          </cell>
          <cell r="I8621" t="str">
            <v>s__unclassified_g__Veillonella</v>
          </cell>
        </row>
        <row r="8622">
          <cell r="G8622" t="str">
            <v>ASV5819</v>
          </cell>
          <cell r="H8622" t="str">
            <v>g__unclassified_f__Oscillospiraceae</v>
          </cell>
          <cell r="I8622" t="str">
            <v>s__unclassified_f__Oscillospiraceae</v>
          </cell>
        </row>
        <row r="8623">
          <cell r="G8623" t="str">
            <v>ASV19511</v>
          </cell>
          <cell r="H8623" t="str">
            <v>g__Christensenellaceae_R-7_group</v>
          </cell>
          <cell r="I8623" t="str">
            <v>s__uncultured_prokaryote_g__Christensenellaceae_R-7_group</v>
          </cell>
        </row>
        <row r="8624">
          <cell r="G8624" t="str">
            <v>ASV12717</v>
          </cell>
          <cell r="H8624" t="str">
            <v>g__unclassified_f__Lachnospiraceae</v>
          </cell>
          <cell r="I8624" t="str">
            <v>s__unclassified_f__Lachnospiraceae</v>
          </cell>
        </row>
        <row r="8625">
          <cell r="G8625" t="str">
            <v>ASV6708</v>
          </cell>
          <cell r="H8625" t="str">
            <v>g__Lachnoclostridium</v>
          </cell>
          <cell r="I8625" t="str">
            <v>s__unclassified_g__Lachnoclostridium</v>
          </cell>
        </row>
        <row r="8626">
          <cell r="G8626" t="str">
            <v>ASV17967</v>
          </cell>
          <cell r="H8626" t="str">
            <v>g__unclassified_c__Clostridia</v>
          </cell>
          <cell r="I8626" t="str">
            <v>s__unclassified_c__Clostridia</v>
          </cell>
        </row>
        <row r="8627">
          <cell r="G8627" t="str">
            <v>ASV15348</v>
          </cell>
          <cell r="H8627" t="str">
            <v>g__unclassified_f__Lachnospiraceae</v>
          </cell>
          <cell r="I8627" t="str">
            <v>s__unclassified_f__Lachnospiraceae</v>
          </cell>
        </row>
        <row r="8628">
          <cell r="G8628" t="str">
            <v>ASV18847</v>
          </cell>
          <cell r="H8628" t="str">
            <v>g__Bacteroides</v>
          </cell>
          <cell r="I8628" t="str">
            <v>s__unclassified_g__Bacteroides</v>
          </cell>
        </row>
        <row r="8629">
          <cell r="G8629" t="str">
            <v>ASV19072</v>
          </cell>
          <cell r="H8629" t="str">
            <v>g__unclassified_c__Bacilli</v>
          </cell>
          <cell r="I8629" t="str">
            <v>s__unclassified_c__Bacilli</v>
          </cell>
        </row>
        <row r="8630">
          <cell r="G8630" t="str">
            <v>ASV18568</v>
          </cell>
          <cell r="H8630" t="str">
            <v>g__unclassified_f__Lachnospiraceae</v>
          </cell>
          <cell r="I8630" t="str">
            <v>s__unclassified_f__Lachnospiraceae</v>
          </cell>
        </row>
        <row r="8631">
          <cell r="G8631" t="str">
            <v>ASV10668</v>
          </cell>
          <cell r="H8631" t="str">
            <v>g__Christensenellaceae_R-7_group</v>
          </cell>
          <cell r="I8631" t="str">
            <v>s__unclassified_g__Christensenellaceae_R-7_group</v>
          </cell>
        </row>
        <row r="8632">
          <cell r="G8632" t="str">
            <v>ASV16393</v>
          </cell>
          <cell r="H8632" t="str">
            <v>g__Bacteroides</v>
          </cell>
          <cell r="I8632" t="str">
            <v>s__unclassified_g__Bacteroides</v>
          </cell>
        </row>
        <row r="8633">
          <cell r="G8633" t="str">
            <v>ASV10181</v>
          </cell>
          <cell r="H8633" t="str">
            <v>g__Phascolarctobacterium</v>
          </cell>
          <cell r="I8633" t="str">
            <v>s__uncultured_bacterium_g__Phascolarctobacterium</v>
          </cell>
        </row>
        <row r="8634">
          <cell r="G8634" t="str">
            <v>ASV2104</v>
          </cell>
          <cell r="H8634" t="str">
            <v>g__Rikenellaceae_RC9_gut_group</v>
          </cell>
          <cell r="I8634" t="str">
            <v>s__uncultured_bacterium_g__Rikenellaceae_RC9_gut_group</v>
          </cell>
        </row>
        <row r="8635">
          <cell r="G8635" t="str">
            <v>ASV10016</v>
          </cell>
          <cell r="H8635" t="str">
            <v>g__norank_f__Prevotellaceae</v>
          </cell>
          <cell r="I8635" t="str">
            <v>s__uncultured_bacterium_g__norank_f__Prevotellaceae</v>
          </cell>
        </row>
        <row r="8636">
          <cell r="G8636" t="str">
            <v>ASV5929</v>
          </cell>
          <cell r="H8636" t="str">
            <v>g__unclassified_c__Clostridia</v>
          </cell>
          <cell r="I8636" t="str">
            <v>s__unclassified_c__Clostridia</v>
          </cell>
        </row>
        <row r="8637">
          <cell r="G8637" t="str">
            <v>ASV11629</v>
          </cell>
          <cell r="H8637" t="str">
            <v>g__Eubacterium_oxidoreducens_group</v>
          </cell>
          <cell r="I8637" t="str">
            <v>s__uncultured_bacterium_g__Eubacterium_oxidoreducens_group</v>
          </cell>
        </row>
        <row r="8638">
          <cell r="G8638" t="str">
            <v>ASV11563</v>
          </cell>
          <cell r="H8638" t="str">
            <v>g__Alloprevotella</v>
          </cell>
          <cell r="I8638" t="str">
            <v>s__uncultured_bacterium_g__Alloprevotella</v>
          </cell>
        </row>
        <row r="8639">
          <cell r="G8639" t="str">
            <v>ASV24147</v>
          </cell>
          <cell r="H8639" t="str">
            <v>g__Bacillus</v>
          </cell>
          <cell r="I8639" t="str">
            <v>s__Lactobacillus_vaginalis_g__Bacillus</v>
          </cell>
        </row>
        <row r="8640">
          <cell r="G8640" t="str">
            <v>ASV20759</v>
          </cell>
          <cell r="H8640" t="str">
            <v>g__unclassified_c__Clostridia</v>
          </cell>
          <cell r="I8640" t="str">
            <v>s__unclassified_c__Clostridia</v>
          </cell>
        </row>
        <row r="8641">
          <cell r="G8641" t="str">
            <v>ASV5924</v>
          </cell>
          <cell r="H8641" t="str">
            <v>g__norank_f__UCG-010</v>
          </cell>
          <cell r="I8641" t="str">
            <v>s__unclassified_g__norank_f__UCG-010</v>
          </cell>
        </row>
        <row r="8642">
          <cell r="G8642" t="str">
            <v>ASV7743</v>
          </cell>
          <cell r="H8642" t="str">
            <v>g__Subdoligranulum</v>
          </cell>
          <cell r="I8642" t="str">
            <v>s__unclassified_g__Subdoligranulum</v>
          </cell>
        </row>
        <row r="8643">
          <cell r="G8643" t="str">
            <v>ASV9417</v>
          </cell>
          <cell r="H8643" t="str">
            <v>g__unclassified_f__Lachnospiraceae</v>
          </cell>
          <cell r="I8643" t="str">
            <v>s__unclassified_f__Lachnospiraceae</v>
          </cell>
        </row>
        <row r="8644">
          <cell r="G8644" t="str">
            <v>ASV14202</v>
          </cell>
          <cell r="H8644" t="str">
            <v>g__unclassified_c__Clostridia</v>
          </cell>
          <cell r="I8644" t="str">
            <v>s__unclassified_c__Clostridia</v>
          </cell>
        </row>
        <row r="8645">
          <cell r="G8645" t="str">
            <v>ASV22167</v>
          </cell>
          <cell r="H8645" t="str">
            <v>g__unclassified_p__Firmicutes</v>
          </cell>
          <cell r="I8645" t="str">
            <v>s__unclassified_p__Firmicutes</v>
          </cell>
        </row>
        <row r="8646">
          <cell r="G8646" t="str">
            <v>ASV7767</v>
          </cell>
          <cell r="H8646" t="str">
            <v>g__unclassified_c__Clostridia</v>
          </cell>
          <cell r="I8646" t="str">
            <v>s__unclassified_c__Clostridia</v>
          </cell>
        </row>
        <row r="8647">
          <cell r="G8647" t="str">
            <v>ASV8813</v>
          </cell>
          <cell r="H8647" t="str">
            <v>g__Prevotella</v>
          </cell>
          <cell r="I8647" t="str">
            <v>s__unclassified_g__Prevotella</v>
          </cell>
        </row>
        <row r="8648">
          <cell r="G8648" t="str">
            <v>ASV19566</v>
          </cell>
          <cell r="H8648" t="str">
            <v>g__Veillonella</v>
          </cell>
          <cell r="I8648" t="str">
            <v>s__unclassified_g__Veillonella</v>
          </cell>
        </row>
        <row r="8649">
          <cell r="G8649" t="str">
            <v>ASV5824</v>
          </cell>
          <cell r="H8649" t="str">
            <v>g__Clostridium_sensu_stricto_1</v>
          </cell>
          <cell r="I8649" t="str">
            <v>s__unclassified_g__Clostridium_sensu_stricto_1</v>
          </cell>
        </row>
        <row r="8650">
          <cell r="G8650" t="str">
            <v>ASV11541</v>
          </cell>
          <cell r="H8650" t="str">
            <v>g__unclassified_f__Oscillospiraceae</v>
          </cell>
          <cell r="I8650" t="str">
            <v>s__unclassified_f__Oscillospiraceae</v>
          </cell>
        </row>
        <row r="8651">
          <cell r="G8651" t="str">
            <v>ASV17193</v>
          </cell>
          <cell r="H8651" t="str">
            <v>g__Megasphaera</v>
          </cell>
          <cell r="I8651" t="str">
            <v>s__unclassified_g__Megasphaera</v>
          </cell>
        </row>
        <row r="8652">
          <cell r="G8652" t="str">
            <v>ASV3204</v>
          </cell>
          <cell r="H8652" t="str">
            <v>g__Eubacterium_oxidoreducens_group</v>
          </cell>
          <cell r="I8652" t="str">
            <v>s__uncultured_bacterium_g__Eubacterium_oxidoreducens_group</v>
          </cell>
        </row>
        <row r="8653">
          <cell r="G8653" t="str">
            <v>ASV3649</v>
          </cell>
          <cell r="H8653" t="str">
            <v>g__Chryseobacterium</v>
          </cell>
          <cell r="I8653" t="str">
            <v>s__Chryseobacterium_sp._UYP8</v>
          </cell>
        </row>
        <row r="8654">
          <cell r="G8654" t="str">
            <v>ASV12802</v>
          </cell>
          <cell r="H8654" t="str">
            <v>g__unclassified_c__Clostridia</v>
          </cell>
          <cell r="I8654" t="str">
            <v>s__unclassified_c__Clostridia</v>
          </cell>
        </row>
        <row r="8655">
          <cell r="G8655" t="str">
            <v>ASV10606</v>
          </cell>
          <cell r="H8655" t="str">
            <v>g__unclassified_c__Clostridia</v>
          </cell>
          <cell r="I8655" t="str">
            <v>s__unclassified_c__Clostridia</v>
          </cell>
        </row>
        <row r="8656">
          <cell r="G8656" t="str">
            <v>ASV11562</v>
          </cell>
          <cell r="H8656" t="str">
            <v>g__unclassified_f__Lachnospiraceae</v>
          </cell>
          <cell r="I8656" t="str">
            <v>s__unclassified_f__Lachnospiraceae</v>
          </cell>
        </row>
        <row r="8657">
          <cell r="G8657" t="str">
            <v>ASV18866</v>
          </cell>
          <cell r="H8657" t="str">
            <v>g__unclassified_f__Lachnospiraceae</v>
          </cell>
          <cell r="I8657" t="str">
            <v>s__unclassified_f__Lachnospiraceae</v>
          </cell>
        </row>
        <row r="8658">
          <cell r="G8658" t="str">
            <v>ASV11048</v>
          </cell>
          <cell r="H8658" t="str">
            <v>g__Clostridium_sensu_stricto_6</v>
          </cell>
          <cell r="I8658" t="str">
            <v>s__Clostridium_bornimense</v>
          </cell>
        </row>
        <row r="8659">
          <cell r="G8659" t="str">
            <v>ASV714</v>
          </cell>
          <cell r="H8659" t="str">
            <v>g__NK4A214_group</v>
          </cell>
          <cell r="I8659" t="str">
            <v>s__unclassified_g__NK4A214_group</v>
          </cell>
        </row>
        <row r="8660">
          <cell r="G8660" t="str">
            <v>ASV22226</v>
          </cell>
          <cell r="H8660" t="str">
            <v>g__norank_f__Muribaculaceae</v>
          </cell>
          <cell r="I8660" t="str">
            <v>s__uncultured_bacterium_g__norank_f__Muribaculaceae</v>
          </cell>
        </row>
        <row r="8661">
          <cell r="G8661" t="str">
            <v>ASV2189</v>
          </cell>
          <cell r="H8661" t="str">
            <v>g__unclassified_f__Lachnospiraceae</v>
          </cell>
          <cell r="I8661" t="str">
            <v>s__unclassified_f__Lachnospiraceae</v>
          </cell>
        </row>
        <row r="8662">
          <cell r="G8662" t="str">
            <v>ASV9372</v>
          </cell>
          <cell r="H8662" t="str">
            <v>g__unclassified_f__Lachnospiraceae</v>
          </cell>
          <cell r="I8662" t="str">
            <v>s__unclassified_f__Lachnospiraceae</v>
          </cell>
        </row>
        <row r="8663">
          <cell r="G8663" t="str">
            <v>ASV12723</v>
          </cell>
          <cell r="H8663" t="str">
            <v>g__unclassified_f__Ruminococcaceae</v>
          </cell>
          <cell r="I8663" t="str">
            <v>s__unclassified_f__Ruminococcaceae</v>
          </cell>
        </row>
        <row r="8664">
          <cell r="G8664" t="str">
            <v>ASV12698</v>
          </cell>
          <cell r="H8664" t="str">
            <v>g__unclassified_o__Lactobacillales</v>
          </cell>
          <cell r="I8664" t="str">
            <v>s__unclassified_o__Lactobacillales</v>
          </cell>
        </row>
        <row r="8665">
          <cell r="G8665" t="str">
            <v>ASV11556</v>
          </cell>
          <cell r="H8665" t="str">
            <v>g__Turicibacter</v>
          </cell>
          <cell r="I8665" t="str">
            <v>s__uncultured_bacterium_g__Turicibacter</v>
          </cell>
        </row>
        <row r="8666">
          <cell r="G8666" t="str">
            <v>ASV22223</v>
          </cell>
          <cell r="H8666" t="str">
            <v>g__unclassified_p__Firmicutes</v>
          </cell>
          <cell r="I8666" t="str">
            <v>s__unclassified_p__Firmicutes</v>
          </cell>
        </row>
        <row r="8667">
          <cell r="G8667" t="str">
            <v>ASV22146</v>
          </cell>
          <cell r="H8667" t="str">
            <v>g__unclassified_f__Lachnospiraceae</v>
          </cell>
          <cell r="I8667" t="str">
            <v>s__unclassified_f__Lachnospiraceae</v>
          </cell>
        </row>
        <row r="8668">
          <cell r="G8668" t="str">
            <v>ASV4750</v>
          </cell>
          <cell r="H8668" t="str">
            <v>g__unclassified_c__Bacilli</v>
          </cell>
          <cell r="I8668" t="str">
            <v>s__unclassified_c__Bacilli</v>
          </cell>
        </row>
        <row r="8669">
          <cell r="G8669" t="str">
            <v>ASV5838</v>
          </cell>
          <cell r="H8669" t="str">
            <v>g__unclassified_c__Clostridia</v>
          </cell>
          <cell r="I8669" t="str">
            <v>s__unclassified_c__Clostridia</v>
          </cell>
        </row>
        <row r="8670">
          <cell r="G8670" t="str">
            <v>ASV19071</v>
          </cell>
          <cell r="H8670" t="str">
            <v>g__Colidextribacter</v>
          </cell>
          <cell r="I8670" t="str">
            <v>s__unclassified_g__Colidextribacter</v>
          </cell>
        </row>
        <row r="8671">
          <cell r="G8671" t="str">
            <v>ASV15967</v>
          </cell>
          <cell r="H8671" t="str">
            <v>g__Megasphaera</v>
          </cell>
          <cell r="I8671" t="str">
            <v>s__unclassified_g__Megasphaera</v>
          </cell>
        </row>
        <row r="8672">
          <cell r="G8672" t="str">
            <v>ASV15323</v>
          </cell>
          <cell r="H8672" t="str">
            <v>g__Parabacteroides</v>
          </cell>
          <cell r="I8672" t="str">
            <v>s__Porphyromonadaceae_bacterium_DJF_B175</v>
          </cell>
        </row>
        <row r="8673">
          <cell r="G8673" t="str">
            <v>ASV4023</v>
          </cell>
          <cell r="H8673" t="str">
            <v>g__unclassified_c__Clostridia</v>
          </cell>
          <cell r="I8673" t="str">
            <v>s__unclassified_c__Clostridia</v>
          </cell>
        </row>
        <row r="8674">
          <cell r="G8674" t="str">
            <v>ASV10198</v>
          </cell>
          <cell r="H8674" t="str">
            <v>g__unclassified_f__Lachnospiraceae</v>
          </cell>
          <cell r="I8674" t="str">
            <v>s__unclassified_f__Lachnospiraceae</v>
          </cell>
        </row>
        <row r="8675">
          <cell r="G8675" t="str">
            <v>ASV19164</v>
          </cell>
          <cell r="H8675" t="str">
            <v>g__Sutterella</v>
          </cell>
          <cell r="I8675" t="str">
            <v>s__Sutterella_parvirubra</v>
          </cell>
        </row>
        <row r="8676">
          <cell r="G8676" t="str">
            <v>ASV4021</v>
          </cell>
          <cell r="H8676" t="str">
            <v>g__Fusobacterium</v>
          </cell>
          <cell r="I8676" t="str">
            <v>s__unclassified_g__Fusobacterium</v>
          </cell>
        </row>
        <row r="8677">
          <cell r="G8677" t="str">
            <v>ASV7183</v>
          </cell>
          <cell r="H8677" t="str">
            <v>g__Amnipila</v>
          </cell>
          <cell r="I8677" t="str">
            <v>s__uncultured_Firmicutes_bacterium_g__Amnipila</v>
          </cell>
        </row>
        <row r="8678">
          <cell r="G8678" t="str">
            <v>ASV21230</v>
          </cell>
          <cell r="H8678" t="str">
            <v>g__unclassified_f__Lachnospiraceae</v>
          </cell>
          <cell r="I8678" t="str">
            <v>s__unclassified_f__Lachnospiraceae</v>
          </cell>
        </row>
        <row r="8679">
          <cell r="G8679" t="str">
            <v>ASV18870</v>
          </cell>
          <cell r="H8679" t="str">
            <v>g__Lactobacillus</v>
          </cell>
          <cell r="I8679" t="str">
            <v>s__unclassified_g__Lactobacillus</v>
          </cell>
        </row>
        <row r="8680">
          <cell r="G8680" t="str">
            <v>ASV10305</v>
          </cell>
          <cell r="H8680" t="str">
            <v>g__Phascolarctobacterium</v>
          </cell>
          <cell r="I8680" t="str">
            <v>s__uncultured_bacterium_g__Phascolarctobacterium</v>
          </cell>
        </row>
        <row r="8681">
          <cell r="G8681" t="str">
            <v>ASV15358</v>
          </cell>
          <cell r="H8681" t="str">
            <v>g__Candidatus_Soleaferrea</v>
          </cell>
          <cell r="I8681" t="str">
            <v>s__uncultured_bacterium_g__Candidatus_Soleaferrea</v>
          </cell>
        </row>
        <row r="8682">
          <cell r="G8682" t="str">
            <v>ASV745</v>
          </cell>
          <cell r="H8682" t="str">
            <v>g__unclassified_f__Lachnospiraceae</v>
          </cell>
          <cell r="I8682" t="str">
            <v>s__unclassified_f__Lachnospiraceae</v>
          </cell>
        </row>
        <row r="8683">
          <cell r="G8683" t="str">
            <v>ASV15801</v>
          </cell>
          <cell r="H8683" t="str">
            <v>g__Lactobacillus</v>
          </cell>
          <cell r="I8683" t="str">
            <v>s__unclassified_g__Lactobacillus</v>
          </cell>
        </row>
        <row r="8684">
          <cell r="G8684" t="str">
            <v>ASV16400</v>
          </cell>
          <cell r="H8684" t="str">
            <v>g__unclassified_k__norank_d__Bacteria</v>
          </cell>
          <cell r="I8684" t="str">
            <v>s__unclassified_k__norank_d__Bacteria</v>
          </cell>
        </row>
        <row r="8685">
          <cell r="G8685" t="str">
            <v>ASV587</v>
          </cell>
          <cell r="H8685" t="str">
            <v>g__unclassified_c__Clostridia</v>
          </cell>
          <cell r="I8685" t="str">
            <v>s__unclassified_c__Clostridia</v>
          </cell>
        </row>
        <row r="8686">
          <cell r="G8686" t="str">
            <v>ASV19526</v>
          </cell>
          <cell r="H8686" t="str">
            <v>g__unclassified_f__Lachnospiraceae</v>
          </cell>
          <cell r="I8686" t="str">
            <v>s__unclassified_f__Lachnospiraceae</v>
          </cell>
        </row>
        <row r="8687">
          <cell r="G8687" t="str">
            <v>ASV4768</v>
          </cell>
          <cell r="H8687" t="str">
            <v>g__unclassified_f__Ruminococcaceae</v>
          </cell>
          <cell r="I8687" t="str">
            <v>s__unclassified_f__Ruminococcaceae</v>
          </cell>
        </row>
        <row r="8688">
          <cell r="G8688" t="str">
            <v>ASV20764</v>
          </cell>
          <cell r="H8688" t="str">
            <v>g__unclassified_f__Christensenellaceae</v>
          </cell>
          <cell r="I8688" t="str">
            <v>s__unclassified_f__Christensenellaceae</v>
          </cell>
        </row>
        <row r="8689">
          <cell r="G8689" t="str">
            <v>ASV16904</v>
          </cell>
          <cell r="H8689" t="str">
            <v>g__unclassified_f__Oscillospiraceae</v>
          </cell>
          <cell r="I8689" t="str">
            <v>s__unclassified_f__Oscillospiraceae</v>
          </cell>
        </row>
        <row r="8690">
          <cell r="G8690" t="str">
            <v>ASV4001</v>
          </cell>
          <cell r="H8690" t="str">
            <v>g__unclassified_o__Bacteroidales</v>
          </cell>
          <cell r="I8690" t="str">
            <v>s__unclassified_o__Bacteroidales</v>
          </cell>
        </row>
        <row r="8691">
          <cell r="G8691" t="str">
            <v>ASV18028</v>
          </cell>
          <cell r="H8691" t="str">
            <v>g__unclassified_c__Clostridia</v>
          </cell>
          <cell r="I8691" t="str">
            <v>s__unclassified_c__Clostridia</v>
          </cell>
        </row>
        <row r="8692">
          <cell r="G8692" t="str">
            <v>ASV5825</v>
          </cell>
          <cell r="H8692" t="str">
            <v>g__Bacteroides</v>
          </cell>
          <cell r="I8692" t="str">
            <v>s__unclassified_g__Bacteroides</v>
          </cell>
        </row>
        <row r="8693">
          <cell r="G8693" t="str">
            <v>ASV22099</v>
          </cell>
          <cell r="H8693" t="str">
            <v>g__unclassified_p__Firmicutes</v>
          </cell>
          <cell r="I8693" t="str">
            <v>s__unclassified_p__Firmicutes</v>
          </cell>
        </row>
        <row r="8694">
          <cell r="G8694" t="str">
            <v>ASV8503</v>
          </cell>
          <cell r="H8694" t="str">
            <v>g__unclassified_f__Veillonellaceae</v>
          </cell>
          <cell r="I8694" t="str">
            <v>s__unclassified_f__Veillonellaceae</v>
          </cell>
        </row>
        <row r="8695">
          <cell r="G8695" t="str">
            <v>ASV15806</v>
          </cell>
          <cell r="H8695" t="str">
            <v>g__unclassified_f__Lachnospiraceae</v>
          </cell>
          <cell r="I8695" t="str">
            <v>s__unclassified_f__Lachnospiraceae</v>
          </cell>
        </row>
        <row r="8696">
          <cell r="G8696" t="str">
            <v>ASV4855</v>
          </cell>
          <cell r="H8696" t="str">
            <v>g__unclassified_k__norank_d__Bacteria</v>
          </cell>
          <cell r="I8696" t="str">
            <v>s__unclassified_k__norank_d__Bacteria</v>
          </cell>
        </row>
        <row r="8697">
          <cell r="G8697" t="str">
            <v>ASV9396</v>
          </cell>
          <cell r="H8697" t="str">
            <v>g__UCG-002</v>
          </cell>
          <cell r="I8697" t="str">
            <v>s__uncultured_bacterium_g__UCG-002</v>
          </cell>
        </row>
        <row r="8698">
          <cell r="G8698" t="str">
            <v>ASV3994</v>
          </cell>
          <cell r="H8698" t="str">
            <v>g__Bacteroides</v>
          </cell>
          <cell r="I8698" t="str">
            <v>s__unclassified_g__Bacteroides</v>
          </cell>
        </row>
        <row r="8699">
          <cell r="G8699" t="str">
            <v>ASV11049</v>
          </cell>
          <cell r="H8699" t="str">
            <v>g__Lactobacillus</v>
          </cell>
          <cell r="I8699" t="str">
            <v>s__unclassified_g__Lactobacillus</v>
          </cell>
        </row>
        <row r="8700">
          <cell r="G8700" t="str">
            <v>ASV18864</v>
          </cell>
          <cell r="H8700" t="str">
            <v>g__Phascolarctobacterium</v>
          </cell>
          <cell r="I8700" t="str">
            <v>s__unclassified_g__Phascolarctobacterium</v>
          </cell>
        </row>
        <row r="8701">
          <cell r="G8701" t="str">
            <v>ASV9423</v>
          </cell>
          <cell r="H8701" t="str">
            <v>g__unclassified_f__Lachnospiraceae</v>
          </cell>
          <cell r="I8701" t="str">
            <v>s__unclassified_f__Lachnospiraceae</v>
          </cell>
        </row>
        <row r="8702">
          <cell r="G8702" t="str">
            <v>ASV4784</v>
          </cell>
          <cell r="H8702" t="str">
            <v>g__norank_f__Eubacterium_coprostanoligenes_group</v>
          </cell>
          <cell r="I8702" t="str">
            <v>s__uncultured_bacterium_g__norank_f__Eubacterium_coprostanoligenes_group</v>
          </cell>
        </row>
        <row r="8703">
          <cell r="G8703" t="str">
            <v>ASV17146</v>
          </cell>
          <cell r="H8703" t="str">
            <v>g__unclassified_f__Pasteurellaceae</v>
          </cell>
          <cell r="I8703" t="str">
            <v>s__unclassified_f__Pasteurellaceae</v>
          </cell>
        </row>
        <row r="8704">
          <cell r="G8704" t="str">
            <v>ASV19562</v>
          </cell>
          <cell r="H8704" t="str">
            <v>g__norank_f__Eubacterium_coprostanoligenes_group</v>
          </cell>
          <cell r="I8704" t="str">
            <v>s__uncultured_bacterium_g__norank_f__Eubacterium_coprostanoligenes_group</v>
          </cell>
        </row>
        <row r="8705">
          <cell r="G8705" t="str">
            <v>ASV6663</v>
          </cell>
          <cell r="H8705" t="str">
            <v>g__unclassified_p__Firmicutes</v>
          </cell>
          <cell r="I8705" t="str">
            <v>s__unclassified_p__Firmicutes</v>
          </cell>
        </row>
        <row r="8706">
          <cell r="G8706" t="str">
            <v>ASV15795</v>
          </cell>
          <cell r="H8706" t="str">
            <v>g__Sutterella</v>
          </cell>
          <cell r="I8706" t="str">
            <v>s__unclassified_g__Sutterella</v>
          </cell>
        </row>
        <row r="8707">
          <cell r="G8707" t="str">
            <v>ASV22245</v>
          </cell>
          <cell r="H8707" t="str">
            <v>g__unclassified_c__Clostridia</v>
          </cell>
          <cell r="I8707" t="str">
            <v>s__unclassified_c__Clostridia</v>
          </cell>
        </row>
        <row r="8708">
          <cell r="G8708" t="str">
            <v>ASV7739</v>
          </cell>
          <cell r="H8708" t="str">
            <v>g__Streptococcus</v>
          </cell>
          <cell r="I8708" t="str">
            <v>s__unclassified_g__Streptococcus</v>
          </cell>
        </row>
        <row r="8709">
          <cell r="G8709" t="str">
            <v>ASV7786</v>
          </cell>
          <cell r="H8709" t="str">
            <v>g__Lactobacillus</v>
          </cell>
          <cell r="I8709" t="str">
            <v>s__unclassified_g__Lactobacillus</v>
          </cell>
        </row>
        <row r="8710">
          <cell r="G8710" t="str">
            <v>ASV8489</v>
          </cell>
          <cell r="H8710" t="str">
            <v>g__unclassified_f__Selenomonadaceae</v>
          </cell>
          <cell r="I8710" t="str">
            <v>s__unclassified_f__Selenomonadaceae</v>
          </cell>
        </row>
        <row r="8711">
          <cell r="G8711" t="str">
            <v>ASV16883</v>
          </cell>
          <cell r="H8711" t="str">
            <v>g__unclassified_c__Clostridia</v>
          </cell>
          <cell r="I8711" t="str">
            <v>s__unclassified_c__Clostridia</v>
          </cell>
        </row>
        <row r="8712">
          <cell r="G8712" t="str">
            <v>ASV18030</v>
          </cell>
          <cell r="H8712" t="str">
            <v>g__unclassified_c__Clostridia</v>
          </cell>
          <cell r="I8712" t="str">
            <v>s__unclassified_c__Clostridia</v>
          </cell>
        </row>
        <row r="8713">
          <cell r="G8713" t="str">
            <v>ASV20785</v>
          </cell>
          <cell r="H8713" t="str">
            <v>g__Christensenellaceae_R-7_group</v>
          </cell>
          <cell r="I8713" t="str">
            <v>s__unclassified_g__Christensenellaceae_R-7_group</v>
          </cell>
        </row>
        <row r="8714">
          <cell r="G8714" t="str">
            <v>ASV23262</v>
          </cell>
          <cell r="H8714" t="str">
            <v>g__unclassified_c__Clostridia</v>
          </cell>
          <cell r="I8714" t="str">
            <v>s__unclassified_c__Clostridia</v>
          </cell>
        </row>
        <row r="8715">
          <cell r="G8715" t="str">
            <v>ASV4752</v>
          </cell>
          <cell r="H8715" t="str">
            <v>g__unclassified_p__Firmicutes</v>
          </cell>
          <cell r="I8715" t="str">
            <v>s__unclassified_p__Firmicutes</v>
          </cell>
        </row>
        <row r="8716">
          <cell r="G8716" t="str">
            <v>ASV20782</v>
          </cell>
          <cell r="H8716" t="str">
            <v>g__unclassified_p__Firmicutes</v>
          </cell>
          <cell r="I8716" t="str">
            <v>s__unclassified_p__Firmicutes</v>
          </cell>
        </row>
        <row r="8717">
          <cell r="G8717" t="str">
            <v>ASV18884</v>
          </cell>
          <cell r="H8717" t="str">
            <v>g__Lactobacillus</v>
          </cell>
          <cell r="I8717" t="str">
            <v>s__unclassified_g__Lactobacillus</v>
          </cell>
        </row>
        <row r="8718">
          <cell r="G8718" t="str">
            <v>ASV19528</v>
          </cell>
          <cell r="H8718" t="str">
            <v>g__Phascolarctobacterium</v>
          </cell>
          <cell r="I8718" t="str">
            <v>s__unclassified_g__Phascolarctobacterium</v>
          </cell>
        </row>
        <row r="8719">
          <cell r="G8719" t="str">
            <v>ASV2738</v>
          </cell>
          <cell r="H8719" t="str">
            <v>g__Acinetobacter</v>
          </cell>
          <cell r="I8719" t="str">
            <v>s__unclassified_g__Acinetobacter</v>
          </cell>
        </row>
        <row r="8720">
          <cell r="G8720" t="str">
            <v>ASV18881</v>
          </cell>
          <cell r="H8720" t="str">
            <v>g__Prevotella</v>
          </cell>
          <cell r="I8720" t="str">
            <v>s__unclassified_g__Prevotella</v>
          </cell>
        </row>
        <row r="8721">
          <cell r="G8721" t="str">
            <v>ASV656</v>
          </cell>
          <cell r="H8721" t="str">
            <v>g__Sharpea</v>
          </cell>
          <cell r="I8721" t="str">
            <v>s__unclassified_g__Sharpea</v>
          </cell>
        </row>
        <row r="8722">
          <cell r="G8722" t="str">
            <v>ASV17275</v>
          </cell>
          <cell r="H8722" t="str">
            <v>g__unclassified_c__Clostridia</v>
          </cell>
          <cell r="I8722" t="str">
            <v>s__unclassified_c__Clostridia</v>
          </cell>
        </row>
        <row r="8723">
          <cell r="G8723" t="str">
            <v>ASV729</v>
          </cell>
          <cell r="H8723" t="str">
            <v>g__unclassified_k__norank_d__Bacteria</v>
          </cell>
          <cell r="I8723" t="str">
            <v>s__unclassified_k__norank_d__Bacteria</v>
          </cell>
        </row>
        <row r="8724">
          <cell r="G8724" t="str">
            <v>ASV4772</v>
          </cell>
          <cell r="H8724" t="str">
            <v>g__Lactobacillus</v>
          </cell>
          <cell r="I8724" t="str">
            <v>s__unclassified_g__Lactobacillus</v>
          </cell>
        </row>
        <row r="8725">
          <cell r="G8725" t="str">
            <v>ASV17984</v>
          </cell>
          <cell r="H8725" t="str">
            <v>g__unclassified_k__norank_d__Bacteria</v>
          </cell>
          <cell r="I8725" t="str">
            <v>s__unclassified_k__norank_d__Bacteria</v>
          </cell>
        </row>
        <row r="8726">
          <cell r="G8726" t="str">
            <v>ASV13396</v>
          </cell>
          <cell r="H8726" t="str">
            <v>g__unclassified_c__Clostridia</v>
          </cell>
          <cell r="I8726" t="str">
            <v>s__unclassified_c__Clostridia</v>
          </cell>
        </row>
        <row r="8727">
          <cell r="G8727" t="str">
            <v>ASV16377</v>
          </cell>
          <cell r="H8727" t="str">
            <v>g__unclassified_o__Bacteroidales</v>
          </cell>
          <cell r="I8727" t="str">
            <v>s__unclassified_o__Bacteroidales</v>
          </cell>
        </row>
        <row r="8728">
          <cell r="G8728" t="str">
            <v>ASV17144</v>
          </cell>
          <cell r="H8728" t="str">
            <v>g__Streptococcus</v>
          </cell>
          <cell r="I8728" t="str">
            <v>s__unclassified_g__Streptococcus</v>
          </cell>
        </row>
        <row r="8729">
          <cell r="G8729" t="str">
            <v>ASV18563</v>
          </cell>
          <cell r="H8729" t="str">
            <v>g__Lactobacillus</v>
          </cell>
          <cell r="I8729" t="str">
            <v>s__unclassified_g__Lactobacillus</v>
          </cell>
        </row>
        <row r="8730">
          <cell r="G8730" t="str">
            <v>ASV13430</v>
          </cell>
          <cell r="H8730" t="str">
            <v>g__unclassified_f__Peptostreptococcaceae</v>
          </cell>
          <cell r="I8730" t="str">
            <v>s__unclassified_f__Peptostreptococcaceae</v>
          </cell>
        </row>
        <row r="8731">
          <cell r="G8731" t="str">
            <v>ASV4792</v>
          </cell>
          <cell r="H8731" t="str">
            <v>g__Enterococcus</v>
          </cell>
          <cell r="I8731" t="str">
            <v>s__unclassified_g__Enterococcus</v>
          </cell>
        </row>
        <row r="8732">
          <cell r="G8732" t="str">
            <v>ASV6715</v>
          </cell>
          <cell r="H8732" t="str">
            <v>g__Streptococcus</v>
          </cell>
          <cell r="I8732" t="str">
            <v>s__unclassified_g__Streptococcus</v>
          </cell>
        </row>
        <row r="8733">
          <cell r="G8733" t="str">
            <v>ASV20751</v>
          </cell>
          <cell r="H8733" t="str">
            <v>g__unclassified_c__Clostridia</v>
          </cell>
          <cell r="I8733" t="str">
            <v>s__unclassified_c__Clostridia</v>
          </cell>
        </row>
        <row r="8734">
          <cell r="G8734" t="str">
            <v>ASV20784</v>
          </cell>
          <cell r="H8734" t="str">
            <v>g__Eubacterium_siraeum_group</v>
          </cell>
          <cell r="I8734" t="str">
            <v>s__uncultured_bacterium_g__Eubacterium_siraeum_group</v>
          </cell>
        </row>
        <row r="8735">
          <cell r="G8735" t="str">
            <v>ASV6706</v>
          </cell>
          <cell r="H8735" t="str">
            <v>g__Bacteroides</v>
          </cell>
          <cell r="I8735" t="str">
            <v>s__unclassified_g__Bacteroides</v>
          </cell>
        </row>
        <row r="8736">
          <cell r="G8736" t="str">
            <v>ASV5796</v>
          </cell>
          <cell r="H8736" t="str">
            <v>g__unclassified_f__Lachnospiraceae</v>
          </cell>
          <cell r="I8736" t="str">
            <v>s__unclassified_f__Lachnospiraceae</v>
          </cell>
        </row>
        <row r="8737">
          <cell r="G8737" t="str">
            <v>ASV19546</v>
          </cell>
          <cell r="H8737" t="str">
            <v>g__Prevotella</v>
          </cell>
          <cell r="I8737" t="str">
            <v>s__unclassified_g__Prevotella</v>
          </cell>
        </row>
        <row r="8738">
          <cell r="G8738" t="str">
            <v>ASV22169</v>
          </cell>
          <cell r="H8738" t="str">
            <v>g__unclassified_p__Firmicutes</v>
          </cell>
          <cell r="I8738" t="str">
            <v>s__unclassified_p__Firmicutes</v>
          </cell>
        </row>
        <row r="8739">
          <cell r="G8739" t="str">
            <v>ASV20721</v>
          </cell>
          <cell r="H8739" t="str">
            <v>g__unclassified_c__Clostridia</v>
          </cell>
          <cell r="I8739" t="str">
            <v>s__unclassified_c__Clostridia</v>
          </cell>
        </row>
        <row r="8740">
          <cell r="G8740" t="str">
            <v>ASV12745</v>
          </cell>
          <cell r="H8740" t="str">
            <v>g__Turicibacter</v>
          </cell>
          <cell r="I8740" t="str">
            <v>s__unclassified_g__Turicibacter</v>
          </cell>
        </row>
        <row r="8741">
          <cell r="G8741" t="str">
            <v>ASV15338</v>
          </cell>
          <cell r="H8741" t="str">
            <v>g__unclassified_c__Clostridia</v>
          </cell>
          <cell r="I8741" t="str">
            <v>s__unclassified_c__Clostridia</v>
          </cell>
        </row>
        <row r="8742">
          <cell r="G8742" t="str">
            <v>ASV16388</v>
          </cell>
          <cell r="H8742" t="str">
            <v>g__unclassified_c__Clostridia</v>
          </cell>
          <cell r="I8742" t="str">
            <v>s__unclassified_c__Clostridia</v>
          </cell>
        </row>
        <row r="8743">
          <cell r="G8743" t="str">
            <v>ASV10306</v>
          </cell>
          <cell r="H8743" t="str">
            <v>g__Lactobacillus</v>
          </cell>
          <cell r="I8743" t="str">
            <v>s__unclassified_g__Lactobacillus</v>
          </cell>
        </row>
        <row r="8744">
          <cell r="G8744" t="str">
            <v>ASV12736</v>
          </cell>
          <cell r="H8744" t="str">
            <v>g__Family_XIII_AD3011_group</v>
          </cell>
          <cell r="I8744" t="str">
            <v>s__uncultured_bacterium_g__Family_XIII_AD3011_group</v>
          </cell>
        </row>
        <row r="8745">
          <cell r="G8745" t="str">
            <v>ASV4827</v>
          </cell>
          <cell r="H8745" t="str">
            <v>g__Ruminococcus</v>
          </cell>
          <cell r="I8745" t="str">
            <v>s__unclassified_g__Ruminococcus</v>
          </cell>
        </row>
        <row r="8746">
          <cell r="G8746" t="str">
            <v>ASV7345</v>
          </cell>
          <cell r="H8746" t="str">
            <v>g__unclassified_f__Lachnospiraceae</v>
          </cell>
          <cell r="I8746" t="str">
            <v>s__unclassified_f__Lachnospiraceae</v>
          </cell>
        </row>
        <row r="8747">
          <cell r="G8747" t="str">
            <v>ASV583</v>
          </cell>
          <cell r="H8747" t="str">
            <v>g__unclassified_f__Muribaculaceae</v>
          </cell>
          <cell r="I8747" t="str">
            <v>s__unclassified_f__Muribaculaceae</v>
          </cell>
        </row>
        <row r="8748">
          <cell r="G8748" t="str">
            <v>ASV12738</v>
          </cell>
          <cell r="H8748" t="str">
            <v>g__unclassified_c__Bacilli</v>
          </cell>
          <cell r="I8748" t="str">
            <v>s__unclassified_c__Bacilli</v>
          </cell>
        </row>
        <row r="8749">
          <cell r="G8749" t="str">
            <v>ASV22113</v>
          </cell>
          <cell r="H8749" t="str">
            <v>g__UCG-002</v>
          </cell>
          <cell r="I8749" t="str">
            <v>s__uncultured_bacterium_g__UCG-002</v>
          </cell>
        </row>
        <row r="8750">
          <cell r="G8750" t="str">
            <v>ASV612</v>
          </cell>
          <cell r="H8750" t="str">
            <v>g__Lactobacillus</v>
          </cell>
          <cell r="I8750" t="str">
            <v>s__unclassified_g__Lactobacillus</v>
          </cell>
        </row>
        <row r="8751">
          <cell r="G8751" t="str">
            <v>ASV19601</v>
          </cell>
          <cell r="H8751" t="str">
            <v>g__UCG-002</v>
          </cell>
          <cell r="I8751" t="str">
            <v>s__uncultured_bacterium_g__UCG-002</v>
          </cell>
        </row>
        <row r="8752">
          <cell r="G8752" t="str">
            <v>ASV668</v>
          </cell>
          <cell r="H8752" t="str">
            <v>g__Clostridium_sensu_stricto_1</v>
          </cell>
          <cell r="I8752" t="str">
            <v>s__uncultured_bacterium_g__Clostridium_sensu_stricto_1</v>
          </cell>
        </row>
        <row r="8753">
          <cell r="G8753" t="str">
            <v>ASV5793</v>
          </cell>
          <cell r="H8753" t="str">
            <v>g__unclassified_c__Clostridia</v>
          </cell>
          <cell r="I8753" t="str">
            <v>s__unclassified_c__Clostridia</v>
          </cell>
        </row>
        <row r="8754">
          <cell r="G8754" t="str">
            <v>ASV6719</v>
          </cell>
          <cell r="H8754" t="str">
            <v>g__unclassified_c__Clostridia</v>
          </cell>
          <cell r="I8754" t="str">
            <v>s__unclassified_c__Clostridia</v>
          </cell>
        </row>
        <row r="8755">
          <cell r="G8755" t="str">
            <v>ASV7766</v>
          </cell>
          <cell r="H8755" t="str">
            <v>g__unclassified_c__Clostridia</v>
          </cell>
          <cell r="I8755" t="str">
            <v>s__unclassified_c__Clostridia</v>
          </cell>
        </row>
        <row r="8756">
          <cell r="G8756" t="str">
            <v>ASV22096</v>
          </cell>
          <cell r="H8756" t="str">
            <v>g__Rikenellaceae_RC9_gut_group</v>
          </cell>
          <cell r="I8756" t="str">
            <v>s__uncultured_Rikenella_sp._g__Rikenellaceae_RC9_gut_group</v>
          </cell>
        </row>
        <row r="8757">
          <cell r="G8757" t="str">
            <v>ASV19508</v>
          </cell>
          <cell r="H8757" t="str">
            <v>g__unclassified_c__Clostridia</v>
          </cell>
          <cell r="I8757" t="str">
            <v>s__unclassified_c__Clostridia</v>
          </cell>
        </row>
        <row r="8758">
          <cell r="G8758" t="str">
            <v>ASV16401</v>
          </cell>
          <cell r="H8758" t="str">
            <v>g__unclassified_f__Lachnospiraceae</v>
          </cell>
          <cell r="I8758" t="str">
            <v>s__unclassified_f__Lachnospiraceae</v>
          </cell>
        </row>
        <row r="8759">
          <cell r="G8759" t="str">
            <v>ASV10593</v>
          </cell>
          <cell r="H8759" t="str">
            <v>g__unclassified_f__Oscillospiraceae</v>
          </cell>
          <cell r="I8759" t="str">
            <v>s__unclassified_f__Oscillospiraceae</v>
          </cell>
        </row>
        <row r="8760">
          <cell r="G8760" t="str">
            <v>ASV3968</v>
          </cell>
          <cell r="H8760" t="str">
            <v>g__unclassified_c__Clostridia</v>
          </cell>
          <cell r="I8760" t="str">
            <v>s__unclassified_c__Clostridia</v>
          </cell>
        </row>
        <row r="8761">
          <cell r="G8761" t="str">
            <v>ASV15800</v>
          </cell>
          <cell r="H8761" t="str">
            <v>g__Bacillus</v>
          </cell>
          <cell r="I8761" t="str">
            <v>s__Lactobacillus_vaginalis_g__Bacillus</v>
          </cell>
        </row>
        <row r="8762">
          <cell r="G8762" t="str">
            <v>ASV8809</v>
          </cell>
          <cell r="H8762" t="str">
            <v>g__norank_f__Ruminococcaceae</v>
          </cell>
          <cell r="I8762" t="str">
            <v>s__Ruminococcaceae_bacterium_Marseille-P3738</v>
          </cell>
        </row>
        <row r="8763">
          <cell r="G8763" t="str">
            <v>ASV18005</v>
          </cell>
          <cell r="H8763" t="str">
            <v>g__unclassified_c__Clostridia</v>
          </cell>
          <cell r="I8763" t="str">
            <v>s__unclassified_c__Clostridia</v>
          </cell>
        </row>
        <row r="8764">
          <cell r="G8764" t="str">
            <v>ASV2138</v>
          </cell>
          <cell r="H8764" t="str">
            <v>g__unclassified_f__Rikenellaceae</v>
          </cell>
          <cell r="I8764" t="str">
            <v>s__unclassified_f__Rikenellaceae</v>
          </cell>
        </row>
        <row r="8765">
          <cell r="G8765" t="str">
            <v>ASV14277</v>
          </cell>
          <cell r="H8765" t="str">
            <v>g__norank_f__Oscillospiraceae</v>
          </cell>
          <cell r="I8765" t="str">
            <v>s__unclassified_g__norank_f__Oscillospiraceae</v>
          </cell>
        </row>
        <row r="8766">
          <cell r="G8766" t="str">
            <v>ASV11053</v>
          </cell>
          <cell r="H8766" t="str">
            <v>g__Lactobacillus</v>
          </cell>
          <cell r="I8766" t="str">
            <v>s__unclassified_g__Lactobacillus</v>
          </cell>
        </row>
        <row r="8767">
          <cell r="G8767" t="str">
            <v>ASV11514</v>
          </cell>
          <cell r="H8767" t="str">
            <v>g__unclassified_c__Clostridia</v>
          </cell>
          <cell r="I8767" t="str">
            <v>s__unclassified_c__Clostridia</v>
          </cell>
        </row>
        <row r="8768">
          <cell r="G8768" t="str">
            <v>ASV14198</v>
          </cell>
          <cell r="H8768" t="str">
            <v>g__unclassified_c__Clostridia</v>
          </cell>
          <cell r="I8768" t="str">
            <v>s__unclassified_c__Clostridia</v>
          </cell>
        </row>
        <row r="8769">
          <cell r="G8769" t="str">
            <v>ASV8486</v>
          </cell>
          <cell r="H8769" t="str">
            <v>g__Megasphaera</v>
          </cell>
          <cell r="I8769" t="str">
            <v>s__unclassified_g__Megasphaera</v>
          </cell>
        </row>
        <row r="8770">
          <cell r="G8770" t="str">
            <v>ASV14257</v>
          </cell>
          <cell r="H8770" t="str">
            <v>g__Treponema</v>
          </cell>
          <cell r="I8770" t="str">
            <v>s__uncultured_bacterium_g__Treponema</v>
          </cell>
        </row>
        <row r="8771">
          <cell r="G8771" t="str">
            <v>ASV5863</v>
          </cell>
          <cell r="H8771" t="str">
            <v>g__unclassified_c__Clostridia</v>
          </cell>
          <cell r="I8771" t="str">
            <v>s__unclassified_c__Clostridia</v>
          </cell>
        </row>
        <row r="8772">
          <cell r="G8772" t="str">
            <v>ASV20706</v>
          </cell>
          <cell r="H8772" t="str">
            <v>g__Lactobacillus</v>
          </cell>
          <cell r="I8772" t="str">
            <v>s__unclassified_g__Lactobacillus</v>
          </cell>
        </row>
        <row r="8773">
          <cell r="G8773" t="str">
            <v>ASV11518</v>
          </cell>
          <cell r="H8773" t="str">
            <v>g__Escherichia-Shigella</v>
          </cell>
          <cell r="I8773" t="str">
            <v>s__unclassified_g__Escherichia-Shigella</v>
          </cell>
        </row>
        <row r="8774">
          <cell r="G8774" t="str">
            <v>ASV4811</v>
          </cell>
          <cell r="H8774" t="str">
            <v>g__norank_f__Ruminococcaceae</v>
          </cell>
          <cell r="I8774" t="str">
            <v>s__unclassified_g__norank_f__Ruminococcaceae</v>
          </cell>
        </row>
        <row r="8775">
          <cell r="G8775" t="str">
            <v>ASV11519</v>
          </cell>
          <cell r="H8775" t="str">
            <v>g__norank_f__norank_o__WCHB1-41</v>
          </cell>
          <cell r="I8775" t="str">
            <v>s__uncultured_bacterium_g__norank_f__norank_o__WCHB1-41</v>
          </cell>
        </row>
        <row r="8776">
          <cell r="G8776" t="str">
            <v>ASV12779</v>
          </cell>
          <cell r="H8776" t="str">
            <v>g__unclassified_f__Anaerovoracaceae</v>
          </cell>
          <cell r="I8776" t="str">
            <v>s__unclassified_f__Anaerovoracaceae</v>
          </cell>
        </row>
        <row r="8777">
          <cell r="G8777" t="str">
            <v>ASV11521</v>
          </cell>
          <cell r="H8777" t="str">
            <v>g__unclassified_k__norank_d__Bacteria</v>
          </cell>
          <cell r="I8777" t="str">
            <v>s__unclassified_k__norank_d__Bacteria</v>
          </cell>
        </row>
        <row r="8778">
          <cell r="G8778" t="str">
            <v>ASV20757</v>
          </cell>
          <cell r="H8778" t="str">
            <v>g__Christensenellaceae_R-7_group</v>
          </cell>
          <cell r="I8778" t="str">
            <v>s__unclassified_g__Christensenellaceae_R-7_group</v>
          </cell>
        </row>
        <row r="8779">
          <cell r="G8779" t="str">
            <v>ASV2150</v>
          </cell>
          <cell r="H8779" t="str">
            <v>g__Ruminococcus</v>
          </cell>
          <cell r="I8779" t="str">
            <v>s__unclassified_g__Ruminococcus</v>
          </cell>
        </row>
        <row r="8780">
          <cell r="G8780" t="str">
            <v>ASV24159</v>
          </cell>
          <cell r="H8780" t="str">
            <v>g__unclassified_f__Lachnospiraceae</v>
          </cell>
          <cell r="I8780" t="str">
            <v>s__unclassified_f__Lachnospiraceae</v>
          </cell>
        </row>
        <row r="8781">
          <cell r="G8781" t="str">
            <v>ASV8337</v>
          </cell>
          <cell r="H8781" t="str">
            <v>g__Lactobacillus</v>
          </cell>
          <cell r="I8781" t="str">
            <v>s__unclassified_g__Lactobacillus</v>
          </cell>
        </row>
        <row r="8782">
          <cell r="G8782" t="str">
            <v>ASV10610</v>
          </cell>
          <cell r="H8782" t="str">
            <v>g__Christensenellaceae_R-7_group</v>
          </cell>
          <cell r="I8782" t="str">
            <v>s__unclassified_g__Christensenellaceae_R-7_group</v>
          </cell>
        </row>
        <row r="8783">
          <cell r="G8783" t="str">
            <v>ASV18562</v>
          </cell>
          <cell r="H8783" t="str">
            <v>g__unclassified_k__norank_d__Bacteria</v>
          </cell>
          <cell r="I8783" t="str">
            <v>s__unclassified_k__norank_d__Bacteria</v>
          </cell>
        </row>
        <row r="8784">
          <cell r="G8784" t="str">
            <v>ASV13411</v>
          </cell>
          <cell r="H8784" t="str">
            <v>g__unclassified_f__Lachnospiraceae</v>
          </cell>
          <cell r="I8784" t="str">
            <v>s__unclassified_f__Lachnospiraceae</v>
          </cell>
        </row>
        <row r="8785">
          <cell r="G8785" t="str">
            <v>ASV8631</v>
          </cell>
          <cell r="H8785" t="str">
            <v>g__unclassified_k__norank_d__Bacteria</v>
          </cell>
          <cell r="I8785" t="str">
            <v>s__unclassified_k__norank_d__Bacteria</v>
          </cell>
        </row>
        <row r="8786">
          <cell r="G8786" t="str">
            <v>ASV2164</v>
          </cell>
          <cell r="H8786" t="str">
            <v>g__unclassified_o__Lactobacillales</v>
          </cell>
          <cell r="I8786" t="str">
            <v>s__unclassified_o__Lactobacillales</v>
          </cell>
        </row>
        <row r="8787">
          <cell r="G8787" t="str">
            <v>ASV2154</v>
          </cell>
          <cell r="H8787" t="str">
            <v>g__Lactobacillus</v>
          </cell>
          <cell r="I8787" t="str">
            <v>s__Lactobacillus_sp._KC45b</v>
          </cell>
        </row>
        <row r="8788">
          <cell r="G8788" t="str">
            <v>ASV6666</v>
          </cell>
          <cell r="H8788" t="str">
            <v>g__Lactobacillus</v>
          </cell>
          <cell r="I8788" t="str">
            <v>s__unclassified_g__Lactobacillus</v>
          </cell>
        </row>
        <row r="8789">
          <cell r="G8789" t="str">
            <v>ASV19599</v>
          </cell>
          <cell r="H8789" t="str">
            <v>g__unclassified_c__Clostridia</v>
          </cell>
          <cell r="I8789" t="str">
            <v>s__unclassified_c__Clostridia</v>
          </cell>
        </row>
        <row r="8790">
          <cell r="G8790" t="str">
            <v>ASV19556</v>
          </cell>
          <cell r="H8790" t="str">
            <v>g__unclassified_f__Lachnospiraceae</v>
          </cell>
          <cell r="I8790" t="str">
            <v>s__unclassified_f__Lachnospiraceae</v>
          </cell>
        </row>
        <row r="8791">
          <cell r="G8791" t="str">
            <v>ASV24149</v>
          </cell>
          <cell r="H8791" t="str">
            <v>g__unclassified_f__Clostridiaceae</v>
          </cell>
          <cell r="I8791" t="str">
            <v>s__unclassified_f__Clostridiaceae</v>
          </cell>
        </row>
        <row r="8792">
          <cell r="G8792" t="str">
            <v>ASV2201</v>
          </cell>
          <cell r="H8792" t="str">
            <v>g__norank_f__Oscillospiraceae</v>
          </cell>
          <cell r="I8792" t="str">
            <v>s__unclassified_g__norank_f__Oscillospiraceae</v>
          </cell>
        </row>
        <row r="8793">
          <cell r="G8793" t="str">
            <v>ASV624</v>
          </cell>
          <cell r="H8793" t="str">
            <v>g__Streptococcus</v>
          </cell>
          <cell r="I8793" t="str">
            <v>s__unclassified_g__Streptococcus</v>
          </cell>
        </row>
        <row r="8794">
          <cell r="G8794" t="str">
            <v>ASV19530</v>
          </cell>
          <cell r="H8794" t="str">
            <v>g__unclassified_f__Lachnospiraceae</v>
          </cell>
          <cell r="I8794" t="str">
            <v>s__unclassified_f__Lachnospiraceae</v>
          </cell>
        </row>
        <row r="8795">
          <cell r="G8795" t="str">
            <v>ASV8983</v>
          </cell>
          <cell r="H8795" t="str">
            <v>g__Megasphaera</v>
          </cell>
          <cell r="I8795" t="str">
            <v>s__unclassified_g__Megasphaera</v>
          </cell>
        </row>
        <row r="8796">
          <cell r="G8796" t="str">
            <v>ASV22088</v>
          </cell>
          <cell r="H8796" t="str">
            <v>g__Lachnospiraceae_NC2004_group</v>
          </cell>
          <cell r="I8796" t="str">
            <v>s__unclassified_g__Lachnospiraceae_NC2004_group</v>
          </cell>
        </row>
        <row r="8797">
          <cell r="G8797" t="str">
            <v>ASV4862</v>
          </cell>
          <cell r="H8797" t="str">
            <v>g__UCG-002</v>
          </cell>
          <cell r="I8797" t="str">
            <v>s__uncultured_bacterium_g__UCG-002</v>
          </cell>
        </row>
        <row r="8798">
          <cell r="G8798" t="str">
            <v>ASV12770</v>
          </cell>
          <cell r="H8798" t="str">
            <v>g__norank_f__Muribaculaceae</v>
          </cell>
          <cell r="I8798" t="str">
            <v>s__unclassified_g__norank_f__Muribaculaceae</v>
          </cell>
        </row>
        <row r="8799">
          <cell r="G8799" t="str">
            <v>ASV22199</v>
          </cell>
          <cell r="H8799" t="str">
            <v>g__Blautia</v>
          </cell>
          <cell r="I8799" t="str">
            <v>s__unclassified_g__Blautia</v>
          </cell>
        </row>
        <row r="8800">
          <cell r="G8800" t="str">
            <v>ASV3177</v>
          </cell>
          <cell r="H8800" t="str">
            <v>g__unclassified_c__Bacilli</v>
          </cell>
          <cell r="I8800" t="str">
            <v>s__unclassified_c__Bacilli</v>
          </cell>
        </row>
        <row r="8801">
          <cell r="G8801" t="str">
            <v>ASV6686</v>
          </cell>
          <cell r="H8801" t="str">
            <v>g__unclassified_f__Lachnospiraceae</v>
          </cell>
          <cell r="I8801" t="str">
            <v>s__unclassified_f__Lachnospiraceae</v>
          </cell>
        </row>
        <row r="8802">
          <cell r="G8802" t="str">
            <v>ASV11520</v>
          </cell>
          <cell r="H8802" t="str">
            <v>g__Succiniclasticum</v>
          </cell>
          <cell r="I8802" t="str">
            <v>s__uncultured_rumen_bacterium_4C28d-16</v>
          </cell>
        </row>
        <row r="8803">
          <cell r="G8803" t="str">
            <v>ASV19578</v>
          </cell>
          <cell r="H8803" t="str">
            <v>g__unclassified_c__Clostridia</v>
          </cell>
          <cell r="I8803" t="str">
            <v>s__unclassified_c__Clostridia</v>
          </cell>
        </row>
        <row r="8804">
          <cell r="G8804" t="str">
            <v>ASV13379</v>
          </cell>
          <cell r="H8804" t="str">
            <v>g__unclassified_f__Oscillospiraceae</v>
          </cell>
          <cell r="I8804" t="str">
            <v>s__unclassified_f__Oscillospiraceae</v>
          </cell>
        </row>
        <row r="8805">
          <cell r="G8805" t="str">
            <v>ASV22206</v>
          </cell>
          <cell r="H8805" t="str">
            <v>g__Lactobacillus</v>
          </cell>
          <cell r="I8805" t="str">
            <v>s__unclassified_g__Lactobacillus</v>
          </cell>
        </row>
        <row r="8806">
          <cell r="G8806" t="str">
            <v>ASV22236</v>
          </cell>
          <cell r="H8806" t="str">
            <v>g__Turicibacter</v>
          </cell>
          <cell r="I8806" t="str">
            <v>s__uncultured_bacterium_g__Turicibacter</v>
          </cell>
        </row>
        <row r="8807">
          <cell r="G8807" t="str">
            <v>ASV11491</v>
          </cell>
          <cell r="H8807" t="str">
            <v>g__norank_f__norank_o__Clostridia_UCG-014</v>
          </cell>
          <cell r="I8807" t="str">
            <v>s__uncultured_bacterium_g__norank_f__norank_o__Clostridia_UCG-014</v>
          </cell>
        </row>
        <row r="8808">
          <cell r="G8808" t="str">
            <v>ASV14252</v>
          </cell>
          <cell r="H8808" t="str">
            <v>g__Lactobacillus</v>
          </cell>
          <cell r="I8808" t="str">
            <v>s__unclassified_g__Lactobacillus</v>
          </cell>
        </row>
        <row r="8809">
          <cell r="G8809" t="str">
            <v>ASV7697</v>
          </cell>
          <cell r="H8809" t="str">
            <v>g__unclassified_c__Clostridia</v>
          </cell>
          <cell r="I8809" t="str">
            <v>s__unclassified_c__Clostridia</v>
          </cell>
        </row>
        <row r="8810">
          <cell r="G8810" t="str">
            <v>ASV7062</v>
          </cell>
          <cell r="H8810" t="str">
            <v>g__Lactobacillus</v>
          </cell>
          <cell r="I8810" t="str">
            <v>s__unclassified_g__Lactobacillus</v>
          </cell>
        </row>
        <row r="8811">
          <cell r="G8811" t="str">
            <v>ASV18591</v>
          </cell>
          <cell r="H8811" t="str">
            <v>g__Escherichia-Shigella</v>
          </cell>
          <cell r="I8811" t="str">
            <v>s__unclassified_g__Escherichia-Shigella</v>
          </cell>
        </row>
        <row r="8812">
          <cell r="G8812" t="str">
            <v>ASV693</v>
          </cell>
          <cell r="H8812" t="str">
            <v>g__Lactobacillus</v>
          </cell>
          <cell r="I8812" t="str">
            <v>s__unclassified_g__Lactobacillus</v>
          </cell>
        </row>
        <row r="8813">
          <cell r="G8813" t="str">
            <v>ASV14207</v>
          </cell>
          <cell r="H8813" t="str">
            <v>g__Lactobacillus</v>
          </cell>
          <cell r="I8813" t="str">
            <v>s__unclassified_g__Lactobacillus</v>
          </cell>
        </row>
        <row r="8814">
          <cell r="G8814" t="str">
            <v>ASV11646</v>
          </cell>
          <cell r="H8814" t="str">
            <v>g__unclassified_o__Oscillospirales</v>
          </cell>
          <cell r="I8814" t="str">
            <v>s__unclassified_o__Oscillospirales</v>
          </cell>
        </row>
        <row r="8815">
          <cell r="G8815" t="str">
            <v>ASV24138</v>
          </cell>
          <cell r="H8815" t="str">
            <v>g__unclassified_p__Firmicutes</v>
          </cell>
          <cell r="I8815" t="str">
            <v>s__unclassified_p__Firmicutes</v>
          </cell>
        </row>
        <row r="8816">
          <cell r="G8816" t="str">
            <v>ASV21604</v>
          </cell>
          <cell r="H8816" t="str">
            <v>g__Faecalibacterium</v>
          </cell>
          <cell r="I8816" t="str">
            <v>s__uncultured_bacterium_g__Faecalibacterium</v>
          </cell>
        </row>
        <row r="8817">
          <cell r="G8817" t="str">
            <v>ASV20245</v>
          </cell>
          <cell r="H8817" t="str">
            <v>g__Streptococcus</v>
          </cell>
          <cell r="I8817" t="str">
            <v>s__unclassified_g__Streptococcus</v>
          </cell>
        </row>
        <row r="8818">
          <cell r="G8818" t="str">
            <v>ASV14219</v>
          </cell>
          <cell r="H8818" t="str">
            <v>g__unclassified_f__Lachnospiraceae</v>
          </cell>
          <cell r="I8818" t="str">
            <v>s__unclassified_f__Lachnospiraceae</v>
          </cell>
        </row>
        <row r="8819">
          <cell r="G8819" t="str">
            <v>ASV15974</v>
          </cell>
          <cell r="H8819" t="str">
            <v>g__Mogibacterium</v>
          </cell>
          <cell r="I8819" t="str">
            <v>s__uncultured_bacterium_g__Mogibacterium</v>
          </cell>
        </row>
        <row r="8820">
          <cell r="G8820" t="str">
            <v>ASV22147</v>
          </cell>
          <cell r="H8820" t="str">
            <v>g__Eubacterium_oxidoreducens_group</v>
          </cell>
          <cell r="I8820" t="str">
            <v>s__uncultured_bacterium_g__Eubacterium_oxidoreducens_group</v>
          </cell>
        </row>
        <row r="8821">
          <cell r="G8821" t="str">
            <v>ASV16385</v>
          </cell>
          <cell r="H8821" t="str">
            <v>g__unclassified_c__Clostridia</v>
          </cell>
          <cell r="I8821" t="str">
            <v>s__unclassified_c__Clostridia</v>
          </cell>
        </row>
        <row r="8822">
          <cell r="G8822" t="str">
            <v>ASV9358</v>
          </cell>
          <cell r="H8822" t="str">
            <v>g__Faecalibacterium</v>
          </cell>
          <cell r="I8822" t="str">
            <v>s__unclassified_g__Faecalibacterium</v>
          </cell>
        </row>
        <row r="8823">
          <cell r="G8823" t="str">
            <v>ASV13712</v>
          </cell>
          <cell r="H8823" t="str">
            <v>g__Megasphaera</v>
          </cell>
          <cell r="I8823" t="str">
            <v>s__unclassified_g__Megasphaera</v>
          </cell>
        </row>
        <row r="8824">
          <cell r="G8824" t="str">
            <v>ASV15316</v>
          </cell>
          <cell r="H8824" t="str">
            <v>g__unclassified_c__Clostridia</v>
          </cell>
          <cell r="I8824" t="str">
            <v>s__unclassified_c__Clostridia</v>
          </cell>
        </row>
        <row r="8825">
          <cell r="G8825" t="str">
            <v>ASV17964</v>
          </cell>
          <cell r="H8825" t="str">
            <v>g__unclassified_k__norank_d__Bacteria</v>
          </cell>
          <cell r="I8825" t="str">
            <v>s__unclassified_k__norank_d__Bacteria</v>
          </cell>
        </row>
        <row r="8826">
          <cell r="G8826" t="str">
            <v>ASV21597</v>
          </cell>
          <cell r="H8826" t="str">
            <v>g__Prevotella</v>
          </cell>
          <cell r="I8826" t="str">
            <v>s__human_gut_metagenome_g__Prevotella</v>
          </cell>
        </row>
        <row r="8827">
          <cell r="G8827" t="str">
            <v>ASV11673</v>
          </cell>
          <cell r="H8827" t="str">
            <v>g__unclassified_f__Lachnospiraceae</v>
          </cell>
          <cell r="I8827" t="str">
            <v>s__unclassified_f__Lachnospiraceae</v>
          </cell>
        </row>
        <row r="8828">
          <cell r="G8828" t="str">
            <v>ASV16873</v>
          </cell>
          <cell r="H8828" t="str">
            <v>g__Bacteroides</v>
          </cell>
          <cell r="I8828" t="str">
            <v>s__unclassified_g__Bacteroides</v>
          </cell>
        </row>
        <row r="8829">
          <cell r="G8829" t="str">
            <v>ASV8979</v>
          </cell>
          <cell r="H8829" t="str">
            <v>g__Lactobacillus</v>
          </cell>
          <cell r="I8829" t="str">
            <v>s__unclassified_g__Lactobacillus</v>
          </cell>
        </row>
        <row r="8830">
          <cell r="G8830" t="str">
            <v>ASV20754</v>
          </cell>
          <cell r="H8830" t="str">
            <v>g__unclassified_c__Clostridia</v>
          </cell>
          <cell r="I8830" t="str">
            <v>s__unclassified_c__Clostridia</v>
          </cell>
        </row>
        <row r="8831">
          <cell r="G8831" t="str">
            <v>ASV9415</v>
          </cell>
          <cell r="H8831" t="str">
            <v>g__norank_f__Eubacterium_coprostanoligenes_group</v>
          </cell>
          <cell r="I8831" t="str">
            <v>s__unclassified_g__norank_f__Eubacterium_coprostanoligenes_group</v>
          </cell>
        </row>
        <row r="8832">
          <cell r="G8832" t="str">
            <v>ASV6658</v>
          </cell>
          <cell r="H8832" t="str">
            <v>g__Tessaracoccus</v>
          </cell>
          <cell r="I8832" t="str">
            <v>s__unclassified_g__Tessaracoccus</v>
          </cell>
        </row>
        <row r="8833">
          <cell r="G8833" t="str">
            <v>ASV2130</v>
          </cell>
          <cell r="H8833" t="str">
            <v>g__unclassified_f__Lachnospiraceae</v>
          </cell>
          <cell r="I8833" t="str">
            <v>s__unclassified_f__Lachnospiraceae</v>
          </cell>
        </row>
        <row r="8834">
          <cell r="G8834" t="str">
            <v>ASV22237</v>
          </cell>
          <cell r="H8834" t="str">
            <v>g__unclassified_f__Oscillospiraceae</v>
          </cell>
          <cell r="I8834" t="str">
            <v>s__unclassified_f__Oscillospiraceae</v>
          </cell>
        </row>
        <row r="8835">
          <cell r="G8835" t="str">
            <v>ASV13372</v>
          </cell>
          <cell r="H8835" t="str">
            <v>g__Lactobacillus</v>
          </cell>
          <cell r="I8835" t="str">
            <v>s__unclassified_g__Lactobacillus</v>
          </cell>
        </row>
        <row r="8836">
          <cell r="G8836" t="str">
            <v>ASV5889</v>
          </cell>
          <cell r="H8836" t="str">
            <v>g__unclassified_k__norank_d__Bacteria</v>
          </cell>
          <cell r="I8836" t="str">
            <v>s__unclassified_k__norank_d__Bacteria</v>
          </cell>
        </row>
        <row r="8837">
          <cell r="G8837" t="str">
            <v>ASV15981</v>
          </cell>
          <cell r="H8837" t="str">
            <v>g__Bacillus</v>
          </cell>
          <cell r="I8837" t="str">
            <v>s__Lactobacillus_vaginalis_g__Bacillus</v>
          </cell>
        </row>
        <row r="8838">
          <cell r="G8838" t="str">
            <v>ASV20253</v>
          </cell>
          <cell r="H8838" t="str">
            <v>g__Eubacterium_oxidoreducens_group</v>
          </cell>
          <cell r="I8838" t="str">
            <v>s__uncultured_bacterium_g__Eubacterium_oxidoreducens_group</v>
          </cell>
        </row>
        <row r="8839">
          <cell r="G8839" t="str">
            <v>ASV20451</v>
          </cell>
          <cell r="H8839" t="str">
            <v>g__Ornithinimicrobium</v>
          </cell>
          <cell r="I8839" t="str">
            <v>s__unclassified_g__Ornithinimicrobium</v>
          </cell>
        </row>
        <row r="8840">
          <cell r="G8840" t="str">
            <v>ASV7781</v>
          </cell>
          <cell r="H8840" t="str">
            <v>g__unclassified_p__Firmicutes</v>
          </cell>
          <cell r="I8840" t="str">
            <v>s__unclassified_p__Firmicutes</v>
          </cell>
        </row>
        <row r="8841">
          <cell r="G8841" t="str">
            <v>ASV13377</v>
          </cell>
          <cell r="H8841" t="str">
            <v>g__unclassified_f__Lachnospiraceae</v>
          </cell>
          <cell r="I8841" t="str">
            <v>s__unclassified_f__Lachnospiraceae</v>
          </cell>
        </row>
        <row r="8842">
          <cell r="G8842" t="str">
            <v>ASV20439</v>
          </cell>
          <cell r="H8842" t="str">
            <v>g__Oligoflexus</v>
          </cell>
          <cell r="I8842" t="str">
            <v>s__Thymallus_thymallus_grayling_g__Oligoflexus</v>
          </cell>
        </row>
        <row r="8843">
          <cell r="G8843" t="str">
            <v>ASV12750</v>
          </cell>
          <cell r="H8843" t="str">
            <v>g__Clostridium_sensu_stricto_6</v>
          </cell>
          <cell r="I8843" t="str">
            <v>s__Clostridium_bornimense</v>
          </cell>
        </row>
        <row r="8844">
          <cell r="G8844" t="str">
            <v>ASV17999</v>
          </cell>
          <cell r="H8844" t="str">
            <v>g__unclassified_f__Lachnospiraceae</v>
          </cell>
          <cell r="I8844" t="str">
            <v>s__unclassified_f__Lachnospiraceae</v>
          </cell>
        </row>
        <row r="8845">
          <cell r="G8845" t="str">
            <v>ASV18859</v>
          </cell>
          <cell r="H8845" t="str">
            <v>g__Sharpea</v>
          </cell>
          <cell r="I8845" t="str">
            <v>s__unclassified_g__Sharpea</v>
          </cell>
        </row>
        <row r="8846">
          <cell r="G8846" t="str">
            <v>ASV23247</v>
          </cell>
          <cell r="H8846" t="str">
            <v>g__unclassified_o__Oscillospirales</v>
          </cell>
          <cell r="I8846" t="str">
            <v>s__unclassified_o__Oscillospirales</v>
          </cell>
        </row>
        <row r="8847">
          <cell r="G8847" t="str">
            <v>ASV12711</v>
          </cell>
          <cell r="H8847" t="str">
            <v>g__norank_f__Muribaculaceae</v>
          </cell>
          <cell r="I8847" t="str">
            <v>s__uncultured_bacterium_g__norank_f__Muribaculaceae</v>
          </cell>
        </row>
        <row r="8848">
          <cell r="G8848" t="str">
            <v>ASV16369</v>
          </cell>
          <cell r="H8848" t="str">
            <v>g__Bacteroides</v>
          </cell>
          <cell r="I8848" t="str">
            <v>s__unclassified_g__Bacteroides</v>
          </cell>
        </row>
        <row r="8849">
          <cell r="G8849" t="str">
            <v>ASV22208</v>
          </cell>
          <cell r="H8849" t="str">
            <v>g__norank_f__Eubacterium_coprostanoligenes_group</v>
          </cell>
          <cell r="I8849" t="str">
            <v>s__uncultured_bacterium_g__norank_f__Eubacterium_coprostanoligenes_group</v>
          </cell>
        </row>
        <row r="8850">
          <cell r="G8850" t="str">
            <v>ASV2169</v>
          </cell>
          <cell r="H8850" t="str">
            <v>g__unclassified_f__Lachnospiraceae</v>
          </cell>
          <cell r="I8850" t="str">
            <v>s__unclassified_f__Lachnospiraceae</v>
          </cell>
        </row>
        <row r="8851">
          <cell r="G8851" t="str">
            <v>ASV5901</v>
          </cell>
          <cell r="H8851" t="str">
            <v>g__norank_f__UCG-011</v>
          </cell>
          <cell r="I8851" t="str">
            <v>s__uncultured_bacterium_g__norank_f__UCG-011</v>
          </cell>
        </row>
        <row r="8852">
          <cell r="G8852" t="str">
            <v>ASV11478</v>
          </cell>
          <cell r="H8852" t="str">
            <v>g__unclassified_p__Firmicutes</v>
          </cell>
          <cell r="I8852" t="str">
            <v>s__unclassified_p__Firmicutes</v>
          </cell>
        </row>
        <row r="8853">
          <cell r="G8853" t="str">
            <v>ASV2121</v>
          </cell>
          <cell r="H8853" t="str">
            <v>g__unclassified_c__Clostridia</v>
          </cell>
          <cell r="I8853" t="str">
            <v>s__unclassified_c__Clostridia</v>
          </cell>
        </row>
        <row r="8854">
          <cell r="G8854" t="str">
            <v>ASV14216</v>
          </cell>
          <cell r="H8854" t="str">
            <v>g__unclassified_o__Bacteroidales</v>
          </cell>
          <cell r="I8854" t="str">
            <v>s__unclassified_o__Bacteroidales</v>
          </cell>
        </row>
        <row r="8855">
          <cell r="G8855" t="str">
            <v>ASV17610</v>
          </cell>
          <cell r="H8855" t="str">
            <v>g__unclassified_f__Selenomonadaceae</v>
          </cell>
          <cell r="I8855" t="str">
            <v>s__unclassified_f__Selenomonadaceae</v>
          </cell>
        </row>
        <row r="8856">
          <cell r="G8856" t="str">
            <v>ASV23944</v>
          </cell>
          <cell r="H8856" t="str">
            <v>g__Anaerotruncus</v>
          </cell>
          <cell r="I8856" t="str">
            <v>s__unclassified_g__Anaerotruncus</v>
          </cell>
        </row>
        <row r="8857">
          <cell r="G8857" t="str">
            <v>ASV18850</v>
          </cell>
          <cell r="H8857" t="str">
            <v>g__Prevotella</v>
          </cell>
          <cell r="I8857" t="str">
            <v>s__uncultured_bacterium_g__Prevotella</v>
          </cell>
        </row>
        <row r="8858">
          <cell r="G8858" t="str">
            <v>ASV22159</v>
          </cell>
          <cell r="H8858" t="str">
            <v>g__norank_f__norank_o__WCHB1-41</v>
          </cell>
          <cell r="I8858" t="str">
            <v>s__uncultured_bacterium_g__norank_f__norank_o__WCHB1-41</v>
          </cell>
        </row>
        <row r="8859">
          <cell r="G8859" t="str">
            <v>ASV10629</v>
          </cell>
          <cell r="H8859" t="str">
            <v>g__norank_f__UCG-011</v>
          </cell>
          <cell r="I8859" t="str">
            <v>s__uncultured_bacterium_g__norank_f__UCG-011</v>
          </cell>
        </row>
        <row r="8860">
          <cell r="G8860" t="str">
            <v>ASV11493</v>
          </cell>
          <cell r="H8860" t="str">
            <v>g__Treponema</v>
          </cell>
          <cell r="I8860" t="str">
            <v>s__Treponema_porcinum</v>
          </cell>
        </row>
        <row r="8861">
          <cell r="G8861" t="str">
            <v>ASV15963</v>
          </cell>
          <cell r="H8861" t="str">
            <v>g__unclassified_f__Lachnospiraceae</v>
          </cell>
          <cell r="I8861" t="str">
            <v>s__unclassified_f__Lachnospiraceae</v>
          </cell>
        </row>
        <row r="8862">
          <cell r="G8862" t="str">
            <v>ASV5845</v>
          </cell>
          <cell r="H8862" t="str">
            <v>g__unclassified_c__Clostridia</v>
          </cell>
          <cell r="I8862" t="str">
            <v>s__unclassified_c__Clostridia</v>
          </cell>
        </row>
        <row r="8863">
          <cell r="G8863" t="str">
            <v>ASV6680</v>
          </cell>
          <cell r="H8863" t="str">
            <v>g__unclassified_c__Clostridia</v>
          </cell>
          <cell r="I8863" t="str">
            <v>s__unclassified_c__Clostridia</v>
          </cell>
        </row>
        <row r="8864">
          <cell r="G8864" t="str">
            <v>ASV8998</v>
          </cell>
          <cell r="H8864" t="str">
            <v>g__Streptococcus</v>
          </cell>
          <cell r="I8864" t="str">
            <v>s__unclassified_g__Streptococcus</v>
          </cell>
        </row>
        <row r="8865">
          <cell r="G8865" t="str">
            <v>ASV20752</v>
          </cell>
          <cell r="H8865" t="str">
            <v>g__norank_f__Eubacterium_coprostanoligenes_group</v>
          </cell>
          <cell r="I8865" t="str">
            <v>s__unclassified_g__norank_f__Eubacterium_coprostanoligenes_group</v>
          </cell>
        </row>
        <row r="8866">
          <cell r="G8866" t="str">
            <v>ASV14213</v>
          </cell>
          <cell r="H8866" t="str">
            <v>g__unclassified_f__Lachnospiraceae</v>
          </cell>
          <cell r="I8866" t="str">
            <v>s__unclassified_f__Lachnospiraceae</v>
          </cell>
        </row>
        <row r="8867">
          <cell r="G8867" t="str">
            <v>ASV19482</v>
          </cell>
          <cell r="H8867" t="str">
            <v>g__unclassified_f__Peptostreptococcaceae</v>
          </cell>
          <cell r="I8867" t="str">
            <v>s__unclassified_f__Peptostreptococcaceae</v>
          </cell>
        </row>
        <row r="8868">
          <cell r="G8868" t="str">
            <v>ASV749</v>
          </cell>
          <cell r="H8868" t="str">
            <v>g__unclassified_f__Lachnospiraceae</v>
          </cell>
          <cell r="I8868" t="str">
            <v>s__unclassified_f__Lachnospiraceae</v>
          </cell>
        </row>
        <row r="8869">
          <cell r="G8869" t="str">
            <v>ASV23251</v>
          </cell>
          <cell r="H8869" t="str">
            <v>g__Subdoligranulum</v>
          </cell>
          <cell r="I8869" t="str">
            <v>s__uncultured_bacterium_g__Subdoligranulum</v>
          </cell>
        </row>
        <row r="8870">
          <cell r="G8870" t="str">
            <v>ASV16917</v>
          </cell>
          <cell r="H8870" t="str">
            <v>g__unclassified_f__Lachnospiraceae</v>
          </cell>
          <cell r="I8870" t="str">
            <v>s__unclassified_f__Lachnospiraceae</v>
          </cell>
        </row>
        <row r="8871">
          <cell r="G8871" t="str">
            <v>ASV4817</v>
          </cell>
          <cell r="H8871" t="str">
            <v>g__Subdoligranulum</v>
          </cell>
          <cell r="I8871" t="str">
            <v>s__uncultured_bacterium_g__Subdoligranulum</v>
          </cell>
        </row>
        <row r="8872">
          <cell r="G8872" t="str">
            <v>ASV21739</v>
          </cell>
          <cell r="H8872" t="str">
            <v>g__unclassified_f__Propionibacteriaceae</v>
          </cell>
          <cell r="I8872" t="str">
            <v>s__unclassified_f__Propionibacteriaceae</v>
          </cell>
        </row>
        <row r="8873">
          <cell r="G8873" t="str">
            <v>ASV16383</v>
          </cell>
          <cell r="H8873" t="str">
            <v>g__unclassified_c__Bacteroidia</v>
          </cell>
          <cell r="I8873" t="str">
            <v>s__unclassified_c__Bacteroidia</v>
          </cell>
        </row>
        <row r="8874">
          <cell r="G8874" t="str">
            <v>ASV10588</v>
          </cell>
          <cell r="H8874" t="str">
            <v>g__unclassified_c__Clostridia</v>
          </cell>
          <cell r="I8874" t="str">
            <v>s__unclassified_c__Clostridia</v>
          </cell>
        </row>
        <row r="8875">
          <cell r="G8875" t="str">
            <v>ASV19468</v>
          </cell>
          <cell r="H8875" t="str">
            <v>g__Parabacteroides</v>
          </cell>
          <cell r="I8875" t="str">
            <v>s__unclassified_g__Parabacteroides</v>
          </cell>
        </row>
        <row r="8876">
          <cell r="G8876" t="str">
            <v>ASV5911</v>
          </cell>
          <cell r="H8876" t="str">
            <v>g__Turicibacter</v>
          </cell>
          <cell r="I8876" t="str">
            <v>s__unclassified_g__Turicibacter</v>
          </cell>
        </row>
        <row r="8877">
          <cell r="G8877" t="str">
            <v>ASV16365</v>
          </cell>
          <cell r="H8877" t="str">
            <v>g__unclassified_c__Clostridia</v>
          </cell>
          <cell r="I8877" t="str">
            <v>s__unclassified_c__Clostridia</v>
          </cell>
        </row>
        <row r="8878">
          <cell r="G8878" t="str">
            <v>ASV10657</v>
          </cell>
          <cell r="H8878" t="str">
            <v>g__Lachnospiraceae_NC2004_group</v>
          </cell>
          <cell r="I8878" t="str">
            <v>s__uncultured_bacterium_g__Lachnospiraceae_NC2004_group</v>
          </cell>
        </row>
        <row r="8879">
          <cell r="G8879" t="str">
            <v>ASV15798</v>
          </cell>
          <cell r="H8879" t="str">
            <v>g__unclassified_p__Firmicutes</v>
          </cell>
          <cell r="I8879" t="str">
            <v>s__unclassified_p__Firmicutes</v>
          </cell>
        </row>
        <row r="8880">
          <cell r="G8880" t="str">
            <v>ASV2119</v>
          </cell>
          <cell r="H8880" t="str">
            <v>g__Lactobacillus</v>
          </cell>
          <cell r="I8880" t="str">
            <v>s__unclassified_g__Lactobacillus</v>
          </cell>
        </row>
        <row r="8881">
          <cell r="G8881" t="str">
            <v>ASV21594</v>
          </cell>
          <cell r="H8881" t="str">
            <v>g__Lactobacillus</v>
          </cell>
          <cell r="I8881" t="str">
            <v>s__unclassified_g__Lactobacillus</v>
          </cell>
        </row>
        <row r="8882">
          <cell r="G8882" t="str">
            <v>ASV11601</v>
          </cell>
          <cell r="H8882" t="str">
            <v>g__unclassified_f__Oscillospiraceae</v>
          </cell>
          <cell r="I8882" t="str">
            <v>s__unclassified_f__Oscillospiraceae</v>
          </cell>
        </row>
        <row r="8883">
          <cell r="G8883" t="str">
            <v>ASV14161</v>
          </cell>
          <cell r="H8883" t="str">
            <v>g__CAG-873</v>
          </cell>
          <cell r="I8883" t="str">
            <v>s__Bacteroidales_bacterium_H4</v>
          </cell>
        </row>
        <row r="8884">
          <cell r="G8884" t="str">
            <v>ASV19544</v>
          </cell>
          <cell r="H8884" t="str">
            <v>g__unclassified_f__Lachnospiraceae</v>
          </cell>
          <cell r="I8884" t="str">
            <v>s__unclassified_f__Lachnospiraceae</v>
          </cell>
        </row>
        <row r="8885">
          <cell r="G8885" t="str">
            <v>ASV18584</v>
          </cell>
          <cell r="H8885" t="str">
            <v>g__unclassified_f__Lachnospiraceae</v>
          </cell>
          <cell r="I8885" t="str">
            <v>s__unclassified_f__Lachnospiraceae</v>
          </cell>
        </row>
        <row r="8886">
          <cell r="G8886" t="str">
            <v>ASV11636</v>
          </cell>
          <cell r="H8886" t="str">
            <v>g__UCG-002</v>
          </cell>
          <cell r="I8886" t="str">
            <v>s__uncultured_bacterium_g__UCG-002</v>
          </cell>
        </row>
        <row r="8887">
          <cell r="G8887" t="str">
            <v>ASV17480</v>
          </cell>
          <cell r="H8887" t="str">
            <v>g__unclassified_f__Lachnospiraceae</v>
          </cell>
          <cell r="I8887" t="str">
            <v>s__unclassified_f__Lachnospiraceae</v>
          </cell>
        </row>
        <row r="8888">
          <cell r="G8888" t="str">
            <v>ASV772</v>
          </cell>
          <cell r="H8888" t="str">
            <v>g__Prevotella</v>
          </cell>
          <cell r="I8888" t="str">
            <v>s__unclassified_g__Prevotella</v>
          </cell>
        </row>
        <row r="8889">
          <cell r="G8889" t="str">
            <v>ASV10185</v>
          </cell>
          <cell r="H8889" t="str">
            <v>g__Lactobacillus</v>
          </cell>
          <cell r="I8889" t="str">
            <v>s__unclassified_g__Lactobacillus</v>
          </cell>
        </row>
        <row r="8890">
          <cell r="G8890" t="str">
            <v>ASV14147</v>
          </cell>
          <cell r="H8890" t="str">
            <v>g__unclassified_p__Firmicutes</v>
          </cell>
          <cell r="I8890" t="str">
            <v>s__unclassified_p__Firmicutes</v>
          </cell>
        </row>
        <row r="8891">
          <cell r="G8891" t="str">
            <v>ASV23947</v>
          </cell>
          <cell r="H8891" t="str">
            <v>g__Megasphaera</v>
          </cell>
          <cell r="I8891" t="str">
            <v>s__unclassified_g__Megasphaera</v>
          </cell>
        </row>
        <row r="8892">
          <cell r="G8892" t="str">
            <v>ASV19516</v>
          </cell>
          <cell r="H8892" t="str">
            <v>g__UCG-005</v>
          </cell>
          <cell r="I8892" t="str">
            <v>s__unclassified_g__UCG-005</v>
          </cell>
        </row>
        <row r="8893">
          <cell r="G8893" t="str">
            <v>ASV3656</v>
          </cell>
          <cell r="H8893" t="str">
            <v>g__Corynebacterium</v>
          </cell>
          <cell r="I8893" t="str">
            <v>s__unclassified_g__Corynebacterium</v>
          </cell>
        </row>
        <row r="8894">
          <cell r="G8894" t="str">
            <v>ASV20728</v>
          </cell>
          <cell r="H8894" t="str">
            <v>g__unclassified_c__Clostridia</v>
          </cell>
          <cell r="I8894" t="str">
            <v>s__unclassified_c__Clostridia</v>
          </cell>
        </row>
        <row r="8895">
          <cell r="G8895" t="str">
            <v>ASV11669</v>
          </cell>
          <cell r="H8895" t="str">
            <v>g__Ruminococcus</v>
          </cell>
          <cell r="I8895" t="str">
            <v>s__unclassified_g__Ruminococcus</v>
          </cell>
        </row>
        <row r="8896">
          <cell r="G8896" t="str">
            <v>ASV3971</v>
          </cell>
          <cell r="H8896" t="str">
            <v>g__Eubacterium_oxidoreducens_group</v>
          </cell>
          <cell r="I8896" t="str">
            <v>s__uncultured_bacterium_g__Eubacterium_oxidoreducens_group</v>
          </cell>
        </row>
        <row r="8897">
          <cell r="G8897" t="str">
            <v>ASV23261</v>
          </cell>
          <cell r="H8897" t="str">
            <v>g__unclassified_c__Clostridia</v>
          </cell>
          <cell r="I8897" t="str">
            <v>s__unclassified_c__Clostridia</v>
          </cell>
        </row>
        <row r="8898">
          <cell r="G8898" t="str">
            <v>ASV16420</v>
          </cell>
          <cell r="H8898" t="str">
            <v>g__unclassified_c__Clostridia</v>
          </cell>
          <cell r="I8898" t="str">
            <v>s__unclassified_c__Clostridia</v>
          </cell>
        </row>
        <row r="8899">
          <cell r="G8899" t="str">
            <v>ASV14262</v>
          </cell>
          <cell r="H8899" t="str">
            <v>g__Lactobacillus</v>
          </cell>
          <cell r="I8899" t="str">
            <v>s__unclassified_g__Lactobacillus</v>
          </cell>
        </row>
        <row r="8900">
          <cell r="G8900" t="str">
            <v>ASV8640</v>
          </cell>
          <cell r="H8900" t="str">
            <v>g__Rothia</v>
          </cell>
          <cell r="I8900" t="str">
            <v>s__unclassified_g__Rothia</v>
          </cell>
        </row>
        <row r="8901">
          <cell r="G8901" t="str">
            <v>ASV12793</v>
          </cell>
          <cell r="H8901" t="str">
            <v>g__unclassified_f__Lachnospiraceae</v>
          </cell>
          <cell r="I8901" t="str">
            <v>s__unclassified_f__Lachnospiraceae</v>
          </cell>
        </row>
        <row r="8902">
          <cell r="G8902" t="str">
            <v>ASV13381</v>
          </cell>
          <cell r="H8902" t="str">
            <v>g__norank_f__Eubacterium_coprostanoligenes_group</v>
          </cell>
          <cell r="I8902" t="str">
            <v>s__unclassified_g__norank_f__Eubacterium_coprostanoligenes_group</v>
          </cell>
        </row>
        <row r="8903">
          <cell r="G8903" t="str">
            <v>ASV18853</v>
          </cell>
          <cell r="H8903" t="str">
            <v>g__Anaerovibrio</v>
          </cell>
          <cell r="I8903" t="str">
            <v>s__unclassified_g__Anaerovibrio</v>
          </cell>
        </row>
        <row r="8904">
          <cell r="G8904" t="str">
            <v>ASV7057</v>
          </cell>
          <cell r="H8904" t="str">
            <v>g__Bacillus</v>
          </cell>
          <cell r="I8904" t="str">
            <v>s__Lactobacillus_vaginalis_g__Bacillus</v>
          </cell>
        </row>
        <row r="8905">
          <cell r="G8905" t="str">
            <v>ASV7690</v>
          </cell>
          <cell r="H8905" t="str">
            <v>g__unclassified_f__Erysipelotrichaceae</v>
          </cell>
          <cell r="I8905" t="str">
            <v>s__unclassified_f__Erysipelotrichaceae</v>
          </cell>
        </row>
        <row r="8906">
          <cell r="G8906" t="str">
            <v>ASV16371</v>
          </cell>
          <cell r="H8906" t="str">
            <v>g__Escherichia-Shigella</v>
          </cell>
          <cell r="I8906" t="str">
            <v>s__unclassified_g__Escherichia-Shigella</v>
          </cell>
        </row>
        <row r="8907">
          <cell r="G8907" t="str">
            <v>ASV709</v>
          </cell>
          <cell r="H8907" t="str">
            <v>g__norank_f__Muribaculaceae</v>
          </cell>
          <cell r="I8907" t="str">
            <v>s__unclassified_g__norank_f__Muribaculaceae</v>
          </cell>
        </row>
        <row r="8908">
          <cell r="G8908" t="str">
            <v>ASV8341</v>
          </cell>
          <cell r="H8908" t="str">
            <v>g__norank_f__Pleomorphomonadaceae</v>
          </cell>
          <cell r="I8908" t="str">
            <v>s__uncultured_Rhizobiales_bacterium_g__norank_f__Pleomorphomonadaceae</v>
          </cell>
        </row>
        <row r="8909">
          <cell r="G8909" t="str">
            <v>ASV775</v>
          </cell>
          <cell r="H8909" t="str">
            <v>g__unclassified_c__Clostridia</v>
          </cell>
          <cell r="I8909" t="str">
            <v>s__unclassified_c__Clostridia</v>
          </cell>
        </row>
        <row r="8910">
          <cell r="G8910" t="str">
            <v>ASV1665</v>
          </cell>
          <cell r="H8910" t="str">
            <v>g__unclassified_f__Anaerovoracaceae</v>
          </cell>
          <cell r="I8910" t="str">
            <v>s__unclassified_f__Anaerovoracaceae</v>
          </cell>
        </row>
        <row r="8911">
          <cell r="G8911" t="str">
            <v>ASV14238</v>
          </cell>
          <cell r="H8911" t="str">
            <v>g__unclassified_k__norank_d__Bacteria</v>
          </cell>
          <cell r="I8911" t="str">
            <v>s__unclassified_k__norank_d__Bacteria</v>
          </cell>
        </row>
        <row r="8912">
          <cell r="G8912" t="str">
            <v>ASV11579</v>
          </cell>
          <cell r="H8912" t="str">
            <v>g__Alloprevotella</v>
          </cell>
          <cell r="I8912" t="str">
            <v>s__uncultured_bacterium_g__Alloprevotella</v>
          </cell>
        </row>
        <row r="8913">
          <cell r="G8913" t="str">
            <v>ASV20736</v>
          </cell>
          <cell r="H8913" t="str">
            <v>g__unclassified_f__Lachnospiraceae</v>
          </cell>
          <cell r="I8913" t="str">
            <v>s__unclassified_f__Lachnospiraceae</v>
          </cell>
        </row>
        <row r="8914">
          <cell r="G8914" t="str">
            <v>ASV22166</v>
          </cell>
          <cell r="H8914" t="str">
            <v>g__Marvinbryantia</v>
          </cell>
          <cell r="I8914" t="str">
            <v>s__unclassified_g__Marvinbryantia</v>
          </cell>
        </row>
        <row r="8915">
          <cell r="G8915" t="str">
            <v>ASV13364</v>
          </cell>
          <cell r="H8915" t="str">
            <v>g__Butyricicoccus</v>
          </cell>
          <cell r="I8915" t="str">
            <v>s__unclassified_g__Butyricicoccus</v>
          </cell>
        </row>
        <row r="8916">
          <cell r="G8916" t="str">
            <v>ASV8355</v>
          </cell>
          <cell r="H8916" t="str">
            <v>g__Lactobacillus</v>
          </cell>
          <cell r="I8916" t="str">
            <v>s__unclassified_g__Lactobacillus</v>
          </cell>
        </row>
        <row r="8917">
          <cell r="G8917" t="str">
            <v>ASV16415</v>
          </cell>
          <cell r="H8917" t="str">
            <v>g__unclassified_o__Oscillospirales</v>
          </cell>
          <cell r="I8917" t="str">
            <v>s__unclassified_o__Oscillospirales</v>
          </cell>
        </row>
        <row r="8918">
          <cell r="G8918" t="str">
            <v>ASV19474</v>
          </cell>
          <cell r="H8918" t="str">
            <v>g__unclassified_f__Lachnospiraceae</v>
          </cell>
          <cell r="I8918" t="str">
            <v>s__unclassified_f__Lachnospiraceae</v>
          </cell>
        </row>
        <row r="8919">
          <cell r="G8919" t="str">
            <v>ASV5804</v>
          </cell>
          <cell r="H8919" t="str">
            <v>g__unclassified_f__Ruminococcaceae</v>
          </cell>
          <cell r="I8919" t="str">
            <v>s__unclassified_f__Ruminococcaceae</v>
          </cell>
        </row>
        <row r="8920">
          <cell r="G8920" t="str">
            <v>ASV652</v>
          </cell>
          <cell r="H8920" t="str">
            <v>g__unclassified_f__Lachnospiraceae</v>
          </cell>
          <cell r="I8920" t="str">
            <v>s__unclassified_f__Lachnospiraceae</v>
          </cell>
        </row>
        <row r="8921">
          <cell r="G8921" t="str">
            <v>ASV3025</v>
          </cell>
          <cell r="H8921" t="str">
            <v>g__Candidatus_Saccharimonas</v>
          </cell>
          <cell r="I8921" t="str">
            <v>s__uncultured_bacterium_g__Candidatus_Saccharimonas</v>
          </cell>
        </row>
        <row r="8922">
          <cell r="G8922" t="str">
            <v>ASV22163</v>
          </cell>
          <cell r="H8922" t="str">
            <v>g__unclassified_o__Oscillospirales</v>
          </cell>
          <cell r="I8922" t="str">
            <v>s__unclassified_o__Oscillospirales</v>
          </cell>
        </row>
        <row r="8923">
          <cell r="G8923" t="str">
            <v>ASV18874</v>
          </cell>
          <cell r="H8923" t="str">
            <v>g__norank_f__Oscillospiraceae</v>
          </cell>
          <cell r="I8923" t="str">
            <v>s__unclassified_g__norank_f__Oscillospiraceae</v>
          </cell>
        </row>
        <row r="8924">
          <cell r="G8924" t="str">
            <v>ASV21206</v>
          </cell>
          <cell r="H8924" t="str">
            <v>g__Collinsella</v>
          </cell>
          <cell r="I8924" t="str">
            <v>s__unclassified_g__Collinsella</v>
          </cell>
        </row>
        <row r="8925">
          <cell r="G8925" t="str">
            <v>ASV9379</v>
          </cell>
          <cell r="H8925" t="str">
            <v>g__unclassified_p__Firmicutes</v>
          </cell>
          <cell r="I8925" t="str">
            <v>s__unclassified_p__Firmicutes</v>
          </cell>
        </row>
        <row r="8926">
          <cell r="G8926" t="str">
            <v>ASV12768</v>
          </cell>
          <cell r="H8926" t="str">
            <v>g__Family_XIII_AD3011_group</v>
          </cell>
          <cell r="I8926" t="str">
            <v>s__uncultured_bacterium_g__Family_XIII_AD3011_group</v>
          </cell>
        </row>
        <row r="8927">
          <cell r="G8927" t="str">
            <v>ASV18868</v>
          </cell>
          <cell r="H8927" t="str">
            <v>g__unclassified_c__Bacilli</v>
          </cell>
          <cell r="I8927" t="str">
            <v>s__unclassified_c__Bacilli</v>
          </cell>
        </row>
        <row r="8928">
          <cell r="G8928" t="str">
            <v>ASV4777</v>
          </cell>
          <cell r="H8928" t="str">
            <v>g__Bacteroides</v>
          </cell>
          <cell r="I8928" t="str">
            <v>s__unclassified_g__Bacteroides</v>
          </cell>
        </row>
        <row r="8929">
          <cell r="G8929" t="str">
            <v>ASV8354</v>
          </cell>
          <cell r="H8929" t="str">
            <v>g__unclassified_p__Firmicutes</v>
          </cell>
          <cell r="I8929" t="str">
            <v>s__unclassified_p__Firmicutes</v>
          </cell>
        </row>
        <row r="8930">
          <cell r="G8930" t="str">
            <v>ASV19594</v>
          </cell>
          <cell r="H8930" t="str">
            <v>g__Terrisporobacter</v>
          </cell>
          <cell r="I8930" t="str">
            <v>s__unclassified_g__Terrisporobacter</v>
          </cell>
        </row>
        <row r="8931">
          <cell r="G8931" t="str">
            <v>ASV758</v>
          </cell>
          <cell r="H8931" t="str">
            <v>g__Clostridium_sensu_stricto_1</v>
          </cell>
          <cell r="I8931" t="str">
            <v>s__unclassified_g__Clostridium_sensu_stricto_1</v>
          </cell>
        </row>
        <row r="8932">
          <cell r="G8932" t="str">
            <v>ASV11492</v>
          </cell>
          <cell r="H8932" t="str">
            <v>g__Cloacibacillus</v>
          </cell>
          <cell r="I8932" t="str">
            <v>s__unclassified_g__Cloacibacillus</v>
          </cell>
        </row>
        <row r="8933">
          <cell r="G8933" t="str">
            <v>ASV9378</v>
          </cell>
          <cell r="H8933" t="str">
            <v>g__unclassified_f__Anaerovoracaceae</v>
          </cell>
          <cell r="I8933" t="str">
            <v>s__unclassified_f__Anaerovoracaceae</v>
          </cell>
        </row>
        <row r="8934">
          <cell r="G8934" t="str">
            <v>ASV20459</v>
          </cell>
          <cell r="H8934" t="str">
            <v>g__Pedobacter</v>
          </cell>
          <cell r="I8934" t="str">
            <v>s__unclassified_g__Pedobacter</v>
          </cell>
        </row>
        <row r="8935">
          <cell r="G8935" t="str">
            <v>ASV2196</v>
          </cell>
          <cell r="H8935" t="str">
            <v>g__Lactobacillus</v>
          </cell>
          <cell r="I8935" t="str">
            <v>s__unclassified_g__Lactobacillus</v>
          </cell>
        </row>
        <row r="8936">
          <cell r="G8936" t="str">
            <v>ASV23958</v>
          </cell>
          <cell r="H8936" t="str">
            <v>g__Desulfovibrio</v>
          </cell>
          <cell r="I8936" t="str">
            <v>s__Desulfovibrio_sp._enrichment_culture_clone_Jdgsrb034</v>
          </cell>
        </row>
        <row r="8937">
          <cell r="G8937" t="str">
            <v>ASV22149</v>
          </cell>
          <cell r="H8937" t="str">
            <v>g__Lactobacillus</v>
          </cell>
          <cell r="I8937" t="str">
            <v>s__unclassified_g__Lactobacillus</v>
          </cell>
        </row>
        <row r="8938">
          <cell r="G8938" t="str">
            <v>ASV19564</v>
          </cell>
          <cell r="H8938" t="str">
            <v>g__unclassified_c__Clostridia</v>
          </cell>
          <cell r="I8938" t="str">
            <v>s__unclassified_c__Clostridia</v>
          </cell>
        </row>
        <row r="8939">
          <cell r="G8939" t="str">
            <v>ASV6668</v>
          </cell>
          <cell r="H8939" t="str">
            <v>g__unclassified_c__Clostridia</v>
          </cell>
          <cell r="I8939" t="str">
            <v>s__unclassified_c__Clostridia</v>
          </cell>
        </row>
        <row r="8940">
          <cell r="G8940" t="str">
            <v>ASV11617</v>
          </cell>
          <cell r="H8940" t="str">
            <v>g__unclassified_f__Prevotellaceae</v>
          </cell>
          <cell r="I8940" t="str">
            <v>s__unclassified_f__Prevotellaceae</v>
          </cell>
        </row>
        <row r="8941">
          <cell r="G8941" t="str">
            <v>ASV17284</v>
          </cell>
          <cell r="H8941" t="str">
            <v>g__Lactobacillus</v>
          </cell>
          <cell r="I8941" t="str">
            <v>s__Lactobacillus_agilis</v>
          </cell>
        </row>
        <row r="8942">
          <cell r="G8942" t="str">
            <v>ASV686</v>
          </cell>
          <cell r="H8942" t="str">
            <v>g__unclassified_o__Oscillospirales</v>
          </cell>
          <cell r="I8942" t="str">
            <v>s__unclassified_o__Oscillospirales</v>
          </cell>
        </row>
        <row r="8943">
          <cell r="G8943" t="str">
            <v>ASV21224</v>
          </cell>
          <cell r="H8943" t="str">
            <v>g__unclassified_c__Bacilli</v>
          </cell>
          <cell r="I8943" t="str">
            <v>s__unclassified_c__Bacilli</v>
          </cell>
        </row>
        <row r="8944">
          <cell r="G8944" t="str">
            <v>ASV14265</v>
          </cell>
          <cell r="H8944" t="str">
            <v>g__Clostridium_sensu_stricto_1</v>
          </cell>
          <cell r="I8944" t="str">
            <v>s__unclassified_g__Clostridium_sensu_stricto_1</v>
          </cell>
        </row>
        <row r="8945">
          <cell r="G8945" t="str">
            <v>ASV15325</v>
          </cell>
          <cell r="H8945" t="str">
            <v>g__norank_f__Eubacterium_coprostanoligenes_group</v>
          </cell>
          <cell r="I8945" t="str">
            <v>s__unclassified_g__norank_f__Eubacterium_coprostanoligenes_group</v>
          </cell>
        </row>
        <row r="8946">
          <cell r="G8946" t="str">
            <v>ASV17944</v>
          </cell>
          <cell r="H8946" t="str">
            <v>g__Christensenellaceae_R-7_group</v>
          </cell>
          <cell r="I8946" t="str">
            <v>s__unclassified_g__Christensenellaceae_R-7_group</v>
          </cell>
        </row>
        <row r="8947">
          <cell r="G8947" t="str">
            <v>ASV13369</v>
          </cell>
          <cell r="H8947" t="str">
            <v>g__unclassified_o__Oscillospirales</v>
          </cell>
          <cell r="I8947" t="str">
            <v>s__unclassified_o__Oscillospirales</v>
          </cell>
        </row>
        <row r="8948">
          <cell r="G8948" t="str">
            <v>ASV21205</v>
          </cell>
          <cell r="H8948" t="str">
            <v>g__unclassified_p__Firmicutes</v>
          </cell>
          <cell r="I8948" t="str">
            <v>s__unclassified_p__Firmicutes</v>
          </cell>
        </row>
        <row r="8949">
          <cell r="G8949" t="str">
            <v>ASV20446</v>
          </cell>
          <cell r="H8949" t="str">
            <v>g__unclassified_o__Saccharimonadales</v>
          </cell>
          <cell r="I8949" t="str">
            <v>s__unclassified_o__Saccharimonadales</v>
          </cell>
        </row>
        <row r="8950">
          <cell r="G8950" t="str">
            <v>ASV20254</v>
          </cell>
          <cell r="H8950" t="str">
            <v>g__Blautia</v>
          </cell>
          <cell r="I8950" t="str">
            <v>s__unclassified_g__Blautia</v>
          </cell>
        </row>
        <row r="8951">
          <cell r="G8951" t="str">
            <v>ASV8982</v>
          </cell>
          <cell r="H8951" t="str">
            <v>g__unclassified_f__Peptostreptococcaceae</v>
          </cell>
          <cell r="I8951" t="str">
            <v>s__unclassified_f__Peptostreptococcaceae</v>
          </cell>
        </row>
        <row r="8952">
          <cell r="G8952" t="str">
            <v>ASV20772</v>
          </cell>
          <cell r="H8952" t="str">
            <v>g__unclassified_f__Peptostreptococcaceae</v>
          </cell>
          <cell r="I8952" t="str">
            <v>s__unclassified_f__Peptostreptococcaceae</v>
          </cell>
        </row>
        <row r="8953">
          <cell r="G8953" t="str">
            <v>ASV7049</v>
          </cell>
          <cell r="H8953" t="str">
            <v>g__unclassified_f__Lachnospiraceae</v>
          </cell>
          <cell r="I8953" t="str">
            <v>s__unclassified_f__Lachnospiraceae</v>
          </cell>
        </row>
        <row r="8954">
          <cell r="G8954" t="str">
            <v>ASV11584</v>
          </cell>
          <cell r="H8954" t="str">
            <v>g__unclassified_f__Peptostreptococcaceae</v>
          </cell>
          <cell r="I8954" t="str">
            <v>s__unclassified_f__Peptostreptococcaceae</v>
          </cell>
        </row>
        <row r="8955">
          <cell r="G8955" t="str">
            <v>ASV15378</v>
          </cell>
          <cell r="H8955" t="str">
            <v>g__Clostridium_sensu_stricto_1</v>
          </cell>
          <cell r="I8955" t="str">
            <v>s__unclassified_g__Clostridium_sensu_stricto_1</v>
          </cell>
        </row>
        <row r="8956">
          <cell r="G8956" t="str">
            <v>ASV11658</v>
          </cell>
          <cell r="H8956" t="str">
            <v>g__norank_f__Oscillospiraceae</v>
          </cell>
          <cell r="I8956" t="str">
            <v>s__unclassified_g__norank_f__Oscillospiraceae</v>
          </cell>
        </row>
        <row r="8957">
          <cell r="G8957" t="str">
            <v>ASV14187</v>
          </cell>
          <cell r="H8957" t="str">
            <v>g__unclassified_c__Clostridia</v>
          </cell>
          <cell r="I8957" t="str">
            <v>s__unclassified_c__Clostridia</v>
          </cell>
        </row>
        <row r="8958">
          <cell r="G8958" t="str">
            <v>ASV742</v>
          </cell>
          <cell r="H8958" t="str">
            <v>g__unclassified_c__Clostridia</v>
          </cell>
          <cell r="I8958" t="str">
            <v>s__unclassified_c__Clostridia</v>
          </cell>
        </row>
        <row r="8959">
          <cell r="G8959" t="str">
            <v>ASV22180</v>
          </cell>
          <cell r="H8959" t="str">
            <v>g__NK4A214_group</v>
          </cell>
          <cell r="I8959" t="str">
            <v>s__unclassified_g__NK4A214_group</v>
          </cell>
        </row>
        <row r="8960">
          <cell r="G8960" t="str">
            <v>ASV2914</v>
          </cell>
          <cell r="H8960" t="str">
            <v>g__Clostridium_sensu_stricto_1</v>
          </cell>
          <cell r="I8960" t="str">
            <v>s__uncultured_bacterium_g__Clostridium_sensu_stricto_1</v>
          </cell>
        </row>
        <row r="8961">
          <cell r="G8961" t="str">
            <v>ASV17996</v>
          </cell>
          <cell r="H8961" t="str">
            <v>g__norank_f__Eubacterium_coprostanoligenes_group</v>
          </cell>
          <cell r="I8961" t="str">
            <v>s__uncultured_bacterium_g__norank_f__Eubacterium_coprostanoligenes_group</v>
          </cell>
        </row>
        <row r="8962">
          <cell r="G8962" t="str">
            <v>ASV13373</v>
          </cell>
          <cell r="H8962" t="str">
            <v>g__norank_f__Peptococcaceae</v>
          </cell>
          <cell r="I8962" t="str">
            <v>s__unclassified_g__norank_f__Peptococcaceae</v>
          </cell>
        </row>
        <row r="8963">
          <cell r="G8963" t="str">
            <v>ASV15334</v>
          </cell>
          <cell r="H8963" t="str">
            <v>g__unclassified_f__Peptostreptococcaceae</v>
          </cell>
          <cell r="I8963" t="str">
            <v>s__unclassified_f__Peptostreptococcaceae</v>
          </cell>
        </row>
        <row r="8964">
          <cell r="G8964" t="str">
            <v>ASV21212</v>
          </cell>
          <cell r="H8964" t="str">
            <v>g__Fusobacterium</v>
          </cell>
          <cell r="I8964" t="str">
            <v>s__unclassified_g__Fusobacterium</v>
          </cell>
        </row>
        <row r="8965">
          <cell r="G8965" t="str">
            <v>ASV8284</v>
          </cell>
          <cell r="H8965" t="str">
            <v>g__Lactobacillus</v>
          </cell>
          <cell r="I8965" t="str">
            <v>s__unclassified_g__Lactobacillus</v>
          </cell>
        </row>
        <row r="8966">
          <cell r="G8966" t="str">
            <v>ASV13422</v>
          </cell>
          <cell r="H8966" t="str">
            <v>g__unclassified_f__Anaerovoracaceae</v>
          </cell>
          <cell r="I8966" t="str">
            <v>s__unclassified_f__Anaerovoracaceae</v>
          </cell>
        </row>
        <row r="8967">
          <cell r="G8967" t="str">
            <v>ASV19579</v>
          </cell>
          <cell r="H8967" t="str">
            <v>g__Family_XIII_AD3011_group</v>
          </cell>
          <cell r="I8967" t="str">
            <v>s__uncultured_bacterium_g__Family_XIII_AD3011_group</v>
          </cell>
        </row>
        <row r="8968">
          <cell r="G8968" t="str">
            <v>ASV18024</v>
          </cell>
          <cell r="H8968" t="str">
            <v>g__unclassified_f__Lachnospiraceae</v>
          </cell>
          <cell r="I8968" t="str">
            <v>s__unclassified_f__Lachnospiraceae</v>
          </cell>
        </row>
        <row r="8969">
          <cell r="G8969" t="str">
            <v>ASV20792</v>
          </cell>
          <cell r="H8969" t="str">
            <v>g__Christensenellaceae_R-7_group</v>
          </cell>
          <cell r="I8969" t="str">
            <v>s__unclassified_g__Christensenellaceae_R-7_group</v>
          </cell>
        </row>
        <row r="8970">
          <cell r="G8970" t="str">
            <v>ASV581</v>
          </cell>
          <cell r="H8970" t="str">
            <v>g__unclassified_c__Clostridia</v>
          </cell>
          <cell r="I8970" t="str">
            <v>s__unclassified_c__Clostridia</v>
          </cell>
        </row>
        <row r="8971">
          <cell r="G8971" t="str">
            <v>ASV15337</v>
          </cell>
          <cell r="H8971" t="str">
            <v>g__unclassified_f__Anaerovoracaceae</v>
          </cell>
          <cell r="I8971" t="str">
            <v>s__unclassified_f__Anaerovoracaceae</v>
          </cell>
        </row>
        <row r="8972">
          <cell r="G8972" t="str">
            <v>ASV19471</v>
          </cell>
          <cell r="H8972" t="str">
            <v>g__Bacteroides</v>
          </cell>
          <cell r="I8972" t="str">
            <v>s__unclassified_g__Bacteroides</v>
          </cell>
        </row>
        <row r="8973">
          <cell r="G8973" t="str">
            <v>ASV677</v>
          </cell>
          <cell r="H8973" t="str">
            <v>g__Lactobacillus</v>
          </cell>
          <cell r="I8973" t="str">
            <v>s__unclassified_g__Lactobacillus</v>
          </cell>
        </row>
        <row r="8974">
          <cell r="G8974" t="str">
            <v>ASV1653</v>
          </cell>
          <cell r="H8974" t="str">
            <v>g__Eubacterium</v>
          </cell>
          <cell r="I8974" t="str">
            <v>s__Eubacterium_sp._g__Eubacterium</v>
          </cell>
        </row>
        <row r="8975">
          <cell r="G8975" t="str">
            <v>ASV15977</v>
          </cell>
          <cell r="H8975" t="str">
            <v>g__unclassified_f__Lachnospiraceae</v>
          </cell>
          <cell r="I8975" t="str">
            <v>s__unclassified_f__Lachnospiraceae</v>
          </cell>
        </row>
        <row r="8976">
          <cell r="G8976" t="str">
            <v>ASV19496</v>
          </cell>
          <cell r="H8976" t="str">
            <v>g__UCG-002</v>
          </cell>
          <cell r="I8976" t="str">
            <v>s__unclassified_g__UCG-002</v>
          </cell>
        </row>
        <row r="8977">
          <cell r="G8977" t="str">
            <v>ASV15975</v>
          </cell>
          <cell r="H8977" t="str">
            <v>g__unclassified_f__Lachnospiraceae</v>
          </cell>
          <cell r="I8977" t="str">
            <v>s__unclassified_f__Lachnospiraceae</v>
          </cell>
        </row>
        <row r="8978">
          <cell r="G8978" t="str">
            <v>ASV6704</v>
          </cell>
          <cell r="H8978" t="str">
            <v>g__Streptococcus</v>
          </cell>
          <cell r="I8978" t="str">
            <v>s__unclassified_g__Streptococcus</v>
          </cell>
        </row>
        <row r="8979">
          <cell r="G8979" t="str">
            <v>ASV15339</v>
          </cell>
          <cell r="H8979" t="str">
            <v>g__Bacteroides</v>
          </cell>
          <cell r="I8979" t="str">
            <v>s__unclassified_g__Bacteroides</v>
          </cell>
        </row>
        <row r="8980">
          <cell r="G8980" t="str">
            <v>ASV17489</v>
          </cell>
          <cell r="H8980" t="str">
            <v>g__Streptococcus</v>
          </cell>
          <cell r="I8980" t="str">
            <v>s__unclassified_g__Streptococcus</v>
          </cell>
        </row>
        <row r="8981">
          <cell r="G8981" t="str">
            <v>ASV15336</v>
          </cell>
          <cell r="H8981" t="str">
            <v>g__unclassified_c__Clostridia</v>
          </cell>
          <cell r="I8981" t="str">
            <v>s__unclassified_c__Clostridia</v>
          </cell>
        </row>
        <row r="8982">
          <cell r="G8982" t="str">
            <v>ASV18577</v>
          </cell>
          <cell r="H8982" t="str">
            <v>g__Lactobacillus</v>
          </cell>
          <cell r="I8982" t="str">
            <v>s__unclassified_g__Lactobacillus</v>
          </cell>
        </row>
        <row r="8983">
          <cell r="G8983" t="str">
            <v>ASV9324</v>
          </cell>
          <cell r="H8983" t="str">
            <v>g__unclassified_c__Clostridia</v>
          </cell>
          <cell r="I8983" t="str">
            <v>s__unclassified_c__Clostridia</v>
          </cell>
        </row>
        <row r="8984">
          <cell r="G8984" t="str">
            <v>ASV14184</v>
          </cell>
          <cell r="H8984" t="str">
            <v>g__unclassified_f__Lachnospiraceae</v>
          </cell>
          <cell r="I8984" t="str">
            <v>s__unclassified_f__Lachnospiraceae</v>
          </cell>
        </row>
        <row r="8985">
          <cell r="G8985" t="str">
            <v>ASV20441</v>
          </cell>
          <cell r="H8985" t="str">
            <v>g__Vitreoscilla</v>
          </cell>
          <cell r="I8985" t="str">
            <v>s__uncultured_bacterium_g__Vitreoscilla</v>
          </cell>
        </row>
        <row r="8986">
          <cell r="G8986" t="str">
            <v>ASV4030</v>
          </cell>
          <cell r="H8986" t="str">
            <v>g__Escherichia-Shigella</v>
          </cell>
          <cell r="I8986" t="str">
            <v>s__unclassified_g__Escherichia-Shigella</v>
          </cell>
        </row>
        <row r="8987">
          <cell r="G8987" t="str">
            <v>ASV19497</v>
          </cell>
          <cell r="H8987" t="str">
            <v>g__Monoglobus</v>
          </cell>
          <cell r="I8987" t="str">
            <v>s__uncultured_bacterium_g__Monoglobus</v>
          </cell>
        </row>
        <row r="8988">
          <cell r="G8988" t="str">
            <v>ASV20796</v>
          </cell>
          <cell r="H8988" t="str">
            <v>g__Christensenellaceae_R-7_group</v>
          </cell>
          <cell r="I8988" t="str">
            <v>s__unclassified_g__Christensenellaceae_R-7_group</v>
          </cell>
        </row>
        <row r="8989">
          <cell r="G8989" t="str">
            <v>ASV9404</v>
          </cell>
          <cell r="H8989" t="str">
            <v>g__unclassified_c__Clostridia</v>
          </cell>
          <cell r="I8989" t="str">
            <v>s__unclassified_c__Clostridia</v>
          </cell>
        </row>
        <row r="8990">
          <cell r="G8990" t="str">
            <v>ASV7709</v>
          </cell>
          <cell r="H8990" t="str">
            <v>g__norank_f__Muribaculaceae</v>
          </cell>
          <cell r="I8990" t="str">
            <v>s__unclassified_g__norank_f__Muribaculaceae</v>
          </cell>
        </row>
        <row r="8991">
          <cell r="G8991" t="str">
            <v>ASV5937</v>
          </cell>
          <cell r="H8991" t="str">
            <v>g__norank_f__Oscillospiraceae</v>
          </cell>
          <cell r="I8991" t="str">
            <v>s__unclassified_g__norank_f__Oscillospiraceae</v>
          </cell>
        </row>
        <row r="8992">
          <cell r="G8992" t="str">
            <v>ASV10575</v>
          </cell>
          <cell r="H8992" t="str">
            <v>g__unclassified_c__Bacilli</v>
          </cell>
          <cell r="I8992" t="str">
            <v>s__unclassified_c__Bacilli</v>
          </cell>
        </row>
        <row r="8993">
          <cell r="G8993" t="str">
            <v>ASV22107</v>
          </cell>
          <cell r="H8993" t="str">
            <v>g__unclassified_c__Clostridia</v>
          </cell>
          <cell r="I8993" t="str">
            <v>s__unclassified_c__Clostridia</v>
          </cell>
        </row>
        <row r="8994">
          <cell r="G8994" t="str">
            <v>ASV8289</v>
          </cell>
          <cell r="H8994" t="str">
            <v>g__unclassified_c__Bacilli</v>
          </cell>
          <cell r="I8994" t="str">
            <v>s__unclassified_c__Bacilli</v>
          </cell>
        </row>
        <row r="8995">
          <cell r="G8995" t="str">
            <v>ASV7700</v>
          </cell>
          <cell r="H8995" t="str">
            <v>g__unclassified_p__Firmicutes</v>
          </cell>
          <cell r="I8995" t="str">
            <v>s__unclassified_p__Firmicutes</v>
          </cell>
        </row>
        <row r="8996">
          <cell r="G8996" t="str">
            <v>ASV1662</v>
          </cell>
          <cell r="H8996" t="str">
            <v>g__unclassified_f__Peptostreptococcaceae</v>
          </cell>
          <cell r="I8996" t="str">
            <v>s__unclassified_f__Peptostreptococcaceae</v>
          </cell>
        </row>
        <row r="8997">
          <cell r="G8997" t="str">
            <v>ASV17191</v>
          </cell>
          <cell r="H8997" t="str">
            <v>g__norank_f__norank_o__Clostridia_UCG-014</v>
          </cell>
          <cell r="I8997" t="str">
            <v>s__unclassified_g__norank_f__norank_o__Clostridia_UCG-014</v>
          </cell>
        </row>
        <row r="8998">
          <cell r="G8998" t="str">
            <v>ASV9333</v>
          </cell>
          <cell r="H8998" t="str">
            <v>g__norank_f__Eubacterium_coprostanoligenes_group</v>
          </cell>
          <cell r="I8998" t="str">
            <v>s__unclassified_g__norank_f__Eubacterium_coprostanoligenes_group</v>
          </cell>
        </row>
        <row r="8999">
          <cell r="G8999" t="str">
            <v>ASV21219</v>
          </cell>
          <cell r="H8999" t="str">
            <v>g__unclassified_k__norank_d__Bacteria</v>
          </cell>
          <cell r="I8999" t="str">
            <v>s__unclassified_k__norank_d__Bacteria</v>
          </cell>
        </row>
        <row r="9000">
          <cell r="G9000" t="str">
            <v>ASV2109</v>
          </cell>
          <cell r="H9000" t="str">
            <v>g__Enterococcus</v>
          </cell>
          <cell r="I9000" t="str">
            <v>s__unclassified_g__Enterococcus</v>
          </cell>
        </row>
        <row r="9001">
          <cell r="G9001" t="str">
            <v>ASV5896</v>
          </cell>
          <cell r="H9001" t="str">
            <v>g__Christensenellaceae_R-7_group</v>
          </cell>
          <cell r="I9001" t="str">
            <v>s__uncultured_spirochete_g__Christensenellaceae_R-7_group</v>
          </cell>
        </row>
        <row r="9002">
          <cell r="G9002" t="str">
            <v>ASV14151</v>
          </cell>
          <cell r="H9002" t="str">
            <v>g__unclassified_k__norank_d__Bacteria</v>
          </cell>
          <cell r="I9002" t="str">
            <v>s__unclassified_k__norank_d__Bacteria</v>
          </cell>
        </row>
        <row r="9003">
          <cell r="G9003" t="str">
            <v>ASV756</v>
          </cell>
          <cell r="H9003" t="str">
            <v>g__unclassified_c__Bacilli</v>
          </cell>
          <cell r="I9003" t="str">
            <v>s__unclassified_c__Bacilli</v>
          </cell>
        </row>
        <row r="9004">
          <cell r="G9004" t="str">
            <v>ASV16915</v>
          </cell>
          <cell r="H9004" t="str">
            <v>g__unclassified_p__Firmicutes</v>
          </cell>
          <cell r="I9004" t="str">
            <v>s__unclassified_p__Firmicutes</v>
          </cell>
        </row>
        <row r="9005">
          <cell r="G9005" t="str">
            <v>ASV16890</v>
          </cell>
          <cell r="H9005" t="str">
            <v>g__unclassified_p__Firmicutes</v>
          </cell>
          <cell r="I9005" t="str">
            <v>s__unclassified_p__Firmicutes</v>
          </cell>
        </row>
        <row r="9006">
          <cell r="G9006" t="str">
            <v>ASV13374</v>
          </cell>
          <cell r="H9006" t="str">
            <v>g__Enterococcus</v>
          </cell>
          <cell r="I9006" t="str">
            <v>s__unclassified_g__Enterococcus</v>
          </cell>
        </row>
        <row r="9007">
          <cell r="G9007" t="str">
            <v>ASV15347</v>
          </cell>
          <cell r="H9007" t="str">
            <v>g__norank_f__Eubacterium_coprostanoligenes_group</v>
          </cell>
          <cell r="I9007" t="str">
            <v>s__uncultured_bacterium_g__norank_f__Eubacterium_coprostanoligenes_group</v>
          </cell>
        </row>
        <row r="9008">
          <cell r="G9008" t="str">
            <v>ASV22160</v>
          </cell>
          <cell r="H9008" t="str">
            <v>g__unclassified_f__Lachnospiraceae</v>
          </cell>
          <cell r="I9008" t="str">
            <v>s__unclassified_f__Lachnospiraceae</v>
          </cell>
        </row>
        <row r="9009">
          <cell r="G9009" t="str">
            <v>ASV15332</v>
          </cell>
          <cell r="H9009" t="str">
            <v>g__unclassified_f__Lachnospiraceae</v>
          </cell>
          <cell r="I9009" t="str">
            <v>s__unclassified_f__Lachnospiraceae</v>
          </cell>
        </row>
        <row r="9010">
          <cell r="G9010" t="str">
            <v>ASV15384</v>
          </cell>
          <cell r="H9010" t="str">
            <v>g__unclassified_p__Firmicutes</v>
          </cell>
          <cell r="I9010" t="str">
            <v>s__unclassified_p__Firmicutes</v>
          </cell>
        </row>
        <row r="9011">
          <cell r="G9011" t="str">
            <v>ASV16913</v>
          </cell>
          <cell r="H9011" t="str">
            <v>g__Coprococcus</v>
          </cell>
          <cell r="I9011" t="str">
            <v>s__unclassified_g__Coprococcus</v>
          </cell>
        </row>
        <row r="9012">
          <cell r="G9012" t="str">
            <v>ASV669</v>
          </cell>
          <cell r="H9012" t="str">
            <v>g__norank_f__Peptococcaceae</v>
          </cell>
          <cell r="I9012" t="str">
            <v>s__uncultured_bacterium_g__norank_f__Peptococcaceae</v>
          </cell>
        </row>
        <row r="9013">
          <cell r="G9013" t="str">
            <v>ASV5867</v>
          </cell>
          <cell r="H9013" t="str">
            <v>g__unclassified_f__Oscillospiraceae</v>
          </cell>
          <cell r="I9013" t="str">
            <v>s__unclassified_f__Oscillospiraceae</v>
          </cell>
        </row>
        <row r="9014">
          <cell r="G9014" t="str">
            <v>ASV11600</v>
          </cell>
          <cell r="H9014" t="str">
            <v>g__unclassified_f__Oscillospiraceae</v>
          </cell>
          <cell r="I9014" t="str">
            <v>s__unclassified_f__Oscillospiraceae</v>
          </cell>
        </row>
        <row r="9015">
          <cell r="G9015" t="str">
            <v>ASV16373</v>
          </cell>
          <cell r="H9015" t="str">
            <v>g__unclassified_o__Bacteroidales</v>
          </cell>
          <cell r="I9015" t="str">
            <v>s__unclassified_o__Bacteroidales</v>
          </cell>
        </row>
        <row r="9016">
          <cell r="G9016" t="str">
            <v>ASV10659</v>
          </cell>
          <cell r="H9016" t="str">
            <v>g__unclassified_c__Bacilli</v>
          </cell>
          <cell r="I9016" t="str">
            <v>s__unclassified_c__Bacilli</v>
          </cell>
        </row>
        <row r="9017">
          <cell r="G9017" t="str">
            <v>ASV2742</v>
          </cell>
          <cell r="H9017" t="str">
            <v>g__unclassified_f__Micrococcaceae</v>
          </cell>
          <cell r="I9017" t="str">
            <v>s__unclassified_f__Micrococcaceae</v>
          </cell>
        </row>
        <row r="9018">
          <cell r="G9018" t="str">
            <v>ASV17959</v>
          </cell>
          <cell r="H9018" t="str">
            <v>g__Synergistes</v>
          </cell>
          <cell r="I9018" t="str">
            <v>s__uncultured_organism_g__Synergistes</v>
          </cell>
        </row>
        <row r="9019">
          <cell r="G9019" t="str">
            <v>ASV12798</v>
          </cell>
          <cell r="H9019" t="str">
            <v>g__Terrisporobacter</v>
          </cell>
          <cell r="I9019" t="str">
            <v>s__unclassified_g__Terrisporobacter</v>
          </cell>
        </row>
        <row r="9020">
          <cell r="G9020" t="str">
            <v>ASV12735</v>
          </cell>
          <cell r="H9020" t="str">
            <v>g__NK4A214_group</v>
          </cell>
          <cell r="I9020" t="str">
            <v>s__unclassified_g__NK4A214_group</v>
          </cell>
        </row>
        <row r="9021">
          <cell r="G9021" t="str">
            <v>ASV9434</v>
          </cell>
          <cell r="H9021" t="str">
            <v>g__unclassified_f__Oscillospiraceae</v>
          </cell>
          <cell r="I9021" t="str">
            <v>s__unclassified_f__Oscillospiraceae</v>
          </cell>
        </row>
        <row r="9022">
          <cell r="G9022" t="str">
            <v>ASV10602</v>
          </cell>
          <cell r="H9022" t="str">
            <v>g__unclassified_f__Lachnospiraceae</v>
          </cell>
          <cell r="I9022" t="str">
            <v>s__unclassified_f__Lachnospiraceae</v>
          </cell>
        </row>
        <row r="9023">
          <cell r="G9023" t="str">
            <v>ASV2137</v>
          </cell>
          <cell r="H9023" t="str">
            <v>g__Eubacterium_oxidoreducens_group</v>
          </cell>
          <cell r="I9023" t="str">
            <v>s__uncultured_bacterium_g__Eubacterium_oxidoreducens_group</v>
          </cell>
        </row>
        <row r="9024">
          <cell r="G9024" t="str">
            <v>ASV15952</v>
          </cell>
          <cell r="H9024" t="str">
            <v>g__Prevotella</v>
          </cell>
          <cell r="I9024" t="str">
            <v>s__unclassified_g__Prevotella</v>
          </cell>
        </row>
        <row r="9025">
          <cell r="G9025" t="str">
            <v>ASV21215</v>
          </cell>
          <cell r="H9025" t="str">
            <v>g__Lactobacillus</v>
          </cell>
          <cell r="I9025" t="str">
            <v>s__unclassified_g__Lactobacillus</v>
          </cell>
        </row>
        <row r="9026">
          <cell r="G9026" t="str">
            <v>ASV5933</v>
          </cell>
          <cell r="H9026" t="str">
            <v>g__unclassified_k__norank_d__Bacteria</v>
          </cell>
          <cell r="I9026" t="str">
            <v>s__unclassified_k__norank_d__Bacteria</v>
          </cell>
        </row>
        <row r="9027">
          <cell r="G9027" t="str">
            <v>ASV605</v>
          </cell>
          <cell r="H9027" t="str">
            <v>g__unclassified_c__Clostridia</v>
          </cell>
          <cell r="I9027" t="str">
            <v>s__unclassified_c__Clostridia</v>
          </cell>
        </row>
        <row r="9028">
          <cell r="G9028" t="str">
            <v>ASV8353</v>
          </cell>
          <cell r="H9028" t="str">
            <v>g__Bacillus</v>
          </cell>
          <cell r="I9028" t="str">
            <v>s__Lactobacillus_vaginalis_g__Bacillus</v>
          </cell>
        </row>
        <row r="9029">
          <cell r="G9029" t="str">
            <v>ASV4812</v>
          </cell>
          <cell r="H9029" t="str">
            <v>g__norank_f__Eubacterium_coprostanoligenes_group</v>
          </cell>
          <cell r="I9029" t="str">
            <v>s__unclassified_g__norank_f__Eubacterium_coprostanoligenes_group</v>
          </cell>
        </row>
        <row r="9030">
          <cell r="G9030" t="str">
            <v>ASV22115</v>
          </cell>
          <cell r="H9030" t="str">
            <v>g__unclassified_c__Clostridia</v>
          </cell>
          <cell r="I9030" t="str">
            <v>s__unclassified_c__Clostridia</v>
          </cell>
        </row>
        <row r="9031">
          <cell r="G9031" t="str">
            <v>ASV14172</v>
          </cell>
          <cell r="H9031" t="str">
            <v>g__Prevotella</v>
          </cell>
          <cell r="I9031" t="str">
            <v>s__unclassified_g__Prevotella</v>
          </cell>
        </row>
        <row r="9032">
          <cell r="G9032" t="str">
            <v>ASV19573</v>
          </cell>
          <cell r="H9032" t="str">
            <v>g__norank_f__Muribaculaceae</v>
          </cell>
          <cell r="I9032" t="str">
            <v>s__uncultured_bacterium_g__norank_f__Muribaculaceae</v>
          </cell>
        </row>
        <row r="9033">
          <cell r="G9033" t="str">
            <v>ASV11061</v>
          </cell>
          <cell r="H9033" t="str">
            <v>g__Clostridium_sensu_stricto_1</v>
          </cell>
          <cell r="I9033" t="str">
            <v>s__unclassified_g__Clostridium_sensu_stricto_1</v>
          </cell>
        </row>
        <row r="9034">
          <cell r="G9034" t="str">
            <v>ASV11610</v>
          </cell>
          <cell r="H9034" t="str">
            <v>g__norank_f__Muribaculaceae</v>
          </cell>
          <cell r="I9034" t="str">
            <v>s__uncultured_bacterium_g__norank_f__Muribaculaceae</v>
          </cell>
        </row>
        <row r="9035">
          <cell r="G9035" t="str">
            <v>ASV5869</v>
          </cell>
          <cell r="H9035" t="str">
            <v>g__norank_f__Ruminococcaceae</v>
          </cell>
          <cell r="I9035" t="str">
            <v>s__unclassified_g__norank_f__Ruminococcaceae</v>
          </cell>
        </row>
        <row r="9036">
          <cell r="G9036" t="str">
            <v>ASV738</v>
          </cell>
          <cell r="H9036" t="str">
            <v>g__unclassified_f__Oscillospiraceae</v>
          </cell>
          <cell r="I9036" t="str">
            <v>s__unclassified_f__Oscillospiraceae</v>
          </cell>
        </row>
        <row r="9037">
          <cell r="G9037" t="str">
            <v>ASV3650</v>
          </cell>
          <cell r="H9037" t="str">
            <v>g__Acinetobacter</v>
          </cell>
          <cell r="I9037" t="str">
            <v>s__unclassified_g__Acinetobacter</v>
          </cell>
        </row>
        <row r="9038">
          <cell r="G9038" t="str">
            <v>ASV18586</v>
          </cell>
          <cell r="H9038" t="str">
            <v>g__Lactobacillus</v>
          </cell>
          <cell r="I9038" t="str">
            <v>s__unclassified_g__Lactobacillus</v>
          </cell>
        </row>
        <row r="9039">
          <cell r="G9039" t="str">
            <v>ASV9364</v>
          </cell>
          <cell r="H9039" t="str">
            <v>g__unclassified_p__Firmicutes</v>
          </cell>
          <cell r="I9039" t="str">
            <v>s__unclassified_p__Firmicutes</v>
          </cell>
        </row>
        <row r="9040">
          <cell r="G9040" t="str">
            <v>ASV19534</v>
          </cell>
          <cell r="H9040" t="str">
            <v>g__Ruminococcus</v>
          </cell>
          <cell r="I9040" t="str">
            <v>s__unclassified_g__Ruminococcus</v>
          </cell>
        </row>
        <row r="9041">
          <cell r="G9041" t="str">
            <v>ASV12737</v>
          </cell>
          <cell r="H9041" t="str">
            <v>g__unclassified_f__Lachnospiraceae</v>
          </cell>
          <cell r="I9041" t="str">
            <v>s__unclassified_f__Lachnospiraceae</v>
          </cell>
        </row>
        <row r="9042">
          <cell r="G9042" t="str">
            <v>ASV11059</v>
          </cell>
          <cell r="H9042" t="str">
            <v>g__Lactobacillus</v>
          </cell>
          <cell r="I9042" t="str">
            <v>s__unclassified_g__Lactobacillus</v>
          </cell>
        </row>
        <row r="9043">
          <cell r="G9043" t="str">
            <v>ASV5859</v>
          </cell>
          <cell r="H9043" t="str">
            <v>g__unclassified_f__Oscillospiraceae</v>
          </cell>
          <cell r="I9043" t="str">
            <v>s__unclassified_f__Oscillospiraceae</v>
          </cell>
        </row>
        <row r="9044">
          <cell r="G9044" t="str">
            <v>ASV3189</v>
          </cell>
          <cell r="H9044" t="str">
            <v>g__unclassified_f__Lachnospiraceae</v>
          </cell>
          <cell r="I9044" t="str">
            <v>s__unclassified_f__Lachnospiraceae</v>
          </cell>
        </row>
        <row r="9045">
          <cell r="G9045" t="str">
            <v>ASV10566</v>
          </cell>
          <cell r="H9045" t="str">
            <v>g__norank_f__Eubacterium_coprostanoligenes_group</v>
          </cell>
          <cell r="I9045" t="str">
            <v>s__unclassified_g__norank_f__Eubacterium_coprostanoligenes_group</v>
          </cell>
        </row>
        <row r="9046">
          <cell r="G9046" t="str">
            <v>ASV21448</v>
          </cell>
          <cell r="H9046" t="str">
            <v>g__Anaerovibrio</v>
          </cell>
          <cell r="I9046" t="str">
            <v>s__Anaerovibrio_sp._765</v>
          </cell>
        </row>
        <row r="9047">
          <cell r="G9047" t="str">
            <v>ASV21442</v>
          </cell>
          <cell r="H9047" t="str">
            <v>g__Escherichia-Shigella</v>
          </cell>
          <cell r="I9047" t="str">
            <v>s__unclassified_g__Escherichia-Shigella</v>
          </cell>
        </row>
        <row r="9048">
          <cell r="G9048" t="str">
            <v>ASV18875</v>
          </cell>
          <cell r="H9048" t="str">
            <v>g__unclassified_f__Lachnospiraceae</v>
          </cell>
          <cell r="I9048" t="str">
            <v>s__unclassified_f__Lachnospiraceae</v>
          </cell>
        </row>
        <row r="9049">
          <cell r="G9049" t="str">
            <v>ASV23218</v>
          </cell>
          <cell r="H9049" t="str">
            <v>g__norank_f__Ruminococcaceae</v>
          </cell>
          <cell r="I9049" t="str">
            <v>s__unclassified_g__norank_f__Ruminococcaceae</v>
          </cell>
        </row>
        <row r="9050">
          <cell r="G9050" t="str">
            <v>ASV6683</v>
          </cell>
          <cell r="H9050" t="str">
            <v>g__Fusobacterium</v>
          </cell>
          <cell r="I9050" t="str">
            <v>s__unclassified_g__Fusobacterium</v>
          </cell>
        </row>
        <row r="9051">
          <cell r="G9051" t="str">
            <v>ASV12777</v>
          </cell>
          <cell r="H9051" t="str">
            <v>g__Prevotellaceae_UCG-003</v>
          </cell>
          <cell r="I9051" t="str">
            <v>s__uncultured_bacterium_g__Prevotellaceae_UCG-003</v>
          </cell>
        </row>
        <row r="9052">
          <cell r="G9052" t="str">
            <v>ASV15381</v>
          </cell>
          <cell r="H9052" t="str">
            <v>g__norank_f__Erysipelotrichaceae</v>
          </cell>
          <cell r="I9052" t="str">
            <v>s__uncultured_bacterium_g__norank_f__Erysipelotrichaceae</v>
          </cell>
        </row>
        <row r="9053">
          <cell r="G9053" t="str">
            <v>ASV24161</v>
          </cell>
          <cell r="H9053" t="str">
            <v>g__unclassified_c__Bacilli</v>
          </cell>
          <cell r="I9053" t="str">
            <v>s__unclassified_c__Bacilli</v>
          </cell>
        </row>
        <row r="9054">
          <cell r="G9054" t="str">
            <v>ASV11487</v>
          </cell>
          <cell r="H9054" t="str">
            <v>g__unclassified_k__norank_d__Bacteria</v>
          </cell>
          <cell r="I9054" t="str">
            <v>s__unclassified_k__norank_d__Bacteria</v>
          </cell>
        </row>
        <row r="9055">
          <cell r="G9055" t="str">
            <v>ASV7749</v>
          </cell>
          <cell r="H9055" t="str">
            <v>g__Christensenellaceae_R-7_group</v>
          </cell>
          <cell r="I9055" t="str">
            <v>s__unclassified_g__Christensenellaceae_R-7_group</v>
          </cell>
        </row>
        <row r="9056">
          <cell r="G9056" t="str">
            <v>ASV5893</v>
          </cell>
          <cell r="H9056" t="str">
            <v>g__Ruminococcus</v>
          </cell>
          <cell r="I9056" t="str">
            <v>s__unclassified_g__Ruminococcus</v>
          </cell>
        </row>
        <row r="9057">
          <cell r="G9057" t="str">
            <v>ASV15980</v>
          </cell>
          <cell r="H9057" t="str">
            <v>g__unclassified_f__Lachnospiraceae</v>
          </cell>
          <cell r="I9057" t="str">
            <v>s__unclassified_f__Lachnospiraceae</v>
          </cell>
        </row>
        <row r="9058">
          <cell r="G9058" t="str">
            <v>ASV15372</v>
          </cell>
          <cell r="H9058" t="str">
            <v>g__unclassified_c__Clostridia</v>
          </cell>
          <cell r="I9058" t="str">
            <v>s__unclassified_c__Clostridia</v>
          </cell>
        </row>
        <row r="9059">
          <cell r="G9059" t="str">
            <v>ASV19486</v>
          </cell>
          <cell r="H9059" t="str">
            <v>g__Lactobacillus</v>
          </cell>
          <cell r="I9059" t="str">
            <v>s__unclassified_g__Lactobacillus</v>
          </cell>
        </row>
        <row r="9060">
          <cell r="G9060" t="str">
            <v>ASV9430</v>
          </cell>
          <cell r="H9060" t="str">
            <v>g__unclassified_c__Clostridia</v>
          </cell>
          <cell r="I9060" t="str">
            <v>s__unclassified_c__Clostridia</v>
          </cell>
        </row>
        <row r="9061">
          <cell r="G9061" t="str">
            <v>ASV10197</v>
          </cell>
          <cell r="H9061" t="str">
            <v>g__Fusobacterium</v>
          </cell>
          <cell r="I9061" t="str">
            <v>s__unclassified_g__Fusobacterium</v>
          </cell>
        </row>
        <row r="9062">
          <cell r="G9062" t="str">
            <v>ASV17491</v>
          </cell>
          <cell r="H9062" t="str">
            <v>g__Streptococcus</v>
          </cell>
          <cell r="I9062" t="str">
            <v>s__unclassified_g__Streptococcus</v>
          </cell>
        </row>
        <row r="9063">
          <cell r="G9063" t="str">
            <v>ASV18589</v>
          </cell>
          <cell r="H9063" t="str">
            <v>g__Pasteurella</v>
          </cell>
          <cell r="I9063" t="str">
            <v>s__Pasteurella_aerogenes</v>
          </cell>
        </row>
        <row r="9064">
          <cell r="G9064" t="str">
            <v>ASV9431</v>
          </cell>
          <cell r="H9064" t="str">
            <v>g__unclassified_f__Oscillospiraceae</v>
          </cell>
          <cell r="I9064" t="str">
            <v>s__unclassified_f__Oscillospiraceae</v>
          </cell>
        </row>
        <row r="9065">
          <cell r="G9065" t="str">
            <v>ASV11670</v>
          </cell>
          <cell r="H9065" t="str">
            <v>g__unclassified_c__Clostridia</v>
          </cell>
          <cell r="I9065" t="str">
            <v>s__unclassified_c__Clostridia</v>
          </cell>
        </row>
        <row r="9066">
          <cell r="G9066" t="str">
            <v>ASV20741</v>
          </cell>
          <cell r="H9066" t="str">
            <v>g__unclassified_f__Lachnospiraceae</v>
          </cell>
          <cell r="I9066" t="str">
            <v>s__unclassified_f__Lachnospiraceae</v>
          </cell>
        </row>
        <row r="9067">
          <cell r="G9067" t="str">
            <v>ASV19166</v>
          </cell>
          <cell r="H9067" t="str">
            <v>g__Nocardioides</v>
          </cell>
          <cell r="I9067" t="str">
            <v>s__Nocardioides_gilvus</v>
          </cell>
        </row>
        <row r="9068">
          <cell r="G9068" t="str">
            <v>ASV10605</v>
          </cell>
          <cell r="H9068" t="str">
            <v>g__unclassified_f__Lachnospiraceae</v>
          </cell>
          <cell r="I9068" t="str">
            <v>s__unclassified_f__Lachnospiraceae</v>
          </cell>
        </row>
        <row r="9069">
          <cell r="G9069" t="str">
            <v>ASV769</v>
          </cell>
          <cell r="H9069" t="str">
            <v>g__unclassified_k__norank_d__Bacteria</v>
          </cell>
          <cell r="I9069" t="str">
            <v>s__unclassified_k__norank_d__Bacteria</v>
          </cell>
        </row>
        <row r="9070">
          <cell r="G9070" t="str">
            <v>ASV12756</v>
          </cell>
          <cell r="H9070" t="str">
            <v>g__UCG-002</v>
          </cell>
          <cell r="I9070" t="str">
            <v>s__uncultured_bacterium_g__UCG-002</v>
          </cell>
        </row>
        <row r="9071">
          <cell r="G9071" t="str">
            <v>ASV12748</v>
          </cell>
          <cell r="H9071" t="str">
            <v>g__Clostridium_sensu_stricto_1</v>
          </cell>
          <cell r="I9071" t="str">
            <v>s__unclassified_g__Clostridium_sensu_stricto_1</v>
          </cell>
        </row>
        <row r="9072">
          <cell r="G9072" t="str">
            <v>ASV20760</v>
          </cell>
          <cell r="H9072" t="str">
            <v>g__unclassified_o__Bacteroidales</v>
          </cell>
          <cell r="I9072" t="str">
            <v>s__unclassified_o__Bacteroidales</v>
          </cell>
        </row>
        <row r="9073">
          <cell r="G9073" t="str">
            <v>ASV12746</v>
          </cell>
          <cell r="H9073" t="str">
            <v>g__unclassified_c__Bacilli</v>
          </cell>
          <cell r="I9073" t="str">
            <v>s__unclassified_c__Bacilli</v>
          </cell>
        </row>
        <row r="9074">
          <cell r="G9074" t="str">
            <v>ASV22250</v>
          </cell>
          <cell r="H9074" t="str">
            <v>g__unclassified_c__Clostridia</v>
          </cell>
          <cell r="I9074" t="str">
            <v>s__unclassified_c__Clostridia</v>
          </cell>
        </row>
        <row r="9075">
          <cell r="G9075" t="str">
            <v>ASV16410</v>
          </cell>
          <cell r="H9075" t="str">
            <v>g__unclassified_c__Clostridia</v>
          </cell>
          <cell r="I9075" t="str">
            <v>s__unclassified_c__Clostridia</v>
          </cell>
        </row>
        <row r="9076">
          <cell r="G9076" t="str">
            <v>ASV17195</v>
          </cell>
          <cell r="H9076" t="str">
            <v>g__Eubacterium_nodatum_group</v>
          </cell>
          <cell r="I9076" t="str">
            <v>s__Eubacterium_sp._68-3-10</v>
          </cell>
        </row>
        <row r="9077">
          <cell r="G9077" t="str">
            <v>ASV7755</v>
          </cell>
          <cell r="H9077" t="str">
            <v>g__Lactobacillus</v>
          </cell>
          <cell r="I9077" t="str">
            <v>s__unclassified_g__Lactobacillus</v>
          </cell>
        </row>
        <row r="9078">
          <cell r="G9078" t="str">
            <v>ASV651</v>
          </cell>
          <cell r="H9078" t="str">
            <v>g__unclassified_f__Lachnospiraceae</v>
          </cell>
          <cell r="I9078" t="str">
            <v>s__unclassified_f__Lachnospiraceae</v>
          </cell>
        </row>
        <row r="9079">
          <cell r="G9079" t="str">
            <v>ASV16891</v>
          </cell>
          <cell r="H9079" t="str">
            <v>g__Lactobacillus</v>
          </cell>
          <cell r="I9079" t="str">
            <v>s__unclassified_g__Lactobacillus</v>
          </cell>
        </row>
        <row r="9080">
          <cell r="G9080" t="str">
            <v>ASV13395</v>
          </cell>
          <cell r="H9080" t="str">
            <v>g__unclassified_o__Lactobacillales</v>
          </cell>
          <cell r="I9080" t="str">
            <v>s__unclassified_o__Lactobacillales</v>
          </cell>
        </row>
        <row r="9081">
          <cell r="G9081" t="str">
            <v>ASV760</v>
          </cell>
          <cell r="H9081" t="str">
            <v>g__Ruminococcus</v>
          </cell>
          <cell r="I9081" t="str">
            <v>s__uncultured_bacterium_g__Ruminococcus</v>
          </cell>
        </row>
        <row r="9082">
          <cell r="G9082" t="str">
            <v>ASV15955</v>
          </cell>
          <cell r="H9082" t="str">
            <v>g__unclassified_f__Lachnospiraceae</v>
          </cell>
          <cell r="I9082" t="str">
            <v>s__unclassified_f__Lachnospiraceae</v>
          </cell>
        </row>
        <row r="9083">
          <cell r="G9083" t="str">
            <v>ASV706</v>
          </cell>
          <cell r="H9083" t="str">
            <v>g__NK4A214_group</v>
          </cell>
          <cell r="I9083" t="str">
            <v>s__unclassified_g__NK4A214_group</v>
          </cell>
        </row>
        <row r="9084">
          <cell r="G9084" t="str">
            <v>ASV19563</v>
          </cell>
          <cell r="H9084" t="str">
            <v>g__norank_f__Eubacterium_coprostanoligenes_group</v>
          </cell>
          <cell r="I9084" t="str">
            <v>s__uncultured_bacterium_g__norank_f__Eubacterium_coprostanoligenes_group</v>
          </cell>
        </row>
        <row r="9085">
          <cell r="G9085" t="str">
            <v>ASV8999</v>
          </cell>
          <cell r="H9085" t="str">
            <v>g__Lactobacillus</v>
          </cell>
          <cell r="I9085" t="str">
            <v>s__unclassified_g__Lactobacillus</v>
          </cell>
        </row>
        <row r="9086">
          <cell r="G9086" t="str">
            <v>ASV13368</v>
          </cell>
          <cell r="H9086" t="str">
            <v>g__norank_f__Muribaculaceae</v>
          </cell>
          <cell r="I9086" t="str">
            <v>s__uncultured_bacterium_g__norank_f__Muribaculaceae</v>
          </cell>
        </row>
        <row r="9087">
          <cell r="G9087" t="str">
            <v>ASV6718</v>
          </cell>
          <cell r="H9087" t="str">
            <v>g__unclassified_c__Clostridia</v>
          </cell>
          <cell r="I9087" t="str">
            <v>s__unclassified_c__Clostridia</v>
          </cell>
        </row>
        <row r="9088">
          <cell r="G9088" t="str">
            <v>ASV4776</v>
          </cell>
          <cell r="H9088" t="str">
            <v>g__norank_f__Eubacterium_coprostanoligenes_group</v>
          </cell>
          <cell r="I9088" t="str">
            <v>s__uncultured_bacterium_g__norank_f__Eubacterium_coprostanoligenes_group</v>
          </cell>
        </row>
        <row r="9089">
          <cell r="G9089" t="str">
            <v>ASV7698</v>
          </cell>
          <cell r="H9089" t="str">
            <v>g__Holdemanella</v>
          </cell>
          <cell r="I9089" t="str">
            <v>s__uncultured_bacterium_g__Holdemanella</v>
          </cell>
        </row>
        <row r="9090">
          <cell r="G9090" t="str">
            <v>ASV22202</v>
          </cell>
          <cell r="H9090" t="str">
            <v>g__Lactobacillus</v>
          </cell>
          <cell r="I9090" t="str">
            <v>s__unclassified_g__Lactobacillus</v>
          </cell>
        </row>
        <row r="9091">
          <cell r="G9091" t="str">
            <v>ASV23264</v>
          </cell>
          <cell r="H9091" t="str">
            <v>g__unclassified_o__Oscillospirales</v>
          </cell>
          <cell r="I9091" t="str">
            <v>s__unclassified_o__Oscillospirales</v>
          </cell>
        </row>
        <row r="9092">
          <cell r="G9092" t="str">
            <v>ASV2197</v>
          </cell>
          <cell r="H9092" t="str">
            <v>g__unclassified_p__Firmicutes</v>
          </cell>
          <cell r="I9092" t="str">
            <v>s__unclassified_p__Firmicutes</v>
          </cell>
        </row>
        <row r="9093">
          <cell r="G9093" t="str">
            <v>ASV23841</v>
          </cell>
          <cell r="H9093" t="str">
            <v>g__Lactobacillus</v>
          </cell>
          <cell r="I9093" t="str">
            <v>s__unclassified_g__Lactobacillus</v>
          </cell>
        </row>
        <row r="9094">
          <cell r="G9094" t="str">
            <v>ASV10180</v>
          </cell>
          <cell r="H9094" t="str">
            <v>g__Fusobacterium</v>
          </cell>
          <cell r="I9094" t="str">
            <v>s__unclassified_g__Fusobacterium</v>
          </cell>
        </row>
        <row r="9095">
          <cell r="G9095" t="str">
            <v>ASV9390</v>
          </cell>
          <cell r="H9095" t="str">
            <v>g__norank_f__Eubacterium_coprostanoligenes_group</v>
          </cell>
          <cell r="I9095" t="str">
            <v>s__unclassified_g__norank_f__Eubacterium_coprostanoligenes_group</v>
          </cell>
        </row>
        <row r="9096">
          <cell r="G9096" t="str">
            <v>ASV9388</v>
          </cell>
          <cell r="H9096" t="str">
            <v>g__Bacteroides</v>
          </cell>
          <cell r="I9096" t="str">
            <v>s__Bacteroides_caecigallinarum</v>
          </cell>
        </row>
        <row r="9097">
          <cell r="G9097" t="str">
            <v>ASV16892</v>
          </cell>
          <cell r="H9097" t="str">
            <v>g__Fusobacterium</v>
          </cell>
          <cell r="I9097" t="str">
            <v>s__Bacillus_bogoriensis_ATCC_BAA-922</v>
          </cell>
        </row>
        <row r="9098">
          <cell r="G9098" t="str">
            <v>ASV10648</v>
          </cell>
          <cell r="H9098" t="str">
            <v>g__unclassified_f__Clostridiaceae</v>
          </cell>
          <cell r="I9098" t="str">
            <v>s__unclassified_f__Clostridiaceae</v>
          </cell>
        </row>
        <row r="9099">
          <cell r="G9099" t="str">
            <v>ASV6709</v>
          </cell>
          <cell r="H9099" t="str">
            <v>g__Escherichia-Shigella</v>
          </cell>
          <cell r="I9099" t="str">
            <v>s__unclassified_g__Escherichia-Shigella</v>
          </cell>
        </row>
        <row r="9100">
          <cell r="G9100" t="str">
            <v>ASV10571</v>
          </cell>
          <cell r="H9100" t="str">
            <v>g__unclassified_o__Oscillospirales</v>
          </cell>
          <cell r="I9100" t="str">
            <v>s__unclassified_o__Oscillospirales</v>
          </cell>
        </row>
        <row r="9101">
          <cell r="G9101" t="str">
            <v>ASV11510</v>
          </cell>
          <cell r="H9101" t="str">
            <v>g__unclassified_f__Lachnospiraceae</v>
          </cell>
          <cell r="I9101" t="str">
            <v>s__unclassified_f__Lachnospiraceae</v>
          </cell>
        </row>
        <row r="9102">
          <cell r="G9102" t="str">
            <v>ASV8987</v>
          </cell>
          <cell r="H9102" t="str">
            <v>g__Christensenellaceae_R-7_group</v>
          </cell>
          <cell r="I9102" t="str">
            <v>s__unclassified_g__Christensenellaceae_R-7_group</v>
          </cell>
        </row>
        <row r="9103">
          <cell r="G9103" t="str">
            <v>ASV19491</v>
          </cell>
          <cell r="H9103" t="str">
            <v>g__Megasphaera</v>
          </cell>
          <cell r="I9103" t="str">
            <v>s__uncultured_Megasphaera_sp.</v>
          </cell>
        </row>
        <row r="9104">
          <cell r="G9104" t="str">
            <v>ASV16366</v>
          </cell>
          <cell r="H9104" t="str">
            <v>g__unclassified_f__Lachnospiraceae</v>
          </cell>
          <cell r="I9104" t="str">
            <v>s__unclassified_f__Lachnospiraceae</v>
          </cell>
        </row>
        <row r="9105">
          <cell r="G9105" t="str">
            <v>ASV12732</v>
          </cell>
          <cell r="H9105" t="str">
            <v>g__Eubacterium_hallii_group</v>
          </cell>
          <cell r="I9105" t="str">
            <v>s__uncultured_bacterium_g__Eubacterium_hallii_group</v>
          </cell>
        </row>
        <row r="9106">
          <cell r="G9106" t="str">
            <v>ASV10625</v>
          </cell>
          <cell r="H9106" t="str">
            <v>g__Terrisporobacter</v>
          </cell>
          <cell r="I9106" t="str">
            <v>s__unclassified_g__Terrisporobacter</v>
          </cell>
        </row>
        <row r="9107">
          <cell r="G9107" t="str">
            <v>ASV10590</v>
          </cell>
          <cell r="H9107" t="str">
            <v>g__unclassified_f__Anaerovoracaceae</v>
          </cell>
          <cell r="I9107" t="str">
            <v>s__unclassified_f__Anaerovoracaceae</v>
          </cell>
        </row>
        <row r="9108">
          <cell r="G9108" t="str">
            <v>ASV22970</v>
          </cell>
          <cell r="H9108" t="str">
            <v>g__unclassified_c__Bacilli</v>
          </cell>
          <cell r="I9108" t="str">
            <v>s__unclassified_c__Bacilli</v>
          </cell>
        </row>
        <row r="9109">
          <cell r="G9109" t="str">
            <v>ASV8810</v>
          </cell>
          <cell r="H9109" t="str">
            <v>g__Parabacteroides</v>
          </cell>
          <cell r="I9109" t="str">
            <v>s__Porphyromonadaceae_bacterium_DJF_B175</v>
          </cell>
        </row>
        <row r="9110">
          <cell r="G9110" t="str">
            <v>ASV8496</v>
          </cell>
          <cell r="H9110" t="str">
            <v>g__Phascolarctobacterium</v>
          </cell>
          <cell r="I9110" t="str">
            <v>s__uncultured_bacterium_g__Phascolarctobacterium</v>
          </cell>
        </row>
        <row r="9111">
          <cell r="G9111" t="str">
            <v>ASV16865</v>
          </cell>
          <cell r="H9111" t="str">
            <v>g__unclassified_f__Lachnospiraceae</v>
          </cell>
          <cell r="I9111" t="str">
            <v>s__unclassified_f__Lachnospiraceae</v>
          </cell>
        </row>
        <row r="9112">
          <cell r="G9112" t="str">
            <v>ASV7733</v>
          </cell>
          <cell r="H9112" t="str">
            <v>g__unclassified_c__Clostridia</v>
          </cell>
          <cell r="I9112" t="str">
            <v>s__unclassified_c__Clostridia</v>
          </cell>
        </row>
        <row r="9113">
          <cell r="G9113" t="str">
            <v>ASV4864</v>
          </cell>
          <cell r="H9113" t="str">
            <v>g__unclassified_o__Oscillospirales</v>
          </cell>
          <cell r="I9113" t="str">
            <v>s__unclassified_o__Oscillospirales</v>
          </cell>
        </row>
        <row r="9114">
          <cell r="G9114" t="str">
            <v>ASV12688</v>
          </cell>
          <cell r="H9114" t="str">
            <v>g__unclassified_o__Bacteroidales</v>
          </cell>
          <cell r="I9114" t="str">
            <v>s__unclassified_o__Bacteroidales</v>
          </cell>
        </row>
        <row r="9115">
          <cell r="G9115" t="str">
            <v>ASV20775</v>
          </cell>
          <cell r="H9115" t="str">
            <v>g__unclassified_c__Clostridia</v>
          </cell>
          <cell r="I9115" t="str">
            <v>s__unclassified_c__Clostridia</v>
          </cell>
        </row>
        <row r="9116">
          <cell r="G9116" t="str">
            <v>ASV17962</v>
          </cell>
          <cell r="H9116" t="str">
            <v>g__unclassified_c__Clostridia</v>
          </cell>
          <cell r="I9116" t="str">
            <v>s__unclassified_c__Clostridia</v>
          </cell>
        </row>
        <row r="9117">
          <cell r="G9117" t="str">
            <v>ASV5905</v>
          </cell>
          <cell r="H9117" t="str">
            <v>g__norank_f__UCG-011</v>
          </cell>
          <cell r="I9117" t="str">
            <v>s__uncultured_bacterium_g__norank_f__UCG-011</v>
          </cell>
        </row>
        <row r="9118">
          <cell r="G9118" t="str">
            <v>ASV21233</v>
          </cell>
          <cell r="H9118" t="str">
            <v>g__unclassified_f__Lachnospiraceae</v>
          </cell>
          <cell r="I9118" t="str">
            <v>s__unclassified_f__Lachnospiraceae</v>
          </cell>
        </row>
        <row r="9119">
          <cell r="G9119" t="str">
            <v>ASV16886</v>
          </cell>
          <cell r="H9119" t="str">
            <v>g__unclassified_c__Bacilli</v>
          </cell>
          <cell r="I9119" t="str">
            <v>s__unclassified_c__Bacilli</v>
          </cell>
        </row>
        <row r="9120">
          <cell r="G9120" t="str">
            <v>ASV7688</v>
          </cell>
          <cell r="H9120" t="str">
            <v>g__norank_f__norank_o__Clostridia_vadinBB60_group</v>
          </cell>
          <cell r="I9120" t="str">
            <v>s__unclassified_g__norank_f__norank_o__Clostridia_vadinBB60_group</v>
          </cell>
        </row>
        <row r="9121">
          <cell r="G9121" t="str">
            <v>ASV14193</v>
          </cell>
          <cell r="H9121" t="str">
            <v>g__Colidextribacter</v>
          </cell>
          <cell r="I9121" t="str">
            <v>s__uncultured_bacterium_g__Colidextribacter</v>
          </cell>
        </row>
        <row r="9122">
          <cell r="G9122" t="str">
            <v>ASV21211</v>
          </cell>
          <cell r="H9122" t="str">
            <v>g__norank_f__Muribaculaceae</v>
          </cell>
          <cell r="I9122" t="str">
            <v>s__uncultured_bacterium_g__norank_f__Muribaculaceae</v>
          </cell>
        </row>
        <row r="9123">
          <cell r="G9123" t="str">
            <v>ASV22244</v>
          </cell>
          <cell r="H9123" t="str">
            <v>g__unclassified_c__Bacilli</v>
          </cell>
          <cell r="I9123" t="str">
            <v>s__unclassified_c__Bacilli</v>
          </cell>
        </row>
        <row r="9124">
          <cell r="G9124" t="str">
            <v>ASV2180</v>
          </cell>
          <cell r="H9124" t="str">
            <v>g__Christensenellaceae_R-7_group</v>
          </cell>
          <cell r="I9124" t="str">
            <v>s__unclassified_g__Christensenellaceae_R-7_group</v>
          </cell>
        </row>
        <row r="9125">
          <cell r="G9125" t="str">
            <v>ASV19561</v>
          </cell>
          <cell r="H9125" t="str">
            <v>g__unclassified_f__Lachnospiraceae</v>
          </cell>
          <cell r="I9125" t="str">
            <v>s__unclassified_f__Lachnospiraceae</v>
          </cell>
        </row>
        <row r="9126">
          <cell r="G9126" t="str">
            <v>ASV3986</v>
          </cell>
          <cell r="H9126" t="str">
            <v>g__Phascolarctobacterium</v>
          </cell>
          <cell r="I9126" t="str">
            <v>s__Ruminococcus_sp._N15.MGS-57_g__Phascolarctobacterium</v>
          </cell>
        </row>
        <row r="9127">
          <cell r="G9127" t="str">
            <v>ASV10641</v>
          </cell>
          <cell r="H9127" t="str">
            <v>g__unclassified_c__Bacilli</v>
          </cell>
          <cell r="I9127" t="str">
            <v>s__unclassified_c__Bacilli</v>
          </cell>
        </row>
        <row r="9128">
          <cell r="G9128" t="str">
            <v>ASV19525</v>
          </cell>
          <cell r="H9128" t="str">
            <v>g__unclassified_p__Firmicutes</v>
          </cell>
          <cell r="I9128" t="str">
            <v>s__unclassified_p__Firmicutes</v>
          </cell>
        </row>
        <row r="9129">
          <cell r="G9129" t="str">
            <v>ASV17665</v>
          </cell>
          <cell r="H9129" t="str">
            <v>g__unclassified_c__Bacilli</v>
          </cell>
          <cell r="I9129" t="str">
            <v>s__unclassified_c__Bacilli</v>
          </cell>
        </row>
        <row r="9130">
          <cell r="G9130" t="str">
            <v>ASV14248</v>
          </cell>
          <cell r="H9130" t="str">
            <v>g__unclassified_c__Clostridia</v>
          </cell>
          <cell r="I9130" t="str">
            <v>s__unclassified_c__Clostridia</v>
          </cell>
        </row>
        <row r="9131">
          <cell r="G9131" t="str">
            <v>ASV24151</v>
          </cell>
          <cell r="H9131" t="str">
            <v>g__norank_f__Eubacterium_coprostanoligenes_group</v>
          </cell>
          <cell r="I9131" t="str">
            <v>s__Eubacterium_coprostanoligenes</v>
          </cell>
        </row>
        <row r="9132">
          <cell r="G9132" t="str">
            <v>ASV23962</v>
          </cell>
          <cell r="H9132" t="str">
            <v>g__Megasphaera</v>
          </cell>
          <cell r="I9132" t="str">
            <v>s__unclassified_g__Megasphaera</v>
          </cell>
        </row>
        <row r="9133">
          <cell r="G9133" t="str">
            <v>ASV19059</v>
          </cell>
          <cell r="H9133" t="str">
            <v>g__Mitsuokella</v>
          </cell>
          <cell r="I9133" t="str">
            <v>s__human_gut_metagenome_g__Mitsuokella</v>
          </cell>
        </row>
        <row r="9134">
          <cell r="G9134" t="str">
            <v>ASV22921</v>
          </cell>
          <cell r="H9134" t="str">
            <v>g__unclassified_c__Bacilli</v>
          </cell>
          <cell r="I9134" t="str">
            <v>s__unclassified_c__Bacilli</v>
          </cell>
        </row>
        <row r="9135">
          <cell r="G9135" t="str">
            <v>ASV1644</v>
          </cell>
          <cell r="H9135" t="str">
            <v>g__Lactobacillus</v>
          </cell>
          <cell r="I9135" t="str">
            <v>s__unclassified_g__Lactobacillus</v>
          </cell>
        </row>
        <row r="9136">
          <cell r="G9136" t="str">
            <v>ASV4837</v>
          </cell>
          <cell r="H9136" t="str">
            <v>g__unclassified_f__Lachnospiraceae</v>
          </cell>
          <cell r="I9136" t="str">
            <v>s__unclassified_f__Lachnospiraceae</v>
          </cell>
        </row>
        <row r="9137">
          <cell r="G9137" t="str">
            <v>ASV19062</v>
          </cell>
          <cell r="H9137" t="str">
            <v>g__unclassified_k__norank_d__Bacteria</v>
          </cell>
          <cell r="I9137" t="str">
            <v>s__unclassified_k__norank_d__Bacteria</v>
          </cell>
        </row>
        <row r="9138">
          <cell r="G9138" t="str">
            <v>ASV19476</v>
          </cell>
          <cell r="H9138" t="str">
            <v>g__Bacteroides</v>
          </cell>
          <cell r="I9138" t="str">
            <v>s__unclassified_g__Bacteroides</v>
          </cell>
        </row>
        <row r="9139">
          <cell r="G9139" t="str">
            <v>ASV6710</v>
          </cell>
          <cell r="H9139" t="str">
            <v>g__UCG-002</v>
          </cell>
          <cell r="I9139" t="str">
            <v>s__unclassified_g__UCG-002</v>
          </cell>
        </row>
        <row r="9140">
          <cell r="G9140" t="str">
            <v>ASV4863</v>
          </cell>
          <cell r="H9140" t="str">
            <v>g__norank_f__Erysipelotrichaceae</v>
          </cell>
          <cell r="I9140" t="str">
            <v>s__uncultured_bacterium_g__norank_f__Erysipelotrichaceae</v>
          </cell>
        </row>
        <row r="9141">
          <cell r="G9141" t="str">
            <v>ASV6727</v>
          </cell>
          <cell r="H9141" t="str">
            <v>g__unclassified_c__Clostridia</v>
          </cell>
          <cell r="I9141" t="str">
            <v>s__unclassified_c__Clostridia</v>
          </cell>
        </row>
        <row r="9142">
          <cell r="G9142" t="str">
            <v>ASV580</v>
          </cell>
          <cell r="H9142" t="str">
            <v>g__unclassified_p__Firmicutes</v>
          </cell>
          <cell r="I9142" t="str">
            <v>s__unclassified_p__Firmicutes</v>
          </cell>
        </row>
        <row r="9143">
          <cell r="G9143" t="str">
            <v>ASV9377</v>
          </cell>
          <cell r="H9143" t="str">
            <v>g__unclassified_f__Lachnospiraceae</v>
          </cell>
          <cell r="I9143" t="str">
            <v>s__unclassified_f__Lachnospiraceae</v>
          </cell>
        </row>
        <row r="9144">
          <cell r="G9144" t="str">
            <v>ASV20719</v>
          </cell>
          <cell r="H9144" t="str">
            <v>g__unclassified_c__Clostridia</v>
          </cell>
          <cell r="I9144" t="str">
            <v>s__unclassified_c__Clostridia</v>
          </cell>
        </row>
        <row r="9145">
          <cell r="G9145" t="str">
            <v>ASV4734</v>
          </cell>
          <cell r="H9145" t="str">
            <v>g__Escherichia-Shigella</v>
          </cell>
          <cell r="I9145" t="str">
            <v>s__unclassified_g__Escherichia-Shigella</v>
          </cell>
        </row>
        <row r="9146">
          <cell r="G9146" t="str">
            <v>ASV10617</v>
          </cell>
          <cell r="H9146" t="str">
            <v>g__Intestinimonas</v>
          </cell>
          <cell r="I9146" t="str">
            <v>s__unclassified_g__Intestinimonas</v>
          </cell>
        </row>
        <row r="9147">
          <cell r="G9147" t="str">
            <v>ASV5843</v>
          </cell>
          <cell r="H9147" t="str">
            <v>g__unclassified_c__Clostridia</v>
          </cell>
          <cell r="I9147" t="str">
            <v>s__unclassified_c__Clostridia</v>
          </cell>
        </row>
        <row r="9148">
          <cell r="G9148" t="str">
            <v>ASV2784</v>
          </cell>
          <cell r="H9148" t="str">
            <v>g__norank_f__norank_o__Saccharimonadales</v>
          </cell>
          <cell r="I9148" t="str">
            <v>s__unclassified_g__norank_f__norank_o__Saccharimonadales</v>
          </cell>
        </row>
        <row r="9149">
          <cell r="G9149" t="str">
            <v>ASV4845</v>
          </cell>
          <cell r="H9149" t="str">
            <v>g__unclassified_c__Clostridia</v>
          </cell>
          <cell r="I9149" t="str">
            <v>s__unclassified_c__Clostridia</v>
          </cell>
        </row>
        <row r="9150">
          <cell r="G9150" t="str">
            <v>ASV20768</v>
          </cell>
          <cell r="H9150" t="str">
            <v>g__unclassified_f__Lachnospiraceae</v>
          </cell>
          <cell r="I9150" t="str">
            <v>s__unclassified_f__Lachnospiraceae</v>
          </cell>
        </row>
        <row r="9151">
          <cell r="G9151" t="str">
            <v>ASV7712</v>
          </cell>
          <cell r="H9151" t="str">
            <v>g__Bifidobacterium</v>
          </cell>
          <cell r="I9151" t="str">
            <v>s__unclassified_g__Bifidobacterium</v>
          </cell>
        </row>
        <row r="9152">
          <cell r="G9152" t="str">
            <v>ASV9411</v>
          </cell>
          <cell r="H9152" t="str">
            <v>g__unclassified_k__norank_d__Bacteria</v>
          </cell>
          <cell r="I9152" t="str">
            <v>s__unclassified_k__norank_d__Bacteria</v>
          </cell>
        </row>
        <row r="9153">
          <cell r="G9153" t="str">
            <v>ASV19498</v>
          </cell>
          <cell r="H9153" t="str">
            <v>g__Megasphaera</v>
          </cell>
          <cell r="I9153" t="str">
            <v>s__unclassified_g__Megasphaera</v>
          </cell>
        </row>
        <row r="9154">
          <cell r="G9154" t="str">
            <v>ASV22249</v>
          </cell>
          <cell r="H9154" t="str">
            <v>g__unclassified_c__Bacilli</v>
          </cell>
          <cell r="I9154" t="str">
            <v>s__unclassified_c__Bacilli</v>
          </cell>
        </row>
        <row r="9155">
          <cell r="G9155" t="str">
            <v>ASV5904</v>
          </cell>
          <cell r="H9155" t="str">
            <v>g__norank_f__norank_o__RF39</v>
          </cell>
          <cell r="I9155" t="str">
            <v>s__uncultured_bacterium_g__norank_f__norank_o__RF39</v>
          </cell>
        </row>
        <row r="9156">
          <cell r="G9156" t="str">
            <v>ASV23273</v>
          </cell>
          <cell r="H9156" t="str">
            <v>g__Lactobacillus</v>
          </cell>
          <cell r="I9156" t="str">
            <v>s__unclassified_g__Lactobacillus</v>
          </cell>
        </row>
        <row r="9157">
          <cell r="G9157" t="str">
            <v>ASV1656</v>
          </cell>
          <cell r="H9157" t="str">
            <v>g__Terrisporobacter</v>
          </cell>
          <cell r="I9157" t="str">
            <v>s__unclassified_g__Terrisporobacter</v>
          </cell>
        </row>
        <row r="9158">
          <cell r="G9158" t="str">
            <v>ASV21226</v>
          </cell>
          <cell r="H9158" t="str">
            <v>g__unclassified_c__Bacilli</v>
          </cell>
          <cell r="I9158" t="str">
            <v>s__unclassified_c__Bacilli</v>
          </cell>
        </row>
        <row r="9159">
          <cell r="G9159" t="str">
            <v>ASV3653</v>
          </cell>
          <cell r="H9159" t="str">
            <v>g__Veillonella</v>
          </cell>
          <cell r="I9159" t="str">
            <v>s__unclassified_g__Veillonella</v>
          </cell>
        </row>
        <row r="9160">
          <cell r="G9160" t="str">
            <v>ASV15374</v>
          </cell>
          <cell r="H9160" t="str">
            <v>g__unclassified_f__Lachnospiraceae</v>
          </cell>
          <cell r="I9160" t="str">
            <v>s__unclassified_f__Lachnospiraceae</v>
          </cell>
        </row>
        <row r="9161">
          <cell r="G9161" t="str">
            <v>ASV1647</v>
          </cell>
          <cell r="H9161" t="str">
            <v>g__Romboutsia</v>
          </cell>
          <cell r="I9161" t="str">
            <v>s__unclassified_g__Romboutsia</v>
          </cell>
        </row>
        <row r="9162">
          <cell r="G9162" t="str">
            <v>ASV17979</v>
          </cell>
          <cell r="H9162" t="str">
            <v>g__norank_f__UCG-010</v>
          </cell>
          <cell r="I9162" t="str">
            <v>s__uncultured_bacterium_g__norank_f__UCG-010</v>
          </cell>
        </row>
        <row r="9163">
          <cell r="G9163" t="str">
            <v>ASV6726</v>
          </cell>
          <cell r="H9163" t="str">
            <v>g__unclassified_p__Firmicutes</v>
          </cell>
          <cell r="I9163" t="str">
            <v>s__unclassified_p__Firmicutes</v>
          </cell>
        </row>
        <row r="9164">
          <cell r="G9164" t="str">
            <v>ASV13366</v>
          </cell>
          <cell r="H9164" t="str">
            <v>g__Lactobacillus</v>
          </cell>
          <cell r="I9164" t="str">
            <v>s__unclassified_g__Lactobacillus</v>
          </cell>
        </row>
        <row r="9165">
          <cell r="G9165" t="str">
            <v>ASV2136</v>
          </cell>
          <cell r="H9165" t="str">
            <v>g__unclassified_f__Lachnospiraceae</v>
          </cell>
          <cell r="I9165" t="str">
            <v>s__unclassified_f__Lachnospiraceae</v>
          </cell>
        </row>
        <row r="9166">
          <cell r="G9166" t="str">
            <v>ASV22119</v>
          </cell>
          <cell r="H9166" t="str">
            <v>g__unclassified_o__Oscillospirales</v>
          </cell>
          <cell r="I9166" t="str">
            <v>s__unclassified_o__Oscillospirales</v>
          </cell>
        </row>
        <row r="9167">
          <cell r="G9167" t="str">
            <v>ASV10600</v>
          </cell>
          <cell r="H9167" t="str">
            <v>g__unclassified_c__Clostridia</v>
          </cell>
          <cell r="I9167" t="str">
            <v>s__unclassified_c__Clostridia</v>
          </cell>
        </row>
        <row r="9168">
          <cell r="G9168" t="str">
            <v>ASV13417</v>
          </cell>
          <cell r="H9168" t="str">
            <v>g__unclassified_c__Clostridia</v>
          </cell>
          <cell r="I9168" t="str">
            <v>s__unclassified_c__Clostridia</v>
          </cell>
        </row>
        <row r="9169">
          <cell r="G9169" t="str">
            <v>ASV23239</v>
          </cell>
          <cell r="H9169" t="str">
            <v>g__unclassified_f__Erysipelotrichaceae</v>
          </cell>
          <cell r="I9169" t="str">
            <v>s__unclassified_f__Erysipelotrichaceae</v>
          </cell>
        </row>
        <row r="9170">
          <cell r="G9170" t="str">
            <v>ASV14210</v>
          </cell>
          <cell r="H9170" t="str">
            <v>g__unclassified_p__Firmicutes</v>
          </cell>
          <cell r="I9170" t="str">
            <v>s__unclassified_p__Firmicutes</v>
          </cell>
        </row>
        <row r="9171">
          <cell r="G9171" t="str">
            <v>ASV23270</v>
          </cell>
          <cell r="H9171" t="str">
            <v>g__Veillonella</v>
          </cell>
          <cell r="I9171" t="str">
            <v>s__unclassified_g__Veillonella</v>
          </cell>
        </row>
        <row r="9172">
          <cell r="G9172" t="str">
            <v>ASV3210</v>
          </cell>
          <cell r="H9172" t="str">
            <v>g__unclassified_f__Lachnospiraceae</v>
          </cell>
          <cell r="I9172" t="str">
            <v>s__unclassified_f__Lachnospiraceae</v>
          </cell>
        </row>
        <row r="9173">
          <cell r="G9173" t="str">
            <v>ASV18851</v>
          </cell>
          <cell r="H9173" t="str">
            <v>g__unclassified_k__norank_d__Bacteria</v>
          </cell>
          <cell r="I9173" t="str">
            <v>s__unclassified_k__norank_d__Bacteria</v>
          </cell>
        </row>
        <row r="9174">
          <cell r="G9174" t="str">
            <v>ASV593</v>
          </cell>
          <cell r="H9174" t="str">
            <v>g__unclassified_o__Bacteroidales</v>
          </cell>
          <cell r="I9174" t="str">
            <v>s__unclassified_o__Bacteroidales</v>
          </cell>
        </row>
        <row r="9175">
          <cell r="G9175" t="str">
            <v>ASV16368</v>
          </cell>
          <cell r="H9175" t="str">
            <v>g__Christensenellaceae_R-7_group</v>
          </cell>
          <cell r="I9175" t="str">
            <v>s__uncultured_bacterium_g__Christensenellaceae_R-7_group</v>
          </cell>
        </row>
        <row r="9176">
          <cell r="G9176" t="str">
            <v>ASV6672</v>
          </cell>
          <cell r="H9176" t="str">
            <v>g__Escherichia-Shigella</v>
          </cell>
          <cell r="I9176" t="str">
            <v>s__unclassified_g__Escherichia-Shigella</v>
          </cell>
        </row>
        <row r="9177">
          <cell r="G9177" t="str">
            <v>ASV21225</v>
          </cell>
          <cell r="H9177" t="str">
            <v>g__UCG-003</v>
          </cell>
          <cell r="I9177" t="str">
            <v>s__unclassified_g__UCG-003</v>
          </cell>
        </row>
        <row r="9178">
          <cell r="G9178" t="str">
            <v>ASV15976</v>
          </cell>
          <cell r="H9178" t="str">
            <v>g__Prevotella</v>
          </cell>
          <cell r="I9178" t="str">
            <v>s__unclassified_g__Prevotella</v>
          </cell>
        </row>
        <row r="9179">
          <cell r="G9179" t="str">
            <v>ASV5878</v>
          </cell>
          <cell r="H9179" t="str">
            <v>g__unclassified_k__norank_d__Bacteria</v>
          </cell>
          <cell r="I9179" t="str">
            <v>s__unclassified_k__norank_d__Bacteria</v>
          </cell>
        </row>
        <row r="9180">
          <cell r="G9180" t="str">
            <v>ASV19557</v>
          </cell>
          <cell r="H9180" t="str">
            <v>g__Veillonella</v>
          </cell>
          <cell r="I9180" t="str">
            <v>s__unclassified_g__Veillonella</v>
          </cell>
        </row>
        <row r="9181">
          <cell r="G9181" t="str">
            <v>ASV8480</v>
          </cell>
          <cell r="H9181" t="str">
            <v>g__unclassified_f__Veillonellaceae</v>
          </cell>
          <cell r="I9181" t="str">
            <v>s__unclassified_f__Veillonellaceae</v>
          </cell>
        </row>
        <row r="9182">
          <cell r="G9182" t="str">
            <v>ASV22106</v>
          </cell>
          <cell r="H9182" t="str">
            <v>g__unclassified_f__Oscillospiraceae</v>
          </cell>
          <cell r="I9182" t="str">
            <v>s__unclassified_f__Oscillospiraceae</v>
          </cell>
        </row>
        <row r="9183">
          <cell r="G9183" t="str">
            <v>ASV3996</v>
          </cell>
          <cell r="H9183" t="str">
            <v>g__Bacteroides</v>
          </cell>
          <cell r="I9183" t="str">
            <v>s__unclassified_g__Bacteroides</v>
          </cell>
        </row>
        <row r="9184">
          <cell r="G9184" t="str">
            <v>ASV17205</v>
          </cell>
          <cell r="H9184" t="str">
            <v>g__unclassified_c__Bacilli</v>
          </cell>
          <cell r="I9184" t="str">
            <v>s__unclassified_c__Bacilli</v>
          </cell>
        </row>
        <row r="9185">
          <cell r="G9185" t="str">
            <v>ASV10006</v>
          </cell>
          <cell r="H9185" t="str">
            <v>g__Fibrobacter</v>
          </cell>
          <cell r="I9185" t="str">
            <v>s__Fibrobacter_intestinalis</v>
          </cell>
        </row>
        <row r="9186">
          <cell r="G9186" t="str">
            <v>ASV14287</v>
          </cell>
          <cell r="H9186" t="str">
            <v>g__Lactobacillus</v>
          </cell>
          <cell r="I9186" t="str">
            <v>s__unclassified_g__Lactobacillus</v>
          </cell>
        </row>
        <row r="9187">
          <cell r="G9187" t="str">
            <v>ASV2168</v>
          </cell>
          <cell r="H9187" t="str">
            <v>g__norank_f__Eubacterium_coprostanoligenes_group</v>
          </cell>
          <cell r="I9187" t="str">
            <v>s__unclassified_g__norank_f__Eubacterium_coprostanoligenes_group</v>
          </cell>
        </row>
        <row r="9188">
          <cell r="G9188" t="str">
            <v>ASV20776</v>
          </cell>
          <cell r="H9188" t="str">
            <v>g__unclassified_f__Lachnospiraceae</v>
          </cell>
          <cell r="I9188" t="str">
            <v>s__unclassified_f__Lachnospiraceae</v>
          </cell>
        </row>
        <row r="9189">
          <cell r="G9189" t="str">
            <v>ASV22193</v>
          </cell>
          <cell r="H9189" t="str">
            <v>g__unclassified_c__Bacilli</v>
          </cell>
          <cell r="I9189" t="str">
            <v>s__unclassified_c__Bacilli</v>
          </cell>
        </row>
        <row r="9190">
          <cell r="G9190" t="str">
            <v>ASV3959</v>
          </cell>
          <cell r="H9190" t="str">
            <v>g__unclassified_c__Clostridia</v>
          </cell>
          <cell r="I9190" t="str">
            <v>s__unclassified_c__Clostridia</v>
          </cell>
        </row>
        <row r="9191">
          <cell r="G9191" t="str">
            <v>ASV16412</v>
          </cell>
          <cell r="H9191" t="str">
            <v>g__unclassified_f__Oscillospiraceae</v>
          </cell>
          <cell r="I9191" t="str">
            <v>s__unclassified_f__Oscillospiraceae</v>
          </cell>
        </row>
        <row r="9192">
          <cell r="G9192" t="str">
            <v>ASV7748</v>
          </cell>
          <cell r="H9192" t="str">
            <v>g__Lactobacillus</v>
          </cell>
          <cell r="I9192" t="str">
            <v>s__unclassified_g__Lactobacillus</v>
          </cell>
        </row>
        <row r="9193">
          <cell r="G9193" t="str">
            <v>ASV6723</v>
          </cell>
          <cell r="H9193" t="str">
            <v>g__norank_f__Oscillospiraceae</v>
          </cell>
          <cell r="I9193" t="str">
            <v>s__unclassified_g__norank_f__Oscillospiraceae</v>
          </cell>
        </row>
        <row r="9194">
          <cell r="G9194" t="str">
            <v>ASV21445</v>
          </cell>
          <cell r="H9194" t="str">
            <v>g__Escherichia-Shigella</v>
          </cell>
          <cell r="I9194" t="str">
            <v>s__unclassified_g__Escherichia-Shigella</v>
          </cell>
        </row>
        <row r="9195">
          <cell r="G9195" t="str">
            <v>ASV11561</v>
          </cell>
          <cell r="H9195" t="str">
            <v>g__Eubacterium_oxidoreducens_group</v>
          </cell>
          <cell r="I9195" t="str">
            <v>s__uncultured_bacterium_g__Eubacterium_oxidoreducens_group</v>
          </cell>
        </row>
        <row r="9196">
          <cell r="G9196" t="str">
            <v>ASV16907</v>
          </cell>
          <cell r="H9196" t="str">
            <v>g__Escherichia-Shigella</v>
          </cell>
          <cell r="I9196" t="str">
            <v>s__unclassified_g__Escherichia-Shigella</v>
          </cell>
        </row>
        <row r="9197">
          <cell r="G9197" t="str">
            <v>ASV22240</v>
          </cell>
          <cell r="H9197" t="str">
            <v>g__Lactobacillus</v>
          </cell>
          <cell r="I9197" t="str">
            <v>s__unclassified_g__Lactobacillus</v>
          </cell>
        </row>
        <row r="9198">
          <cell r="G9198" t="str">
            <v>ASV610</v>
          </cell>
          <cell r="H9198" t="str">
            <v>g__unclassified_c__Clostridia</v>
          </cell>
          <cell r="I9198" t="str">
            <v>s__unclassified_c__Clostridia</v>
          </cell>
        </row>
        <row r="9199">
          <cell r="G9199" t="str">
            <v>ASV17987</v>
          </cell>
          <cell r="H9199" t="str">
            <v>g__unclassified_c__Clostridia</v>
          </cell>
          <cell r="I9199" t="str">
            <v>s__unclassified_c__Clostridia</v>
          </cell>
        </row>
        <row r="9200">
          <cell r="G9200" t="str">
            <v>ASV11513</v>
          </cell>
          <cell r="H9200" t="str">
            <v>g__Eubacterium_siraeum_group</v>
          </cell>
          <cell r="I9200" t="str">
            <v>s__unclassified_g__Eubacterium_siraeum_group</v>
          </cell>
        </row>
        <row r="9201">
          <cell r="G9201" t="str">
            <v>ASV18027</v>
          </cell>
          <cell r="H9201" t="str">
            <v>g__Butyricimonas</v>
          </cell>
          <cell r="I9201" t="str">
            <v>s__Butyricimonas_virosa</v>
          </cell>
        </row>
        <row r="9202">
          <cell r="G9202" t="str">
            <v>ASV7732</v>
          </cell>
          <cell r="H9202" t="str">
            <v>g__Clostridium_sensu_stricto_1</v>
          </cell>
          <cell r="I9202" t="str">
            <v>s__unclassified_g__Clostridium_sensu_stricto_1</v>
          </cell>
        </row>
        <row r="9203">
          <cell r="G9203" t="str">
            <v>ASV19593</v>
          </cell>
          <cell r="H9203" t="str">
            <v>g__unclassified_f__Lachnospiraceae</v>
          </cell>
          <cell r="I9203" t="str">
            <v>s__unclassified_f__Lachnospiraceae</v>
          </cell>
        </row>
        <row r="9204">
          <cell r="G9204" t="str">
            <v>ASV11055</v>
          </cell>
          <cell r="H9204" t="str">
            <v>g__Lactobacillus</v>
          </cell>
          <cell r="I9204" t="str">
            <v>s__unclassified_g__Lactobacillus</v>
          </cell>
        </row>
        <row r="9205">
          <cell r="G9205" t="str">
            <v>ASV21222</v>
          </cell>
          <cell r="H9205" t="str">
            <v>g__unclassified_o__Oscillospirales</v>
          </cell>
          <cell r="I9205" t="str">
            <v>s__unclassified_o__Oscillospirales</v>
          </cell>
        </row>
        <row r="9206">
          <cell r="G9206" t="str">
            <v>ASV708</v>
          </cell>
          <cell r="H9206" t="str">
            <v>g__Parabacteroides</v>
          </cell>
          <cell r="I9206" t="str">
            <v>s__Porphyromonadaceae_bacterium_DJF_B175</v>
          </cell>
        </row>
        <row r="9207">
          <cell r="G9207" t="str">
            <v>ASV4034</v>
          </cell>
          <cell r="H9207" t="str">
            <v>g__unclassified_f__Clostridiaceae</v>
          </cell>
          <cell r="I9207" t="str">
            <v>s__unclassified_f__Clostridiaceae</v>
          </cell>
        </row>
        <row r="9208">
          <cell r="G9208" t="str">
            <v>ASV12713</v>
          </cell>
          <cell r="H9208" t="str">
            <v>g__unclassified_f__Lachnospiraceae</v>
          </cell>
          <cell r="I9208" t="str">
            <v>s__unclassified_f__Lachnospiraceae</v>
          </cell>
        </row>
        <row r="9209">
          <cell r="G9209" t="str">
            <v>ASV7718</v>
          </cell>
          <cell r="H9209" t="str">
            <v>g__unclassified_f__Lachnospiraceae</v>
          </cell>
          <cell r="I9209" t="str">
            <v>s__unclassified_f__Lachnospiraceae</v>
          </cell>
        </row>
        <row r="9210">
          <cell r="G9210" t="str">
            <v>ASV16376</v>
          </cell>
          <cell r="H9210" t="str">
            <v>g__norank_f__norank_o__RF39</v>
          </cell>
          <cell r="I9210" t="str">
            <v>s__uncultured_bacterium_g__norank_f__norank_o__RF39</v>
          </cell>
        </row>
        <row r="9211">
          <cell r="G9211" t="str">
            <v>ASV19560</v>
          </cell>
          <cell r="H9211" t="str">
            <v>g__unclassified_c__Clostridia</v>
          </cell>
          <cell r="I9211" t="str">
            <v>s__unclassified_c__Clostridia</v>
          </cell>
        </row>
        <row r="9212">
          <cell r="G9212" t="str">
            <v>ASV5900</v>
          </cell>
          <cell r="H9212" t="str">
            <v>g__Turicibacter</v>
          </cell>
          <cell r="I9212" t="str">
            <v>s__unclassified_g__Turicibacter</v>
          </cell>
        </row>
        <row r="9213">
          <cell r="G9213" t="str">
            <v>ASV21598</v>
          </cell>
          <cell r="H9213" t="str">
            <v>g__unclassified_k__norank_d__Bacteria</v>
          </cell>
          <cell r="I9213" t="str">
            <v>s__unclassified_k__norank_d__Bacteria</v>
          </cell>
        </row>
        <row r="9214">
          <cell r="G9214" t="str">
            <v>ASV10007</v>
          </cell>
          <cell r="H9214" t="str">
            <v>g__norank_f__Muribaculaceae</v>
          </cell>
          <cell r="I9214" t="str">
            <v>s__uncultured_organism_g__norank_f__Muribaculaceae</v>
          </cell>
        </row>
        <row r="9215">
          <cell r="G9215" t="str">
            <v>ASV5795</v>
          </cell>
          <cell r="H9215" t="str">
            <v>g__unclassified_o__Oscillospirales</v>
          </cell>
          <cell r="I9215" t="str">
            <v>s__unclassified_o__Oscillospirales</v>
          </cell>
        </row>
        <row r="9216">
          <cell r="G9216" t="str">
            <v>ASV23943</v>
          </cell>
          <cell r="H9216" t="str">
            <v>g__Acidaminococcus</v>
          </cell>
          <cell r="I9216" t="str">
            <v>s__unclassified_g__Acidaminococcus</v>
          </cell>
        </row>
        <row r="9217">
          <cell r="G9217" t="str">
            <v>ASV18567</v>
          </cell>
          <cell r="H9217" t="str">
            <v>g__Lactobacillus</v>
          </cell>
          <cell r="I9217" t="str">
            <v>s__unclassified_g__Lactobacillus</v>
          </cell>
        </row>
        <row r="9218">
          <cell r="G9218" t="str">
            <v>ASV18854</v>
          </cell>
          <cell r="H9218" t="str">
            <v>g__Streptococcus</v>
          </cell>
          <cell r="I9218" t="str">
            <v>s__unclassified_g__Streptococcus</v>
          </cell>
        </row>
        <row r="9219">
          <cell r="G9219" t="str">
            <v>ASV14217</v>
          </cell>
          <cell r="H9219" t="str">
            <v>g__norank_f__Erysipelotrichaceae</v>
          </cell>
          <cell r="I9219" t="str">
            <v>s__uncultured_Solobacterium_sp.</v>
          </cell>
        </row>
        <row r="9220">
          <cell r="G9220" t="str">
            <v>ASV2167</v>
          </cell>
          <cell r="H9220" t="str">
            <v>g__norank_f__Eubacterium_coprostanoligenes_group</v>
          </cell>
          <cell r="I9220" t="str">
            <v>s__unclassified_g__norank_f__Eubacterium_coprostanoligenes_group</v>
          </cell>
        </row>
        <row r="9221">
          <cell r="G9221" t="str">
            <v>ASV21441</v>
          </cell>
          <cell r="H9221" t="str">
            <v>g__Lactobacillus</v>
          </cell>
          <cell r="I9221" t="str">
            <v>s__unclassified_g__Lactobacillus</v>
          </cell>
        </row>
        <row r="9222">
          <cell r="G9222" t="str">
            <v>ASV23230</v>
          </cell>
          <cell r="H9222" t="str">
            <v>g__unclassified_f__Oscillospiraceae</v>
          </cell>
          <cell r="I9222" t="str">
            <v>s__unclassified_f__Oscillospiraceae</v>
          </cell>
        </row>
        <row r="9223">
          <cell r="G9223" t="str">
            <v>ASV15084</v>
          </cell>
          <cell r="H9223" t="str">
            <v>g__Chryseobacterium</v>
          </cell>
          <cell r="I9223" t="str">
            <v>s__unclassified_g__Chryseobacterium</v>
          </cell>
        </row>
        <row r="9224">
          <cell r="G9224" t="str">
            <v>ASV22095</v>
          </cell>
          <cell r="H9224" t="str">
            <v>g__unclassified_f__Lachnospiraceae</v>
          </cell>
          <cell r="I9224" t="str">
            <v>s__unclassified_f__Lachnospiraceae</v>
          </cell>
        </row>
        <row r="9225">
          <cell r="G9225" t="str">
            <v>ASV9424</v>
          </cell>
          <cell r="H9225" t="str">
            <v>g__unclassified_f__Lachnospiraceae</v>
          </cell>
          <cell r="I9225" t="str">
            <v>s__unclassified_f__Lachnospiraceae</v>
          </cell>
        </row>
        <row r="9226">
          <cell r="G9226" t="str">
            <v>ASV19478</v>
          </cell>
          <cell r="H9226" t="str">
            <v>g__Escherichia-Shigella</v>
          </cell>
          <cell r="I9226" t="str">
            <v>s__unclassified_g__Escherichia-Shigella</v>
          </cell>
        </row>
        <row r="9227">
          <cell r="G9227" t="str">
            <v>ASV8283</v>
          </cell>
          <cell r="H9227" t="str">
            <v>g__unclassified_f__Lachnospiraceae</v>
          </cell>
          <cell r="I9227" t="str">
            <v>s__unclassified_f__Lachnospiraceae</v>
          </cell>
        </row>
        <row r="9228">
          <cell r="G9228" t="str">
            <v>ASV16894</v>
          </cell>
          <cell r="H9228" t="str">
            <v>g__Bacteroides</v>
          </cell>
          <cell r="I9228" t="str">
            <v>s__unclassified_g__Bacteroides</v>
          </cell>
        </row>
        <row r="9229">
          <cell r="G9229" t="str">
            <v>ASV2173</v>
          </cell>
          <cell r="H9229" t="str">
            <v>g__unclassified_f__Lachnospiraceae</v>
          </cell>
          <cell r="I9229" t="str">
            <v>s__unclassified_f__Lachnospiraceae</v>
          </cell>
        </row>
        <row r="9230">
          <cell r="G9230" t="str">
            <v>ASV18592</v>
          </cell>
          <cell r="H9230" t="str">
            <v>g__Lachnoclostridium</v>
          </cell>
          <cell r="I9230" t="str">
            <v>s__unclassified_g__Lachnoclostridium</v>
          </cell>
        </row>
        <row r="9231">
          <cell r="G9231" t="str">
            <v>ASV15391</v>
          </cell>
          <cell r="H9231" t="str">
            <v>g__unclassified_c__Clostridia</v>
          </cell>
          <cell r="I9231" t="str">
            <v>s__unclassified_c__Clostridia</v>
          </cell>
        </row>
        <row r="9232">
          <cell r="G9232" t="str">
            <v>ASV5815</v>
          </cell>
          <cell r="H9232" t="str">
            <v>g__norank_f__Muribaculaceae</v>
          </cell>
          <cell r="I9232" t="str">
            <v>s__uncultured_bacterium_g__norank_f__Muribaculaceae</v>
          </cell>
        </row>
        <row r="9233">
          <cell r="G9233" t="str">
            <v>ASV4786</v>
          </cell>
          <cell r="H9233" t="str">
            <v>g__unclassified_p__Firmicutes</v>
          </cell>
          <cell r="I9233" t="str">
            <v>s__unclassified_p__Firmicutes</v>
          </cell>
        </row>
        <row r="9234">
          <cell r="G9234" t="str">
            <v>ASV15989</v>
          </cell>
          <cell r="H9234" t="str">
            <v>g__Lactobacillus</v>
          </cell>
          <cell r="I9234" t="str">
            <v>s__unclassified_g__Lactobacillus</v>
          </cell>
        </row>
        <row r="9235">
          <cell r="G9235" t="str">
            <v>ASV5923</v>
          </cell>
          <cell r="H9235" t="str">
            <v>g__norank_f__Ruminococcaceae</v>
          </cell>
          <cell r="I9235" t="str">
            <v>s__unclassified_g__norank_f__Ruminococcaceae</v>
          </cell>
        </row>
        <row r="9236">
          <cell r="G9236" t="str">
            <v>ASV3473</v>
          </cell>
          <cell r="H9236" t="str">
            <v>g__unclassified_p__Firmicutes</v>
          </cell>
          <cell r="I9236" t="str">
            <v>s__unclassified_p__Firmicutes</v>
          </cell>
        </row>
        <row r="9237">
          <cell r="G9237" t="str">
            <v>ASV14183</v>
          </cell>
          <cell r="H9237" t="str">
            <v>g__unclassified_c__Clostridia</v>
          </cell>
          <cell r="I9237" t="str">
            <v>s__unclassified_c__Clostridia</v>
          </cell>
        </row>
        <row r="9238">
          <cell r="G9238" t="str">
            <v>ASV18880</v>
          </cell>
          <cell r="H9238" t="str">
            <v>g__Prevotella</v>
          </cell>
          <cell r="I9238" t="str">
            <v>s__unclassified_g__Prevotella</v>
          </cell>
        </row>
        <row r="9239">
          <cell r="G9239" t="str">
            <v>ASV7708</v>
          </cell>
          <cell r="H9239" t="str">
            <v>g__Lactobacillus</v>
          </cell>
          <cell r="I9239" t="str">
            <v>s__Lactobacillus_sp._KC45b</v>
          </cell>
        </row>
        <row r="9240">
          <cell r="G9240" t="str">
            <v>ASV622</v>
          </cell>
          <cell r="H9240" t="str">
            <v>g__unclassified_f__Lachnospiraceae</v>
          </cell>
          <cell r="I9240" t="str">
            <v>s__unclassified_f__Lachnospiraceae</v>
          </cell>
        </row>
        <row r="9241">
          <cell r="G9241" t="str">
            <v>ASV12725</v>
          </cell>
          <cell r="H9241" t="str">
            <v>g__unclassified_f__Pasteurellaceae</v>
          </cell>
          <cell r="I9241" t="str">
            <v>s__unclassified_f__Pasteurellaceae</v>
          </cell>
        </row>
        <row r="9242">
          <cell r="G9242" t="str">
            <v>ASV21453</v>
          </cell>
          <cell r="H9242" t="str">
            <v>g__Anaerovibrio</v>
          </cell>
          <cell r="I9242" t="str">
            <v>s__unclassified_g__Anaerovibrio</v>
          </cell>
        </row>
        <row r="9243">
          <cell r="G9243" t="str">
            <v>ASV9389</v>
          </cell>
          <cell r="H9243" t="str">
            <v>g__UCG-002</v>
          </cell>
          <cell r="I9243" t="str">
            <v>s__uncultured_bacterium_g__UCG-002</v>
          </cell>
        </row>
        <row r="9244">
          <cell r="G9244" t="str">
            <v>ASV12734</v>
          </cell>
          <cell r="H9244" t="str">
            <v>g__UCG-002</v>
          </cell>
          <cell r="I9244" t="str">
            <v>s__unclassified_g__UCG-002</v>
          </cell>
        </row>
        <row r="9245">
          <cell r="G9245" t="str">
            <v>ASV14221</v>
          </cell>
          <cell r="H9245" t="str">
            <v>g__Veillonella</v>
          </cell>
          <cell r="I9245" t="str">
            <v>s__unclassified_g__Veillonella</v>
          </cell>
        </row>
        <row r="9246">
          <cell r="G9246" t="str">
            <v>ASV9329</v>
          </cell>
          <cell r="H9246" t="str">
            <v>g__Holdemanella</v>
          </cell>
          <cell r="I9246" t="str">
            <v>s__unclassified_g__Holdemanella</v>
          </cell>
        </row>
        <row r="9247">
          <cell r="G9247" t="str">
            <v>ASV14240</v>
          </cell>
          <cell r="H9247" t="str">
            <v>g__Turicibacter</v>
          </cell>
          <cell r="I9247" t="str">
            <v>s__uncultured_bacterium_g__Turicibacter</v>
          </cell>
        </row>
        <row r="9248">
          <cell r="G9248" t="str">
            <v>ASV14228</v>
          </cell>
          <cell r="H9248" t="str">
            <v>g__Prevotella</v>
          </cell>
          <cell r="I9248" t="str">
            <v>s__unclassified_g__Prevotella</v>
          </cell>
        </row>
        <row r="9249">
          <cell r="G9249" t="str">
            <v>ASV9320</v>
          </cell>
          <cell r="H9249" t="str">
            <v>g__unclassified_o__Oscillospirales</v>
          </cell>
          <cell r="I9249" t="str">
            <v>s__unclassified_o__Oscillospirales</v>
          </cell>
        </row>
        <row r="9250">
          <cell r="G9250" t="str">
            <v>ASV20248</v>
          </cell>
          <cell r="H9250" t="str">
            <v>g__unclassified_f__Eggerthellaceae</v>
          </cell>
          <cell r="I9250" t="str">
            <v>s__unclassified_f__Eggerthellaceae</v>
          </cell>
        </row>
        <row r="9251">
          <cell r="G9251" t="str">
            <v>ASV1669</v>
          </cell>
          <cell r="H9251" t="str">
            <v>g__unclassified_f__Peptostreptococcaceae</v>
          </cell>
          <cell r="I9251" t="str">
            <v>s__unclassified_f__Peptostreptococcaceae</v>
          </cell>
        </row>
        <row r="9252">
          <cell r="G9252" t="str">
            <v>ASV23194</v>
          </cell>
          <cell r="H9252" t="str">
            <v>g__Bifidobacterium</v>
          </cell>
          <cell r="I9252" t="str">
            <v>s__unclassified_g__Bifidobacterium</v>
          </cell>
        </row>
        <row r="9253">
          <cell r="G9253" t="str">
            <v>ASV14190</v>
          </cell>
          <cell r="H9253" t="str">
            <v>g__unclassified_f__Lachnospiraceae</v>
          </cell>
          <cell r="I9253" t="str">
            <v>s__unclassified_f__Lachnospiraceae</v>
          </cell>
        </row>
        <row r="9254">
          <cell r="G9254" t="str">
            <v>ASV11523</v>
          </cell>
          <cell r="H9254" t="str">
            <v>g__norank_f__UCG-010</v>
          </cell>
          <cell r="I9254" t="str">
            <v>s__unclassified_g__norank_f__UCG-010</v>
          </cell>
        </row>
        <row r="9255">
          <cell r="G9255" t="str">
            <v>ASV24136</v>
          </cell>
          <cell r="H9255" t="str">
            <v>g__unclassified_c__Clostridia</v>
          </cell>
          <cell r="I9255" t="str">
            <v>s__unclassified_c__Clostridia</v>
          </cell>
        </row>
        <row r="9256">
          <cell r="G9256" t="str">
            <v>ASV22187</v>
          </cell>
          <cell r="H9256" t="str">
            <v>g__unclassified_f__Lachnospiraceae</v>
          </cell>
          <cell r="I9256" t="str">
            <v>s__unclassified_f__Lachnospiraceae</v>
          </cell>
        </row>
        <row r="9257">
          <cell r="G9257" t="str">
            <v>ASV14280</v>
          </cell>
          <cell r="H9257" t="str">
            <v>g__Christensenellaceae_R-7_group</v>
          </cell>
          <cell r="I9257" t="str">
            <v>s__unclassified_g__Christensenellaceae_R-7_group</v>
          </cell>
        </row>
        <row r="9258">
          <cell r="G9258" t="str">
            <v>ASV16381</v>
          </cell>
          <cell r="H9258" t="str">
            <v>g__unclassified_f__Lachnospiraceae</v>
          </cell>
          <cell r="I9258" t="str">
            <v>s__unclassified_f__Lachnospiraceae</v>
          </cell>
        </row>
        <row r="9259">
          <cell r="G9259" t="str">
            <v>ASV23253</v>
          </cell>
          <cell r="H9259" t="str">
            <v>g__unclassified_c__Clostridia</v>
          </cell>
          <cell r="I9259" t="str">
            <v>s__unclassified_c__Clostridia</v>
          </cell>
        </row>
        <row r="9260">
          <cell r="G9260" t="str">
            <v>ASV7050</v>
          </cell>
          <cell r="H9260" t="str">
            <v>g__Lactobacillus</v>
          </cell>
          <cell r="I9260" t="str">
            <v>s__unclassified_g__Lactobacillus</v>
          </cell>
        </row>
        <row r="9261">
          <cell r="G9261" t="str">
            <v>ASV15327</v>
          </cell>
          <cell r="H9261" t="str">
            <v>g__unclassified_c__Clostridia</v>
          </cell>
          <cell r="I9261" t="str">
            <v>s__unclassified_c__Clostridia</v>
          </cell>
        </row>
        <row r="9262">
          <cell r="G9262" t="str">
            <v>ASV22179</v>
          </cell>
          <cell r="H9262" t="str">
            <v>g__norank_f__norank_o__RF39</v>
          </cell>
          <cell r="I9262" t="str">
            <v>s__uncultured_bacterium_g__norank_f__norank_o__RF39</v>
          </cell>
        </row>
        <row r="9263">
          <cell r="G9263" t="str">
            <v>ASV9344</v>
          </cell>
          <cell r="H9263" t="str">
            <v>g__unclassified_k__norank_d__Bacteria</v>
          </cell>
          <cell r="I9263" t="str">
            <v>s__unclassified_k__norank_d__Bacteria</v>
          </cell>
        </row>
        <row r="9264">
          <cell r="G9264" t="str">
            <v>ASV3488</v>
          </cell>
          <cell r="H9264" t="str">
            <v>g__unclassified_f__Clostridiaceae</v>
          </cell>
          <cell r="I9264" t="str">
            <v>s__unclassified_f__Clostridiaceae</v>
          </cell>
        </row>
        <row r="9265">
          <cell r="G9265" t="str">
            <v>ASV19523</v>
          </cell>
          <cell r="H9265" t="str">
            <v>g__norank_f__Eubacterium_coprostanoligenes_group</v>
          </cell>
          <cell r="I9265" t="str">
            <v>s__uncultured_Clostridium_sp._g__norank_f__Eubacterium_coprostanoligenes_group</v>
          </cell>
        </row>
        <row r="9266">
          <cell r="G9266" t="str">
            <v>ASV8352</v>
          </cell>
          <cell r="H9266" t="str">
            <v>g__Lactobacillus</v>
          </cell>
          <cell r="I9266" t="str">
            <v>s__unclassified_g__Lactobacillus</v>
          </cell>
        </row>
        <row r="9267">
          <cell r="G9267" t="str">
            <v>ASV4751</v>
          </cell>
          <cell r="H9267" t="str">
            <v>g__unclassified_o__Oscillospirales</v>
          </cell>
          <cell r="I9267" t="str">
            <v>s__unclassified_o__Oscillospirales</v>
          </cell>
        </row>
        <row r="9268">
          <cell r="G9268" t="str">
            <v>ASV7726</v>
          </cell>
          <cell r="H9268" t="str">
            <v>g__unclassified_c__Clostridia</v>
          </cell>
          <cell r="I9268" t="str">
            <v>s__unclassified_c__Clostridia</v>
          </cell>
        </row>
        <row r="9269">
          <cell r="G9269" t="str">
            <v>ASV19602</v>
          </cell>
          <cell r="H9269" t="str">
            <v>g__unclassified_o__Oscillospirales</v>
          </cell>
          <cell r="I9269" t="str">
            <v>s__unclassified_o__Oscillospirales</v>
          </cell>
        </row>
        <row r="9270">
          <cell r="G9270" t="str">
            <v>ASV14209</v>
          </cell>
          <cell r="H9270" t="str">
            <v>g__unclassified_f__Ruminococcaceae</v>
          </cell>
          <cell r="I9270" t="str">
            <v>s__unclassified_f__Ruminococcaceae</v>
          </cell>
        </row>
        <row r="9271">
          <cell r="G9271" t="str">
            <v>ASV20450</v>
          </cell>
          <cell r="H9271" t="str">
            <v>g__Edaphobaculum</v>
          </cell>
          <cell r="I9271" t="str">
            <v>s__uncultured_bacterium_g__Edaphobaculum</v>
          </cell>
        </row>
        <row r="9272">
          <cell r="G9272" t="str">
            <v>ASV2118</v>
          </cell>
          <cell r="H9272" t="str">
            <v>g__Escherichia-Shigella</v>
          </cell>
          <cell r="I9272" t="str">
            <v>s__unclassified_g__Escherichia-Shigella</v>
          </cell>
        </row>
        <row r="9273">
          <cell r="G9273" t="str">
            <v>ASV22102</v>
          </cell>
          <cell r="H9273" t="str">
            <v>g__unclassified_c__Clostridia</v>
          </cell>
          <cell r="I9273" t="str">
            <v>s__unclassified_c__Clostridia</v>
          </cell>
        </row>
        <row r="9274">
          <cell r="G9274" t="str">
            <v>ASV14191</v>
          </cell>
          <cell r="H9274" t="str">
            <v>g__Rikenellaceae_RC9_gut_group</v>
          </cell>
          <cell r="I9274" t="str">
            <v>s__metagenome_g__Rikenellaceae_RC9_gut_group</v>
          </cell>
        </row>
        <row r="9275">
          <cell r="G9275" t="str">
            <v>ASV22097</v>
          </cell>
          <cell r="H9275" t="str">
            <v>g__Lactobacillus</v>
          </cell>
          <cell r="I9275" t="str">
            <v>s__unclassified_g__Lactobacillus</v>
          </cell>
        </row>
        <row r="9276">
          <cell r="G9276" t="str">
            <v>ASV14144</v>
          </cell>
          <cell r="H9276" t="str">
            <v>g__unclassified_c__Clostridia</v>
          </cell>
          <cell r="I9276" t="str">
            <v>s__unclassified_c__Clostridia</v>
          </cell>
        </row>
        <row r="9277">
          <cell r="G9277" t="str">
            <v>ASV19542</v>
          </cell>
          <cell r="H9277" t="str">
            <v>g__unclassified_c__Clostridia</v>
          </cell>
          <cell r="I9277" t="str">
            <v>s__unclassified_c__Clostridia</v>
          </cell>
        </row>
        <row r="9278">
          <cell r="G9278" t="str">
            <v>ASV17292</v>
          </cell>
          <cell r="H9278" t="str">
            <v>g__unclassified_f__Peptostreptococcaceae</v>
          </cell>
          <cell r="I9278" t="str">
            <v>s__unclassified_f__Peptostreptococcaceae</v>
          </cell>
        </row>
        <row r="9279">
          <cell r="G9279" t="str">
            <v>ASV19507</v>
          </cell>
          <cell r="H9279" t="str">
            <v>g__norank_f__Eubacterium_coprostanoligenes_group</v>
          </cell>
          <cell r="I9279" t="str">
            <v>s__unclassified_g__norank_f__Eubacterium_coprostanoligenes_group</v>
          </cell>
        </row>
        <row r="9280">
          <cell r="G9280" t="str">
            <v>ASV12731</v>
          </cell>
          <cell r="H9280" t="str">
            <v>g__unclassified_c__Clostridia</v>
          </cell>
          <cell r="I9280" t="str">
            <v>s__unclassified_c__Clostridia</v>
          </cell>
        </row>
        <row r="9281">
          <cell r="G9281" t="str">
            <v>ASV18558</v>
          </cell>
          <cell r="H9281" t="str">
            <v>g__unclassified_o__Lactobacillales</v>
          </cell>
          <cell r="I9281" t="str">
            <v>s__unclassified_o__Lactobacillales</v>
          </cell>
        </row>
        <row r="9282">
          <cell r="G9282" t="str">
            <v>ASV22218</v>
          </cell>
          <cell r="H9282" t="str">
            <v>g__unclassified_c__Clostridia</v>
          </cell>
          <cell r="I9282" t="str">
            <v>s__unclassified_c__Clostridia</v>
          </cell>
        </row>
        <row r="9283">
          <cell r="G9283" t="str">
            <v>ASV18587</v>
          </cell>
          <cell r="H9283" t="str">
            <v>g__Lactobacillus</v>
          </cell>
          <cell r="I9283" t="str">
            <v>s__unclassified_g__Lactobacillus</v>
          </cell>
        </row>
        <row r="9284">
          <cell r="G9284" t="str">
            <v>ASV8490</v>
          </cell>
          <cell r="H9284" t="str">
            <v>g__Fusobacterium</v>
          </cell>
          <cell r="I9284" t="str">
            <v>s__unclassified_g__Fusobacterium</v>
          </cell>
        </row>
        <row r="9285">
          <cell r="G9285" t="str">
            <v>ASV8357</v>
          </cell>
          <cell r="H9285" t="str">
            <v>g__unclassified_p__Firmicutes</v>
          </cell>
          <cell r="I9285" t="str">
            <v>s__unclassified_p__Firmicutes</v>
          </cell>
        </row>
        <row r="9286">
          <cell r="G9286" t="str">
            <v>ASV9351</v>
          </cell>
          <cell r="H9286" t="str">
            <v>g__unclassified_c__Clostridia</v>
          </cell>
          <cell r="I9286" t="str">
            <v>s__unclassified_c__Clostridia</v>
          </cell>
        </row>
        <row r="9287">
          <cell r="G9287" t="str">
            <v>ASV8497</v>
          </cell>
          <cell r="H9287" t="str">
            <v>g__Lactobacillus</v>
          </cell>
          <cell r="I9287" t="str">
            <v>s__unclassified_g__Lactobacillus</v>
          </cell>
        </row>
        <row r="9288">
          <cell r="G9288" t="str">
            <v>ASV24140</v>
          </cell>
          <cell r="H9288" t="str">
            <v>g__unclassified_c__Clostridia</v>
          </cell>
          <cell r="I9288" t="str">
            <v>s__unclassified_c__Clostridia</v>
          </cell>
        </row>
        <row r="9289">
          <cell r="G9289" t="str">
            <v>ASV17945</v>
          </cell>
          <cell r="H9289" t="str">
            <v>g__norank_f__Ruminococcaceae</v>
          </cell>
          <cell r="I9289" t="str">
            <v>s__unclassified_g__norank_f__Ruminococcaceae</v>
          </cell>
        </row>
        <row r="9290">
          <cell r="G9290" t="str">
            <v>ASV23219</v>
          </cell>
          <cell r="H9290" t="str">
            <v>g__norank_f__Ruminococcaceae</v>
          </cell>
          <cell r="I9290" t="str">
            <v>s__unclassified_g__norank_f__Ruminococcaceae</v>
          </cell>
        </row>
        <row r="9291">
          <cell r="G9291" t="str">
            <v>ASV10585</v>
          </cell>
          <cell r="H9291" t="str">
            <v>g__unclassified_c__Clostridia</v>
          </cell>
          <cell r="I9291" t="str">
            <v>s__unclassified_c__Clostridia</v>
          </cell>
        </row>
        <row r="9292">
          <cell r="G9292" t="str">
            <v>ASV19555</v>
          </cell>
          <cell r="H9292" t="str">
            <v>g__norank_f__Oscillospiraceae</v>
          </cell>
          <cell r="I9292" t="str">
            <v>s__unclassified_g__norank_f__Oscillospiraceae</v>
          </cell>
        </row>
        <row r="9293">
          <cell r="G9293" t="str">
            <v>ASV7349</v>
          </cell>
          <cell r="H9293" t="str">
            <v>g__Lactobacillus</v>
          </cell>
          <cell r="I9293" t="str">
            <v>s__unclassified_g__Lactobacillus</v>
          </cell>
        </row>
        <row r="9294">
          <cell r="G9294" t="str">
            <v>ASV11499</v>
          </cell>
          <cell r="H9294" t="str">
            <v>g__unclassified_p__Firmicutes</v>
          </cell>
          <cell r="I9294" t="str">
            <v>s__unclassified_p__Firmicutes</v>
          </cell>
        </row>
        <row r="9295">
          <cell r="G9295" t="str">
            <v>ASV11483</v>
          </cell>
          <cell r="H9295" t="str">
            <v>g__unclassified_k__norank_d__Bacteria</v>
          </cell>
          <cell r="I9295" t="str">
            <v>s__unclassified_k__norank_d__Bacteria</v>
          </cell>
        </row>
        <row r="9296">
          <cell r="G9296" t="str">
            <v>ASV17481</v>
          </cell>
          <cell r="H9296" t="str">
            <v>g__Prevotella</v>
          </cell>
          <cell r="I9296" t="str">
            <v>s__Prevotella_sp._RS2</v>
          </cell>
        </row>
        <row r="9297">
          <cell r="G9297" t="str">
            <v>ASV1663</v>
          </cell>
          <cell r="H9297" t="str">
            <v>g__unclassified_f__Peptostreptococcaceae</v>
          </cell>
          <cell r="I9297" t="str">
            <v>s__unclassified_f__Peptostreptococcaceae</v>
          </cell>
        </row>
        <row r="9298">
          <cell r="G9298" t="str">
            <v>ASV22132</v>
          </cell>
          <cell r="H9298" t="str">
            <v>g__unclassified_f__Lachnospiraceae</v>
          </cell>
          <cell r="I9298" t="str">
            <v>s__unclassified_f__Lachnospiraceae</v>
          </cell>
        </row>
        <row r="9299">
          <cell r="G9299" t="str">
            <v>ASV11587</v>
          </cell>
          <cell r="H9299" t="str">
            <v>g__unclassified_f__Lachnospiraceae</v>
          </cell>
          <cell r="I9299" t="str">
            <v>s__unclassified_f__Lachnospiraceae</v>
          </cell>
        </row>
        <row r="9300">
          <cell r="G9300" t="str">
            <v>ASV22207</v>
          </cell>
          <cell r="H9300" t="str">
            <v>g__unclassified_f__Lachnospiraceae</v>
          </cell>
          <cell r="I9300" t="str">
            <v>s__unclassified_f__Lachnospiraceae</v>
          </cell>
        </row>
        <row r="9301">
          <cell r="G9301" t="str">
            <v>ASV18873</v>
          </cell>
          <cell r="H9301" t="str">
            <v>g__Prevotella</v>
          </cell>
          <cell r="I9301" t="str">
            <v>s__unclassified_g__Prevotella</v>
          </cell>
        </row>
        <row r="9302">
          <cell r="G9302" t="str">
            <v>ASV7751</v>
          </cell>
          <cell r="H9302" t="str">
            <v>g__Clostridium_sensu_stricto_1</v>
          </cell>
          <cell r="I9302" t="str">
            <v>s__unclassified_g__Clostridium_sensu_stricto_1</v>
          </cell>
        </row>
        <row r="9303">
          <cell r="G9303" t="str">
            <v>ASV23183</v>
          </cell>
          <cell r="H9303" t="str">
            <v>g__Helicobacter</v>
          </cell>
          <cell r="I9303" t="str">
            <v>s__unclassified_g__Helicobacter</v>
          </cell>
        </row>
        <row r="9304">
          <cell r="G9304" t="str">
            <v>ASV20717</v>
          </cell>
          <cell r="H9304" t="str">
            <v>g__unclassified_c__Clostridia</v>
          </cell>
          <cell r="I9304" t="str">
            <v>s__unclassified_c__Clostridia</v>
          </cell>
        </row>
        <row r="9305">
          <cell r="G9305" t="str">
            <v>ASV6693</v>
          </cell>
          <cell r="H9305" t="str">
            <v>g__unclassified_c__Clostridia</v>
          </cell>
          <cell r="I9305" t="str">
            <v>s__unclassified_c__Clostridia</v>
          </cell>
        </row>
        <row r="9306">
          <cell r="G9306" t="str">
            <v>ASV14231</v>
          </cell>
          <cell r="H9306" t="str">
            <v>g__Phascolarctobacterium</v>
          </cell>
          <cell r="I9306" t="str">
            <v>s__uncultured_bacterium_g__Phascolarctobacterium</v>
          </cell>
        </row>
        <row r="9307">
          <cell r="G9307" t="str">
            <v>ASV753</v>
          </cell>
          <cell r="H9307" t="str">
            <v>g__UCG-002</v>
          </cell>
          <cell r="I9307" t="str">
            <v>s__uncultured_bacterium_g__UCG-002</v>
          </cell>
        </row>
        <row r="9308">
          <cell r="G9308" t="str">
            <v>ASV2160</v>
          </cell>
          <cell r="H9308" t="str">
            <v>g__unclassified_c__Clostridia</v>
          </cell>
          <cell r="I9308" t="str">
            <v>s__unclassified_c__Clostridia</v>
          </cell>
        </row>
        <row r="9309">
          <cell r="G9309" t="str">
            <v>ASV1673</v>
          </cell>
          <cell r="H9309" t="str">
            <v>g__Escherichia-Shigella</v>
          </cell>
          <cell r="I9309" t="str">
            <v>s__unclassified_g__Escherichia-Shigella</v>
          </cell>
        </row>
        <row r="9310">
          <cell r="G9310" t="str">
            <v>ASV15960</v>
          </cell>
          <cell r="H9310" t="str">
            <v>g__Prevotella</v>
          </cell>
          <cell r="I9310" t="str">
            <v>s__unclassified_g__Prevotella</v>
          </cell>
        </row>
        <row r="9311">
          <cell r="G9311" t="str">
            <v>ASV11639</v>
          </cell>
          <cell r="H9311" t="str">
            <v>g__unclassified_c__Clostridia</v>
          </cell>
          <cell r="I9311" t="str">
            <v>s__unclassified_c__Clostridia</v>
          </cell>
        </row>
        <row r="9312">
          <cell r="G9312" t="str">
            <v>ASV584</v>
          </cell>
          <cell r="H9312" t="str">
            <v>g__Rikenellaceae_RC9_gut_group</v>
          </cell>
          <cell r="I9312" t="str">
            <v>s__uncultured_bacterium_g__Rikenellaceae_RC9_gut_group</v>
          </cell>
        </row>
        <row r="9313">
          <cell r="G9313" t="str">
            <v>ASV3471</v>
          </cell>
          <cell r="H9313" t="str">
            <v>g__Mitsuokella</v>
          </cell>
          <cell r="I9313" t="str">
            <v>s__unclassified_g__Mitsuokella</v>
          </cell>
        </row>
        <row r="9314">
          <cell r="G9314" t="str">
            <v>ASV18032</v>
          </cell>
          <cell r="H9314" t="str">
            <v>g__unclassified_f__Ruminococcaceae</v>
          </cell>
          <cell r="I9314" t="str">
            <v>s__unclassified_f__Ruminococcaceae</v>
          </cell>
        </row>
        <row r="9315">
          <cell r="G9315" t="str">
            <v>ASV7421</v>
          </cell>
          <cell r="H9315" t="str">
            <v>g__Tyzzerella</v>
          </cell>
          <cell r="I9315" t="str">
            <v>s__Anaerotignum_lactatifermentans</v>
          </cell>
        </row>
        <row r="9316">
          <cell r="G9316" t="str">
            <v>ASV19500</v>
          </cell>
          <cell r="H9316" t="str">
            <v>g__norank_f__Eubacterium_coprostanoligenes_group</v>
          </cell>
          <cell r="I9316" t="str">
            <v>s__Eubacterium_coprostanoligenes</v>
          </cell>
        </row>
        <row r="9317">
          <cell r="G9317" t="str">
            <v>ASV13393</v>
          </cell>
          <cell r="H9317" t="str">
            <v>g__unclassified_c__Clostridia</v>
          </cell>
          <cell r="I9317" t="str">
            <v>s__unclassified_c__Clostridia</v>
          </cell>
        </row>
        <row r="9318">
          <cell r="G9318" t="str">
            <v>ASV14192</v>
          </cell>
          <cell r="H9318" t="str">
            <v>g__unclassified_f__Ruminococcaceae</v>
          </cell>
          <cell r="I9318" t="str">
            <v>s__unclassified_f__Ruminococcaceae</v>
          </cell>
        </row>
        <row r="9319">
          <cell r="G9319" t="str">
            <v>ASV14173</v>
          </cell>
          <cell r="H9319" t="str">
            <v>g__unclassified_c__Clostridia</v>
          </cell>
          <cell r="I9319" t="str">
            <v>s__unclassified_c__Clostridia</v>
          </cell>
        </row>
        <row r="9320">
          <cell r="G9320" t="str">
            <v>ASV576</v>
          </cell>
          <cell r="H9320" t="str">
            <v>g__Lachnospiraceae_UCG-004</v>
          </cell>
          <cell r="I9320" t="str">
            <v>s__unclassified_g__Lachnospiraceae_UCG-004</v>
          </cell>
        </row>
        <row r="9321">
          <cell r="G9321" t="str">
            <v>ASV9336</v>
          </cell>
          <cell r="H9321" t="str">
            <v>g__norank_f__Eubacterium_coprostanoligenes_group</v>
          </cell>
          <cell r="I9321" t="str">
            <v>s__unclassified_g__norank_f__Eubacterium_coprostanoligenes_group</v>
          </cell>
        </row>
        <row r="9322">
          <cell r="G9322" t="str">
            <v>ASV11517</v>
          </cell>
          <cell r="H9322" t="str">
            <v>g__unclassified_o__Bacteroidales</v>
          </cell>
          <cell r="I9322" t="str">
            <v>s__unclassified_o__Bacteroidales</v>
          </cell>
        </row>
        <row r="9323">
          <cell r="G9323" t="str">
            <v>ASV10303</v>
          </cell>
          <cell r="H9323" t="str">
            <v>g__Bacillus</v>
          </cell>
          <cell r="I9323" t="str">
            <v>s__Lactobacillus_vaginalis_g__Bacillus</v>
          </cell>
        </row>
        <row r="9324">
          <cell r="G9324" t="str">
            <v>ASV4002</v>
          </cell>
          <cell r="H9324" t="str">
            <v>g__norank_f__Peptostreptococcaceae</v>
          </cell>
          <cell r="I9324" t="str">
            <v>s__unclassified_g__norank_f__Peptostreptococcaceae</v>
          </cell>
        </row>
        <row r="9325">
          <cell r="G9325" t="str">
            <v>ASV21220</v>
          </cell>
          <cell r="H9325" t="str">
            <v>g__Lactobacillus</v>
          </cell>
          <cell r="I9325" t="str">
            <v>s__unclassified_g__Lactobacillus</v>
          </cell>
        </row>
        <row r="9326">
          <cell r="G9326" t="str">
            <v>ASV10183</v>
          </cell>
          <cell r="H9326" t="str">
            <v>g__Collinsella</v>
          </cell>
          <cell r="I9326" t="str">
            <v>s__unclassified_g__Collinsella</v>
          </cell>
        </row>
        <row r="9327">
          <cell r="G9327" t="str">
            <v>ASV2129</v>
          </cell>
          <cell r="H9327" t="str">
            <v>g__unclassified_c__Clostridia</v>
          </cell>
          <cell r="I9327" t="str">
            <v>s__unclassified_c__Clostridia</v>
          </cell>
        </row>
        <row r="9328">
          <cell r="G9328" t="str">
            <v>ASV5879</v>
          </cell>
          <cell r="H9328" t="str">
            <v>g__UCG-002</v>
          </cell>
          <cell r="I9328" t="str">
            <v>s__unclassified_g__UCG-002</v>
          </cell>
        </row>
        <row r="9329">
          <cell r="G9329" t="str">
            <v>ASV17286</v>
          </cell>
          <cell r="H9329" t="str">
            <v>g__Turicibacter</v>
          </cell>
          <cell r="I9329" t="str">
            <v>s__uncultured_bacterium_g__Turicibacter</v>
          </cell>
        </row>
        <row r="9330">
          <cell r="G9330" t="str">
            <v>ASV5849</v>
          </cell>
          <cell r="H9330" t="str">
            <v>g__unclassified_c__Clostridia</v>
          </cell>
          <cell r="I9330" t="str">
            <v>s__unclassified_c__Clostridia</v>
          </cell>
        </row>
        <row r="9331">
          <cell r="G9331" t="str">
            <v>ASV4844</v>
          </cell>
          <cell r="H9331" t="str">
            <v>g__unclassified_c__Clostridia</v>
          </cell>
          <cell r="I9331" t="str">
            <v>s__unclassified_c__Clostridia</v>
          </cell>
        </row>
        <row r="9332">
          <cell r="G9332" t="str">
            <v>ASV11470</v>
          </cell>
          <cell r="H9332" t="str">
            <v>g__Escherichia-Shigella</v>
          </cell>
          <cell r="I9332" t="str">
            <v>s__unclassified_g__Escherichia-Shigella</v>
          </cell>
        </row>
        <row r="9333">
          <cell r="G9333" t="str">
            <v>ASV2185</v>
          </cell>
          <cell r="H9333" t="str">
            <v>g__Christensenellaceae_R-7_group</v>
          </cell>
          <cell r="I9333" t="str">
            <v>s__unclassified_g__Christensenellaceae_R-7_group</v>
          </cell>
        </row>
        <row r="9334">
          <cell r="G9334" t="str">
            <v>ASV4815</v>
          </cell>
          <cell r="H9334" t="str">
            <v>g__Treponema</v>
          </cell>
          <cell r="I9334" t="str">
            <v>s__unclassified_g__Treponema</v>
          </cell>
        </row>
        <row r="9335">
          <cell r="G9335" t="str">
            <v>ASV4739</v>
          </cell>
          <cell r="H9335" t="str">
            <v>g__unclassified_k__norank_d__Bacteria</v>
          </cell>
          <cell r="I9335" t="str">
            <v>s__unclassified_k__norank_d__Bacteria</v>
          </cell>
        </row>
        <row r="9336">
          <cell r="G9336" t="str">
            <v>ASV3991</v>
          </cell>
          <cell r="H9336" t="str">
            <v>g__unclassified_c__Bacilli</v>
          </cell>
          <cell r="I9336" t="str">
            <v>s__unclassified_c__Bacilli</v>
          </cell>
        </row>
        <row r="9337">
          <cell r="G9337" t="str">
            <v>ASV4853</v>
          </cell>
          <cell r="H9337" t="str">
            <v>g__unclassified_o__Oscillospirales</v>
          </cell>
          <cell r="I9337" t="str">
            <v>s__unclassified_o__Oscillospirales</v>
          </cell>
        </row>
        <row r="9338">
          <cell r="G9338" t="str">
            <v>ASV7738</v>
          </cell>
          <cell r="H9338" t="str">
            <v>g__unclassified_c__Bacilli</v>
          </cell>
          <cell r="I9338" t="str">
            <v>s__unclassified_c__Bacilli</v>
          </cell>
        </row>
        <row r="9339">
          <cell r="G9339" t="str">
            <v>ASV18575</v>
          </cell>
          <cell r="H9339" t="str">
            <v>g__unclassified_f__Lachnospiraceae</v>
          </cell>
          <cell r="I9339" t="str">
            <v>s__unclassified_f__Lachnospiraceae</v>
          </cell>
        </row>
        <row r="9340">
          <cell r="G9340" t="str">
            <v>ASV21605</v>
          </cell>
          <cell r="H9340" t="str">
            <v>g__Tyzzerella</v>
          </cell>
          <cell r="I9340" t="str">
            <v>s__uncultured_organism_g__Tyzzerella</v>
          </cell>
        </row>
        <row r="9341">
          <cell r="G9341" t="str">
            <v>ASV16391</v>
          </cell>
          <cell r="H9341" t="str">
            <v>g__norank_f__Muribaculaceae</v>
          </cell>
          <cell r="I9341" t="str">
            <v>s__uncultured_bacterium_g__norank_f__Muribaculaceae</v>
          </cell>
        </row>
        <row r="9342">
          <cell r="G9342" t="str">
            <v>ASV19552</v>
          </cell>
          <cell r="H9342" t="str">
            <v>g__norank_f__Eubacterium_coprostanoligenes_group</v>
          </cell>
          <cell r="I9342" t="str">
            <v>s__unclassified_g__norank_f__Eubacterium_coprostanoligenes_group</v>
          </cell>
        </row>
        <row r="9343">
          <cell r="G9343" t="str">
            <v>ASV7706</v>
          </cell>
          <cell r="H9343" t="str">
            <v>g__unclassified_f__Oscillospiraceae</v>
          </cell>
          <cell r="I9343" t="str">
            <v>s__unclassified_f__Oscillospiraceae</v>
          </cell>
        </row>
        <row r="9344">
          <cell r="G9344" t="str">
            <v>ASV2193</v>
          </cell>
          <cell r="H9344" t="str">
            <v>g__unclassified_f__Lachnospiraceae</v>
          </cell>
          <cell r="I9344" t="str">
            <v>s__unclassified_f__Lachnospiraceae</v>
          </cell>
        </row>
        <row r="9345">
          <cell r="G9345" t="str">
            <v>ASV7776</v>
          </cell>
          <cell r="H9345" t="str">
            <v>g__unclassified_p__Firmicutes</v>
          </cell>
          <cell r="I9345" t="str">
            <v>s__unclassified_p__Firmicutes</v>
          </cell>
        </row>
        <row r="9346">
          <cell r="G9346" t="str">
            <v>ASV14274</v>
          </cell>
          <cell r="H9346" t="str">
            <v>g__Turicibacter</v>
          </cell>
          <cell r="I9346" t="str">
            <v>s__uncultured_bacterium_g__Turicibacter</v>
          </cell>
        </row>
        <row r="9347">
          <cell r="G9347" t="str">
            <v>ASV3186</v>
          </cell>
          <cell r="H9347" t="str">
            <v>g__Sutterella</v>
          </cell>
          <cell r="I9347" t="str">
            <v>s__unclassified_g__Sutterella</v>
          </cell>
        </row>
        <row r="9348">
          <cell r="G9348" t="str">
            <v>ASV4740</v>
          </cell>
          <cell r="H9348" t="str">
            <v>g__unclassified_k__norank_d__Bacteria</v>
          </cell>
          <cell r="I9348" t="str">
            <v>s__unclassified_k__norank_d__Bacteria</v>
          </cell>
        </row>
        <row r="9349">
          <cell r="G9349" t="str">
            <v>ASV9394</v>
          </cell>
          <cell r="H9349" t="str">
            <v>g__Holdemanella</v>
          </cell>
          <cell r="I9349" t="str">
            <v>s__unclassified_g__Holdemanella</v>
          </cell>
        </row>
        <row r="9350">
          <cell r="G9350" t="str">
            <v>ASV2172</v>
          </cell>
          <cell r="H9350" t="str">
            <v>g__unclassified_c__Clostridia</v>
          </cell>
          <cell r="I9350" t="str">
            <v>s__unclassified_c__Clostridia</v>
          </cell>
        </row>
        <row r="9351">
          <cell r="G9351" t="str">
            <v>ASV11665</v>
          </cell>
          <cell r="H9351" t="str">
            <v>g__Prevotellaceae_UCG-001</v>
          </cell>
          <cell r="I9351" t="str">
            <v>s__uncultured_rumen_bacterium_g__Prevotellaceae_UCG-001</v>
          </cell>
        </row>
        <row r="9352">
          <cell r="G9352" t="str">
            <v>ASV20787</v>
          </cell>
          <cell r="H9352" t="str">
            <v>g__Christensenellaceae_R-7_group</v>
          </cell>
          <cell r="I9352" t="str">
            <v>s__unclassified_g__Christensenellaceae_R-7_group</v>
          </cell>
        </row>
        <row r="9353">
          <cell r="G9353" t="str">
            <v>ASV4758</v>
          </cell>
          <cell r="H9353" t="str">
            <v>g__Treponema</v>
          </cell>
          <cell r="I9353" t="str">
            <v>s__uncultured_bacterium_g__Treponema</v>
          </cell>
        </row>
        <row r="9354">
          <cell r="G9354" t="str">
            <v>ASV19581</v>
          </cell>
          <cell r="H9354" t="str">
            <v>g__unclassified_f__Lachnospiraceae</v>
          </cell>
          <cell r="I9354" t="str">
            <v>s__unclassified_f__Lachnospiraceae</v>
          </cell>
        </row>
        <row r="9355">
          <cell r="G9355" t="str">
            <v>ASV7066</v>
          </cell>
          <cell r="H9355" t="str">
            <v>g__Lactobacillus</v>
          </cell>
          <cell r="I9355" t="str">
            <v>s__unclassified_g__Lactobacillus</v>
          </cell>
        </row>
        <row r="9356">
          <cell r="G9356" t="str">
            <v>ASV5794</v>
          </cell>
          <cell r="H9356" t="str">
            <v>g__norank_f__Muribaculaceae</v>
          </cell>
          <cell r="I9356" t="str">
            <v>s__uncultured_bacterium_g__norank_f__Muribaculaceae</v>
          </cell>
        </row>
        <row r="9357">
          <cell r="G9357" t="str">
            <v>ASV4858</v>
          </cell>
          <cell r="H9357" t="str">
            <v>g__norank_f__Ruminococcaceae</v>
          </cell>
          <cell r="I9357" t="str">
            <v>s__unclassified_g__norank_f__Ruminococcaceae</v>
          </cell>
        </row>
        <row r="9358">
          <cell r="G9358" t="str">
            <v>ASV17282</v>
          </cell>
          <cell r="H9358" t="str">
            <v>g__unclassified_f__Peptostreptococcaceae</v>
          </cell>
          <cell r="I9358" t="str">
            <v>s__unclassified_f__Peptostreptococcaceae</v>
          </cell>
        </row>
        <row r="9359">
          <cell r="G9359" t="str">
            <v>ASV13705</v>
          </cell>
          <cell r="H9359" t="str">
            <v>g__Acidaminococcus</v>
          </cell>
          <cell r="I9359" t="str">
            <v>s__unclassified_g__Acidaminococcus</v>
          </cell>
        </row>
        <row r="9360">
          <cell r="G9360" t="str">
            <v>ASV19206</v>
          </cell>
          <cell r="H9360" t="str">
            <v>g__Actinomyces</v>
          </cell>
          <cell r="I9360" t="str">
            <v>s__unclassified_g__Actinomyces</v>
          </cell>
        </row>
        <row r="9361">
          <cell r="G9361" t="str">
            <v>ASV17485</v>
          </cell>
          <cell r="H9361" t="str">
            <v>g__Lactobacillus</v>
          </cell>
          <cell r="I9361" t="str">
            <v>s__unclassified_g__Lactobacillus</v>
          </cell>
        </row>
        <row r="9362">
          <cell r="G9362" t="str">
            <v>ASV19469</v>
          </cell>
          <cell r="H9362" t="str">
            <v>g__unclassified_c__Clostridia</v>
          </cell>
          <cell r="I9362" t="str">
            <v>s__unclassified_c__Clostridia</v>
          </cell>
        </row>
        <row r="9363">
          <cell r="G9363" t="str">
            <v>ASV17937</v>
          </cell>
          <cell r="H9363" t="str">
            <v>g__Sanguibacteroides</v>
          </cell>
          <cell r="I9363" t="str">
            <v>s__Gabonibacter_massiliensis</v>
          </cell>
        </row>
        <row r="9364">
          <cell r="G9364" t="str">
            <v>ASV19535</v>
          </cell>
          <cell r="H9364" t="str">
            <v>g__unclassified_c__Clostridia</v>
          </cell>
          <cell r="I9364" t="str">
            <v>s__unclassified_c__Clostridia</v>
          </cell>
        </row>
        <row r="9365">
          <cell r="G9365" t="str">
            <v>ASV770</v>
          </cell>
          <cell r="H9365" t="str">
            <v>g__unclassified_o__Lactobacillales</v>
          </cell>
          <cell r="I9365" t="str">
            <v>s__unclassified_o__Lactobacillales</v>
          </cell>
        </row>
        <row r="9366">
          <cell r="G9366" t="str">
            <v>ASV4008</v>
          </cell>
          <cell r="H9366" t="str">
            <v>g__unclassified_c__Clostridia</v>
          </cell>
          <cell r="I9366" t="str">
            <v>s__unclassified_c__Clostridia</v>
          </cell>
        </row>
        <row r="9367">
          <cell r="G9367" t="str">
            <v>ASV23177</v>
          </cell>
          <cell r="H9367" t="str">
            <v>g__Clostridium_sensu_stricto_1</v>
          </cell>
          <cell r="I9367" t="str">
            <v>s__unclassified_g__Clostridium_sensu_stricto_1</v>
          </cell>
        </row>
        <row r="9368">
          <cell r="G9368" t="str">
            <v>ASV17978</v>
          </cell>
          <cell r="H9368" t="str">
            <v>g__unclassified_c__Clostridia</v>
          </cell>
          <cell r="I9368" t="str">
            <v>s__unclassified_c__Clostridia</v>
          </cell>
        </row>
        <row r="9369">
          <cell r="G9369" t="str">
            <v>ASV16372</v>
          </cell>
          <cell r="H9369" t="str">
            <v>g__unclassified_f__Lachnospiraceae</v>
          </cell>
          <cell r="I9369" t="str">
            <v>s__unclassified_f__Lachnospiraceae</v>
          </cell>
        </row>
        <row r="9370">
          <cell r="G9370" t="str">
            <v>ASV18755</v>
          </cell>
          <cell r="H9370" t="str">
            <v>g__TM7a</v>
          </cell>
          <cell r="I9370" t="str">
            <v>s__uncultured_bacterium_g__TM7a</v>
          </cell>
        </row>
        <row r="9371">
          <cell r="G9371" t="str">
            <v>ASV16380</v>
          </cell>
          <cell r="H9371" t="str">
            <v>g__unclassified_f__Lachnospiraceae</v>
          </cell>
          <cell r="I9371" t="str">
            <v>s__unclassified_f__Lachnospiraceae</v>
          </cell>
        </row>
        <row r="9372">
          <cell r="G9372" t="str">
            <v>ASV11649</v>
          </cell>
          <cell r="H9372" t="str">
            <v>g__unclassified_k__norank_d__Bacteria</v>
          </cell>
          <cell r="I9372" t="str">
            <v>s__unclassified_k__norank_d__Bacteria</v>
          </cell>
        </row>
        <row r="9373">
          <cell r="G9373" t="str">
            <v>ASV14260</v>
          </cell>
          <cell r="H9373" t="str">
            <v>g__unclassified_f__Lachnospiraceae</v>
          </cell>
          <cell r="I9373" t="str">
            <v>s__unclassified_f__Lachnospiraceae</v>
          </cell>
        </row>
        <row r="9374">
          <cell r="G9374" t="str">
            <v>ASV682</v>
          </cell>
          <cell r="H9374" t="str">
            <v>g__unclassified_c__Clostridia</v>
          </cell>
          <cell r="I9374" t="str">
            <v>s__unclassified_c__Clostridia</v>
          </cell>
        </row>
        <row r="9375">
          <cell r="G9375" t="str">
            <v>ASV13400</v>
          </cell>
          <cell r="H9375" t="str">
            <v>g__Faecalicoccus</v>
          </cell>
          <cell r="I9375" t="str">
            <v>s__unclassified_g__Faecalicoccus</v>
          </cell>
        </row>
        <row r="9376">
          <cell r="G9376" t="str">
            <v>ASV11558</v>
          </cell>
          <cell r="H9376" t="str">
            <v>g__norank_f__Eubacterium_coprostanoligenes_group</v>
          </cell>
          <cell r="I9376" t="str">
            <v>s__uncultured_bacterium_g__norank_f__Eubacterium_coprostanoligenes_group</v>
          </cell>
        </row>
        <row r="9377">
          <cell r="G9377" t="str">
            <v>ASV17935</v>
          </cell>
          <cell r="H9377" t="str">
            <v>g__unclassified_k__norank_d__Bacteria</v>
          </cell>
          <cell r="I9377" t="str">
            <v>s__unclassified_k__norank_d__Bacteria</v>
          </cell>
        </row>
        <row r="9378">
          <cell r="G9378" t="str">
            <v>ASV13421</v>
          </cell>
          <cell r="H9378" t="str">
            <v>g__unclassified_p__Firmicutes</v>
          </cell>
          <cell r="I9378" t="str">
            <v>s__unclassified_p__Firmicutes</v>
          </cell>
        </row>
        <row r="9379">
          <cell r="G9379" t="str">
            <v>ASV20257</v>
          </cell>
          <cell r="H9379" t="str">
            <v>g__Bacteroides</v>
          </cell>
          <cell r="I9379" t="str">
            <v>s__unclassified_g__Bacteroides</v>
          </cell>
        </row>
        <row r="9380">
          <cell r="G9380" t="str">
            <v>ASV11535</v>
          </cell>
          <cell r="H9380" t="str">
            <v>g__norank_f__Eubacterium_coprostanoligenes_group</v>
          </cell>
          <cell r="I9380" t="str">
            <v>s__uncultured_Clostridium_sp._g__norank_f__Eubacterium_coprostanoligenes_group</v>
          </cell>
        </row>
        <row r="9381">
          <cell r="G9381" t="str">
            <v>ASV11574</v>
          </cell>
          <cell r="H9381" t="str">
            <v>g__unclassified_f__Anaerovoracaceae</v>
          </cell>
          <cell r="I9381" t="str">
            <v>s__unclassified_f__Anaerovoracaceae</v>
          </cell>
        </row>
        <row r="9382">
          <cell r="G9382" t="str">
            <v>ASV18860</v>
          </cell>
          <cell r="H9382" t="str">
            <v>g__Lachnospiraceae_UCG-008</v>
          </cell>
          <cell r="I9382" t="str">
            <v>s__uncultured_bacterium_g__Lachnospiraceae_UCG-008</v>
          </cell>
        </row>
        <row r="9383">
          <cell r="G9383" t="str">
            <v>ASV2205</v>
          </cell>
          <cell r="H9383" t="str">
            <v>g__unclassified_f__Peptostreptococcaceae</v>
          </cell>
          <cell r="I9383" t="str">
            <v>s__unclassified_f__Peptostreptococcaceae</v>
          </cell>
        </row>
        <row r="9384">
          <cell r="G9384" t="str">
            <v>ASV20716</v>
          </cell>
          <cell r="H9384" t="str">
            <v>g__Lachnospiraceae_NC2004_group</v>
          </cell>
          <cell r="I9384" t="str">
            <v>s__uncultured_bacterium_g__Lachnospiraceae_NC2004_group</v>
          </cell>
        </row>
        <row r="9385">
          <cell r="G9385" t="str">
            <v>ASV3982</v>
          </cell>
          <cell r="H9385" t="str">
            <v>g__Parabacteroides</v>
          </cell>
          <cell r="I9385" t="str">
            <v>s__unclassified_g__Parabacteroides</v>
          </cell>
        </row>
        <row r="9386">
          <cell r="G9386" t="str">
            <v>ASV2145</v>
          </cell>
          <cell r="H9386" t="str">
            <v>g__unclassified_p__Firmicutes</v>
          </cell>
          <cell r="I9386" t="str">
            <v>s__unclassified_p__Firmicutes</v>
          </cell>
        </row>
        <row r="9387">
          <cell r="G9387" t="str">
            <v>ASV13371</v>
          </cell>
          <cell r="H9387" t="str">
            <v>g__unclassified_c__Clostridia</v>
          </cell>
          <cell r="I9387" t="str">
            <v>s__unclassified_c__Clostridia</v>
          </cell>
        </row>
        <row r="9388">
          <cell r="G9388" t="str">
            <v>ASV22192</v>
          </cell>
          <cell r="H9388" t="str">
            <v>g__unclassified_f__Lachnospiraceae</v>
          </cell>
          <cell r="I9388" t="str">
            <v>s__unclassified_f__Lachnospiraceae</v>
          </cell>
        </row>
        <row r="9389">
          <cell r="G9389" t="str">
            <v>ASV579</v>
          </cell>
          <cell r="H9389" t="str">
            <v>g__Sharpea</v>
          </cell>
          <cell r="I9389" t="str">
            <v>s__unclassified_g__Sharpea</v>
          </cell>
        </row>
        <row r="9390">
          <cell r="G9390" t="str">
            <v>ASV17487</v>
          </cell>
          <cell r="H9390" t="str">
            <v>g__Fusicatenibacter</v>
          </cell>
          <cell r="I9390" t="str">
            <v>s__unclassified_g__Fusicatenibacter</v>
          </cell>
        </row>
        <row r="9391">
          <cell r="G9391" t="str">
            <v>ASV7350</v>
          </cell>
          <cell r="H9391" t="str">
            <v>g__Subdoligranulum</v>
          </cell>
          <cell r="I9391" t="str">
            <v>s__uncultured_bacterium_g__Subdoligranulum</v>
          </cell>
        </row>
        <row r="9392">
          <cell r="G9392" t="str">
            <v>ASV4838</v>
          </cell>
          <cell r="H9392" t="str">
            <v>g__norank_f__Erysipelotrichaceae</v>
          </cell>
          <cell r="I9392" t="str">
            <v>s__uncultured_bacterium_g__norank_f__Erysipelotrichaceae</v>
          </cell>
        </row>
        <row r="9393">
          <cell r="G9393" t="str">
            <v>ASV7763</v>
          </cell>
          <cell r="H9393" t="str">
            <v>g__unclassified_f__Ruminococcaceae</v>
          </cell>
          <cell r="I9393" t="str">
            <v>s__unclassified_f__Ruminococcaceae</v>
          </cell>
        </row>
        <row r="9394">
          <cell r="G9394" t="str">
            <v>ASV23960</v>
          </cell>
          <cell r="H9394" t="str">
            <v>g__unclassified_f__Oscillospiraceae</v>
          </cell>
          <cell r="I9394" t="str">
            <v>s__unclassified_f__Oscillospiraceae</v>
          </cell>
        </row>
        <row r="9395">
          <cell r="G9395" t="str">
            <v>ASV14234</v>
          </cell>
          <cell r="H9395" t="str">
            <v>g__unclassified_f__Lachnospiraceae</v>
          </cell>
          <cell r="I9395" t="str">
            <v>s__unclassified_f__Lachnospiraceae</v>
          </cell>
        </row>
        <row r="9396">
          <cell r="G9396" t="str">
            <v>ASV19522</v>
          </cell>
          <cell r="H9396" t="str">
            <v>g__unclassified_c__Bacilli</v>
          </cell>
          <cell r="I9396" t="str">
            <v>s__unclassified_c__Bacilli</v>
          </cell>
        </row>
        <row r="9397">
          <cell r="G9397" t="str">
            <v>ASV18570</v>
          </cell>
          <cell r="H9397" t="str">
            <v>g__Bacillus</v>
          </cell>
          <cell r="I9397" t="str">
            <v>s__Lactobacillus_vaginalis_g__Bacillus</v>
          </cell>
        </row>
        <row r="9398">
          <cell r="G9398" t="str">
            <v>ASV19068</v>
          </cell>
          <cell r="H9398" t="str">
            <v>g__Bacillus</v>
          </cell>
          <cell r="I9398" t="str">
            <v>s__Lactobacillus_vaginalis_g__Bacillus</v>
          </cell>
        </row>
        <row r="9399">
          <cell r="G9399" t="str">
            <v>ASV4840</v>
          </cell>
          <cell r="H9399" t="str">
            <v>g__Bacteroides</v>
          </cell>
          <cell r="I9399" t="str">
            <v>s__unclassified_g__Bacteroides</v>
          </cell>
        </row>
        <row r="9400">
          <cell r="G9400" t="str">
            <v>ASV3965</v>
          </cell>
          <cell r="H9400" t="str">
            <v>g__unclassified_c__Clostridia</v>
          </cell>
          <cell r="I9400" t="str">
            <v>s__unclassified_c__Clostridia</v>
          </cell>
        </row>
        <row r="9401">
          <cell r="G9401" t="str">
            <v>ASV12771</v>
          </cell>
          <cell r="H9401" t="str">
            <v>g__unclassified_o__Oscillospirales</v>
          </cell>
          <cell r="I9401" t="str">
            <v>s__unclassified_o__Oscillospirales</v>
          </cell>
        </row>
        <row r="9402">
          <cell r="G9402" t="str">
            <v>ASV678</v>
          </cell>
          <cell r="H9402" t="str">
            <v>g__unclassified_p__Firmicutes</v>
          </cell>
          <cell r="I9402" t="str">
            <v>s__unclassified_p__Firmicutes</v>
          </cell>
        </row>
        <row r="9403">
          <cell r="G9403" t="str">
            <v>ASV15802</v>
          </cell>
          <cell r="H9403" t="str">
            <v>g__Streptococcus</v>
          </cell>
          <cell r="I9403" t="str">
            <v>s__unclassified_g__Streptococcus</v>
          </cell>
        </row>
        <row r="9404">
          <cell r="G9404" t="str">
            <v>ASV7699</v>
          </cell>
          <cell r="H9404" t="str">
            <v>g__unclassified_p__Firmicutes</v>
          </cell>
          <cell r="I9404" t="str">
            <v>s__unclassified_p__Firmicutes</v>
          </cell>
        </row>
        <row r="9405">
          <cell r="G9405" t="str">
            <v>ASV13380</v>
          </cell>
          <cell r="H9405" t="str">
            <v>g__unclassified_f__Lachnospiraceae</v>
          </cell>
          <cell r="I9405" t="str">
            <v>s__unclassified_f__Lachnospiraceae</v>
          </cell>
        </row>
        <row r="9406">
          <cell r="G9406" t="str">
            <v>ASV16909</v>
          </cell>
          <cell r="H9406" t="str">
            <v>g__unclassified_c__Clostridia</v>
          </cell>
          <cell r="I9406" t="str">
            <v>s__unclassified_c__Clostridia</v>
          </cell>
        </row>
        <row r="9407">
          <cell r="G9407" t="str">
            <v>ASV13710</v>
          </cell>
          <cell r="H9407" t="str">
            <v>g__Veillonella</v>
          </cell>
          <cell r="I9407" t="str">
            <v>s__unclassified_g__Veillonella</v>
          </cell>
        </row>
        <row r="9408">
          <cell r="G9408" t="str">
            <v>ASV19600</v>
          </cell>
          <cell r="H9408" t="str">
            <v>g__unclassified_c__Clostridia</v>
          </cell>
          <cell r="I9408" t="str">
            <v>s__unclassified_c__Clostridia</v>
          </cell>
        </row>
        <row r="9409">
          <cell r="G9409" t="str">
            <v>ASV22140</v>
          </cell>
          <cell r="H9409" t="str">
            <v>g__norank_f__Erysipelotrichaceae</v>
          </cell>
          <cell r="I9409" t="str">
            <v>s__uncultured_bacterium_g__norank_f__Erysipelotrichaceae</v>
          </cell>
        </row>
        <row r="9410">
          <cell r="G9410" t="str">
            <v>ASV23252</v>
          </cell>
          <cell r="H9410" t="str">
            <v>g__Subdoligranulum</v>
          </cell>
          <cell r="I9410" t="str">
            <v>s__unclassified_g__Subdoligranulum</v>
          </cell>
        </row>
        <row r="9411">
          <cell r="G9411" t="str">
            <v>ASV22233</v>
          </cell>
          <cell r="H9411" t="str">
            <v>g__unclassified_c__Clostridia</v>
          </cell>
          <cell r="I9411" t="str">
            <v>s__unclassified_c__Clostridia</v>
          </cell>
        </row>
        <row r="9412">
          <cell r="G9412" t="str">
            <v>ASV2103</v>
          </cell>
          <cell r="H9412" t="str">
            <v>g__unclassified_c__Clostridia</v>
          </cell>
          <cell r="I9412" t="str">
            <v>s__unclassified_c__Clostridia</v>
          </cell>
        </row>
        <row r="9413">
          <cell r="G9413" t="str">
            <v>ASV2107</v>
          </cell>
          <cell r="H9413" t="str">
            <v>g__norank_f__Muribaculaceae</v>
          </cell>
          <cell r="I9413" t="str">
            <v>s__uncultured_bacterium_g__norank_f__Muribaculaceae</v>
          </cell>
        </row>
        <row r="9414">
          <cell r="G9414" t="str">
            <v>ASV16403</v>
          </cell>
          <cell r="H9414" t="str">
            <v>g__dgA-11_gut_group</v>
          </cell>
          <cell r="I9414" t="str">
            <v>s__uncultured_Bacteroidales_bacterium_g__dgA-11_gut_group</v>
          </cell>
        </row>
        <row r="9415">
          <cell r="G9415" t="str">
            <v>ASV20733</v>
          </cell>
          <cell r="H9415" t="str">
            <v>g__Christensenellaceae_R-7_group</v>
          </cell>
          <cell r="I9415" t="str">
            <v>s__uncultured_bacterium_g__Christensenellaceae_R-7_group</v>
          </cell>
        </row>
        <row r="9416">
          <cell r="G9416" t="str">
            <v>ASV11551</v>
          </cell>
          <cell r="H9416" t="str">
            <v>g__unclassified_f__Ruminococcaceae</v>
          </cell>
          <cell r="I9416" t="str">
            <v>s__unclassified_f__Ruminococcaceae</v>
          </cell>
        </row>
        <row r="9417">
          <cell r="G9417" t="str">
            <v>ASV5887</v>
          </cell>
          <cell r="H9417" t="str">
            <v>g__unclassified_f__Lachnospiraceae</v>
          </cell>
          <cell r="I9417" t="str">
            <v>s__unclassified_f__Lachnospiraceae</v>
          </cell>
        </row>
        <row r="9418">
          <cell r="G9418" t="str">
            <v>ASV19529</v>
          </cell>
          <cell r="H9418" t="str">
            <v>g__Lactobacillus</v>
          </cell>
          <cell r="I9418" t="str">
            <v>s__unclassified_g__Lactobacillus</v>
          </cell>
        </row>
        <row r="9419">
          <cell r="G9419" t="str">
            <v>ASV11573</v>
          </cell>
          <cell r="H9419" t="str">
            <v>g__Ruminococcus</v>
          </cell>
          <cell r="I9419" t="str">
            <v>s__unclassified_g__Ruminococcus</v>
          </cell>
        </row>
        <row r="9420">
          <cell r="G9420" t="str">
            <v>ASV4018</v>
          </cell>
          <cell r="H9420" t="str">
            <v>g__unclassified_c__Clostridia</v>
          </cell>
          <cell r="I9420" t="str">
            <v>s__unclassified_c__Clostridia</v>
          </cell>
        </row>
        <row r="9421">
          <cell r="G9421" t="str">
            <v>ASV11586</v>
          </cell>
          <cell r="H9421" t="str">
            <v>g__Blautia</v>
          </cell>
          <cell r="I9421" t="str">
            <v>s__unclassified_g__Blautia</v>
          </cell>
        </row>
        <row r="9422">
          <cell r="G9422" t="str">
            <v>ASV11477</v>
          </cell>
          <cell r="H9422" t="str">
            <v>g__unclassified_k__norank_d__Bacteria</v>
          </cell>
          <cell r="I9422" t="str">
            <v>s__unclassified_k__norank_d__Bacteria</v>
          </cell>
        </row>
        <row r="9423">
          <cell r="G9423" t="str">
            <v>ASV12689</v>
          </cell>
          <cell r="H9423" t="str">
            <v>g__norank_f__Paludibacteraceae</v>
          </cell>
          <cell r="I9423" t="str">
            <v>s__uncultured_bacterium_g__norank_f__Paludibacteraceae</v>
          </cell>
        </row>
        <row r="9424">
          <cell r="G9424" t="str">
            <v>ASV9369</v>
          </cell>
          <cell r="H9424" t="str">
            <v>g__norank_f__Ruminococcaceae</v>
          </cell>
          <cell r="I9424" t="str">
            <v>s__unclassified_g__norank_f__Ruminococcaceae</v>
          </cell>
        </row>
        <row r="9425">
          <cell r="G9425" t="str">
            <v>ASV22200</v>
          </cell>
          <cell r="H9425" t="str">
            <v>g__Christensenellaceae_R-7_group</v>
          </cell>
          <cell r="I9425" t="str">
            <v>s__unclassified_g__Christensenellaceae_R-7_group</v>
          </cell>
        </row>
        <row r="9426">
          <cell r="G9426" t="str">
            <v>ASV3989</v>
          </cell>
          <cell r="H9426" t="str">
            <v>g__unclassified_c__Clostridia</v>
          </cell>
          <cell r="I9426" t="str">
            <v>s__unclassified_c__Clostridia</v>
          </cell>
        </row>
        <row r="9427">
          <cell r="G9427" t="str">
            <v>ASV4829</v>
          </cell>
          <cell r="H9427" t="str">
            <v>g__unclassified_f__Oscillospiraceae</v>
          </cell>
          <cell r="I9427" t="str">
            <v>s__unclassified_f__Oscillospiraceae</v>
          </cell>
        </row>
        <row r="9428">
          <cell r="G9428" t="str">
            <v>ASV18869</v>
          </cell>
          <cell r="H9428" t="str">
            <v>g__unclassified_o__Bacteroidales</v>
          </cell>
          <cell r="I9428" t="str">
            <v>s__unclassified_o__Bacteroidales</v>
          </cell>
        </row>
        <row r="9429">
          <cell r="G9429" t="str">
            <v>ASV14294</v>
          </cell>
          <cell r="H9429" t="str">
            <v>g__unclassified_f__Oscillospiraceae</v>
          </cell>
          <cell r="I9429" t="str">
            <v>s__unclassified_f__Oscillospiraceae</v>
          </cell>
        </row>
        <row r="9430">
          <cell r="G9430" t="str">
            <v>ASV22203</v>
          </cell>
          <cell r="H9430" t="str">
            <v>g__Christensenellaceae_R-7_group</v>
          </cell>
          <cell r="I9430" t="str">
            <v>s__uncultured_bacterium_g__Christensenellaceae_R-7_group</v>
          </cell>
        </row>
        <row r="9431">
          <cell r="G9431" t="str">
            <v>ASV14236</v>
          </cell>
          <cell r="H9431" t="str">
            <v>g__unclassified_f__Lachnospiraceae</v>
          </cell>
          <cell r="I9431" t="str">
            <v>s__unclassified_f__Lachnospiraceae</v>
          </cell>
        </row>
        <row r="9432">
          <cell r="G9432" t="str">
            <v>ASV10578</v>
          </cell>
          <cell r="H9432" t="str">
            <v>g__Ruminococcus</v>
          </cell>
          <cell r="I9432" t="str">
            <v>s__unclassified_g__Ruminococcus</v>
          </cell>
        </row>
        <row r="9433">
          <cell r="G9433" t="str">
            <v>ASV10672</v>
          </cell>
          <cell r="H9433" t="str">
            <v>g__unclassified_c__Clostridia</v>
          </cell>
          <cell r="I9433" t="str">
            <v>s__unclassified_c__Clostridia</v>
          </cell>
        </row>
        <row r="9434">
          <cell r="G9434" t="str">
            <v>ASV11654</v>
          </cell>
          <cell r="H9434" t="str">
            <v>g__unclassified_f__Oscillospiraceae</v>
          </cell>
          <cell r="I9434" t="str">
            <v>s__unclassified_f__Oscillospiraceae</v>
          </cell>
        </row>
        <row r="9435">
          <cell r="G9435" t="str">
            <v>ASV4735</v>
          </cell>
          <cell r="H9435" t="str">
            <v>g__unclassified_f__Ruminococcaceae</v>
          </cell>
          <cell r="I9435" t="str">
            <v>s__unclassified_f__Ruminococcaceae</v>
          </cell>
        </row>
        <row r="9436">
          <cell r="G9436" t="str">
            <v>ASV11568</v>
          </cell>
          <cell r="H9436" t="str">
            <v>g__Rikenellaceae_RC9_gut_group</v>
          </cell>
          <cell r="I9436" t="str">
            <v>s__uncultured_bacterium_g__Rikenellaceae_RC9_gut_group</v>
          </cell>
        </row>
        <row r="9437">
          <cell r="G9437" t="str">
            <v>ASV11589</v>
          </cell>
          <cell r="H9437" t="str">
            <v>g__norank_f__Oscillospiraceae</v>
          </cell>
          <cell r="I9437" t="str">
            <v>s__unclassified_g__norank_f__Oscillospiraceae</v>
          </cell>
        </row>
        <row r="9438">
          <cell r="G9438" t="str">
            <v>ASV19465</v>
          </cell>
          <cell r="H9438" t="str">
            <v>g__unclassified_o__Oscillospirales</v>
          </cell>
          <cell r="I9438" t="str">
            <v>s__unclassified_o__Oscillospirales</v>
          </cell>
        </row>
        <row r="9439">
          <cell r="G9439" t="str">
            <v>ASV22920</v>
          </cell>
          <cell r="H9439" t="str">
            <v>g__Solobacterium</v>
          </cell>
          <cell r="I9439" t="str">
            <v>s__uncultured_organism_g__Solobacterium</v>
          </cell>
        </row>
        <row r="9440">
          <cell r="G9440" t="str">
            <v>ASV22190</v>
          </cell>
          <cell r="H9440" t="str">
            <v>g__UCG-002</v>
          </cell>
          <cell r="I9440" t="str">
            <v>s__uncultured_bacterium_g__UCG-002</v>
          </cell>
        </row>
        <row r="9441">
          <cell r="G9441" t="str">
            <v>ASV9352</v>
          </cell>
          <cell r="H9441" t="str">
            <v>g__unclassified_p__Firmicutes</v>
          </cell>
          <cell r="I9441" t="str">
            <v>s__unclassified_p__Firmicutes</v>
          </cell>
        </row>
        <row r="9442">
          <cell r="G9442" t="str">
            <v>ASV16411</v>
          </cell>
          <cell r="H9442" t="str">
            <v>g__norank_f__UCG-010</v>
          </cell>
          <cell r="I9442" t="str">
            <v>s__uncultured_bacterium_g__norank_f__UCG-010</v>
          </cell>
        </row>
        <row r="9443">
          <cell r="G9443" t="str">
            <v>ASV20499</v>
          </cell>
          <cell r="H9443" t="str">
            <v>g__Chryseobacterium</v>
          </cell>
          <cell r="I9443" t="str">
            <v>s__unclassified_g__Chryseobacterium</v>
          </cell>
        </row>
        <row r="9444">
          <cell r="G9444" t="str">
            <v>ASV11545</v>
          </cell>
          <cell r="H9444" t="str">
            <v>g__unclassified_c__Clostridia</v>
          </cell>
          <cell r="I9444" t="str">
            <v>s__unclassified_c__Clostridia</v>
          </cell>
        </row>
        <row r="9445">
          <cell r="G9445" t="str">
            <v>ASV3963</v>
          </cell>
          <cell r="H9445" t="str">
            <v>g__unclassified_o__Oscillospirales</v>
          </cell>
          <cell r="I9445" t="str">
            <v>s__unclassified_o__Oscillospirales</v>
          </cell>
        </row>
        <row r="9446">
          <cell r="G9446" t="str">
            <v>ASV11569</v>
          </cell>
          <cell r="H9446" t="str">
            <v>g__unclassified_f__Oscillospiraceae</v>
          </cell>
          <cell r="I9446" t="str">
            <v>s__unclassified_f__Oscillospiraceae</v>
          </cell>
        </row>
        <row r="9447">
          <cell r="G9447" t="str">
            <v>ASV16404</v>
          </cell>
          <cell r="H9447" t="str">
            <v>g__unclassified_f__Lachnospiraceae</v>
          </cell>
          <cell r="I9447" t="str">
            <v>s__unclassified_f__Lachnospiraceae</v>
          </cell>
        </row>
        <row r="9448">
          <cell r="G9448" t="str">
            <v>ASV9383</v>
          </cell>
          <cell r="H9448" t="str">
            <v>g__UCG-002</v>
          </cell>
          <cell r="I9448" t="str">
            <v>s__uncultured_bacterium_g__UCG-002</v>
          </cell>
        </row>
        <row r="9449">
          <cell r="G9449" t="str">
            <v>ASV2102</v>
          </cell>
          <cell r="H9449" t="str">
            <v>g__unclassified_f__Erysipelatoclostridiaceae</v>
          </cell>
          <cell r="I9449" t="str">
            <v>s__unclassified_f__Erysipelatoclostridiaceae</v>
          </cell>
        </row>
        <row r="9450">
          <cell r="G9450" t="str">
            <v>ASV12766</v>
          </cell>
          <cell r="H9450" t="str">
            <v>g__norank_f__UCG-011</v>
          </cell>
          <cell r="I9450" t="str">
            <v>s__uncultured_bacterium_g__norank_f__UCG-011</v>
          </cell>
        </row>
        <row r="9451">
          <cell r="G9451" t="str">
            <v>ASV7058</v>
          </cell>
          <cell r="H9451" t="str">
            <v>g__Lactobacillus</v>
          </cell>
          <cell r="I9451" t="str">
            <v>s__unclassified_g__Lactobacillus</v>
          </cell>
        </row>
        <row r="9452">
          <cell r="G9452" t="str">
            <v>ASV17479</v>
          </cell>
          <cell r="H9452" t="str">
            <v>g__Bacteroides</v>
          </cell>
          <cell r="I9452" t="str">
            <v>s__unclassified_g__Bacteroides</v>
          </cell>
        </row>
        <row r="9453">
          <cell r="G9453" t="str">
            <v>ASV22137</v>
          </cell>
          <cell r="H9453" t="str">
            <v>g__unclassified_c__Clostridia</v>
          </cell>
          <cell r="I9453" t="str">
            <v>s__unclassified_c__Clostridia</v>
          </cell>
        </row>
        <row r="9454">
          <cell r="G9454" t="str">
            <v>ASV11640</v>
          </cell>
          <cell r="H9454" t="str">
            <v>g__Colidextribacter</v>
          </cell>
          <cell r="I9454" t="str">
            <v>s__uncultured_bacterium_g__Colidextribacter</v>
          </cell>
        </row>
        <row r="9455">
          <cell r="G9455" t="str">
            <v>ASV2210</v>
          </cell>
          <cell r="H9455" t="str">
            <v>g__unclassified_p__Firmicutes</v>
          </cell>
          <cell r="I9455" t="str">
            <v>s__unclassified_p__Firmicutes</v>
          </cell>
        </row>
        <row r="9456">
          <cell r="G9456" t="str">
            <v>ASV7753</v>
          </cell>
          <cell r="H9456" t="str">
            <v>g__unclassified_f__Lachnospiraceae</v>
          </cell>
          <cell r="I9456" t="str">
            <v>s__unclassified_f__Lachnospiraceae</v>
          </cell>
        </row>
        <row r="9457">
          <cell r="G9457" t="str">
            <v>ASV17952</v>
          </cell>
          <cell r="H9457" t="str">
            <v>g__Christensenellaceae_R-7_group</v>
          </cell>
          <cell r="I9457" t="str">
            <v>s__unclassified_g__Christensenellaceae_R-7_group</v>
          </cell>
        </row>
        <row r="9458">
          <cell r="G9458" t="str">
            <v>ASV6711</v>
          </cell>
          <cell r="H9458" t="str">
            <v>g__unclassified_o__Peptostreptococcales-Tissierellales</v>
          </cell>
          <cell r="I9458" t="str">
            <v>s__unclassified_o__Peptostreptococcales-Tissierellales</v>
          </cell>
        </row>
        <row r="9459">
          <cell r="G9459" t="str">
            <v>ASV14185</v>
          </cell>
          <cell r="H9459" t="str">
            <v>g__unclassified_f__Prevotellaceae</v>
          </cell>
          <cell r="I9459" t="str">
            <v>s__unclassified_f__Prevotellaceae</v>
          </cell>
        </row>
        <row r="9460">
          <cell r="G9460" t="str">
            <v>ASV711</v>
          </cell>
          <cell r="H9460" t="str">
            <v>g__unclassified_c__Clostridia</v>
          </cell>
          <cell r="I9460" t="str">
            <v>s__unclassified_c__Clostridia</v>
          </cell>
        </row>
        <row r="9461">
          <cell r="G9461" t="str">
            <v>ASV23250</v>
          </cell>
          <cell r="H9461" t="str">
            <v>g__unclassified_c__Clostridia</v>
          </cell>
          <cell r="I9461" t="str">
            <v>s__unclassified_c__Clostridia</v>
          </cell>
        </row>
        <row r="9462">
          <cell r="G9462" t="str">
            <v>ASV14157</v>
          </cell>
          <cell r="H9462" t="str">
            <v>g__unclassified_f__Lachnospiraceae</v>
          </cell>
          <cell r="I9462" t="str">
            <v>s__unclassified_f__Lachnospiraceae</v>
          </cell>
        </row>
        <row r="9463">
          <cell r="G9463" t="str">
            <v>ASV2527</v>
          </cell>
          <cell r="H9463" t="str">
            <v>g__Monoglobus</v>
          </cell>
          <cell r="I9463" t="str">
            <v>s__unclassified_g__Monoglobus</v>
          </cell>
        </row>
        <row r="9464">
          <cell r="G9464" t="str">
            <v>ASV19592</v>
          </cell>
          <cell r="H9464" t="str">
            <v>g__norank_f__Peptostreptococcaceae</v>
          </cell>
          <cell r="I9464" t="str">
            <v>s__unclassified_g__norank_f__Peptostreptococcaceae</v>
          </cell>
        </row>
        <row r="9465">
          <cell r="G9465" t="str">
            <v>ASV12762</v>
          </cell>
          <cell r="H9465" t="str">
            <v>g__unclassified_c__Bacilli</v>
          </cell>
          <cell r="I9465" t="str">
            <v>s__unclassified_c__Bacilli</v>
          </cell>
        </row>
        <row r="9466">
          <cell r="G9466" t="str">
            <v>ASV644</v>
          </cell>
          <cell r="H9466" t="str">
            <v>g__unclassified_c__Clostridia</v>
          </cell>
          <cell r="I9466" t="str">
            <v>s__unclassified_c__Clostridia</v>
          </cell>
        </row>
        <row r="9467">
          <cell r="G9467" t="str">
            <v>ASV17938</v>
          </cell>
          <cell r="H9467" t="str">
            <v>g__unclassified_c__Clostridia</v>
          </cell>
          <cell r="I9467" t="str">
            <v>s__unclassified_c__Clostridia</v>
          </cell>
        </row>
        <row r="9468">
          <cell r="G9468" t="str">
            <v>ASV16367</v>
          </cell>
          <cell r="H9468" t="str">
            <v>g__unclassified_k__norank_d__Bacteria</v>
          </cell>
          <cell r="I9468" t="str">
            <v>s__unclassified_k__norank_d__Bacteria</v>
          </cell>
        </row>
        <row r="9469">
          <cell r="G9469" t="str">
            <v>ASV11532</v>
          </cell>
          <cell r="H9469" t="str">
            <v>g__unclassified_f__Oscillospiraceae</v>
          </cell>
          <cell r="I9469" t="str">
            <v>s__unclassified_f__Oscillospiraceae</v>
          </cell>
        </row>
        <row r="9470">
          <cell r="G9470" t="str">
            <v>ASV23202</v>
          </cell>
          <cell r="H9470" t="str">
            <v>g__unclassified_f__Lachnospiraceae</v>
          </cell>
          <cell r="I9470" t="str">
            <v>s__unclassified_f__Lachnospiraceae</v>
          </cell>
        </row>
        <row r="9471">
          <cell r="G9471" t="str">
            <v>ASV2749</v>
          </cell>
          <cell r="H9471" t="str">
            <v>g__Streptococcus</v>
          </cell>
          <cell r="I9471" t="str">
            <v>s__unclassified_g__Streptococcus</v>
          </cell>
        </row>
        <row r="9472">
          <cell r="G9472" t="str">
            <v>ASV6691</v>
          </cell>
          <cell r="H9472" t="str">
            <v>g__unclassified_f__Peptostreptococcaceae</v>
          </cell>
          <cell r="I9472" t="str">
            <v>s__unclassified_f__Peptostreptococcaceae</v>
          </cell>
        </row>
        <row r="9473">
          <cell r="G9473" t="str">
            <v>ASV21443</v>
          </cell>
          <cell r="H9473" t="str">
            <v>g__unclassified_f__Veillonellaceae</v>
          </cell>
          <cell r="I9473" t="str">
            <v>s__unclassified_f__Veillonellaceae</v>
          </cell>
        </row>
        <row r="9474">
          <cell r="G9474" t="str">
            <v>ASV23831</v>
          </cell>
          <cell r="H9474" t="str">
            <v>g__Lachnospiraceae_UCG-004</v>
          </cell>
          <cell r="I9474" t="str">
            <v>s__uncultured_bacterium_g__Lachnospiraceae_UCG-004</v>
          </cell>
        </row>
        <row r="9475">
          <cell r="G9475" t="str">
            <v>ASV19577</v>
          </cell>
          <cell r="H9475" t="str">
            <v>g__unclassified_c__Clostridia</v>
          </cell>
          <cell r="I9475" t="str">
            <v>s__unclassified_c__Clostridia</v>
          </cell>
        </row>
        <row r="9476">
          <cell r="G9476" t="str">
            <v>ASV20242</v>
          </cell>
          <cell r="H9476" t="str">
            <v>g__unclassified_f__Lachnospiraceae</v>
          </cell>
          <cell r="I9476" t="str">
            <v>s__unclassified_f__Lachnospiraceae</v>
          </cell>
        </row>
        <row r="9477">
          <cell r="G9477" t="str">
            <v>ASV15309</v>
          </cell>
          <cell r="H9477" t="str">
            <v>g__unclassified_f__Lachnospiraceae</v>
          </cell>
          <cell r="I9477" t="str">
            <v>s__unclassified_f__Lachnospiraceae</v>
          </cell>
        </row>
        <row r="9478">
          <cell r="G9478" t="str">
            <v>ASV13402</v>
          </cell>
          <cell r="H9478" t="str">
            <v>g__Lactobacillus</v>
          </cell>
          <cell r="I9478" t="str">
            <v>s__unclassified_g__Lactobacillus</v>
          </cell>
        </row>
        <row r="9479">
          <cell r="G9479" t="str">
            <v>ASV11661</v>
          </cell>
          <cell r="H9479" t="str">
            <v>g__unclassified_c__Clostridia</v>
          </cell>
          <cell r="I9479" t="str">
            <v>s__unclassified_c__Clostridia</v>
          </cell>
        </row>
        <row r="9480">
          <cell r="G9480" t="str">
            <v>ASV14289</v>
          </cell>
          <cell r="H9480" t="str">
            <v>g__Lactobacillus</v>
          </cell>
          <cell r="I9480" t="str">
            <v>s__unclassified_g__Lactobacillus</v>
          </cell>
        </row>
        <row r="9481">
          <cell r="G9481" t="str">
            <v>ASV7056</v>
          </cell>
          <cell r="H9481" t="str">
            <v>g__Streptococcus</v>
          </cell>
          <cell r="I9481" t="str">
            <v>s__unclassified_g__Streptococcus</v>
          </cell>
        </row>
        <row r="9482">
          <cell r="G9482" t="str">
            <v>ASV22189</v>
          </cell>
          <cell r="H9482" t="str">
            <v>g__unclassified_c__Bacilli</v>
          </cell>
          <cell r="I9482" t="str">
            <v>s__unclassified_c__Bacilli</v>
          </cell>
        </row>
        <row r="9483">
          <cell r="G9483" t="str">
            <v>ASV11564</v>
          </cell>
          <cell r="H9483" t="str">
            <v>g__unclassified_o__Bacteroidales</v>
          </cell>
          <cell r="I9483" t="str">
            <v>s__unclassified_o__Bacteroidales</v>
          </cell>
        </row>
        <row r="9484">
          <cell r="G9484" t="str">
            <v>ASV15311</v>
          </cell>
          <cell r="H9484" t="str">
            <v>g__Eubacterium_oxidoreducens_group</v>
          </cell>
          <cell r="I9484" t="str">
            <v>s__uncultured_bacterium_g__Eubacterium_oxidoreducens_group</v>
          </cell>
        </row>
        <row r="9485">
          <cell r="G9485" t="str">
            <v>ASV13706</v>
          </cell>
          <cell r="H9485" t="str">
            <v>g__Prevotella</v>
          </cell>
          <cell r="I9485" t="str">
            <v>s__unclassified_g__Prevotella</v>
          </cell>
        </row>
        <row r="9486">
          <cell r="G9486" t="str">
            <v>ASV17204</v>
          </cell>
          <cell r="H9486" t="str">
            <v>g__unclassified_p__Firmicutes</v>
          </cell>
          <cell r="I9486" t="str">
            <v>s__unclassified_p__Firmicutes</v>
          </cell>
        </row>
        <row r="9487">
          <cell r="G9487" t="str">
            <v>ASV754</v>
          </cell>
          <cell r="H9487" t="str">
            <v>g__Colidextribacter</v>
          </cell>
          <cell r="I9487" t="str">
            <v>s__unclassified_g__Colidextribacter</v>
          </cell>
        </row>
        <row r="9488">
          <cell r="G9488" t="str">
            <v>ASV14208</v>
          </cell>
          <cell r="H9488" t="str">
            <v>g__UCG-005</v>
          </cell>
          <cell r="I9488" t="str">
            <v>s__unclassified_g__UCG-005</v>
          </cell>
        </row>
        <row r="9489">
          <cell r="G9489" t="str">
            <v>ASV5873</v>
          </cell>
          <cell r="H9489" t="str">
            <v>g__unclassified_c__Clostridia</v>
          </cell>
          <cell r="I9489" t="str">
            <v>s__unclassified_c__Clostridia</v>
          </cell>
        </row>
        <row r="9490">
          <cell r="G9490" t="str">
            <v>ASV21447</v>
          </cell>
          <cell r="H9490" t="str">
            <v>g__Lactobacillus</v>
          </cell>
          <cell r="I9490" t="str">
            <v>s__unclassified_g__Lactobacillus</v>
          </cell>
        </row>
        <row r="9491">
          <cell r="G9491" t="str">
            <v>ASV7765</v>
          </cell>
          <cell r="H9491" t="str">
            <v>g__Christensenellaceae_R-7_group</v>
          </cell>
          <cell r="I9491" t="str">
            <v>s__uncultured_prokaryote_g__Christensenellaceae_R-7_group</v>
          </cell>
        </row>
        <row r="9492">
          <cell r="G9492" t="str">
            <v>ASV15341</v>
          </cell>
          <cell r="H9492" t="str">
            <v>g__Lachnospiraceae_NC2004_group</v>
          </cell>
          <cell r="I9492" t="str">
            <v>s__uncultured_bacterium_g__Lachnospiraceae_NC2004_group</v>
          </cell>
        </row>
        <row r="9493">
          <cell r="G9493" t="str">
            <v>ASV17609</v>
          </cell>
          <cell r="H9493" t="str">
            <v>g__Clostridium_sensu_stricto_1</v>
          </cell>
          <cell r="I9493" t="str">
            <v>s__unclassified_g__Clostridium_sensu_stricto_1</v>
          </cell>
        </row>
        <row r="9494">
          <cell r="G9494" t="str">
            <v>ASV13385</v>
          </cell>
          <cell r="H9494" t="str">
            <v>g__Lactobacillus</v>
          </cell>
          <cell r="I9494" t="str">
            <v>s__unclassified_g__Lactobacillus</v>
          </cell>
        </row>
        <row r="9495">
          <cell r="G9495" t="str">
            <v>ASV20798</v>
          </cell>
          <cell r="H9495" t="str">
            <v>g__norank_f__Eubacterium_coprostanoligenes_group</v>
          </cell>
          <cell r="I9495" t="str">
            <v>s__unclassified_g__norank_f__Eubacterium_coprostanoligenes_group</v>
          </cell>
        </row>
        <row r="9496">
          <cell r="G9496" t="str">
            <v>ASV17956</v>
          </cell>
          <cell r="H9496" t="str">
            <v>g__unclassified_f__Christensenellaceae</v>
          </cell>
          <cell r="I9496" t="str">
            <v>s__unclassified_f__Christensenellaceae</v>
          </cell>
        </row>
        <row r="9497">
          <cell r="G9497" t="str">
            <v>ASV7346</v>
          </cell>
          <cell r="H9497" t="str">
            <v>g__Lactobacillus</v>
          </cell>
          <cell r="I9497" t="str">
            <v>s__unclassified_g__Lactobacillus</v>
          </cell>
        </row>
        <row r="9498">
          <cell r="G9498" t="str">
            <v>ASV7059</v>
          </cell>
          <cell r="H9498" t="str">
            <v>g__unclassified_c__Bacilli</v>
          </cell>
          <cell r="I9498" t="str">
            <v>s__unclassified_c__Bacilli</v>
          </cell>
        </row>
        <row r="9499">
          <cell r="G9499" t="str">
            <v>ASV2143</v>
          </cell>
          <cell r="H9499" t="str">
            <v>g__Enterococcus</v>
          </cell>
          <cell r="I9499" t="str">
            <v>s__unclassified_g__Enterococcus</v>
          </cell>
        </row>
        <row r="9500">
          <cell r="G9500" t="str">
            <v>ASV6662</v>
          </cell>
          <cell r="H9500" t="str">
            <v>g__Enterococcus</v>
          </cell>
          <cell r="I9500" t="str">
            <v>s__unclassified_g__Enterococcus</v>
          </cell>
        </row>
        <row r="9501">
          <cell r="G9501" t="str">
            <v>ASV6653</v>
          </cell>
          <cell r="H9501" t="str">
            <v>g__Fusobacterium</v>
          </cell>
          <cell r="I9501" t="str">
            <v>s__unclassified_g__Fusobacterium</v>
          </cell>
        </row>
        <row r="9502">
          <cell r="G9502" t="str">
            <v>ASV14276</v>
          </cell>
          <cell r="H9502" t="str">
            <v>g__unclassified_f__Ruminococcaceae</v>
          </cell>
          <cell r="I9502" t="str">
            <v>s__unclassified_f__Ruminococcaceae</v>
          </cell>
        </row>
        <row r="9503">
          <cell r="G9503" t="str">
            <v>ASV4733</v>
          </cell>
          <cell r="H9503" t="str">
            <v>g__unclassified_f__Oscillospiraceae</v>
          </cell>
          <cell r="I9503" t="str">
            <v>s__unclassified_f__Oscillospiraceae</v>
          </cell>
        </row>
        <row r="9504">
          <cell r="G9504" t="str">
            <v>ASV4761</v>
          </cell>
          <cell r="H9504" t="str">
            <v>g__Lactobacillus</v>
          </cell>
          <cell r="I9504" t="str">
            <v>s__unclassified_g__Lactobacillus</v>
          </cell>
        </row>
        <row r="9505">
          <cell r="G9505" t="str">
            <v>ASV5802</v>
          </cell>
          <cell r="H9505" t="str">
            <v>g__unclassified_f__Lachnospiraceae</v>
          </cell>
          <cell r="I9505" t="str">
            <v>s__unclassified_f__Lachnospiraceae</v>
          </cell>
        </row>
        <row r="9506">
          <cell r="G9506" t="str">
            <v>ASV14162</v>
          </cell>
          <cell r="H9506" t="str">
            <v>g__Christensenellaceae_R-7_group</v>
          </cell>
          <cell r="I9506" t="str">
            <v>s__unclassified_g__Christensenellaceae_R-7_group</v>
          </cell>
        </row>
        <row r="9507">
          <cell r="G9507" t="str">
            <v>ASV18863</v>
          </cell>
          <cell r="H9507" t="str">
            <v>g__unclassified_f__Lachnospiraceae</v>
          </cell>
          <cell r="I9507" t="str">
            <v>s__unclassified_f__Lachnospiraceae</v>
          </cell>
        </row>
        <row r="9508">
          <cell r="G9508" t="str">
            <v>ASV22168</v>
          </cell>
          <cell r="H9508" t="str">
            <v>g__unclassified_f__Lachnospiraceae</v>
          </cell>
          <cell r="I9508" t="str">
            <v>s__unclassified_f__Lachnospiraceae</v>
          </cell>
        </row>
        <row r="9509">
          <cell r="G9509" t="str">
            <v>ASV17277</v>
          </cell>
          <cell r="H9509" t="str">
            <v>g__Sharpea</v>
          </cell>
          <cell r="I9509" t="str">
            <v>s__unclassified_g__Sharpea</v>
          </cell>
        </row>
        <row r="9510">
          <cell r="G9510" t="str">
            <v>ASV13375</v>
          </cell>
          <cell r="H9510" t="str">
            <v>g__unclassified_c__Clostridia</v>
          </cell>
          <cell r="I9510" t="str">
            <v>s__unclassified_c__Clostridia</v>
          </cell>
        </row>
        <row r="9511">
          <cell r="G9511" t="str">
            <v>ASV19574</v>
          </cell>
          <cell r="H9511" t="str">
            <v>g__unclassified_k__norank_d__Bacteria</v>
          </cell>
          <cell r="I9511" t="str">
            <v>s__unclassified_k__norank_d__Bacteria</v>
          </cell>
        </row>
        <row r="9512">
          <cell r="G9512" t="str">
            <v>ASV5857</v>
          </cell>
          <cell r="H9512" t="str">
            <v>g__Enterococcus</v>
          </cell>
          <cell r="I9512" t="str">
            <v>s__unclassified_g__Enterococcus</v>
          </cell>
        </row>
        <row r="9513">
          <cell r="G9513" t="str">
            <v>ASV17611</v>
          </cell>
          <cell r="H9513" t="str">
            <v>g__Fusobacterium</v>
          </cell>
          <cell r="I9513" t="str">
            <v>s__unclassified_g__Fusobacterium</v>
          </cell>
        </row>
        <row r="9514">
          <cell r="G9514" t="str">
            <v>ASV5936</v>
          </cell>
          <cell r="H9514" t="str">
            <v>g__unclassified_f__Anaerovoracaceae</v>
          </cell>
          <cell r="I9514" t="str">
            <v>s__unclassified_f__Anaerovoracaceae</v>
          </cell>
        </row>
        <row r="9515">
          <cell r="G9515" t="str">
            <v>ASV8637</v>
          </cell>
          <cell r="H9515" t="str">
            <v>g__Eubacterium_eligens_group</v>
          </cell>
          <cell r="I9515" t="str">
            <v>s__uncultured_bacterium_g__Eubacterium_eligens_group</v>
          </cell>
        </row>
        <row r="9516">
          <cell r="G9516" t="str">
            <v>ASV14283</v>
          </cell>
          <cell r="H9516" t="str">
            <v>g__norank_f__UCG-010</v>
          </cell>
          <cell r="I9516" t="str">
            <v>s__unclassified_g__norank_f__UCG-010</v>
          </cell>
        </row>
        <row r="9517">
          <cell r="G9517" t="str">
            <v>ASV19510</v>
          </cell>
          <cell r="H9517" t="str">
            <v>g__unclassified_c__Clostridia</v>
          </cell>
          <cell r="I9517" t="str">
            <v>s__unclassified_c__Clostridia</v>
          </cell>
        </row>
        <row r="9518">
          <cell r="G9518" t="str">
            <v>ASV11598</v>
          </cell>
          <cell r="H9518" t="str">
            <v>g__unclassified_c__Clostridia</v>
          </cell>
          <cell r="I9518" t="str">
            <v>s__unclassified_c__Clostridia</v>
          </cell>
        </row>
        <row r="9519">
          <cell r="G9519" t="str">
            <v>ASV20250</v>
          </cell>
          <cell r="H9519" t="str">
            <v>g__Bacteroides</v>
          </cell>
          <cell r="I9519" t="str">
            <v>s__unclassified_g__Bacteroides</v>
          </cell>
        </row>
        <row r="9520">
          <cell r="G9520" t="str">
            <v>ASV20779</v>
          </cell>
          <cell r="H9520" t="str">
            <v>g__unclassified_o__Oscillospirales</v>
          </cell>
          <cell r="I9520" t="str">
            <v>s__unclassified_o__Oscillospirales</v>
          </cell>
        </row>
        <row r="9521">
          <cell r="G9521" t="str">
            <v>ASV17933</v>
          </cell>
          <cell r="H9521" t="str">
            <v>g__unclassified_f__Lachnospiraceae</v>
          </cell>
          <cell r="I9521" t="str">
            <v>s__unclassified_f__Lachnospiraceae</v>
          </cell>
        </row>
        <row r="9522">
          <cell r="G9522" t="str">
            <v>ASV2750</v>
          </cell>
          <cell r="H9522" t="str">
            <v>g__Rothia</v>
          </cell>
          <cell r="I9522" t="str">
            <v>s__unclassified_g__Rothia</v>
          </cell>
        </row>
        <row r="9523">
          <cell r="G9523" t="str">
            <v>ASV582</v>
          </cell>
          <cell r="H9523" t="str">
            <v>g__Mitsuokella</v>
          </cell>
          <cell r="I9523" t="str">
            <v>s__unclassified_g__Mitsuokella</v>
          </cell>
        </row>
        <row r="9524">
          <cell r="G9524" t="str">
            <v>ASV609</v>
          </cell>
          <cell r="H9524" t="str">
            <v>g__unclassified_c__Clostridia</v>
          </cell>
          <cell r="I9524" t="str">
            <v>s__unclassified_c__Clostridia</v>
          </cell>
        </row>
        <row r="9525">
          <cell r="G9525" t="str">
            <v>ASV12772</v>
          </cell>
          <cell r="H9525" t="str">
            <v>g__unclassified_o__Oscillospirales</v>
          </cell>
          <cell r="I9525" t="str">
            <v>s__unclassified_o__Oscillospirales</v>
          </cell>
        </row>
        <row r="9526">
          <cell r="G9526" t="str">
            <v>ASV4746</v>
          </cell>
          <cell r="H9526" t="str">
            <v>g__unclassified_c__Clostridia</v>
          </cell>
          <cell r="I9526" t="str">
            <v>s__unclassified_c__Clostridia</v>
          </cell>
        </row>
        <row r="9527">
          <cell r="G9527" t="str">
            <v>ASV7737</v>
          </cell>
          <cell r="H9527" t="str">
            <v>g__Lactobacillus</v>
          </cell>
          <cell r="I9527" t="str">
            <v>s__unclassified_g__Lactobacillus</v>
          </cell>
        </row>
        <row r="9528">
          <cell r="G9528" t="str">
            <v>ASV11585</v>
          </cell>
          <cell r="H9528" t="str">
            <v>g__unclassified_p__Firmicutes</v>
          </cell>
          <cell r="I9528" t="str">
            <v>s__unclassified_p__Firmicutes</v>
          </cell>
        </row>
        <row r="9529">
          <cell r="G9529" t="str">
            <v>ASV20243</v>
          </cell>
          <cell r="H9529" t="str">
            <v>g__unclassified_f__Lachnospiraceae</v>
          </cell>
          <cell r="I9529" t="str">
            <v>s__unclassified_f__Lachnospiraceae</v>
          </cell>
        </row>
        <row r="9530">
          <cell r="G9530" t="str">
            <v>ASV6673</v>
          </cell>
          <cell r="H9530" t="str">
            <v>g__unclassified_p__Firmicutes</v>
          </cell>
          <cell r="I9530" t="str">
            <v>s__unclassified_p__Firmicutes</v>
          </cell>
        </row>
        <row r="9531">
          <cell r="G9531" t="str">
            <v>ASV4024</v>
          </cell>
          <cell r="H9531" t="str">
            <v>g__unclassified_c__Clostridia</v>
          </cell>
          <cell r="I9531" t="str">
            <v>s__unclassified_c__Clostridia</v>
          </cell>
        </row>
        <row r="9532">
          <cell r="G9532" t="str">
            <v>ASV13416</v>
          </cell>
          <cell r="H9532" t="str">
            <v>g__Clostridium_sensu_stricto_1</v>
          </cell>
          <cell r="I9532" t="str">
            <v>s__unclassified_g__Clostridium_sensu_stricto_1</v>
          </cell>
        </row>
        <row r="9533">
          <cell r="G9533" t="str">
            <v>ASV10577</v>
          </cell>
          <cell r="H9533" t="str">
            <v>g__norank_f__Erysipelotrichaceae</v>
          </cell>
          <cell r="I9533" t="str">
            <v>s__uncultured_Solobacterium_sp.</v>
          </cell>
        </row>
        <row r="9534">
          <cell r="G9534" t="str">
            <v>ASV9400</v>
          </cell>
          <cell r="H9534" t="str">
            <v>g__unclassified_p__Firmicutes</v>
          </cell>
          <cell r="I9534" t="str">
            <v>s__unclassified_p__Firmicutes</v>
          </cell>
        </row>
        <row r="9535">
          <cell r="G9535" t="str">
            <v>ASV16903</v>
          </cell>
          <cell r="H9535" t="str">
            <v>g__norank_f__Erysipelotrichaceae</v>
          </cell>
          <cell r="I9535" t="str">
            <v>s__uncultured_bacterium_g__norank_f__Erysipelotrichaceae</v>
          </cell>
        </row>
        <row r="9536">
          <cell r="G9536" t="str">
            <v>ASV19541</v>
          </cell>
          <cell r="H9536" t="str">
            <v>g__unclassified_f__Peptostreptococcaceae</v>
          </cell>
          <cell r="I9536" t="str">
            <v>s__unclassified_f__Peptostreptococcaceae</v>
          </cell>
        </row>
        <row r="9537">
          <cell r="G9537" t="str">
            <v>ASV636</v>
          </cell>
          <cell r="H9537" t="str">
            <v>g__norank_f__Muribaculaceae</v>
          </cell>
          <cell r="I9537" t="str">
            <v>s__uncultured_Porphyromonadaceae_bacterium_g__norank_f__Muribaculaceae</v>
          </cell>
        </row>
        <row r="9538">
          <cell r="G9538" t="str">
            <v>ASV11056</v>
          </cell>
          <cell r="H9538" t="str">
            <v>g__Lactobacillus</v>
          </cell>
          <cell r="I9538" t="str">
            <v>s__unclassified_g__Lactobacillus</v>
          </cell>
        </row>
        <row r="9539">
          <cell r="G9539" t="str">
            <v>ASV13577</v>
          </cell>
          <cell r="H9539" t="str">
            <v>g__Candidatus_Soleaferrea</v>
          </cell>
          <cell r="I9539" t="str">
            <v>s__uncultured_bacterium_g__Candidatus_Soleaferrea</v>
          </cell>
        </row>
        <row r="9540">
          <cell r="G9540" t="str">
            <v>ASV4006</v>
          </cell>
          <cell r="H9540" t="str">
            <v>g__Enterococcus</v>
          </cell>
          <cell r="I9540" t="str">
            <v>s__unclassified_g__Enterococcus</v>
          </cell>
        </row>
        <row r="9541">
          <cell r="G9541" t="str">
            <v>ASV10665</v>
          </cell>
          <cell r="H9541" t="str">
            <v>g__Monoglobus</v>
          </cell>
          <cell r="I9541" t="str">
            <v>s__uncultured_bacterium_g__Monoglobus</v>
          </cell>
        </row>
        <row r="9542">
          <cell r="G9542" t="str">
            <v>ASV21444</v>
          </cell>
          <cell r="H9542" t="str">
            <v>g__Escherichia-Shigella</v>
          </cell>
          <cell r="I9542" t="str">
            <v>s__unclassified_g__Escherichia-Shigella</v>
          </cell>
        </row>
        <row r="9543">
          <cell r="G9543" t="str">
            <v>ASV2142</v>
          </cell>
          <cell r="H9543" t="str">
            <v>g__unclassified_f__Lachnospiraceae</v>
          </cell>
          <cell r="I9543" t="str">
            <v>s__unclassified_f__Lachnospiraceae</v>
          </cell>
        </row>
        <row r="9544">
          <cell r="G9544" t="str">
            <v>ASV5922</v>
          </cell>
          <cell r="H9544" t="str">
            <v>g__UCG-002</v>
          </cell>
          <cell r="I9544" t="str">
            <v>s__uncultured_bacterium_g__UCG-002</v>
          </cell>
        </row>
        <row r="9545">
          <cell r="G9545" t="str">
            <v>ASV22143</v>
          </cell>
          <cell r="H9545" t="str">
            <v>g__unclassified_p__Firmicutes</v>
          </cell>
          <cell r="I9545" t="str">
            <v>s__unclassified_p__Firmicutes</v>
          </cell>
        </row>
        <row r="9546">
          <cell r="G9546" t="str">
            <v>ASV12803</v>
          </cell>
          <cell r="H9546" t="str">
            <v>g__Christensenellaceae_R-7_group</v>
          </cell>
          <cell r="I9546" t="str">
            <v>s__unclassified_g__Christensenellaceae_R-7_group</v>
          </cell>
        </row>
        <row r="9547">
          <cell r="G9547" t="str">
            <v>ASV22142</v>
          </cell>
          <cell r="H9547" t="str">
            <v>g__unclassified_c__Clostridia</v>
          </cell>
          <cell r="I9547" t="str">
            <v>s__unclassified_c__Clostridia</v>
          </cell>
        </row>
        <row r="9548">
          <cell r="G9548" t="str">
            <v>ASV22204</v>
          </cell>
          <cell r="H9548" t="str">
            <v>g__Lactobacillus</v>
          </cell>
          <cell r="I9548" t="str">
            <v>s__unclassified_g__Lactobacillus</v>
          </cell>
        </row>
        <row r="9549">
          <cell r="G9549" t="str">
            <v>ASV9335</v>
          </cell>
          <cell r="H9549" t="str">
            <v>g__unclassified_p__Firmicutes</v>
          </cell>
          <cell r="I9549" t="str">
            <v>s__unclassified_p__Firmicutes</v>
          </cell>
        </row>
        <row r="9550">
          <cell r="G9550" t="str">
            <v>ASV20765</v>
          </cell>
          <cell r="H9550" t="str">
            <v>g__norank_f__Eubacterium_coprostanoligenes_group</v>
          </cell>
          <cell r="I9550" t="str">
            <v>s__unclassified_g__norank_f__Eubacterium_coprostanoligenes_group</v>
          </cell>
        </row>
        <row r="9551">
          <cell r="G9551" t="str">
            <v>ASV22241</v>
          </cell>
          <cell r="H9551" t="str">
            <v>g__Bacteroides</v>
          </cell>
          <cell r="I9551" t="str">
            <v>s__unclassified_g__Bacteroides</v>
          </cell>
        </row>
        <row r="9552">
          <cell r="G9552" t="str">
            <v>ASV14253</v>
          </cell>
          <cell r="H9552" t="str">
            <v>g__unclassified_c__Clostridia</v>
          </cell>
          <cell r="I9552" t="str">
            <v>s__unclassified_c__Clostridia</v>
          </cell>
        </row>
        <row r="9553">
          <cell r="G9553" t="str">
            <v>ASV2740</v>
          </cell>
          <cell r="H9553" t="str">
            <v>g__FukuN57</v>
          </cell>
          <cell r="I9553" t="str">
            <v>s__uncultured_bacterium_g__FukuN57</v>
          </cell>
        </row>
        <row r="9554">
          <cell r="G9554" t="str">
            <v>ASV4868</v>
          </cell>
          <cell r="H9554" t="str">
            <v>g__Christensenellaceae_R-7_group</v>
          </cell>
          <cell r="I9554" t="str">
            <v>s__unclassified_g__Christensenellaceae_R-7_group</v>
          </cell>
        </row>
        <row r="9555">
          <cell r="G9555" t="str">
            <v>ASV20762</v>
          </cell>
          <cell r="H9555" t="str">
            <v>g__norank_f__Eubacterium_coprostanoligenes_group</v>
          </cell>
          <cell r="I9555" t="str">
            <v>s__uncultured_bacterium_g__norank_f__Eubacterium_coprostanoligenes_group</v>
          </cell>
        </row>
        <row r="9556">
          <cell r="G9556" t="str">
            <v>ASV11559</v>
          </cell>
          <cell r="H9556" t="str">
            <v>g__Prevotellaceae_UCG-001</v>
          </cell>
          <cell r="I9556" t="str">
            <v>s__uncultured_bacterium_g__Prevotellaceae_UCG-001</v>
          </cell>
        </row>
        <row r="9557">
          <cell r="G9557" t="str">
            <v>ASV14269</v>
          </cell>
          <cell r="H9557" t="str">
            <v>g__norank_f__Muribaculaceae</v>
          </cell>
          <cell r="I9557" t="str">
            <v>s__uncultured_bacterium_g__norank_f__Muribaculaceae</v>
          </cell>
        </row>
        <row r="9558">
          <cell r="G9558" t="str">
            <v>ASV4003</v>
          </cell>
          <cell r="H9558" t="str">
            <v>g__Family_XIII_AD3011_group</v>
          </cell>
          <cell r="I9558" t="str">
            <v>s__unclassified_g__Family_XIII_AD3011_group</v>
          </cell>
        </row>
        <row r="9559">
          <cell r="G9559" t="str">
            <v>ASV16879</v>
          </cell>
          <cell r="H9559" t="str">
            <v>g__Prevotellaceae_NK3B31_group</v>
          </cell>
          <cell r="I9559" t="str">
            <v>s__unclassified_g__Prevotellaceae_NK3B31_group</v>
          </cell>
        </row>
        <row r="9560">
          <cell r="G9560" t="str">
            <v>ASV2147</v>
          </cell>
          <cell r="H9560" t="str">
            <v>g__Enterococcus</v>
          </cell>
          <cell r="I9560" t="str">
            <v>s__unclassified_g__Enterococcus</v>
          </cell>
        </row>
        <row r="9561">
          <cell r="G9561" t="str">
            <v>ASV4004</v>
          </cell>
          <cell r="H9561" t="str">
            <v>g__unclassified_p__Firmicutes</v>
          </cell>
          <cell r="I9561" t="str">
            <v>s__unclassified_p__Firmicutes</v>
          </cell>
        </row>
        <row r="9562">
          <cell r="G9562" t="str">
            <v>ASV6694</v>
          </cell>
          <cell r="H9562" t="str">
            <v>g__Catenisphaera</v>
          </cell>
          <cell r="I9562" t="str">
            <v>s__uncultured_bacterium_g__Catenisphaera</v>
          </cell>
        </row>
        <row r="9563">
          <cell r="G9563" t="str">
            <v>ASV17190</v>
          </cell>
          <cell r="H9563" t="str">
            <v>g__UCG-005</v>
          </cell>
          <cell r="I9563" t="str">
            <v>s__unclassified_g__UCG-005</v>
          </cell>
        </row>
        <row r="9564">
          <cell r="G9564" t="str">
            <v>ASV24150</v>
          </cell>
          <cell r="H9564" t="str">
            <v>g__unclassified_f__Lachnospiraceae</v>
          </cell>
          <cell r="I9564" t="str">
            <v>s__unclassified_f__Lachnospiraceae</v>
          </cell>
        </row>
        <row r="9565">
          <cell r="G9565" t="str">
            <v>ASV4850</v>
          </cell>
          <cell r="H9565" t="str">
            <v>g__unclassified_o__Lactobacillales</v>
          </cell>
          <cell r="I9565" t="str">
            <v>s__unclassified_o__Lactobacillales</v>
          </cell>
        </row>
        <row r="9566">
          <cell r="G9566" t="str">
            <v>ASV19553</v>
          </cell>
          <cell r="H9566" t="str">
            <v>g__UCG-002</v>
          </cell>
          <cell r="I9566" t="str">
            <v>s__uncultured_bacterium_g__UCG-002</v>
          </cell>
        </row>
        <row r="9567">
          <cell r="G9567" t="str">
            <v>ASV4020</v>
          </cell>
          <cell r="H9567" t="str">
            <v>g__norank_f__Peptostreptococcaceae</v>
          </cell>
          <cell r="I9567" t="str">
            <v>s__uncultured_bacterium_g__norank_f__Peptostreptococcaceae</v>
          </cell>
        </row>
        <row r="9568">
          <cell r="G9568" t="str">
            <v>ASV6728</v>
          </cell>
          <cell r="H9568" t="str">
            <v>g__unclassified_f__Lachnospiraceae</v>
          </cell>
          <cell r="I9568" t="str">
            <v>s__unclassified_f__Lachnospiraceae</v>
          </cell>
        </row>
        <row r="9569">
          <cell r="G9569" t="str">
            <v>ASV9421</v>
          </cell>
          <cell r="H9569" t="str">
            <v>g__Tyzzerella</v>
          </cell>
          <cell r="I9569" t="str">
            <v>s__unclassified_g__Tyzzerella</v>
          </cell>
        </row>
        <row r="9570">
          <cell r="G9570" t="str">
            <v>ASV15326</v>
          </cell>
          <cell r="H9570" t="str">
            <v>g__unclassified_c__Clostridia</v>
          </cell>
          <cell r="I9570" t="str">
            <v>s__unclassified_c__Clostridia</v>
          </cell>
        </row>
        <row r="9571">
          <cell r="G9571" t="str">
            <v>ASV5920</v>
          </cell>
          <cell r="H9571" t="str">
            <v>g__unclassified_c__Clostridia</v>
          </cell>
          <cell r="I9571" t="str">
            <v>s__unclassified_c__Clostridia</v>
          </cell>
        </row>
        <row r="9572">
          <cell r="G9572" t="str">
            <v>ASV23286</v>
          </cell>
          <cell r="H9572" t="str">
            <v>g__UCG-002</v>
          </cell>
          <cell r="I9572" t="str">
            <v>s__uncultured_bacterium_g__UCG-002</v>
          </cell>
        </row>
        <row r="9573">
          <cell r="G9573" t="str">
            <v>ASV14937</v>
          </cell>
          <cell r="H9573" t="str">
            <v>g__Devosia</v>
          </cell>
          <cell r="I9573" t="str">
            <v>s__unclassified_g__Devosia</v>
          </cell>
        </row>
        <row r="9574">
          <cell r="G9574" t="str">
            <v>ASV15355</v>
          </cell>
          <cell r="H9574" t="str">
            <v>g__Ruminococcus</v>
          </cell>
          <cell r="I9574" t="str">
            <v>s__unclassified_g__Ruminococcus</v>
          </cell>
        </row>
        <row r="9575">
          <cell r="G9575" t="str">
            <v>ASV15366</v>
          </cell>
          <cell r="H9575" t="str">
            <v>g__unclassified_c__Clostridia</v>
          </cell>
          <cell r="I9575" t="str">
            <v>s__unclassified_c__Clostridia</v>
          </cell>
        </row>
        <row r="9576">
          <cell r="G9576" t="str">
            <v>ASV9405</v>
          </cell>
          <cell r="H9576" t="str">
            <v>g__unclassified_f__Lachnospiraceae</v>
          </cell>
          <cell r="I9576" t="str">
            <v>s__unclassified_f__Lachnospiraceae</v>
          </cell>
        </row>
        <row r="9577">
          <cell r="G9577" t="str">
            <v>ASV12795</v>
          </cell>
          <cell r="H9577" t="str">
            <v>g__unclassified_o__Coriobacteriales</v>
          </cell>
          <cell r="I9577" t="str">
            <v>s__unclassified_o__Coriobacteriales</v>
          </cell>
        </row>
        <row r="9578">
          <cell r="G9578" t="str">
            <v>ASV21232</v>
          </cell>
          <cell r="H9578" t="str">
            <v>g__Lactobacillus</v>
          </cell>
          <cell r="I9578" t="str">
            <v>s__unclassified_g__Lactobacillus</v>
          </cell>
        </row>
        <row r="9579">
          <cell r="G9579" t="str">
            <v>ASV18576</v>
          </cell>
          <cell r="H9579" t="str">
            <v>g__Veillonella</v>
          </cell>
          <cell r="I9579" t="str">
            <v>s__unclassified_g__Veillonella</v>
          </cell>
        </row>
        <row r="9580">
          <cell r="G9580" t="str">
            <v>ASV6687</v>
          </cell>
          <cell r="H9580" t="str">
            <v>g__unclassified_f__Oscillospiraceae</v>
          </cell>
          <cell r="I9580" t="str">
            <v>s__unclassified_f__Oscillospiraceae</v>
          </cell>
        </row>
        <row r="9581">
          <cell r="G9581" t="str">
            <v>ASV10656</v>
          </cell>
          <cell r="H9581" t="str">
            <v>g__Candidatus_Saccharimonas</v>
          </cell>
          <cell r="I9581" t="str">
            <v>s__unclassified_g__Candidatus_Saccharimonas</v>
          </cell>
        </row>
        <row r="9582">
          <cell r="G9582" t="str">
            <v>ASV17607</v>
          </cell>
          <cell r="H9582" t="str">
            <v>g__unclassified_o__Lactobacillales</v>
          </cell>
          <cell r="I9582" t="str">
            <v>s__unclassified_o__Lactobacillales</v>
          </cell>
        </row>
        <row r="9583">
          <cell r="G9583" t="str">
            <v>ASV8487</v>
          </cell>
          <cell r="H9583" t="str">
            <v>g__Megasphaera</v>
          </cell>
          <cell r="I9583" t="str">
            <v>s__unclassified_g__Megasphaera</v>
          </cell>
        </row>
        <row r="9584">
          <cell r="G9584" t="str">
            <v>ASV23953</v>
          </cell>
          <cell r="H9584" t="str">
            <v>g__Lactobacillus</v>
          </cell>
          <cell r="I9584" t="str">
            <v>s__unclassified_g__Lactobacillus</v>
          </cell>
        </row>
        <row r="9585">
          <cell r="G9585" t="str">
            <v>ASV21595</v>
          </cell>
          <cell r="H9585" t="str">
            <v>g__Veillonella</v>
          </cell>
          <cell r="I9585" t="str">
            <v>s__unclassified_g__Veillonella</v>
          </cell>
        </row>
        <row r="9586">
          <cell r="G9586" t="str">
            <v>ASV18580</v>
          </cell>
          <cell r="H9586" t="str">
            <v>g__Veillonella</v>
          </cell>
          <cell r="I9586" t="str">
            <v>s__unclassified_g__Veillonella</v>
          </cell>
        </row>
        <row r="9587">
          <cell r="G9587" t="str">
            <v>ASV623</v>
          </cell>
          <cell r="H9587" t="str">
            <v>g__unclassified_c__Clostridia</v>
          </cell>
          <cell r="I9587" t="str">
            <v>s__unclassified_c__Clostridia</v>
          </cell>
        </row>
        <row r="9588">
          <cell r="G9588" t="str">
            <v>ASV21229</v>
          </cell>
          <cell r="H9588" t="str">
            <v>g__Phascolarctobacterium</v>
          </cell>
          <cell r="I9588" t="str">
            <v>s__unclassified_g__Phascolarctobacterium</v>
          </cell>
        </row>
        <row r="9589">
          <cell r="G9589" t="str">
            <v>ASV5827</v>
          </cell>
          <cell r="H9589" t="str">
            <v>g__unclassified_f__Lachnospiraceae</v>
          </cell>
          <cell r="I9589" t="str">
            <v>s__unclassified_f__Lachnospiraceae</v>
          </cell>
        </row>
        <row r="9590">
          <cell r="G9590" t="str">
            <v>ASV14261</v>
          </cell>
          <cell r="H9590" t="str">
            <v>g__unclassified_c__Clostridia</v>
          </cell>
          <cell r="I9590" t="str">
            <v>s__unclassified_c__Clostridia</v>
          </cell>
        </row>
        <row r="9591">
          <cell r="G9591" t="str">
            <v>ASV14255</v>
          </cell>
          <cell r="H9591" t="str">
            <v>g__Lactobacillus</v>
          </cell>
          <cell r="I9591" t="str">
            <v>s__unclassified_g__Lactobacillus</v>
          </cell>
        </row>
        <row r="9592">
          <cell r="G9592" t="str">
            <v>ASV9427</v>
          </cell>
          <cell r="H9592" t="str">
            <v>g__unclassified_f__Oscillospiraceae</v>
          </cell>
          <cell r="I9592" t="str">
            <v>s__unclassified_f__Oscillospiraceae</v>
          </cell>
        </row>
        <row r="9593">
          <cell r="G9593" t="str">
            <v>ASV9402</v>
          </cell>
          <cell r="H9593" t="str">
            <v>g__Collinsella</v>
          </cell>
          <cell r="I9593" t="str">
            <v>s__unclassified_g__Collinsella</v>
          </cell>
        </row>
        <row r="9594">
          <cell r="G9594" t="str">
            <v>ASV8806</v>
          </cell>
          <cell r="H9594" t="str">
            <v>g__Lactobacillus</v>
          </cell>
          <cell r="I9594" t="str">
            <v>s__unclassified_g__Lactobacillus</v>
          </cell>
        </row>
        <row r="9595">
          <cell r="G9595" t="str">
            <v>ASV23233</v>
          </cell>
          <cell r="H9595" t="str">
            <v>g__Peptococcus</v>
          </cell>
          <cell r="I9595" t="str">
            <v>s__uncultured_bacterium_g__Peptococcus</v>
          </cell>
        </row>
        <row r="9596">
          <cell r="G9596" t="str">
            <v>ASV15318</v>
          </cell>
          <cell r="H9596" t="str">
            <v>g__unclassified_f__Oscillospiraceae</v>
          </cell>
          <cell r="I9596" t="str">
            <v>s__unclassified_f__Oscillospiraceae</v>
          </cell>
        </row>
        <row r="9597">
          <cell r="G9597" t="str">
            <v>ASV11595</v>
          </cell>
          <cell r="H9597" t="str">
            <v>g__Prevotella</v>
          </cell>
          <cell r="I9597" t="str">
            <v>s__uncultured_bacterium_g__Prevotella</v>
          </cell>
        </row>
        <row r="9598">
          <cell r="G9598" t="str">
            <v>ASV17989</v>
          </cell>
          <cell r="H9598" t="str">
            <v>g__unclassified_f__Lachnospiraceae</v>
          </cell>
          <cell r="I9598" t="str">
            <v>s__unclassified_f__Lachnospiraceae</v>
          </cell>
        </row>
        <row r="9599">
          <cell r="G9599" t="str">
            <v>ASV17274</v>
          </cell>
          <cell r="H9599" t="str">
            <v>g__Streptococcus</v>
          </cell>
          <cell r="I9599" t="str">
            <v>s__unclassified_g__Streptococcus</v>
          </cell>
        </row>
        <row r="9600">
          <cell r="G9600" t="str">
            <v>ASV10643</v>
          </cell>
          <cell r="H9600" t="str">
            <v>g__norank_f__Oscillospiraceae</v>
          </cell>
          <cell r="I9600" t="str">
            <v>s__unclassified_g__norank_f__Oscillospiraceae</v>
          </cell>
        </row>
        <row r="9601">
          <cell r="G9601" t="str">
            <v>ASV2183</v>
          </cell>
          <cell r="H9601" t="str">
            <v>g__unclassified_c__Clostridia</v>
          </cell>
          <cell r="I9601" t="str">
            <v>s__unclassified_c__Clostridia</v>
          </cell>
        </row>
        <row r="9602">
          <cell r="G9602" t="str">
            <v>ASV12722</v>
          </cell>
          <cell r="H9602" t="str">
            <v>g__unclassified_f__Christensenellaceae</v>
          </cell>
          <cell r="I9602" t="str">
            <v>s__unclassified_f__Christensenellaceae</v>
          </cell>
        </row>
        <row r="9603">
          <cell r="G9603" t="str">
            <v>ASV15363</v>
          </cell>
          <cell r="H9603" t="str">
            <v>g__Lactobacillus</v>
          </cell>
          <cell r="I9603" t="str">
            <v>s__unclassified_g__Lactobacillus</v>
          </cell>
        </row>
        <row r="9604">
          <cell r="G9604" t="str">
            <v>ASV4019</v>
          </cell>
          <cell r="H9604" t="str">
            <v>g__Enterococcus</v>
          </cell>
          <cell r="I9604" t="str">
            <v>s__unclassified_g__Enterococcus</v>
          </cell>
        </row>
        <row r="9605">
          <cell r="G9605" t="str">
            <v>ASV12769</v>
          </cell>
          <cell r="H9605" t="str">
            <v>g__Lactobacillus</v>
          </cell>
          <cell r="I9605" t="str">
            <v>s__unclassified_g__Lactobacillus</v>
          </cell>
        </row>
        <row r="9606">
          <cell r="G9606" t="str">
            <v>ASV8977</v>
          </cell>
          <cell r="H9606" t="str">
            <v>g__unclassified_c__Bacilli</v>
          </cell>
          <cell r="I9606" t="str">
            <v>s__unclassified_c__Bacilli</v>
          </cell>
        </row>
        <row r="9607">
          <cell r="G9607" t="str">
            <v>ASV19517</v>
          </cell>
          <cell r="H9607" t="str">
            <v>g__Phascolarctobacterium</v>
          </cell>
          <cell r="I9607" t="str">
            <v>s__uncultured_bacterium_g__Phascolarctobacterium</v>
          </cell>
        </row>
        <row r="9608">
          <cell r="G9608" t="str">
            <v>ASV10193</v>
          </cell>
          <cell r="H9608" t="str">
            <v>g__Lactobacillus</v>
          </cell>
          <cell r="I9608" t="str">
            <v>s__unclassified_g__Lactobacillus</v>
          </cell>
        </row>
        <row r="9609">
          <cell r="G9609" t="str">
            <v>ASV4808</v>
          </cell>
          <cell r="H9609" t="str">
            <v>g__Lachnospiraceae_NC2004_group</v>
          </cell>
          <cell r="I9609" t="str">
            <v>s__unclassified_g__Lachnospiraceae_NC2004_group</v>
          </cell>
        </row>
        <row r="9610">
          <cell r="G9610" t="str">
            <v>ASV11593</v>
          </cell>
          <cell r="H9610" t="str">
            <v>g__Treponema</v>
          </cell>
          <cell r="I9610" t="str">
            <v>s__Treponema_berlinense</v>
          </cell>
        </row>
        <row r="9611">
          <cell r="G9611" t="str">
            <v>ASV13389</v>
          </cell>
          <cell r="H9611" t="str">
            <v>g__unclassified_f__Lachnospiraceae</v>
          </cell>
          <cell r="I9611" t="str">
            <v>s__unclassified_f__Lachnospiraceae</v>
          </cell>
        </row>
        <row r="9612">
          <cell r="G9612" t="str">
            <v>ASV16877</v>
          </cell>
          <cell r="H9612" t="str">
            <v>g__unclassified_c__Clostridia</v>
          </cell>
          <cell r="I9612" t="str">
            <v>s__unclassified_c__Clostridia</v>
          </cell>
        </row>
        <row r="9613">
          <cell r="G9613" t="str">
            <v>ASV19558</v>
          </cell>
          <cell r="H9613" t="str">
            <v>g__unclassified_f__Lachnospiraceae</v>
          </cell>
          <cell r="I9613" t="str">
            <v>s__unclassified_f__Lachnospiraceae</v>
          </cell>
        </row>
        <row r="9614">
          <cell r="G9614" t="str">
            <v>ASV11542</v>
          </cell>
          <cell r="H9614" t="str">
            <v>g__UCG-002</v>
          </cell>
          <cell r="I9614" t="str">
            <v>s__uncultured_bacterium_g__UCG-002</v>
          </cell>
        </row>
        <row r="9615">
          <cell r="G9615" t="str">
            <v>ASV23835</v>
          </cell>
          <cell r="H9615" t="str">
            <v>g__Lactobacillus</v>
          </cell>
          <cell r="I9615" t="str">
            <v>s__unclassified_g__Lactobacillus</v>
          </cell>
        </row>
        <row r="9616">
          <cell r="G9616" t="str">
            <v>ASV12759</v>
          </cell>
          <cell r="H9616" t="str">
            <v>g__norank_f__Eubacterium_coprostanoligenes_group</v>
          </cell>
          <cell r="I9616" t="str">
            <v>s__uncultured_bacterium_g__norank_f__Eubacterium_coprostanoligenes_group</v>
          </cell>
        </row>
        <row r="9617">
          <cell r="G9617" t="str">
            <v>ASV5826</v>
          </cell>
          <cell r="H9617" t="str">
            <v>g__unclassified_o__Oscillospirales</v>
          </cell>
          <cell r="I9617" t="str">
            <v>s__unclassified_o__Oscillospirales</v>
          </cell>
        </row>
        <row r="9618">
          <cell r="G9618" t="str">
            <v>ASV11529</v>
          </cell>
          <cell r="H9618" t="str">
            <v>g__unclassified_f__Lachnospiraceae</v>
          </cell>
          <cell r="I9618" t="str">
            <v>s__unclassified_f__Lachnospiraceae</v>
          </cell>
        </row>
        <row r="9619">
          <cell r="G9619" t="str">
            <v>ASV20449</v>
          </cell>
          <cell r="H9619" t="str">
            <v>g__Mucilaginibacter</v>
          </cell>
          <cell r="I9619" t="str">
            <v>s__Mucilaginibacter_sp.</v>
          </cell>
        </row>
        <row r="9620">
          <cell r="G9620" t="str">
            <v>ASV20442</v>
          </cell>
          <cell r="H9620" t="str">
            <v>g__Altererythrobacter</v>
          </cell>
          <cell r="I9620" t="str">
            <v>s__Altererythrobacter_buctensis</v>
          </cell>
        </row>
        <row r="9621">
          <cell r="G9621" t="str">
            <v>ASV8634</v>
          </cell>
          <cell r="H9621" t="str">
            <v>g__unclassified_k__norank_d__Bacteria</v>
          </cell>
          <cell r="I9621" t="str">
            <v>s__unclassified_k__norank_d__Bacteria</v>
          </cell>
        </row>
        <row r="9622">
          <cell r="G9622" t="str">
            <v>ASV3976</v>
          </cell>
          <cell r="H9622" t="str">
            <v>g__Enterococcus</v>
          </cell>
          <cell r="I9622" t="str">
            <v>s__unclassified_g__Enterococcus</v>
          </cell>
        </row>
        <row r="9623">
          <cell r="G9623" t="str">
            <v>ASV3485</v>
          </cell>
          <cell r="H9623" t="str">
            <v>g__Clostridium_sensu_stricto_1</v>
          </cell>
          <cell r="I9623" t="str">
            <v>s__unclassified_g__Clostridium_sensu_stricto_1</v>
          </cell>
        </row>
        <row r="9624">
          <cell r="G9624" t="str">
            <v>ASV23228</v>
          </cell>
          <cell r="H9624" t="str">
            <v>g__Escherichia-Shigella</v>
          </cell>
          <cell r="I9624" t="str">
            <v>s__unclassified_g__Escherichia-Shigella</v>
          </cell>
        </row>
        <row r="9625">
          <cell r="G9625" t="str">
            <v>ASV23184</v>
          </cell>
          <cell r="H9625" t="str">
            <v>g__unclassified_c__Clostridia</v>
          </cell>
          <cell r="I9625" t="str">
            <v>s__unclassified_c__Clostridia</v>
          </cell>
        </row>
        <row r="9626">
          <cell r="G9626" t="str">
            <v>ASV22162</v>
          </cell>
          <cell r="H9626" t="str">
            <v>g__Lactobacillus</v>
          </cell>
          <cell r="I9626" t="str">
            <v>s__unclassified_g__Lactobacillus</v>
          </cell>
        </row>
        <row r="9627">
          <cell r="G9627" t="str">
            <v>ASV590</v>
          </cell>
          <cell r="H9627" t="str">
            <v>g__Eubacterium_nodatum_group</v>
          </cell>
          <cell r="I9627" t="str">
            <v>s__Eubacterium_sp._68-3-10</v>
          </cell>
        </row>
        <row r="9628">
          <cell r="G9628" t="str">
            <v>ASV720</v>
          </cell>
          <cell r="H9628" t="str">
            <v>g__norank_f__norank_o__Clostridia_vadinBB60_group</v>
          </cell>
          <cell r="I9628" t="str">
            <v>s__unclassified_g__norank_f__norank_o__Clostridia_vadinBB60_group</v>
          </cell>
        </row>
        <row r="9629">
          <cell r="G9629" t="str">
            <v>ASV10616</v>
          </cell>
          <cell r="H9629" t="str">
            <v>g__unclassified_f__Lachnospiraceae</v>
          </cell>
          <cell r="I9629" t="str">
            <v>s__unclassified_f__Lachnospiraceae</v>
          </cell>
        </row>
        <row r="9630">
          <cell r="G9630" t="str">
            <v>ASV24162</v>
          </cell>
          <cell r="H9630" t="str">
            <v>g__unclassified_c__Clostridia</v>
          </cell>
          <cell r="I9630" t="str">
            <v>s__unclassified_c__Clostridia</v>
          </cell>
        </row>
        <row r="9631">
          <cell r="G9631" t="str">
            <v>ASV2159</v>
          </cell>
          <cell r="H9631" t="str">
            <v>g__unclassified_c__Clostridia</v>
          </cell>
          <cell r="I9631" t="str">
            <v>s__unclassified_c__Clostridia</v>
          </cell>
        </row>
        <row r="9632">
          <cell r="G9632" t="str">
            <v>ASV22126</v>
          </cell>
          <cell r="H9632" t="str">
            <v>g__unclassified_o__Oscillospirales</v>
          </cell>
          <cell r="I9632" t="str">
            <v>s__unclassified_o__Oscillospirales</v>
          </cell>
        </row>
        <row r="9633">
          <cell r="G9633" t="str">
            <v>ASV688</v>
          </cell>
          <cell r="H9633" t="str">
            <v>g__Prevotella</v>
          </cell>
          <cell r="I9633" t="str">
            <v>s__unclassified_g__Prevotella</v>
          </cell>
        </row>
        <row r="9634">
          <cell r="G9634" t="str">
            <v>ASV22104</v>
          </cell>
          <cell r="H9634" t="str">
            <v>g__unclassified_f__Peptostreptococcaceae</v>
          </cell>
          <cell r="I9634" t="str">
            <v>s__unclassified_f__Peptostreptococcaceae</v>
          </cell>
        </row>
        <row r="9635">
          <cell r="G9635" t="str">
            <v>ASV16370</v>
          </cell>
          <cell r="H9635" t="str">
            <v>g__unclassified_k__norank_d__Bacteria</v>
          </cell>
          <cell r="I9635" t="str">
            <v>s__unclassified_k__norank_d__Bacteria</v>
          </cell>
        </row>
        <row r="9636">
          <cell r="G9636" t="str">
            <v>ASV11596</v>
          </cell>
          <cell r="H9636" t="str">
            <v>g__unclassified_f__Lachnospiraceae</v>
          </cell>
          <cell r="I9636" t="str">
            <v>s__unclassified_f__Lachnospiraceae</v>
          </cell>
        </row>
        <row r="9637">
          <cell r="G9637" t="str">
            <v>ASV718</v>
          </cell>
          <cell r="H9637" t="str">
            <v>g__unclassified_c__Clostridia</v>
          </cell>
          <cell r="I9637" t="str">
            <v>s__unclassified_c__Clostridia</v>
          </cell>
        </row>
        <row r="9638">
          <cell r="G9638" t="str">
            <v>ASV22089</v>
          </cell>
          <cell r="H9638" t="str">
            <v>g__unclassified_f__Acidaminococcaceae</v>
          </cell>
          <cell r="I9638" t="str">
            <v>s__unclassified_f__Acidaminococcaceae</v>
          </cell>
        </row>
        <row r="9639">
          <cell r="G9639" t="str">
            <v>ASV17289</v>
          </cell>
          <cell r="H9639" t="str">
            <v>g__Lactobacillus</v>
          </cell>
          <cell r="I9639" t="str">
            <v>s__unclassified_g__Lactobacillus</v>
          </cell>
        </row>
        <row r="9640">
          <cell r="G9640" t="str">
            <v>ASV14182</v>
          </cell>
          <cell r="H9640" t="str">
            <v>g__unclassified_k__norank_d__Bacteria</v>
          </cell>
          <cell r="I9640" t="str">
            <v>s__unclassified_k__norank_d__Bacteria</v>
          </cell>
        </row>
        <row r="9641">
          <cell r="G9641" t="str">
            <v>ASV2208</v>
          </cell>
          <cell r="H9641" t="str">
            <v>g__unclassified_f__Peptostreptococcaceae</v>
          </cell>
          <cell r="I9641" t="str">
            <v>s__unclassified_f__Peptostreptococcaceae</v>
          </cell>
        </row>
        <row r="9642">
          <cell r="G9642" t="str">
            <v>ASV18855</v>
          </cell>
          <cell r="H9642" t="str">
            <v>g__Bacteroides</v>
          </cell>
          <cell r="I9642" t="str">
            <v>s__unclassified_g__Bacteroides</v>
          </cell>
        </row>
        <row r="9643">
          <cell r="G9643" t="str">
            <v>ASV21769</v>
          </cell>
          <cell r="H9643" t="str">
            <v>g__Acetitomaculum</v>
          </cell>
          <cell r="I9643" t="str">
            <v>s__Lachnospiraceae_bacterium_canine_oral_taxon_099</v>
          </cell>
        </row>
        <row r="9644">
          <cell r="G9644" t="str">
            <v>ASV8988</v>
          </cell>
          <cell r="H9644" t="str">
            <v>g__unclassified_f__Neisseriaceae</v>
          </cell>
          <cell r="I9644" t="str">
            <v>s__unclassified_f__Neisseriaceae</v>
          </cell>
        </row>
        <row r="9645">
          <cell r="G9645" t="str">
            <v>ASV20718</v>
          </cell>
          <cell r="H9645" t="str">
            <v>g__unclassified_f__Ruminococcaceae</v>
          </cell>
          <cell r="I9645" t="str">
            <v>s__unclassified_f__Ruminococcaceae</v>
          </cell>
        </row>
        <row r="9646">
          <cell r="G9646" t="str">
            <v>ASV17285</v>
          </cell>
          <cell r="H9646" t="str">
            <v>g__Turicibacter</v>
          </cell>
          <cell r="I9646" t="str">
            <v>s__uncultured_bacterium_g__Turicibacter</v>
          </cell>
        </row>
        <row r="9647">
          <cell r="G9647" t="str">
            <v>ASV13392</v>
          </cell>
          <cell r="H9647" t="str">
            <v>g__Christensenellaceae_R-7_group</v>
          </cell>
          <cell r="I9647" t="str">
            <v>s__unclassified_g__Christensenellaceae_R-7_group</v>
          </cell>
        </row>
        <row r="9648">
          <cell r="G9648" t="str">
            <v>ASV24142</v>
          </cell>
          <cell r="H9648" t="str">
            <v>g__unclassified_o__Bacteroidales</v>
          </cell>
          <cell r="I9648" t="str">
            <v>s__unclassified_o__Bacteroidales</v>
          </cell>
        </row>
        <row r="9649">
          <cell r="G9649" t="str">
            <v>ASV22118</v>
          </cell>
          <cell r="H9649" t="str">
            <v>g__unclassified_f__Lachnospiraceae</v>
          </cell>
          <cell r="I9649" t="str">
            <v>s__unclassified_f__Lachnospiraceae</v>
          </cell>
        </row>
        <row r="9650">
          <cell r="G9650" t="str">
            <v>ASV5914</v>
          </cell>
          <cell r="H9650" t="str">
            <v>g__unclassified_f__Oscillospiraceae</v>
          </cell>
          <cell r="I9650" t="str">
            <v>s__unclassified_f__Oscillospiraceae</v>
          </cell>
        </row>
        <row r="9651">
          <cell r="G9651" t="str">
            <v>ASV12686</v>
          </cell>
          <cell r="H9651" t="str">
            <v>g__unclassified_c__Clostridia</v>
          </cell>
          <cell r="I9651" t="str">
            <v>s__unclassified_c__Clostridia</v>
          </cell>
        </row>
        <row r="9652">
          <cell r="G9652" t="str">
            <v>ASV7994</v>
          </cell>
          <cell r="H9652" t="str">
            <v>g__norank_f__Muribaculaceae</v>
          </cell>
          <cell r="I9652" t="str">
            <v>s__uncultured_bacterium_g__norank_f__Muribaculaceae</v>
          </cell>
        </row>
        <row r="9653">
          <cell r="G9653" t="str">
            <v>ASV17953</v>
          </cell>
          <cell r="H9653" t="str">
            <v>g__unclassified_c__Clostridia</v>
          </cell>
          <cell r="I9653" t="str">
            <v>s__unclassified_c__Clostridia</v>
          </cell>
        </row>
        <row r="9654">
          <cell r="G9654" t="str">
            <v>ASV661</v>
          </cell>
          <cell r="H9654" t="str">
            <v>g__norank_f__Eubacterium_coprostanoligenes_group</v>
          </cell>
          <cell r="I9654" t="str">
            <v>s__unclassified_g__norank_f__Eubacterium_coprostanoligenes_group</v>
          </cell>
        </row>
        <row r="9655">
          <cell r="G9655" t="str">
            <v>ASV10669</v>
          </cell>
          <cell r="H9655" t="str">
            <v>g__unclassified_o__Oscillospirales</v>
          </cell>
          <cell r="I9655" t="str">
            <v>s__unclassified_o__Oscillospirales</v>
          </cell>
        </row>
        <row r="9656">
          <cell r="G9656" t="str">
            <v>ASV18029</v>
          </cell>
          <cell r="H9656" t="str">
            <v>g__unclassified_c__Clostridia</v>
          </cell>
          <cell r="I9656" t="str">
            <v>s__unclassified_c__Clostridia</v>
          </cell>
        </row>
        <row r="9657">
          <cell r="G9657" t="str">
            <v>ASV12786</v>
          </cell>
          <cell r="H9657" t="str">
            <v>g__Lachnospiraceae_NC2004_group</v>
          </cell>
          <cell r="I9657" t="str">
            <v>s__unclassified_g__Lachnospiraceae_NC2004_group</v>
          </cell>
        </row>
        <row r="9658">
          <cell r="G9658" t="str">
            <v>ASV15076</v>
          </cell>
          <cell r="H9658" t="str">
            <v>g__norank_f__Opitutaceae</v>
          </cell>
          <cell r="I9658" t="str">
            <v>s__metagenome_g__norank_f__Opitutaceae</v>
          </cell>
        </row>
        <row r="9659">
          <cell r="G9659" t="str">
            <v>ASV11608</v>
          </cell>
          <cell r="H9659" t="str">
            <v>g__norank_f__Christensenellaceae</v>
          </cell>
          <cell r="I9659" t="str">
            <v>s__unclassified_g__norank_f__Christensenellaceae</v>
          </cell>
        </row>
        <row r="9660">
          <cell r="G9660" t="str">
            <v>ASV719</v>
          </cell>
          <cell r="H9660" t="str">
            <v>g__unclassified_f__Lachnospiraceae</v>
          </cell>
          <cell r="I9660" t="str">
            <v>s__unclassified_f__Lachnospiraceae</v>
          </cell>
        </row>
        <row r="9661">
          <cell r="G9661" t="str">
            <v>ASV17975</v>
          </cell>
          <cell r="H9661" t="str">
            <v>g__Christensenellaceae_R-7_group</v>
          </cell>
          <cell r="I9661" t="str">
            <v>s__unclassified_g__Christensenellaceae_R-7_group</v>
          </cell>
        </row>
        <row r="9662">
          <cell r="G9662" t="str">
            <v>ASV10639</v>
          </cell>
          <cell r="H9662" t="str">
            <v>g__Collinsella</v>
          </cell>
          <cell r="I9662" t="str">
            <v>s__uncultured_bacterium_g__Collinsella</v>
          </cell>
        </row>
        <row r="9663">
          <cell r="G9663" t="str">
            <v>ASV15322</v>
          </cell>
          <cell r="H9663" t="str">
            <v>g__unclassified_f__Lachnospiraceae</v>
          </cell>
          <cell r="I9663" t="str">
            <v>s__unclassified_f__Lachnospiraceae</v>
          </cell>
        </row>
        <row r="9664">
          <cell r="G9664" t="str">
            <v>ASV11057</v>
          </cell>
          <cell r="H9664" t="str">
            <v>g__Lactobacillus</v>
          </cell>
          <cell r="I9664" t="str">
            <v>s__unclassified_g__Lactobacillus</v>
          </cell>
        </row>
        <row r="9665">
          <cell r="G9665" t="str">
            <v>ASV13388</v>
          </cell>
          <cell r="H9665" t="str">
            <v>g__Peptococcus</v>
          </cell>
          <cell r="I9665" t="str">
            <v>s__uncultured_bacterium_g__Peptococcus</v>
          </cell>
        </row>
        <row r="9666">
          <cell r="G9666" t="str">
            <v>ASV14176</v>
          </cell>
          <cell r="H9666" t="str">
            <v>g__unclassified_c__Clostridia</v>
          </cell>
          <cell r="I9666" t="str">
            <v>s__unclassified_c__Clostridia</v>
          </cell>
        </row>
        <row r="9667">
          <cell r="G9667" t="str">
            <v>ASV10012</v>
          </cell>
          <cell r="H9667" t="str">
            <v>g__norank_f__norank_o__WCHB1-41</v>
          </cell>
          <cell r="I9667" t="str">
            <v>s__uncultured_rumen_bacterium_g__norank_f__norank</v>
          </cell>
        </row>
        <row r="9668">
          <cell r="G9668" t="str">
            <v>ASV11511</v>
          </cell>
          <cell r="H9668" t="str">
            <v>g__unclassified_c__Clostridia</v>
          </cell>
          <cell r="I9668" t="str">
            <v>s__unclassified_c__Clostridia</v>
          </cell>
        </row>
        <row r="9669">
          <cell r="G9669" t="str">
            <v>ASV634</v>
          </cell>
          <cell r="H9669" t="str">
            <v>g__UCG-005</v>
          </cell>
          <cell r="I9669" t="str">
            <v>s__unclassified_g__UCG-005</v>
          </cell>
        </row>
        <row r="9670">
          <cell r="G9670" t="str">
            <v>ASV9639</v>
          </cell>
          <cell r="H9670" t="str">
            <v>g__Lactobacillus</v>
          </cell>
          <cell r="I9670" t="str">
            <v>s__unclassified_g__Lactobacillus</v>
          </cell>
        </row>
        <row r="9671">
          <cell r="G9671" t="str">
            <v>ASV21440</v>
          </cell>
          <cell r="H9671" t="str">
            <v>g__Anaerovibrio</v>
          </cell>
          <cell r="I9671" t="str">
            <v>s__Anaerovibrio_sp._765</v>
          </cell>
        </row>
        <row r="9672">
          <cell r="G9672" t="str">
            <v>ASV2209</v>
          </cell>
          <cell r="H9672" t="str">
            <v>g__unclassified_c__Bacilli</v>
          </cell>
          <cell r="I9672" t="str">
            <v>s__unclassified_c__Bacilli</v>
          </cell>
        </row>
        <row r="9673">
          <cell r="G9673" t="str">
            <v>ASV23838</v>
          </cell>
          <cell r="H9673" t="str">
            <v>g__Lactobacillus</v>
          </cell>
          <cell r="I9673" t="str">
            <v>s__unclassified_g__Lactobacillus</v>
          </cell>
        </row>
        <row r="9674">
          <cell r="G9674" t="str">
            <v>ASV2181</v>
          </cell>
          <cell r="H9674" t="str">
            <v>g__unclassified_c__Bacilli</v>
          </cell>
          <cell r="I9674" t="str">
            <v>s__unclassified_c__Bacilli</v>
          </cell>
        </row>
        <row r="9675">
          <cell r="G9675" t="str">
            <v>ASV3524</v>
          </cell>
          <cell r="H9675" t="str">
            <v>g__Streptococcus</v>
          </cell>
          <cell r="I9675" t="str">
            <v>s__unclassified_g__Streptococcus</v>
          </cell>
        </row>
        <row r="9676">
          <cell r="G9676" t="str">
            <v>ASV11648</v>
          </cell>
          <cell r="H9676" t="str">
            <v>g__Treponema</v>
          </cell>
          <cell r="I9676" t="str">
            <v>s__uncultured_bacterium_g__Treponema</v>
          </cell>
        </row>
        <row r="9677">
          <cell r="G9677" t="str">
            <v>ASV10020</v>
          </cell>
          <cell r="H9677" t="str">
            <v>g__unclassified_f__Anaerovoracaceae</v>
          </cell>
          <cell r="I9677" t="str">
            <v>s__unclassified_f__Anaerovoracaceae</v>
          </cell>
        </row>
        <row r="9678">
          <cell r="G9678" t="str">
            <v>ASV20804</v>
          </cell>
          <cell r="H9678" t="str">
            <v>g__Christensenellaceae_R-7_group</v>
          </cell>
          <cell r="I9678" t="str">
            <v>s__unclassified_g__Christensenellaceae_R-7_group</v>
          </cell>
        </row>
        <row r="9679">
          <cell r="G9679" t="str">
            <v>ASV15399</v>
          </cell>
          <cell r="H9679" t="str">
            <v>g__Christensenellaceae_R-7_group</v>
          </cell>
          <cell r="I9679" t="str">
            <v>s__uncultured_bacterium_g__Christensenellaceae_R-7_group</v>
          </cell>
        </row>
        <row r="9680">
          <cell r="G9680" t="str">
            <v>ASV16900</v>
          </cell>
          <cell r="H9680" t="str">
            <v>g__Bacteroides</v>
          </cell>
          <cell r="I9680" t="str">
            <v>s__uncultured_bacterium_g__Bacteroides</v>
          </cell>
        </row>
        <row r="9681">
          <cell r="G9681" t="str">
            <v>ASV1674</v>
          </cell>
          <cell r="H9681" t="str">
            <v>g__Terrisporobacter</v>
          </cell>
          <cell r="I9681" t="str">
            <v>s__uncultured_bacterium_g__Terrisporobacter</v>
          </cell>
        </row>
        <row r="9682">
          <cell r="G9682" t="str">
            <v>ASV16375</v>
          </cell>
          <cell r="H9682" t="str">
            <v>g__unclassified_p__Firmicutes</v>
          </cell>
          <cell r="I9682" t="str">
            <v>s__unclassified_p__Firmicutes</v>
          </cell>
        </row>
        <row r="9683">
          <cell r="G9683" t="str">
            <v>ASV22251</v>
          </cell>
          <cell r="H9683" t="str">
            <v>g__Turicibacter</v>
          </cell>
          <cell r="I9683" t="str">
            <v>s__unclassified_g__Turicibacter</v>
          </cell>
        </row>
        <row r="9684">
          <cell r="G9684" t="str">
            <v>ASV15978</v>
          </cell>
          <cell r="H9684" t="str">
            <v>g__Fusobacterium</v>
          </cell>
          <cell r="I9684" t="str">
            <v>s__unclassified_g__Fusobacterium</v>
          </cell>
        </row>
        <row r="9685">
          <cell r="G9685" t="str">
            <v>ASV17998</v>
          </cell>
          <cell r="H9685" t="str">
            <v>g__norank_f__Christensenellaceae</v>
          </cell>
          <cell r="I9685" t="str">
            <v>s__uncultured_bacterium_g__norank_f__Christensenellaceae</v>
          </cell>
        </row>
        <row r="9686">
          <cell r="G9686" t="str">
            <v>ASV19591</v>
          </cell>
          <cell r="H9686" t="str">
            <v>g__unclassified_c__Clostridia</v>
          </cell>
          <cell r="I9686" t="str">
            <v>s__unclassified_c__Clostridia</v>
          </cell>
        </row>
        <row r="9687">
          <cell r="G9687" t="str">
            <v>ASV20783</v>
          </cell>
          <cell r="H9687" t="str">
            <v>g__unclassified_f__Peptostreptococcaceae</v>
          </cell>
          <cell r="I9687" t="str">
            <v>s__unclassified_f__Peptostreptococcaceae</v>
          </cell>
        </row>
        <row r="9688">
          <cell r="G9688" t="str">
            <v>ASV24158</v>
          </cell>
          <cell r="H9688" t="str">
            <v>g__unclassified_f__Oscillospiraceae</v>
          </cell>
          <cell r="I9688" t="str">
            <v>s__unclassified_f__Oscillospiraceae</v>
          </cell>
        </row>
        <row r="9689">
          <cell r="G9689" t="str">
            <v>ASV4794</v>
          </cell>
          <cell r="H9689" t="str">
            <v>g__unclassified_c__Clostridia</v>
          </cell>
          <cell r="I9689" t="str">
            <v>s__unclassified_c__Clostridia</v>
          </cell>
        </row>
        <row r="9690">
          <cell r="G9690" t="str">
            <v>ASV18002</v>
          </cell>
          <cell r="H9690" t="str">
            <v>g__norank_f__Christensenellaceae</v>
          </cell>
          <cell r="I9690" t="str">
            <v>s__unclassified_g__norank_f__Christensenellaceae</v>
          </cell>
        </row>
        <row r="9691">
          <cell r="G9691" t="str">
            <v>ASV15074</v>
          </cell>
          <cell r="H9691" t="str">
            <v>g__unclassified_k__norank_d__Bacteria</v>
          </cell>
          <cell r="I9691" t="str">
            <v>s__unclassified_k__norank_d__Bacteria</v>
          </cell>
        </row>
        <row r="9692">
          <cell r="G9692" t="str">
            <v>ASV2116</v>
          </cell>
          <cell r="H9692" t="str">
            <v>g__Escherichia-Shigella</v>
          </cell>
          <cell r="I9692" t="str">
            <v>s__unclassified_g__Escherichia-Shigella</v>
          </cell>
        </row>
        <row r="9693">
          <cell r="G9693" t="str">
            <v>ASV19524</v>
          </cell>
          <cell r="H9693" t="str">
            <v>g__unclassified_c__Clostridia</v>
          </cell>
          <cell r="I9693" t="str">
            <v>s__unclassified_c__Clostridia</v>
          </cell>
        </row>
        <row r="9694">
          <cell r="G9694" t="str">
            <v>ASV4755</v>
          </cell>
          <cell r="H9694" t="str">
            <v>g__norank_f__Eubacterium_coprostanoligenes_group</v>
          </cell>
          <cell r="I9694" t="str">
            <v>s__unclassified_g__norank_f__Eubacterium_coprostanoligenes_group</v>
          </cell>
        </row>
        <row r="9695">
          <cell r="G9695" t="str">
            <v>ASV11495</v>
          </cell>
          <cell r="H9695" t="str">
            <v>g__Treponema</v>
          </cell>
          <cell r="I9695" t="str">
            <v>s__unclassified_g__Treponema</v>
          </cell>
        </row>
        <row r="9696">
          <cell r="G9696" t="str">
            <v>ASV19064</v>
          </cell>
          <cell r="H9696" t="str">
            <v>g__unclassified_f__Pasteurellaceae</v>
          </cell>
          <cell r="I9696" t="str">
            <v>s__unclassified_f__Pasteurellaceae</v>
          </cell>
        </row>
        <row r="9697">
          <cell r="G9697" t="str">
            <v>ASV20813</v>
          </cell>
          <cell r="H9697" t="str">
            <v>g__unclassified_o__Oscillospirales</v>
          </cell>
          <cell r="I9697" t="str">
            <v>s__unclassified_o__Oscillospirales</v>
          </cell>
        </row>
        <row r="9698">
          <cell r="G9698" t="str">
            <v>ASV4032</v>
          </cell>
          <cell r="H9698" t="str">
            <v>g__Cloacibacillus</v>
          </cell>
          <cell r="I9698" t="str">
            <v>s__unclassified_g__Cloacibacillus</v>
          </cell>
        </row>
        <row r="9699">
          <cell r="G9699" t="str">
            <v>ASV23956</v>
          </cell>
          <cell r="H9699" t="str">
            <v>g__Lactobacillus</v>
          </cell>
          <cell r="I9699" t="str">
            <v>s__unclassified_g__Lactobacillus</v>
          </cell>
        </row>
        <row r="9700">
          <cell r="G9700" t="str">
            <v>ASV6340</v>
          </cell>
          <cell r="H9700" t="str">
            <v>g__UCG-009</v>
          </cell>
          <cell r="I9700" t="str">
            <v>s__uncultured_bacterium_g__UCG-009</v>
          </cell>
        </row>
        <row r="9701">
          <cell r="G9701" t="str">
            <v>ASV21455</v>
          </cell>
          <cell r="H9701" t="str">
            <v>g__unclassified_c__Bacilli</v>
          </cell>
          <cell r="I9701" t="str">
            <v>s__unclassified_c__Bacilli</v>
          </cell>
        </row>
        <row r="9702">
          <cell r="G9702" t="str">
            <v>ASV20739</v>
          </cell>
          <cell r="H9702" t="str">
            <v>g__unclassified_o__Oscillospirales</v>
          </cell>
          <cell r="I9702" t="str">
            <v>s__unclassified_o__Oscillospirales</v>
          </cell>
        </row>
        <row r="9703">
          <cell r="G9703" t="str">
            <v>ASV11590</v>
          </cell>
          <cell r="H9703" t="str">
            <v>g__unclassified_f__Lachnospiraceae</v>
          </cell>
          <cell r="I9703" t="str">
            <v>s__unclassified_f__Lachnospiraceae</v>
          </cell>
        </row>
        <row r="9704">
          <cell r="G9704" t="str">
            <v>ASV22238</v>
          </cell>
          <cell r="H9704" t="str">
            <v>g__unclassified_f__Oscillospiraceae</v>
          </cell>
          <cell r="I9704" t="str">
            <v>s__unclassified_f__Oscillospiraceae</v>
          </cell>
        </row>
        <row r="9705">
          <cell r="G9705" t="str">
            <v>ASV20795</v>
          </cell>
          <cell r="H9705" t="str">
            <v>g__unclassified_f__Clostridiaceae</v>
          </cell>
          <cell r="I9705" t="str">
            <v>s__unclassified_f__Clostridiaceae</v>
          </cell>
        </row>
        <row r="9706">
          <cell r="G9706" t="str">
            <v>ASV23197</v>
          </cell>
          <cell r="H9706" t="str">
            <v>g__unclassified_c__Clostridia</v>
          </cell>
          <cell r="I9706" t="str">
            <v>s__unclassified_c__Clostridia</v>
          </cell>
        </row>
        <row r="9707">
          <cell r="G9707" t="str">
            <v>ASV12706</v>
          </cell>
          <cell r="H9707" t="str">
            <v>g__Desulfovibrio</v>
          </cell>
          <cell r="I9707" t="str">
            <v>s__unclassified_g__Desulfovibrio</v>
          </cell>
        </row>
        <row r="9708">
          <cell r="G9708" t="str">
            <v>ASV22191</v>
          </cell>
          <cell r="H9708" t="str">
            <v>g__unclassified_f__Lachnospiraceae</v>
          </cell>
          <cell r="I9708" t="str">
            <v>s__unclassified_f__Lachnospiraceae</v>
          </cell>
        </row>
        <row r="9709">
          <cell r="G9709" t="str">
            <v>ASV713</v>
          </cell>
          <cell r="H9709" t="str">
            <v>g__norank_f__Muribaculaceae</v>
          </cell>
          <cell r="I9709" t="str">
            <v>s__uncultured_bacterium_g__norank_f__Muribaculaceae</v>
          </cell>
        </row>
        <row r="9710">
          <cell r="G9710" t="str">
            <v>ASV2203</v>
          </cell>
          <cell r="H9710" t="str">
            <v>g__Romboutsia</v>
          </cell>
          <cell r="I9710" t="str">
            <v>s__unclassified_g__Romboutsia</v>
          </cell>
        </row>
        <row r="9711">
          <cell r="G9711" t="str">
            <v>ASV10633</v>
          </cell>
          <cell r="H9711" t="str">
            <v>g__UCG-005</v>
          </cell>
          <cell r="I9711" t="str">
            <v>s__unclassified_g__UCG-005</v>
          </cell>
        </row>
        <row r="9712">
          <cell r="G9712" t="str">
            <v>ASV17199</v>
          </cell>
          <cell r="H9712" t="str">
            <v>g__Rothia</v>
          </cell>
          <cell r="I9712" t="str">
            <v>s__unclassified_g__Rothia</v>
          </cell>
        </row>
        <row r="9713">
          <cell r="G9713" t="str">
            <v>ASV6669</v>
          </cell>
          <cell r="H9713" t="str">
            <v>g__unclassified_f__Lachnospiraceae</v>
          </cell>
          <cell r="I9713" t="str">
            <v>s__unclassified_f__Lachnospiraceae</v>
          </cell>
        </row>
        <row r="9714">
          <cell r="G9714" t="str">
            <v>ASV2146</v>
          </cell>
          <cell r="H9714" t="str">
            <v>g__unclassified_f__Lachnospiraceae</v>
          </cell>
          <cell r="I9714" t="str">
            <v>s__unclassified_f__Lachnospiraceae</v>
          </cell>
        </row>
        <row r="9715">
          <cell r="G9715" t="str">
            <v>ASV16178</v>
          </cell>
          <cell r="H9715" t="str">
            <v>g__unclassified_p__Firmicutes</v>
          </cell>
          <cell r="I9715" t="str">
            <v>s__unclassified_p__Firmicutes</v>
          </cell>
        </row>
        <row r="9716">
          <cell r="G9716" t="str">
            <v>ASV17993</v>
          </cell>
          <cell r="H9716" t="str">
            <v>g__Christensenellaceae_R-7_group</v>
          </cell>
          <cell r="I9716" t="str">
            <v>s__unclassified_g__Christensenellaceae_R-7_group</v>
          </cell>
        </row>
        <row r="9717">
          <cell r="G9717" t="str">
            <v>ASV7740</v>
          </cell>
          <cell r="H9717" t="str">
            <v>g__Subdoligranulum</v>
          </cell>
          <cell r="I9717" t="str">
            <v>s__unclassified_g__Subdoligranulum</v>
          </cell>
        </row>
        <row r="9718">
          <cell r="G9718" t="str">
            <v>ASV11555</v>
          </cell>
          <cell r="H9718" t="str">
            <v>g__unclassified_c__Clostridia</v>
          </cell>
          <cell r="I9718" t="str">
            <v>s__unclassified_c__Clostridia</v>
          </cell>
        </row>
        <row r="9719">
          <cell r="G9719" t="str">
            <v>ASV11614</v>
          </cell>
          <cell r="H9719" t="str">
            <v>g__Lachnospiraceae_XPB1014_group</v>
          </cell>
          <cell r="I9719" t="str">
            <v>s__uncultured_bacterium_g__Lachnospiraceae_XPB1014_group</v>
          </cell>
        </row>
        <row r="9720">
          <cell r="G9720" t="str">
            <v>ASV23205</v>
          </cell>
          <cell r="H9720" t="str">
            <v>g__unclassified_o__Oscillospirales</v>
          </cell>
          <cell r="I9720" t="str">
            <v>s__unclassified_o__Oscillospirales</v>
          </cell>
        </row>
        <row r="9721">
          <cell r="G9721" t="str">
            <v>ASV691</v>
          </cell>
          <cell r="H9721" t="str">
            <v>g__Ruminococcus</v>
          </cell>
          <cell r="I9721" t="str">
            <v>s__unclassified_g__Ruminococcus</v>
          </cell>
        </row>
        <row r="9722">
          <cell r="G9722" t="str">
            <v>ASV10612</v>
          </cell>
          <cell r="H9722" t="str">
            <v>g__unclassified_c__Clostridia</v>
          </cell>
          <cell r="I9722" t="str">
            <v>s__unclassified_c__Clostridia</v>
          </cell>
        </row>
        <row r="9723">
          <cell r="G9723" t="str">
            <v>ASV17145</v>
          </cell>
          <cell r="H9723" t="str">
            <v>g__Clostridium_sensu_stricto_1</v>
          </cell>
          <cell r="I9723" t="str">
            <v>s__unclassified_g__Clostridium_sensu_stricto_1</v>
          </cell>
        </row>
        <row r="9724">
          <cell r="G9724" t="str">
            <v>ASV15392</v>
          </cell>
          <cell r="H9724" t="str">
            <v>g__unclassified_c__Clostridia</v>
          </cell>
          <cell r="I9724" t="str">
            <v>s__unclassified_c__Clostridia</v>
          </cell>
        </row>
        <row r="9725">
          <cell r="G9725" t="str">
            <v>ASV22210</v>
          </cell>
          <cell r="H9725" t="str">
            <v>g__unclassified_c__Clostridia</v>
          </cell>
          <cell r="I9725" t="str">
            <v>s__unclassified_c__Clostridia</v>
          </cell>
        </row>
        <row r="9726">
          <cell r="G9726" t="str">
            <v>ASV5885</v>
          </cell>
          <cell r="H9726" t="str">
            <v>g__norank_f__Erysipelotrichaceae</v>
          </cell>
          <cell r="I9726" t="str">
            <v>s__uncultured_bacterium_g__norank_f__Erysipelotrichaceae</v>
          </cell>
        </row>
        <row r="9727">
          <cell r="G9727" t="str">
            <v>ASV4810</v>
          </cell>
          <cell r="H9727" t="str">
            <v>g__unclassified_c__Clostridia</v>
          </cell>
          <cell r="I9727" t="str">
            <v>s__unclassified_c__Clostridia</v>
          </cell>
        </row>
        <row r="9728">
          <cell r="G9728" t="str">
            <v>ASV10667</v>
          </cell>
          <cell r="H9728" t="str">
            <v>g__norank_f__Eubacterium_coprostanoligenes_group</v>
          </cell>
          <cell r="I9728" t="str">
            <v>s__unclassified_g__norank_f__Eubacterium_coprostanoligenes_group</v>
          </cell>
        </row>
        <row r="9729">
          <cell r="G9729" t="str">
            <v>ASV4742</v>
          </cell>
          <cell r="H9729" t="str">
            <v>g__unclassified_p__Firmicutes</v>
          </cell>
          <cell r="I9729" t="str">
            <v>s__unclassified_p__Firmicutes</v>
          </cell>
        </row>
        <row r="9730">
          <cell r="G9730" t="str">
            <v>ASV10596</v>
          </cell>
          <cell r="H9730" t="str">
            <v>g__unclassified_c__Clostridia</v>
          </cell>
          <cell r="I9730" t="str">
            <v>s__unclassified_c__Clostridia</v>
          </cell>
        </row>
        <row r="9731">
          <cell r="G9731" t="str">
            <v>ASV20790</v>
          </cell>
          <cell r="H9731" t="str">
            <v>g__unclassified_c__Clostridia</v>
          </cell>
          <cell r="I9731" t="str">
            <v>s__unclassified_c__Clostridia</v>
          </cell>
        </row>
        <row r="9732">
          <cell r="G9732" t="str">
            <v>ASV23226</v>
          </cell>
          <cell r="H9732" t="str">
            <v>g__Megasphaera</v>
          </cell>
          <cell r="I9732" t="str">
            <v>s__unclassified_g__Megasphaera</v>
          </cell>
        </row>
        <row r="9733">
          <cell r="G9733" t="str">
            <v>ASV7730</v>
          </cell>
          <cell r="H9733" t="str">
            <v>g__norank_f__Ruminococcaceae</v>
          </cell>
          <cell r="I9733" t="str">
            <v>s__unclassified_g__norank_f__Ruminococcaceae</v>
          </cell>
        </row>
        <row r="9734">
          <cell r="G9734" t="str">
            <v>ASV1642</v>
          </cell>
          <cell r="H9734" t="str">
            <v>g__unclassified_f__Lachnospiraceae</v>
          </cell>
          <cell r="I9734" t="str">
            <v>s__unclassified_f__Lachnospiraceae</v>
          </cell>
        </row>
        <row r="9735">
          <cell r="G9735" t="str">
            <v>ASV4782</v>
          </cell>
          <cell r="H9735" t="str">
            <v>g__unclassified_c__Clostridia</v>
          </cell>
          <cell r="I9735" t="str">
            <v>s__unclassified_c__Clostridia</v>
          </cell>
        </row>
        <row r="9736">
          <cell r="G9736" t="str">
            <v>ASV5938</v>
          </cell>
          <cell r="H9736" t="str">
            <v>g__unclassified_f__Oscillospiraceae</v>
          </cell>
          <cell r="I9736" t="str">
            <v>s__unclassified_f__Oscillospiraceae</v>
          </cell>
        </row>
        <row r="9737">
          <cell r="G9737" t="str">
            <v>ASV22196</v>
          </cell>
          <cell r="H9737" t="str">
            <v>g__Prevotellaceae_UCG-003</v>
          </cell>
          <cell r="I9737" t="str">
            <v>s__uncultured_bacterium_g__Prevotellaceae_UCG-003</v>
          </cell>
        </row>
        <row r="9738">
          <cell r="G9738" t="str">
            <v>ASV653</v>
          </cell>
          <cell r="H9738" t="str">
            <v>g__unclassified_f__Lachnospiraceae</v>
          </cell>
          <cell r="I9738" t="str">
            <v>s__unclassified_f__Lachnospiraceae</v>
          </cell>
        </row>
        <row r="9739">
          <cell r="G9739" t="str">
            <v>ASV12752</v>
          </cell>
          <cell r="H9739" t="str">
            <v>g__unclassified_p__Firmicutes</v>
          </cell>
          <cell r="I9739" t="str">
            <v>s__unclassified_p__Firmicutes</v>
          </cell>
        </row>
        <row r="9740">
          <cell r="G9740" t="str">
            <v>ASV17192</v>
          </cell>
          <cell r="H9740" t="str">
            <v>g__Actinomyces</v>
          </cell>
          <cell r="I9740" t="str">
            <v>s__unclassified_g__Actinomyces</v>
          </cell>
        </row>
        <row r="9741">
          <cell r="G9741" t="str">
            <v>ASV7735</v>
          </cell>
          <cell r="H9741" t="str">
            <v>g__unclassified_f__Peptostreptococcaceae</v>
          </cell>
          <cell r="I9741" t="str">
            <v>s__unclassified_f__Peptostreptococcaceae</v>
          </cell>
        </row>
        <row r="9742">
          <cell r="G9742" t="str">
            <v>ASV20715</v>
          </cell>
          <cell r="H9742" t="str">
            <v>g__unclassified_f__Lachnospiraceae</v>
          </cell>
          <cell r="I9742" t="str">
            <v>s__unclassified_f__Lachnospiraceae</v>
          </cell>
        </row>
        <row r="9743">
          <cell r="G9743" t="str">
            <v>ASV14235</v>
          </cell>
          <cell r="H9743" t="str">
            <v>g__unclassified_c__Clostridia</v>
          </cell>
          <cell r="I9743" t="str">
            <v>s__unclassified_c__Clostridia</v>
          </cell>
        </row>
        <row r="9744">
          <cell r="G9744" t="str">
            <v>ASV9376</v>
          </cell>
          <cell r="H9744" t="str">
            <v>g__unclassified_f__Oscillospiraceae</v>
          </cell>
          <cell r="I9744" t="str">
            <v>s__unclassified_f__Oscillospiraceae</v>
          </cell>
        </row>
        <row r="9745">
          <cell r="G9745" t="str">
            <v>ASV17197</v>
          </cell>
          <cell r="H9745" t="str">
            <v>g__Lactobacillus</v>
          </cell>
          <cell r="I9745" t="str">
            <v>s__unclassified_g__Lactobacillus</v>
          </cell>
        </row>
        <row r="9746">
          <cell r="G9746" t="str">
            <v>ASV10642</v>
          </cell>
          <cell r="H9746" t="str">
            <v>g__unclassified_c__Clostridia</v>
          </cell>
          <cell r="I9746" t="str">
            <v>s__unclassified_c__Clostridia</v>
          </cell>
        </row>
        <row r="9747">
          <cell r="G9747" t="str">
            <v>ASV2140</v>
          </cell>
          <cell r="H9747" t="str">
            <v>g__Monoglobus</v>
          </cell>
          <cell r="I9747" t="str">
            <v>s__unclassified_g__Monoglobus</v>
          </cell>
        </row>
        <row r="9748">
          <cell r="G9748" t="str">
            <v>ASV7757</v>
          </cell>
          <cell r="H9748" t="str">
            <v>g__unclassified_p__Firmicutes</v>
          </cell>
          <cell r="I9748" t="str">
            <v>s__unclassified_p__Firmicutes</v>
          </cell>
        </row>
        <row r="9749">
          <cell r="G9749" t="str">
            <v>ASV11583</v>
          </cell>
          <cell r="H9749" t="str">
            <v>g__unclassified_c__Clostridia</v>
          </cell>
          <cell r="I9749" t="str">
            <v>s__unclassified_c__Clostridia</v>
          </cell>
        </row>
        <row r="9750">
          <cell r="G9750" t="str">
            <v>ASV7759</v>
          </cell>
          <cell r="H9750" t="str">
            <v>g__unclassified_f__Lachnospiraceae</v>
          </cell>
          <cell r="I9750" t="str">
            <v>s__unclassified_f__Lachnospiraceae</v>
          </cell>
        </row>
        <row r="9751">
          <cell r="G9751" t="str">
            <v>ASV12710</v>
          </cell>
          <cell r="H9751" t="str">
            <v>g__norank_f__Eubacterium_coprostanoligenes_group</v>
          </cell>
          <cell r="I9751" t="str">
            <v>s__uncultured_bacterium_g__norank_f__Eubacterium_coprostanoligenes_group</v>
          </cell>
        </row>
        <row r="9752">
          <cell r="G9752" t="str">
            <v>ASV23950</v>
          </cell>
          <cell r="H9752" t="str">
            <v>g__unclassified_p__Firmicutes</v>
          </cell>
          <cell r="I9752" t="str">
            <v>s__unclassified_p__Firmicutes</v>
          </cell>
        </row>
        <row r="9753">
          <cell r="G9753" t="str">
            <v>ASV23832</v>
          </cell>
          <cell r="H9753" t="str">
            <v>g__Lactobacillus</v>
          </cell>
          <cell r="I9753" t="str">
            <v>s__unclassified_g__Lactobacillus</v>
          </cell>
        </row>
        <row r="9754">
          <cell r="G9754" t="str">
            <v>ASV4807</v>
          </cell>
          <cell r="H9754" t="str">
            <v>g__Ruminococcus</v>
          </cell>
          <cell r="I9754" t="str">
            <v>s__unclassified_g__Ruminococcus</v>
          </cell>
        </row>
        <row r="9755">
          <cell r="G9755" t="str">
            <v>ASV14279</v>
          </cell>
          <cell r="H9755" t="str">
            <v>g__unclassified_k__norank_d__Bacteria</v>
          </cell>
          <cell r="I9755" t="str">
            <v>s__unclassified_k__norank_d__Bacteria</v>
          </cell>
        </row>
        <row r="9756">
          <cell r="G9756" t="str">
            <v>ASV4814</v>
          </cell>
          <cell r="H9756" t="str">
            <v>g__unclassified_c__Clostridia</v>
          </cell>
          <cell r="I9756" t="str">
            <v>s__unclassified_c__Clostridia</v>
          </cell>
        </row>
        <row r="9757">
          <cell r="G9757" t="str">
            <v>ASV15352</v>
          </cell>
          <cell r="H9757" t="str">
            <v>g__Cloacibacillus</v>
          </cell>
          <cell r="I9757" t="str">
            <v>s__unclassified_g__Cloacibacillus</v>
          </cell>
        </row>
        <row r="9758">
          <cell r="G9758" t="str">
            <v>ASV4818</v>
          </cell>
          <cell r="H9758" t="str">
            <v>g__unclassified_c__Clostridia</v>
          </cell>
          <cell r="I9758" t="str">
            <v>s__unclassified_c__Clostridia</v>
          </cell>
        </row>
        <row r="9759">
          <cell r="G9759" t="str">
            <v>ASV6725</v>
          </cell>
          <cell r="H9759" t="str">
            <v>g__unclassified_k__norank_d__Bacteria</v>
          </cell>
          <cell r="I9759" t="str">
            <v>s__unclassified_k__norank_d__Bacteria</v>
          </cell>
        </row>
        <row r="9760">
          <cell r="G9760" t="str">
            <v>ASV5814</v>
          </cell>
          <cell r="H9760" t="str">
            <v>g__unclassified_f__Peptostreptococcaceae</v>
          </cell>
          <cell r="I9760" t="str">
            <v>s__unclassified_f__Peptostreptococcaceae</v>
          </cell>
        </row>
        <row r="9761">
          <cell r="G9761" t="str">
            <v>ASV11550</v>
          </cell>
          <cell r="H9761" t="str">
            <v>g__unclassified_f__Oscillospiraceae</v>
          </cell>
          <cell r="I9761" t="str">
            <v>s__unclassified_f__Oscillospiraceae</v>
          </cell>
        </row>
        <row r="9762">
          <cell r="G9762" t="str">
            <v>ASV3190</v>
          </cell>
          <cell r="H9762" t="str">
            <v>g__Lactobacillus</v>
          </cell>
          <cell r="I9762" t="str">
            <v>s__unclassified_g__Lactobacillus</v>
          </cell>
        </row>
        <row r="9763">
          <cell r="G9763" t="str">
            <v>ASV13704</v>
          </cell>
          <cell r="H9763" t="str">
            <v>g__Lachnoclostridium</v>
          </cell>
          <cell r="I9763" t="str">
            <v>s__unclassified_g__Lachnoclostridium</v>
          </cell>
        </row>
        <row r="9764">
          <cell r="G9764" t="str">
            <v>ASV23843</v>
          </cell>
          <cell r="H9764" t="str">
            <v>g__unclassified_f__Lachnospiraceae</v>
          </cell>
          <cell r="I9764" t="str">
            <v>s__unclassified_f__Lachnospiraceae</v>
          </cell>
        </row>
        <row r="9765">
          <cell r="G9765" t="str">
            <v>ASV14935</v>
          </cell>
          <cell r="H9765" t="str">
            <v>g__Veillonella</v>
          </cell>
          <cell r="I9765" t="str">
            <v>s__unclassified_g__Veillonella</v>
          </cell>
        </row>
        <row r="9766">
          <cell r="G9766" t="str">
            <v>ASV5913</v>
          </cell>
          <cell r="H9766" t="str">
            <v>g__Cloacibacillus</v>
          </cell>
          <cell r="I9766" t="str">
            <v>s__unclassified_g__Cloacibacillus</v>
          </cell>
        </row>
        <row r="9767">
          <cell r="G9767" t="str">
            <v>ASV17980</v>
          </cell>
          <cell r="H9767" t="str">
            <v>g__unclassified_c__Clostridia</v>
          </cell>
          <cell r="I9767" t="str">
            <v>s__unclassified_c__Clostridia</v>
          </cell>
        </row>
        <row r="9768">
          <cell r="G9768" t="str">
            <v>ASV19506</v>
          </cell>
          <cell r="H9768" t="str">
            <v>g__norank_f__norank_o__Clostridia_UCG-014</v>
          </cell>
          <cell r="I9768" t="str">
            <v>s__unclassified_g__norank_f__norank_o__Clostridia_UCG-014</v>
          </cell>
        </row>
        <row r="9769">
          <cell r="G9769" t="str">
            <v>ASV16887</v>
          </cell>
          <cell r="H9769" t="str">
            <v>g__Lactobacillus</v>
          </cell>
          <cell r="I9769" t="str">
            <v>s__unclassified_g__Lactobacillus</v>
          </cell>
        </row>
        <row r="9770">
          <cell r="G9770" t="str">
            <v>ASV4011</v>
          </cell>
          <cell r="H9770" t="str">
            <v>g__unclassified_c__Clostridia</v>
          </cell>
          <cell r="I9770" t="str">
            <v>s__unclassified_c__Clostridia</v>
          </cell>
        </row>
        <row r="9771">
          <cell r="G9771" t="str">
            <v>ASV9322</v>
          </cell>
          <cell r="H9771" t="str">
            <v>g__unclassified_o__Oscillospirales</v>
          </cell>
          <cell r="I9771" t="str">
            <v>s__unclassified_o__Oscillospirales</v>
          </cell>
        </row>
        <row r="9772">
          <cell r="G9772" t="str">
            <v>ASV20781</v>
          </cell>
          <cell r="H9772" t="str">
            <v>g__unclassified_f__Oscillospiraceae</v>
          </cell>
          <cell r="I9772" t="str">
            <v>s__unclassified_f__Oscillospiraceae</v>
          </cell>
        </row>
        <row r="9773">
          <cell r="G9773" t="str">
            <v>ASV11494</v>
          </cell>
          <cell r="H9773" t="str">
            <v>g__norank_f__norank_o__Clostridia_vadinBB60_group</v>
          </cell>
          <cell r="I9773" t="str">
            <v>s__gut_metagenome_g__norank_f__norank</v>
          </cell>
        </row>
        <row r="9774">
          <cell r="G9774" t="str">
            <v>ASV7750</v>
          </cell>
          <cell r="H9774" t="str">
            <v>g__unclassified_o__Oscillospirales</v>
          </cell>
          <cell r="I9774" t="str">
            <v>s__unclassified_o__Oscillospirales</v>
          </cell>
        </row>
        <row r="9775">
          <cell r="G9775" t="str">
            <v>ASV7692</v>
          </cell>
          <cell r="H9775" t="str">
            <v>g__unclassified_c__Bacilli</v>
          </cell>
          <cell r="I9775" t="str">
            <v>s__unclassified_c__Bacilli</v>
          </cell>
        </row>
        <row r="9776">
          <cell r="G9776" t="str">
            <v>ASV5865</v>
          </cell>
          <cell r="H9776" t="str">
            <v>g__unclassified_f__Lachnospiraceae</v>
          </cell>
          <cell r="I9776" t="str">
            <v>s__unclassified_f__Lachnospiraceae</v>
          </cell>
        </row>
        <row r="9777">
          <cell r="G9777" t="str">
            <v>ASV14186</v>
          </cell>
          <cell r="H9777" t="str">
            <v>g__Clostridium_sensu_stricto_1</v>
          </cell>
          <cell r="I9777" t="str">
            <v>s__unclassified_g__Clostridium_sensu_stricto_1</v>
          </cell>
        </row>
        <row r="9778">
          <cell r="G9778" t="str">
            <v>ASV11536</v>
          </cell>
          <cell r="H9778" t="str">
            <v>g__unclassified_f__Lachnospiraceae</v>
          </cell>
          <cell r="I9778" t="str">
            <v>s__unclassified_f__Lachnospiraceae</v>
          </cell>
        </row>
        <row r="9779">
          <cell r="G9779" t="str">
            <v>ASV22111</v>
          </cell>
          <cell r="H9779" t="str">
            <v>g__Lactobacillus</v>
          </cell>
          <cell r="I9779" t="str">
            <v>s__unclassified_g__Lactobacillus</v>
          </cell>
        </row>
        <row r="9780">
          <cell r="G9780" t="str">
            <v>ASV22165</v>
          </cell>
          <cell r="H9780" t="str">
            <v>g__Christensenellaceae_R-7_group</v>
          </cell>
          <cell r="I9780" t="str">
            <v>s__unclassified_g__Christensenellaceae_R-7_group</v>
          </cell>
        </row>
        <row r="9781">
          <cell r="G9781" t="str">
            <v>ASV7679</v>
          </cell>
          <cell r="H9781" t="str">
            <v>g__Eubacterium</v>
          </cell>
          <cell r="I9781" t="str">
            <v>s__unclassified_g__Eubacterium</v>
          </cell>
        </row>
        <row r="9782">
          <cell r="G9782" t="str">
            <v>ASV17995</v>
          </cell>
          <cell r="H9782" t="str">
            <v>g__Phascolarctobacterium</v>
          </cell>
          <cell r="I9782" t="str">
            <v>s__Ruminococcus_sp._N15.MGS-57_g__Phascolarctobacterium</v>
          </cell>
        </row>
        <row r="9783">
          <cell r="G9783" t="str">
            <v>ASV1641</v>
          </cell>
          <cell r="H9783" t="str">
            <v>g__Prevotella</v>
          </cell>
          <cell r="I9783" t="str">
            <v>s__Prevotellaceae_bacterium</v>
          </cell>
        </row>
        <row r="9784">
          <cell r="G9784" t="str">
            <v>ASV10676</v>
          </cell>
          <cell r="H9784" t="str">
            <v>g__unclassified_f__Lachnospiraceae</v>
          </cell>
          <cell r="I9784" t="str">
            <v>s__unclassified_f__Lachnospiraceae</v>
          </cell>
        </row>
        <row r="9785">
          <cell r="G9785" t="str">
            <v>ASV24160</v>
          </cell>
          <cell r="H9785" t="str">
            <v>g__Collinsella</v>
          </cell>
          <cell r="I9785" t="str">
            <v>s__unclassified_g__Collinsella</v>
          </cell>
        </row>
        <row r="9786">
          <cell r="G9786" t="str">
            <v>ASV23176</v>
          </cell>
          <cell r="H9786" t="str">
            <v>g__unclassified_c__Clostridia</v>
          </cell>
          <cell r="I9786" t="str">
            <v>s__unclassified_c__Clostridia</v>
          </cell>
        </row>
        <row r="9787">
          <cell r="G9787" t="str">
            <v>ASV3474</v>
          </cell>
          <cell r="H9787" t="str">
            <v>g__Escherichia-Shigella</v>
          </cell>
          <cell r="I9787" t="str">
            <v>s__unclassified_g__Escherichia-Shigella</v>
          </cell>
        </row>
        <row r="9788">
          <cell r="G9788" t="str">
            <v>ASV22209</v>
          </cell>
          <cell r="H9788" t="str">
            <v>g__Christensenellaceae_R-7_group</v>
          </cell>
          <cell r="I9788" t="str">
            <v>s__unclassified_g__Christensenellaceae_R-7_group</v>
          </cell>
        </row>
        <row r="9789">
          <cell r="G9789" t="str">
            <v>ASV19475</v>
          </cell>
          <cell r="H9789" t="str">
            <v>g__Escherichia-Shigella</v>
          </cell>
          <cell r="I9789" t="str">
            <v>s__unclassified_g__Escherichia-Shigella</v>
          </cell>
        </row>
        <row r="9790">
          <cell r="G9790" t="str">
            <v>ASV5872</v>
          </cell>
          <cell r="H9790" t="str">
            <v>g__unclassified_c__Clostridia</v>
          </cell>
          <cell r="I9790" t="str">
            <v>s__unclassified_c__Clostridia</v>
          </cell>
        </row>
        <row r="9791">
          <cell r="G9791" t="str">
            <v>ASV19554</v>
          </cell>
          <cell r="H9791" t="str">
            <v>g__Succiniclasticum</v>
          </cell>
          <cell r="I9791" t="str">
            <v>s__uncultured_rumen_bacterium_4C28d-16</v>
          </cell>
        </row>
        <row r="9792">
          <cell r="G9792" t="str">
            <v>ASV1654</v>
          </cell>
          <cell r="H9792" t="str">
            <v>g__Lactobacillus</v>
          </cell>
          <cell r="I9792" t="str">
            <v>s__unclassified_g__Lactobacillus</v>
          </cell>
        </row>
        <row r="9793">
          <cell r="G9793" t="str">
            <v>ASV10614</v>
          </cell>
          <cell r="H9793" t="str">
            <v>g__unclassified_c__Clostridia</v>
          </cell>
          <cell r="I9793" t="str">
            <v>s__unclassified_c__Clostridia</v>
          </cell>
        </row>
        <row r="9794">
          <cell r="G9794" t="str">
            <v>ASV7695</v>
          </cell>
          <cell r="H9794" t="str">
            <v>g__unclassified_p__Firmicutes</v>
          </cell>
          <cell r="I9794" t="str">
            <v>s__unclassified_p__Firmicutes</v>
          </cell>
        </row>
        <row r="9795">
          <cell r="G9795" t="str">
            <v>ASV7060</v>
          </cell>
          <cell r="H9795" t="str">
            <v>g__Bifidobacterium</v>
          </cell>
          <cell r="I9795" t="str">
            <v>s__unclassified_g__Bifidobacterium</v>
          </cell>
        </row>
        <row r="9796">
          <cell r="G9796" t="str">
            <v>ASV11634</v>
          </cell>
          <cell r="H9796" t="str">
            <v>g__unclassified_f__Lachnospiraceae</v>
          </cell>
          <cell r="I9796" t="str">
            <v>s__unclassified_f__Lachnospiraceae</v>
          </cell>
        </row>
        <row r="9797">
          <cell r="G9797" t="str">
            <v>ASV705</v>
          </cell>
          <cell r="H9797" t="str">
            <v>g__unclassified_f__Lachnospiraceae</v>
          </cell>
          <cell r="I9797" t="str">
            <v>s__unclassified_f__Lachnospiraceae</v>
          </cell>
        </row>
        <row r="9798">
          <cell r="G9798" t="str">
            <v>ASV13429</v>
          </cell>
          <cell r="H9798" t="str">
            <v>g__unclassified_f__Lachnospiraceae</v>
          </cell>
          <cell r="I9798" t="str">
            <v>s__unclassified_f__Lachnospiraceae</v>
          </cell>
        </row>
        <row r="9799">
          <cell r="G9799" t="str">
            <v>ASV11676</v>
          </cell>
          <cell r="H9799" t="str">
            <v>g__Rikenellaceae_RC9_gut_group</v>
          </cell>
          <cell r="I9799" t="str">
            <v>s__uncultured_bacterium_g__Rikenellaceae_RC9_gut_group</v>
          </cell>
        </row>
        <row r="9800">
          <cell r="G9800" t="str">
            <v>ASV5846</v>
          </cell>
          <cell r="H9800" t="str">
            <v>g__unclassified_c__Clostridia</v>
          </cell>
          <cell r="I9800" t="str">
            <v>s__unclassified_c__Clostridia</v>
          </cell>
        </row>
        <row r="9801">
          <cell r="G9801" t="str">
            <v>ASV23842</v>
          </cell>
          <cell r="H9801" t="str">
            <v>g__Lactobacillus</v>
          </cell>
          <cell r="I9801" t="str">
            <v>s__unclassified_g__Lactobacillus</v>
          </cell>
        </row>
        <row r="9802">
          <cell r="G9802" t="str">
            <v>ASV685</v>
          </cell>
          <cell r="H9802" t="str">
            <v>g__Lactobacillus</v>
          </cell>
          <cell r="I9802" t="str">
            <v>s__unclassified_g__Lactobacillus</v>
          </cell>
        </row>
        <row r="9803">
          <cell r="G9803" t="str">
            <v>ASV15959</v>
          </cell>
          <cell r="H9803" t="str">
            <v>g__Holdemanella</v>
          </cell>
          <cell r="I9803" t="str">
            <v>s__uncultured_bacterium_g__Holdemanella</v>
          </cell>
        </row>
        <row r="9804">
          <cell r="G9804" t="str">
            <v>ASV7689</v>
          </cell>
          <cell r="H9804" t="str">
            <v>g__unclassified_c__Clostridia</v>
          </cell>
          <cell r="I9804" t="str">
            <v>s__unclassified_c__Clostridia</v>
          </cell>
        </row>
        <row r="9805">
          <cell r="G9805" t="str">
            <v>ASV21596</v>
          </cell>
          <cell r="H9805" t="str">
            <v>g__Escherichia-Shigella</v>
          </cell>
          <cell r="I9805" t="str">
            <v>s__unclassified_g__Escherichia-Shigella</v>
          </cell>
        </row>
        <row r="9806">
          <cell r="G9806" t="str">
            <v>ASV5262</v>
          </cell>
          <cell r="H9806" t="str">
            <v>g__norank_f__UCG-010</v>
          </cell>
          <cell r="I9806" t="str">
            <v>s__unclassified_g__norank_f__UCG-010</v>
          </cell>
        </row>
        <row r="9807">
          <cell r="G9807" t="str">
            <v>ASV15393</v>
          </cell>
          <cell r="H9807" t="str">
            <v>g__unclassified_o__Oscillospirales</v>
          </cell>
          <cell r="I9807" t="str">
            <v>s__unclassified_o__Oscillospirales</v>
          </cell>
        </row>
        <row r="9808">
          <cell r="G9808" t="str">
            <v>ASV22158</v>
          </cell>
          <cell r="H9808" t="str">
            <v>g__unclassified_f__Lachnospiraceae</v>
          </cell>
          <cell r="I9808" t="str">
            <v>s__unclassified_f__Lachnospiraceae</v>
          </cell>
        </row>
        <row r="9809">
          <cell r="G9809" t="str">
            <v>ASV10603</v>
          </cell>
          <cell r="H9809" t="str">
            <v>g__unclassified_o__Lactobacillales</v>
          </cell>
          <cell r="I9809" t="str">
            <v>s__unclassified_o__Lactobacillales</v>
          </cell>
        </row>
        <row r="9810">
          <cell r="G9810" t="str">
            <v>ASV14164</v>
          </cell>
          <cell r="H9810" t="str">
            <v>g__unclassified_f__Peptostreptococcaceae</v>
          </cell>
          <cell r="I9810" t="str">
            <v>s__unclassified_f__Peptostreptococcaceae</v>
          </cell>
        </row>
        <row r="9811">
          <cell r="G9811" t="str">
            <v>ASV6654</v>
          </cell>
          <cell r="H9811" t="str">
            <v>g__Succinivibrio</v>
          </cell>
          <cell r="I9811" t="str">
            <v>s__unclassified_g__Succinivibrio</v>
          </cell>
        </row>
        <row r="9812">
          <cell r="G9812" t="str">
            <v>ASV14292</v>
          </cell>
          <cell r="H9812" t="str">
            <v>g__unclassified_o__Peptostreptococcales-Tissierellales</v>
          </cell>
          <cell r="I9812" t="str">
            <v>s__unclassified_o__Peptostreptococcales-Tissierellales</v>
          </cell>
        </row>
        <row r="9813">
          <cell r="G9813" t="str">
            <v>ASV4770</v>
          </cell>
          <cell r="H9813" t="str">
            <v>g__norank_f__Eubacterium_coprostanoligenes_group</v>
          </cell>
          <cell r="I9813" t="str">
            <v>s__unclassified_g__norank_f__Eubacterium_coprostanoligenes_group</v>
          </cell>
        </row>
        <row r="9814">
          <cell r="G9814" t="str">
            <v>ASV12694</v>
          </cell>
          <cell r="H9814" t="str">
            <v>g__Rikenellaceae_RC9_gut_group</v>
          </cell>
          <cell r="I9814" t="str">
            <v>s__unclassified_g__Rikenellaceae_RC9_gut_group</v>
          </cell>
        </row>
        <row r="9815">
          <cell r="G9815" t="str">
            <v>ASV15398</v>
          </cell>
          <cell r="H9815" t="str">
            <v>g__norank_f__norank_o__Clostridia_UCG-014</v>
          </cell>
          <cell r="I9815" t="str">
            <v>s__uncultured_bacterium_g__norank_f__norank_o__Clostridia_UCG-014</v>
          </cell>
        </row>
        <row r="9816">
          <cell r="G9816" t="str">
            <v>ASV18018</v>
          </cell>
          <cell r="H9816" t="str">
            <v>g__unclassified_f__Lachnospiraceae</v>
          </cell>
          <cell r="I9816" t="str">
            <v>s__unclassified_f__Lachnospiraceae</v>
          </cell>
        </row>
        <row r="9817">
          <cell r="G9817" t="str">
            <v>ASV22219</v>
          </cell>
          <cell r="H9817" t="str">
            <v>g__unclassified_c__Clostridia</v>
          </cell>
          <cell r="I9817" t="str">
            <v>s__unclassified_c__Clostridia</v>
          </cell>
        </row>
        <row r="9818">
          <cell r="G9818" t="str">
            <v>ASV15376</v>
          </cell>
          <cell r="H9818" t="str">
            <v>g__Christensenellaceae_R-7_group</v>
          </cell>
          <cell r="I9818" t="str">
            <v>s__unclassified_g__Christensenellaceae_R-7_group</v>
          </cell>
        </row>
        <row r="9819">
          <cell r="G9819" t="str">
            <v>ASV4013</v>
          </cell>
          <cell r="H9819" t="str">
            <v>g__norank_f__Eubacterium_coprostanoligenes_group</v>
          </cell>
          <cell r="I9819" t="str">
            <v>s__unclassified_g__norank_f__Eubacterium_coprostanoligenes_group</v>
          </cell>
        </row>
        <row r="9820">
          <cell r="G9820" t="str">
            <v>ASV17632</v>
          </cell>
          <cell r="H9820" t="str">
            <v>g__Lysinibacillus</v>
          </cell>
          <cell r="I9820" t="str">
            <v>s__unclassified_g__Lysinibacillus</v>
          </cell>
        </row>
        <row r="9821">
          <cell r="G9821" t="str">
            <v>ASV22151</v>
          </cell>
          <cell r="H9821" t="str">
            <v>g__unclassified_f__Oscillospiraceae</v>
          </cell>
          <cell r="I9821" t="str">
            <v>s__unclassified_f__Oscillospiraceae</v>
          </cell>
        </row>
        <row r="9822">
          <cell r="G9822" t="str">
            <v>ASV13413</v>
          </cell>
          <cell r="H9822" t="str">
            <v>g__Clostridium_sensu_stricto_1</v>
          </cell>
          <cell r="I9822" t="str">
            <v>s__unclassified_g__Clostridium_sensu_stricto_1</v>
          </cell>
        </row>
        <row r="9823">
          <cell r="G9823" t="str">
            <v>ASV23942</v>
          </cell>
          <cell r="H9823" t="str">
            <v>g__Oribacterium</v>
          </cell>
          <cell r="I9823" t="str">
            <v>s__uncultured_bacterium_g__Oribacterium</v>
          </cell>
        </row>
        <row r="9824">
          <cell r="G9824" t="str">
            <v>ASV11472</v>
          </cell>
          <cell r="H9824" t="str">
            <v>g__unclassified_p__Firmicutes</v>
          </cell>
          <cell r="I9824" t="str">
            <v>s__unclassified_p__Firmicutes</v>
          </cell>
        </row>
        <row r="9825">
          <cell r="G9825" t="str">
            <v>ASV5935</v>
          </cell>
          <cell r="H9825" t="str">
            <v>g__UCG-002</v>
          </cell>
          <cell r="I9825" t="str">
            <v>s__uncultured_bacterium_g__UCG-002</v>
          </cell>
        </row>
        <row r="9826">
          <cell r="G9826" t="str">
            <v>ASV9361</v>
          </cell>
          <cell r="H9826" t="str">
            <v>g__norank_f__Oscillospiraceae</v>
          </cell>
          <cell r="I9826" t="str">
            <v>s__metagenome_g__norank_f__Oscillospiraceae</v>
          </cell>
        </row>
        <row r="9827">
          <cell r="G9827" t="str">
            <v>ASV11602</v>
          </cell>
          <cell r="H9827" t="str">
            <v>g__unclassified_f__Ruminococcaceae</v>
          </cell>
          <cell r="I9827" t="str">
            <v>s__unclassified_f__Ruminococcaceae</v>
          </cell>
        </row>
        <row r="9828">
          <cell r="G9828" t="str">
            <v>ASV17946</v>
          </cell>
          <cell r="H9828" t="str">
            <v>g__Christensenellaceae_R-7_group</v>
          </cell>
          <cell r="I9828" t="str">
            <v>s__unclassified_g__Christensenellaceae_R-7_group</v>
          </cell>
        </row>
        <row r="9829">
          <cell r="G9829" t="str">
            <v>ASV9373</v>
          </cell>
          <cell r="H9829" t="str">
            <v>g__UCG-002</v>
          </cell>
          <cell r="I9829" t="str">
            <v>s__uncultured_bacterium_g__UCG-002</v>
          </cell>
        </row>
        <row r="9830">
          <cell r="G9830" t="str">
            <v>ASV18865</v>
          </cell>
          <cell r="H9830" t="str">
            <v>g__unclassified_k__norank_d__Bacteria</v>
          </cell>
          <cell r="I9830" t="str">
            <v>s__unclassified_k__norank_d__Bacteria</v>
          </cell>
        </row>
        <row r="9831">
          <cell r="G9831" t="str">
            <v>ASV18001</v>
          </cell>
          <cell r="H9831" t="str">
            <v>g__unclassified_f__Oscillospiraceae</v>
          </cell>
          <cell r="I9831" t="str">
            <v>s__unclassified_f__Oscillospiraceae</v>
          </cell>
        </row>
        <row r="9832">
          <cell r="G9832" t="str">
            <v>ASV18010</v>
          </cell>
          <cell r="H9832" t="str">
            <v>g__unclassified_c__Clostridia</v>
          </cell>
          <cell r="I9832" t="str">
            <v>s__unclassified_c__Clostridia</v>
          </cell>
        </row>
        <row r="9833">
          <cell r="G9833" t="str">
            <v>ASV10189</v>
          </cell>
          <cell r="H9833" t="str">
            <v>g__Fusobacterium</v>
          </cell>
          <cell r="I9833" t="str">
            <v>s__unclassified_g__Fusobacterium</v>
          </cell>
        </row>
        <row r="9834">
          <cell r="G9834" t="str">
            <v>ASV18877</v>
          </cell>
          <cell r="H9834" t="str">
            <v>g__Fusobacterium</v>
          </cell>
          <cell r="I9834" t="str">
            <v>s__unclassified_g__Fusobacterium</v>
          </cell>
        </row>
        <row r="9835">
          <cell r="G9835" t="str">
            <v>ASV15314</v>
          </cell>
          <cell r="H9835" t="str">
            <v>g__unclassified_o__Oscillospirales</v>
          </cell>
          <cell r="I9835" t="str">
            <v>s__unclassified_o__Oscillospirales</v>
          </cell>
        </row>
        <row r="9836">
          <cell r="G9836" t="str">
            <v>ASV18013</v>
          </cell>
          <cell r="H9836" t="str">
            <v>g__norank_f__Eubacterium_coprostanoligenes_group</v>
          </cell>
          <cell r="I9836" t="str">
            <v>s__unclassified_g__norank_f__Eubacterium_coprostanoligenes_group</v>
          </cell>
        </row>
        <row r="9837">
          <cell r="G9837" t="str">
            <v>ASV9391</v>
          </cell>
          <cell r="H9837" t="str">
            <v>g__unclassified_f__Lachnospiraceae</v>
          </cell>
          <cell r="I9837" t="str">
            <v>s__unclassified_f__Lachnospiraceae</v>
          </cell>
        </row>
        <row r="9838">
          <cell r="G9838" t="str">
            <v>ASV9334</v>
          </cell>
          <cell r="H9838" t="str">
            <v>g__Lachnospiraceae_NC2004_group</v>
          </cell>
          <cell r="I9838" t="str">
            <v>s__uncultured_bacterium_g__Lachnospiraceae_NC2004_group</v>
          </cell>
        </row>
        <row r="9839">
          <cell r="G9839" t="str">
            <v>ASV22094</v>
          </cell>
          <cell r="H9839" t="str">
            <v>g__unclassified_k__norank_d__Bacteria</v>
          </cell>
          <cell r="I9839" t="str">
            <v>s__unclassified_k__norank_d__Bacteria</v>
          </cell>
        </row>
        <row r="9840">
          <cell r="G9840" t="str">
            <v>ASV20713</v>
          </cell>
          <cell r="H9840" t="str">
            <v>g__Weissella</v>
          </cell>
          <cell r="I9840" t="str">
            <v>s__unclassified_g__Weissella</v>
          </cell>
        </row>
        <row r="9841">
          <cell r="G9841" t="str">
            <v>ASV2125</v>
          </cell>
          <cell r="H9841" t="str">
            <v>g__unclassified_f__Lachnospiraceae</v>
          </cell>
          <cell r="I9841" t="str">
            <v>s__unclassified_f__Lachnospiraceae</v>
          </cell>
        </row>
        <row r="9842">
          <cell r="G9842" t="str">
            <v>ASV8811</v>
          </cell>
          <cell r="H9842" t="str">
            <v>g__unclassified_f__Pasteurellaceae</v>
          </cell>
          <cell r="I9842" t="str">
            <v>s__unclassified_f__Pasteurellaceae</v>
          </cell>
        </row>
        <row r="9843">
          <cell r="G9843" t="str">
            <v>ASV15368</v>
          </cell>
          <cell r="H9843" t="str">
            <v>g__unclassified_c__Clostridia</v>
          </cell>
          <cell r="I9843" t="str">
            <v>s__unclassified_c__Clostridia</v>
          </cell>
        </row>
        <row r="9844">
          <cell r="G9844" t="str">
            <v>ASV24153</v>
          </cell>
          <cell r="H9844" t="str">
            <v>g__unclassified_f__Lachnospiraceae</v>
          </cell>
          <cell r="I9844" t="str">
            <v>s__unclassified_f__Lachnospiraceae</v>
          </cell>
        </row>
        <row r="9845">
          <cell r="G9845" t="str">
            <v>ASV19547</v>
          </cell>
          <cell r="H9845" t="str">
            <v>g__unclassified_f__Lachnospiraceae</v>
          </cell>
          <cell r="I9845" t="str">
            <v>s__unclassified_f__Lachnospiraceae</v>
          </cell>
        </row>
        <row r="9846">
          <cell r="G9846" t="str">
            <v>ASV725</v>
          </cell>
          <cell r="H9846" t="str">
            <v>g__unclassified_f__Lachnospiraceae</v>
          </cell>
          <cell r="I9846" t="str">
            <v>s__unclassified_f__Lachnospiraceae</v>
          </cell>
        </row>
        <row r="9847">
          <cell r="G9847" t="str">
            <v>ASV4040</v>
          </cell>
          <cell r="H9847" t="str">
            <v>g__unclassified_k__norank_d__Bacteria</v>
          </cell>
          <cell r="I9847" t="str">
            <v>s__unclassified_k__norank_d__Bacteria</v>
          </cell>
        </row>
        <row r="9848">
          <cell r="G9848" t="str">
            <v>ASV5809</v>
          </cell>
          <cell r="H9848" t="str">
            <v>g__Streptococcus</v>
          </cell>
          <cell r="I9848" t="str">
            <v>s__unclassified_g__Streptococcus</v>
          </cell>
        </row>
        <row r="9849">
          <cell r="G9849" t="str">
            <v>ASV18019</v>
          </cell>
          <cell r="H9849" t="str">
            <v>g__unclassified_f__Oscillospiraceae</v>
          </cell>
          <cell r="I9849" t="str">
            <v>s__unclassified_f__Oscillospiraceae</v>
          </cell>
        </row>
        <row r="9850">
          <cell r="G9850" t="str">
            <v>ASV13431</v>
          </cell>
          <cell r="H9850" t="str">
            <v>g__unclassified_f__Lachnospiraceae</v>
          </cell>
          <cell r="I9850" t="str">
            <v>s__unclassified_f__Lachnospiraceae</v>
          </cell>
        </row>
        <row r="9851">
          <cell r="G9851" t="str">
            <v>ASV2184</v>
          </cell>
          <cell r="H9851" t="str">
            <v>g__unclassified_c__Clostridia</v>
          </cell>
          <cell r="I9851" t="str">
            <v>s__unclassified_c__Clostridia</v>
          </cell>
        </row>
        <row r="9852">
          <cell r="G9852" t="str">
            <v>ASV4870</v>
          </cell>
          <cell r="H9852" t="str">
            <v>g__unclassified_f__Oscillospiraceae</v>
          </cell>
          <cell r="I9852" t="str">
            <v>s__unclassified_f__Oscillospiraceae</v>
          </cell>
        </row>
        <row r="9853">
          <cell r="G9853" t="str">
            <v>ASV7746</v>
          </cell>
          <cell r="H9853" t="str">
            <v>g__Lactobacillus</v>
          </cell>
          <cell r="I9853" t="str">
            <v>s__unclassified_g__Lactobacillus</v>
          </cell>
        </row>
        <row r="9854">
          <cell r="G9854" t="str">
            <v>ASV9321</v>
          </cell>
          <cell r="H9854" t="str">
            <v>g__unclassified_c__Clostridia</v>
          </cell>
          <cell r="I9854" t="str">
            <v>s__unclassified_c__Clostridia</v>
          </cell>
        </row>
        <row r="9855">
          <cell r="G9855" t="str">
            <v>ASV4762</v>
          </cell>
          <cell r="H9855" t="str">
            <v>g__unclassified_c__Clostridia</v>
          </cell>
          <cell r="I9855" t="str">
            <v>s__unclassified_c__Clostridia</v>
          </cell>
        </row>
        <row r="9856">
          <cell r="G9856" t="str">
            <v>ASV17201</v>
          </cell>
          <cell r="H9856" t="str">
            <v>g__Turicibacter</v>
          </cell>
          <cell r="I9856" t="str">
            <v>s__uncultured_bacterium_g__Turicibacter</v>
          </cell>
        </row>
        <row r="9857">
          <cell r="G9857" t="str">
            <v>ASV16379</v>
          </cell>
          <cell r="H9857" t="str">
            <v>g__unclassified_o__Bacteroidales</v>
          </cell>
          <cell r="I9857" t="str">
            <v>s__unclassified_o__Bacteroidales</v>
          </cell>
        </row>
        <row r="9858">
          <cell r="G9858" t="str">
            <v>ASV21210</v>
          </cell>
          <cell r="H9858" t="str">
            <v>g__Veillonella</v>
          </cell>
          <cell r="I9858" t="str">
            <v>s__unclassified_g__Veillonella</v>
          </cell>
        </row>
        <row r="9859">
          <cell r="G9859" t="str">
            <v>ASV3983</v>
          </cell>
          <cell r="H9859" t="str">
            <v>g__Phascolarctobacterium</v>
          </cell>
          <cell r="I9859" t="str">
            <v>s__Ruminococcus_sp._N15.MGS-57_g__Phascolarctobacterium</v>
          </cell>
        </row>
        <row r="9860">
          <cell r="G9860" t="str">
            <v>ASV15344</v>
          </cell>
          <cell r="H9860" t="str">
            <v>g__unclassified_f__Lachnospiraceae</v>
          </cell>
          <cell r="I9860" t="str">
            <v>s__unclassified_f__Lachnospiraceae</v>
          </cell>
        </row>
        <row r="9861">
          <cell r="G9861" t="str">
            <v>ASV23178</v>
          </cell>
          <cell r="H9861" t="str">
            <v>g__Treponema</v>
          </cell>
          <cell r="I9861" t="str">
            <v>s__unclassified_g__Treponema</v>
          </cell>
        </row>
        <row r="9862">
          <cell r="G9862" t="str">
            <v>ASV4860</v>
          </cell>
          <cell r="H9862" t="str">
            <v>g__unclassified_c__Clostridia</v>
          </cell>
          <cell r="I9862" t="str">
            <v>s__unclassified_c__Clostridia</v>
          </cell>
        </row>
        <row r="9863">
          <cell r="G9863" t="str">
            <v>ASV2139</v>
          </cell>
          <cell r="H9863" t="str">
            <v>g__unclassified_c__Clostridia</v>
          </cell>
          <cell r="I9863" t="str">
            <v>s__unclassified_c__Clostridia</v>
          </cell>
        </row>
        <row r="9864">
          <cell r="G9864" t="str">
            <v>ASV20711</v>
          </cell>
          <cell r="H9864" t="str">
            <v>g__Ruminococcus</v>
          </cell>
          <cell r="I9864" t="str">
            <v>s__unclassified_g__Ruminococcus</v>
          </cell>
        </row>
        <row r="9865">
          <cell r="G9865" t="str">
            <v>ASV16893</v>
          </cell>
          <cell r="H9865" t="str">
            <v>g__unclassified_f__Lachnospiraceae</v>
          </cell>
          <cell r="I9865" t="str">
            <v>s__unclassified_f__Lachnospiraceae</v>
          </cell>
        </row>
        <row r="9866">
          <cell r="G9866" t="str">
            <v>ASV15075</v>
          </cell>
          <cell r="H9866" t="str">
            <v>g__norank_f__Fimbriimonadaceae</v>
          </cell>
          <cell r="I9866" t="str">
            <v>s__uncultured_microorganism_g__norank_f__Fimbriimonadaceae</v>
          </cell>
        </row>
        <row r="9867">
          <cell r="G9867" t="str">
            <v>ASV9371</v>
          </cell>
          <cell r="H9867" t="str">
            <v>g__unclassified_c__Clostridia</v>
          </cell>
          <cell r="I9867" t="str">
            <v>s__unclassified_c__Clostridia</v>
          </cell>
        </row>
        <row r="9868">
          <cell r="G9868" t="str">
            <v>ASV20807</v>
          </cell>
          <cell r="H9868" t="str">
            <v>g__Clostridium_sensu_stricto_1</v>
          </cell>
          <cell r="I9868" t="str">
            <v>s__unclassified_g__Clostridium_sensu_stricto_1</v>
          </cell>
        </row>
        <row r="9869">
          <cell r="G9869" t="str">
            <v>ASV15371</v>
          </cell>
          <cell r="H9869" t="str">
            <v>g__norank_f__norank_o__Clostridia_UCG-014</v>
          </cell>
          <cell r="I9869" t="str">
            <v>s__uncultured_bacterium_g__norank_f__norank_o__Clostridia_UCG-014</v>
          </cell>
        </row>
        <row r="9870">
          <cell r="G9870" t="str">
            <v>ASV5806</v>
          </cell>
          <cell r="H9870" t="str">
            <v>g__unclassified_c__Clostridia</v>
          </cell>
          <cell r="I9870" t="str">
            <v>s__unclassified_c__Clostridia</v>
          </cell>
        </row>
        <row r="9871">
          <cell r="G9871" t="str">
            <v>ASV5853</v>
          </cell>
          <cell r="H9871" t="str">
            <v>g__Bacteroides</v>
          </cell>
          <cell r="I9871" t="str">
            <v>s__unclassified_g__Bacteroides</v>
          </cell>
        </row>
        <row r="9872">
          <cell r="G9872" t="str">
            <v>ASV13799</v>
          </cell>
          <cell r="H9872" t="str">
            <v>g__Corynebacterium</v>
          </cell>
          <cell r="I9872" t="str">
            <v>s__unclassified_g__Corynebacterium</v>
          </cell>
        </row>
        <row r="9873">
          <cell r="G9873" t="str">
            <v>ASV4852</v>
          </cell>
          <cell r="H9873" t="str">
            <v>g__Blautia</v>
          </cell>
          <cell r="I9873" t="str">
            <v>s__unclassified_g__Blautia</v>
          </cell>
        </row>
        <row r="9874">
          <cell r="G9874" t="str">
            <v>ASV19501</v>
          </cell>
          <cell r="H9874" t="str">
            <v>g__norank_f__Eubacterium_coprostanoligenes_group</v>
          </cell>
          <cell r="I9874" t="str">
            <v>s__unclassified_g__norank_f__Eubacterium_coprostanoligenes_group</v>
          </cell>
        </row>
        <row r="9875">
          <cell r="G9875" t="str">
            <v>ASV9327</v>
          </cell>
          <cell r="H9875" t="str">
            <v>g__unclassified_k__norank_d__Bacteria</v>
          </cell>
          <cell r="I9875" t="str">
            <v>s__unclassified_k__norank_d__Bacteria</v>
          </cell>
        </row>
        <row r="9876">
          <cell r="G9876" t="str">
            <v>ASV4819</v>
          </cell>
          <cell r="H9876" t="str">
            <v>g__unclassified_f__Anaerovoracaceae</v>
          </cell>
          <cell r="I9876" t="str">
            <v>s__unclassified_f__Anaerovoracaceae</v>
          </cell>
        </row>
        <row r="9877">
          <cell r="G9877" t="str">
            <v>ASV18848</v>
          </cell>
          <cell r="H9877" t="str">
            <v>g__Fusobacterium</v>
          </cell>
          <cell r="I9877" t="str">
            <v>s__unclassified_g__Fusobacterium</v>
          </cell>
        </row>
        <row r="9878">
          <cell r="G9878" t="str">
            <v>ASV17290</v>
          </cell>
          <cell r="H9878" t="str">
            <v>g__unclassified_f__Peptostreptococcaceae</v>
          </cell>
          <cell r="I9878" t="str">
            <v>s__unclassified_f__Peptostreptococcaceae</v>
          </cell>
        </row>
        <row r="9879">
          <cell r="G9879" t="str">
            <v>ASV2099</v>
          </cell>
          <cell r="H9879" t="str">
            <v>g__unclassified_p__Firmicutes</v>
          </cell>
          <cell r="I9879" t="str">
            <v>s__unclassified_p__Firmicutes</v>
          </cell>
        </row>
        <row r="9880">
          <cell r="G9880" t="str">
            <v>ASV23199</v>
          </cell>
          <cell r="H9880" t="str">
            <v>g__unclassified_p__Firmicutes</v>
          </cell>
          <cell r="I9880" t="str">
            <v>s__unclassified_p__Firmicutes</v>
          </cell>
        </row>
        <row r="9881">
          <cell r="G9881" t="str">
            <v>ASV22242</v>
          </cell>
          <cell r="H9881" t="str">
            <v>g__unclassified_f__Oscillospiraceae</v>
          </cell>
          <cell r="I9881" t="str">
            <v>s__unclassified_f__Oscillospiraceae</v>
          </cell>
        </row>
        <row r="9882">
          <cell r="G9882" t="str">
            <v>ASV20793</v>
          </cell>
          <cell r="H9882" t="str">
            <v>g__unclassified_f__Peptostreptococcaceae</v>
          </cell>
          <cell r="I9882" t="str">
            <v>s__unclassified_f__Peptostreptococcaceae</v>
          </cell>
        </row>
        <row r="9883">
          <cell r="G9883" t="str">
            <v>ASV20799</v>
          </cell>
          <cell r="H9883" t="str">
            <v>g__unclassified_c__Clostridia</v>
          </cell>
          <cell r="I9883" t="str">
            <v>s__unclassified_c__Clostridia</v>
          </cell>
        </row>
        <row r="9884">
          <cell r="G9884" t="str">
            <v>ASV2171</v>
          </cell>
          <cell r="H9884" t="str">
            <v>g__norank_f__Eubacterium_coprostanoligenes_group</v>
          </cell>
          <cell r="I9884" t="str">
            <v>s__unclassified_g__norank_f__Eubacterium_coprostanoligenes_group</v>
          </cell>
        </row>
        <row r="9885">
          <cell r="G9885" t="str">
            <v>ASV16884</v>
          </cell>
          <cell r="H9885" t="str">
            <v>g__unclassified_c__Clostridia</v>
          </cell>
          <cell r="I9885" t="str">
            <v>s__unclassified_c__Clostridia</v>
          </cell>
        </row>
        <row r="9886">
          <cell r="G9886" t="str">
            <v>ASV8989</v>
          </cell>
          <cell r="H9886" t="str">
            <v>g__Lactobacillus</v>
          </cell>
          <cell r="I9886" t="str">
            <v>s__unclassified_g__Lactobacillus</v>
          </cell>
        </row>
        <row r="9887">
          <cell r="G9887" t="str">
            <v>ASV18883</v>
          </cell>
          <cell r="H9887" t="str">
            <v>g__Lactobacillus</v>
          </cell>
          <cell r="I9887" t="str">
            <v>s__unclassified_g__Lactobacillus</v>
          </cell>
        </row>
        <row r="9888">
          <cell r="G9888" t="str">
            <v>ASV22125</v>
          </cell>
          <cell r="H9888" t="str">
            <v>g__unclassified_c__Clostridia</v>
          </cell>
          <cell r="I9888" t="str">
            <v>s__unclassified_c__Clostridia</v>
          </cell>
        </row>
        <row r="9889">
          <cell r="G9889" t="str">
            <v>ASV9044</v>
          </cell>
          <cell r="H9889" t="str">
            <v>g__norank_f__norank_o__RF39</v>
          </cell>
          <cell r="I9889" t="str">
            <v>s__unidentified_rumen_bacterium_RF9</v>
          </cell>
        </row>
        <row r="9890">
          <cell r="G9890" t="str">
            <v>ASV17361</v>
          </cell>
          <cell r="H9890" t="str">
            <v>g__Lactobacillus</v>
          </cell>
          <cell r="I9890" t="str">
            <v>s__unclassified_g__Lactobacillus</v>
          </cell>
        </row>
        <row r="9891">
          <cell r="G9891" t="str">
            <v>ASV10655</v>
          </cell>
          <cell r="H9891" t="str">
            <v>g__Sharpea</v>
          </cell>
          <cell r="I9891" t="str">
            <v>s__unclassified_g__Sharpea</v>
          </cell>
        </row>
        <row r="9892">
          <cell r="G9892" t="str">
            <v>ASV11485</v>
          </cell>
          <cell r="H9892" t="str">
            <v>g__Eubacterium_nodatum_group</v>
          </cell>
          <cell r="I9892" t="str">
            <v>s__Eubacterium_pyruvativorans</v>
          </cell>
        </row>
        <row r="9893">
          <cell r="G9893" t="str">
            <v>ASV8991</v>
          </cell>
          <cell r="H9893" t="str">
            <v>g__unclassified_p__Firmicutes</v>
          </cell>
          <cell r="I9893" t="str">
            <v>s__unclassified_p__Firmicutes</v>
          </cell>
        </row>
        <row r="9894">
          <cell r="G9894" t="str">
            <v>ASV15319</v>
          </cell>
          <cell r="H9894" t="str">
            <v>g__unclassified_c__Clostridia</v>
          </cell>
          <cell r="I9894" t="str">
            <v>s__unclassified_c__Clostridia</v>
          </cell>
        </row>
        <row r="9895">
          <cell r="G9895" t="str">
            <v>ASV18023</v>
          </cell>
          <cell r="H9895" t="str">
            <v>g__CAG-873</v>
          </cell>
          <cell r="I9895" t="str">
            <v>s__Bacteroidales_bacterium_H4</v>
          </cell>
        </row>
        <row r="9896">
          <cell r="G9896" t="str">
            <v>ASV8498</v>
          </cell>
          <cell r="H9896" t="str">
            <v>g__Escherichia-Shigella</v>
          </cell>
          <cell r="I9896" t="str">
            <v>s__unclassified_g__Escherichia-Shigella</v>
          </cell>
        </row>
        <row r="9897">
          <cell r="G9897" t="str">
            <v>ASV2204</v>
          </cell>
          <cell r="H9897" t="str">
            <v>g__unclassified_f__Lachnospiraceae</v>
          </cell>
          <cell r="I9897" t="str">
            <v>s__unclassified_f__Lachnospiraceae</v>
          </cell>
        </row>
        <row r="9898">
          <cell r="G9898" t="str">
            <v>ASV20740</v>
          </cell>
          <cell r="H9898" t="str">
            <v>g__unclassified_c__Clostridia</v>
          </cell>
          <cell r="I9898" t="str">
            <v>s__unclassified_c__Clostridia</v>
          </cell>
        </row>
        <row r="9899">
          <cell r="G9899" t="str">
            <v>ASV11512</v>
          </cell>
          <cell r="H9899" t="str">
            <v>g__Prevotella</v>
          </cell>
          <cell r="I9899" t="str">
            <v>s__uncultured_bacterium_g__Prevotella</v>
          </cell>
        </row>
        <row r="9900">
          <cell r="G9900" t="str">
            <v>ASV4010</v>
          </cell>
          <cell r="H9900" t="str">
            <v>g__unclassified_k__norank_d__Bacteria</v>
          </cell>
          <cell r="I9900" t="str">
            <v>s__unclassified_k__norank_d__Bacteria</v>
          </cell>
        </row>
        <row r="9901">
          <cell r="G9901" t="str">
            <v>ASV7789</v>
          </cell>
          <cell r="H9901" t="str">
            <v>g__unclassified_c__Clostridia</v>
          </cell>
          <cell r="I9901" t="str">
            <v>s__unclassified_c__Clostridia</v>
          </cell>
        </row>
        <row r="9902">
          <cell r="G9902" t="str">
            <v>ASV7063</v>
          </cell>
          <cell r="H9902" t="str">
            <v>g__unclassified_f__Anaerovoracaceae</v>
          </cell>
          <cell r="I9902" t="str">
            <v>s__unclassified_f__Anaerovoracaceae</v>
          </cell>
        </row>
        <row r="9903">
          <cell r="G9903" t="str">
            <v>ASV6657</v>
          </cell>
          <cell r="H9903" t="str">
            <v>g__Staphylococcus</v>
          </cell>
          <cell r="I9903" t="str">
            <v>s__unclassified_g__Staphylococcus</v>
          </cell>
        </row>
        <row r="9904">
          <cell r="G9904" t="str">
            <v>ASV15385</v>
          </cell>
          <cell r="H9904" t="str">
            <v>g__Bacillus</v>
          </cell>
          <cell r="I9904" t="str">
            <v>s__Lactobacillus_vaginalis_g__Bacillus</v>
          </cell>
        </row>
        <row r="9905">
          <cell r="G9905" t="str">
            <v>ASV6692</v>
          </cell>
          <cell r="H9905" t="str">
            <v>g__unclassified_p__Firmicutes</v>
          </cell>
          <cell r="I9905" t="str">
            <v>s__unclassified_p__Firmicutes</v>
          </cell>
        </row>
        <row r="9906">
          <cell r="G9906" t="str">
            <v>ASV2131</v>
          </cell>
          <cell r="H9906" t="str">
            <v>g__norank_f__Peptostreptococcaceae</v>
          </cell>
          <cell r="I9906" t="str">
            <v>s__unclassified_g__norank_f__Peptostreptococcaceae</v>
          </cell>
        </row>
        <row r="9907">
          <cell r="G9907" t="str">
            <v>ASV8985</v>
          </cell>
          <cell r="H9907" t="str">
            <v>g__UCG-002</v>
          </cell>
          <cell r="I9907" t="str">
            <v>s__uncultured_bacterium_g__UCG-002</v>
          </cell>
        </row>
        <row r="9908">
          <cell r="G9908" t="str">
            <v>ASV17143</v>
          </cell>
          <cell r="H9908" t="str">
            <v>g__Vagococcus</v>
          </cell>
          <cell r="I9908" t="str">
            <v>s__unclassified_g__Vagococcus</v>
          </cell>
        </row>
        <row r="9909">
          <cell r="G9909" t="str">
            <v>ASV23209</v>
          </cell>
          <cell r="H9909" t="str">
            <v>g__unclassified_f__Peptostreptococcaceae</v>
          </cell>
          <cell r="I9909" t="str">
            <v>s__unclassified_f__Peptostreptococcaceae</v>
          </cell>
        </row>
        <row r="9910">
          <cell r="G9910" t="str">
            <v>ASV22127</v>
          </cell>
          <cell r="H9910" t="str">
            <v>g__Lactobacillus</v>
          </cell>
          <cell r="I9910" t="str">
            <v>s__unclassified_g__Lactobacillus</v>
          </cell>
        </row>
        <row r="9911">
          <cell r="G9911" t="str">
            <v>ASV22154</v>
          </cell>
          <cell r="H9911" t="str">
            <v>g__Lactobacillus</v>
          </cell>
          <cell r="I9911" t="str">
            <v>s__unclassified_g__Lactobacillus</v>
          </cell>
        </row>
        <row r="9912">
          <cell r="G9912" t="str">
            <v>ASV1667</v>
          </cell>
          <cell r="H9912" t="str">
            <v>g__Bacillus</v>
          </cell>
          <cell r="I9912" t="str">
            <v>s__Lactobacillus_vaginalis_g__Bacillus</v>
          </cell>
        </row>
        <row r="9913">
          <cell r="G9913" t="str">
            <v>ASV19519</v>
          </cell>
          <cell r="H9913" t="str">
            <v>g__unclassified_f__Lachnospiraceae</v>
          </cell>
          <cell r="I9913" t="str">
            <v>s__unclassified_f__Lachnospiraceae</v>
          </cell>
        </row>
        <row r="9914">
          <cell r="G9914" t="str">
            <v>ASV9408</v>
          </cell>
          <cell r="H9914" t="str">
            <v>g__Lactobacillus</v>
          </cell>
          <cell r="I9914" t="str">
            <v>s__unclassified_g__Lactobacillus</v>
          </cell>
        </row>
        <row r="9915">
          <cell r="G9915" t="str">
            <v>ASV15360</v>
          </cell>
          <cell r="H9915" t="str">
            <v>g__Christensenellaceae_R-7_group</v>
          </cell>
          <cell r="I9915" t="str">
            <v>s__uncultured_bacterium_g__Christensenellaceae_R-7_group</v>
          </cell>
        </row>
        <row r="9916">
          <cell r="G9916" t="str">
            <v>ASV15386</v>
          </cell>
          <cell r="H9916" t="str">
            <v>g__Rikenellaceae_RC9_gut_group</v>
          </cell>
          <cell r="I9916" t="str">
            <v>s__uncultured_bacterium_g__Rikenellaceae_RC9_gut_group</v>
          </cell>
        </row>
        <row r="9917">
          <cell r="G9917" t="str">
            <v>ASV21449</v>
          </cell>
          <cell r="H9917" t="str">
            <v>g__unclassified_c__Bacilli</v>
          </cell>
          <cell r="I9917" t="str">
            <v>s__unclassified_c__Bacilli</v>
          </cell>
        </row>
        <row r="9918">
          <cell r="G9918" t="str">
            <v>ASV12727</v>
          </cell>
          <cell r="H9918" t="str">
            <v>g__unclassified_p__Firmicutes</v>
          </cell>
          <cell r="I9918" t="str">
            <v>s__unclassified_p__Firmicutes</v>
          </cell>
        </row>
        <row r="9919">
          <cell r="G9919" t="str">
            <v>ASV11625</v>
          </cell>
          <cell r="H9919" t="str">
            <v>g__unclassified_f__Lachnospiraceae</v>
          </cell>
          <cell r="I9919" t="str">
            <v>s__unclassified_f__Lachnospiraceae</v>
          </cell>
        </row>
        <row r="9920">
          <cell r="G9920" t="str">
            <v>ASV20440</v>
          </cell>
          <cell r="H9920" t="str">
            <v>g__Gulbenkiania</v>
          </cell>
          <cell r="I9920" t="str">
            <v>s__unclassified_g__Gulbenkiania</v>
          </cell>
        </row>
        <row r="9921">
          <cell r="G9921" t="str">
            <v>ASV23279</v>
          </cell>
          <cell r="H9921" t="str">
            <v>g__unclassified_p__Firmicutes</v>
          </cell>
          <cell r="I9921" t="str">
            <v>s__unclassified_p__Firmicutes</v>
          </cell>
        </row>
        <row r="9922">
          <cell r="G9922" t="str">
            <v>ASV18846</v>
          </cell>
          <cell r="H9922" t="str">
            <v>g__Subdoligranulum</v>
          </cell>
          <cell r="I9922" t="str">
            <v>s__uncultured_bacterium_g__Subdoligranulum</v>
          </cell>
        </row>
        <row r="9923">
          <cell r="G9923" t="str">
            <v>ASV10609</v>
          </cell>
          <cell r="H9923" t="str">
            <v>g__unclassified_f__Lachnospiraceae</v>
          </cell>
          <cell r="I9923" t="str">
            <v>s__unclassified_f__Lachnospiraceae</v>
          </cell>
        </row>
        <row r="9924">
          <cell r="G9924" t="str">
            <v>ASV3486</v>
          </cell>
          <cell r="H9924" t="str">
            <v>g__Lactobacillus</v>
          </cell>
          <cell r="I9924" t="str">
            <v>s__unclassified_g__Lactobacillus</v>
          </cell>
        </row>
        <row r="9925">
          <cell r="G9925" t="str">
            <v>ASV17981</v>
          </cell>
          <cell r="H9925" t="str">
            <v>g__Bacteroides</v>
          </cell>
          <cell r="I9925" t="str">
            <v>s__unclassified_g__Bacteroides</v>
          </cell>
        </row>
        <row r="9926">
          <cell r="G9926" t="str">
            <v>ASV2157</v>
          </cell>
          <cell r="H9926" t="str">
            <v>g__Lactobacillus</v>
          </cell>
          <cell r="I9926" t="str">
            <v>s__unclassified_g__Lactobacillus</v>
          </cell>
        </row>
        <row r="9927">
          <cell r="G9927" t="str">
            <v>ASV8335</v>
          </cell>
          <cell r="H9927" t="str">
            <v>g__Lactobacillus</v>
          </cell>
          <cell r="I9927" t="str">
            <v>s__unclassified_g__Lactobacillus</v>
          </cell>
        </row>
        <row r="9928">
          <cell r="G9928" t="str">
            <v>ASV21213</v>
          </cell>
          <cell r="H9928" t="str">
            <v>g__Eubacterium_oxidoreducens_group</v>
          </cell>
          <cell r="I9928" t="str">
            <v>s__uncultured_bacterium_g__Eubacterium_oxidoreducens_group</v>
          </cell>
        </row>
        <row r="9929">
          <cell r="G9929" t="str">
            <v>ASV4825</v>
          </cell>
          <cell r="H9929" t="str">
            <v>g__unclassified_f__Lachnospiraceae</v>
          </cell>
          <cell r="I9929" t="str">
            <v>s__unclassified_f__Lachnospiraceae</v>
          </cell>
        </row>
        <row r="9930">
          <cell r="G9930" t="str">
            <v>ASV2148</v>
          </cell>
          <cell r="H9930" t="str">
            <v>g__Mogibacterium</v>
          </cell>
          <cell r="I9930" t="str">
            <v>s__uncultured_bacterium_g__Mogibacterium</v>
          </cell>
        </row>
        <row r="9931">
          <cell r="G9931" t="str">
            <v>ASV14224</v>
          </cell>
          <cell r="H9931" t="str">
            <v>g__unclassified_f__Lachnospiraceae</v>
          </cell>
          <cell r="I9931" t="str">
            <v>s__unclassified_f__Lachnospiraceae</v>
          </cell>
        </row>
        <row r="9932">
          <cell r="G9932" t="str">
            <v>ASV16869</v>
          </cell>
          <cell r="H9932" t="str">
            <v>g__Succinivibrio</v>
          </cell>
          <cell r="I9932" t="str">
            <v>s__uncultured_Succinivibrio_sp.</v>
          </cell>
        </row>
        <row r="9933">
          <cell r="G9933" t="str">
            <v>ASV4842</v>
          </cell>
          <cell r="H9933" t="str">
            <v>g__unclassified_o__Oscillospirales</v>
          </cell>
          <cell r="I9933" t="str">
            <v>s__unclassified_o__Oscillospirales</v>
          </cell>
        </row>
        <row r="9934">
          <cell r="G9934" t="str">
            <v>ASV2176</v>
          </cell>
          <cell r="H9934" t="str">
            <v>g__unclassified_c__Bacilli</v>
          </cell>
          <cell r="I9934" t="str">
            <v>s__unclassified_c__Bacilli</v>
          </cell>
        </row>
        <row r="9935">
          <cell r="G9935" t="str">
            <v>ASV19494</v>
          </cell>
          <cell r="H9935" t="str">
            <v>g__unclassified_p__Firmicutes</v>
          </cell>
          <cell r="I9935" t="str">
            <v>s__unclassified_p__Firmicutes</v>
          </cell>
        </row>
        <row r="9936">
          <cell r="G9936" t="str">
            <v>ASV14285</v>
          </cell>
          <cell r="H9936" t="str">
            <v>g__unclassified_c__Clostridia</v>
          </cell>
          <cell r="I9936" t="str">
            <v>s__unclassified_c__Clostridia</v>
          </cell>
        </row>
        <row r="9937">
          <cell r="G9937" t="str">
            <v>ASV11627</v>
          </cell>
          <cell r="H9937" t="str">
            <v>g__unclassified_c__Clostridia</v>
          </cell>
          <cell r="I9937" t="str">
            <v>s__unclassified_c__Clostridia</v>
          </cell>
        </row>
        <row r="9938">
          <cell r="G9938" t="str">
            <v>ASV11632</v>
          </cell>
          <cell r="H9938" t="str">
            <v>g__UCG-002</v>
          </cell>
          <cell r="I9938" t="str">
            <v>s__uncultured_bacterium_g__UCG-002</v>
          </cell>
        </row>
        <row r="9939">
          <cell r="G9939" t="str">
            <v>ASV7745</v>
          </cell>
          <cell r="H9939" t="str">
            <v>g__unclassified_f__Ruminococcaceae</v>
          </cell>
          <cell r="I9939" t="str">
            <v>s__unclassified_f__Ruminococcaceae</v>
          </cell>
        </row>
        <row r="9940">
          <cell r="G9940" t="str">
            <v>ASV9338</v>
          </cell>
          <cell r="H9940" t="str">
            <v>g__unclassified_k__norank_d__Bacteria</v>
          </cell>
          <cell r="I9940" t="str">
            <v>s__unclassified_k__norank_d__Bacteria</v>
          </cell>
        </row>
        <row r="9941">
          <cell r="G9941" t="str">
            <v>ASV11652</v>
          </cell>
          <cell r="H9941" t="str">
            <v>g__Lachnospiraceae_UCG-004</v>
          </cell>
          <cell r="I9941" t="str">
            <v>s__uncultured_bacterium_g__Lachnospiraceae_UCG-004</v>
          </cell>
        </row>
        <row r="9942">
          <cell r="G9942" t="str">
            <v>ASV10680</v>
          </cell>
          <cell r="H9942" t="str">
            <v>g__Ruminococcus</v>
          </cell>
          <cell r="I9942" t="str">
            <v>s__unclassified_g__Ruminococcus</v>
          </cell>
        </row>
        <row r="9943">
          <cell r="G9943" t="str">
            <v>ASV21608</v>
          </cell>
          <cell r="H9943" t="str">
            <v>g__Allisonella</v>
          </cell>
          <cell r="I9943" t="str">
            <v>s__unclassified_g__Allisonella</v>
          </cell>
        </row>
        <row r="9944">
          <cell r="G9944" t="str">
            <v>ASV6678</v>
          </cell>
          <cell r="H9944" t="str">
            <v>g__Escherichia-Shigella</v>
          </cell>
          <cell r="I9944" t="str">
            <v>s__unclassified_g__Escherichia-Shigella</v>
          </cell>
        </row>
        <row r="9945">
          <cell r="G9945" t="str">
            <v>ASV19603</v>
          </cell>
          <cell r="H9945" t="str">
            <v>g__unclassified_p__Firmicutes</v>
          </cell>
          <cell r="I9945" t="str">
            <v>s__unclassified_p__Firmicutes</v>
          </cell>
        </row>
        <row r="9946">
          <cell r="G9946" t="str">
            <v>ASV21601</v>
          </cell>
          <cell r="H9946" t="str">
            <v>g__Colidextribacter</v>
          </cell>
          <cell r="I9946" t="str">
            <v>s__uncultured_bacterium_g__Colidextribacter</v>
          </cell>
        </row>
        <row r="9947">
          <cell r="G9947" t="str">
            <v>ASV14168</v>
          </cell>
          <cell r="H9947" t="str">
            <v>g__unclassified_f__Lachnospiraceae</v>
          </cell>
          <cell r="I9947" t="str">
            <v>s__unclassified_f__Lachnospiraceae</v>
          </cell>
        </row>
        <row r="9948">
          <cell r="G9948" t="str">
            <v>ASV19480</v>
          </cell>
          <cell r="H9948" t="str">
            <v>g__unclassified_o__Oscillospirales</v>
          </cell>
          <cell r="I9948" t="str">
            <v>s__unclassified_o__Oscillospirales</v>
          </cell>
        </row>
        <row r="9949">
          <cell r="G9949" t="str">
            <v>ASV4803</v>
          </cell>
          <cell r="H9949" t="str">
            <v>g__unclassified_f__Oscillospiraceae</v>
          </cell>
          <cell r="I9949" t="str">
            <v>s__unclassified_f__Oscillospiraceae</v>
          </cell>
        </row>
        <row r="9950">
          <cell r="G9950" t="str">
            <v>ASV19499</v>
          </cell>
          <cell r="H9950" t="str">
            <v>g__norank_f__Muribaculaceae</v>
          </cell>
          <cell r="I9950" t="str">
            <v>s__uncultured_bacterium_g__norank_f__Muribaculaceae</v>
          </cell>
        </row>
        <row r="9951">
          <cell r="G9951" t="str">
            <v>ASV24168</v>
          </cell>
          <cell r="H9951" t="str">
            <v>g__unclassified_f__Anaerovoracaceae</v>
          </cell>
          <cell r="I9951" t="str">
            <v>s__unclassified_f__Anaerovoracaceae</v>
          </cell>
        </row>
        <row r="9952">
          <cell r="G9952" t="str">
            <v>ASV21454</v>
          </cell>
          <cell r="H9952" t="str">
            <v>g__Megasphaera</v>
          </cell>
          <cell r="I9952" t="str">
            <v>s__unclassified_g__Megasphaera</v>
          </cell>
        </row>
        <row r="9953">
          <cell r="G9953" t="str">
            <v>ASV19590</v>
          </cell>
          <cell r="H9953" t="str">
            <v>g__norank_f__Eubacterium_coprostanoligenes_group</v>
          </cell>
          <cell r="I9953" t="str">
            <v>s__uncultured_bacterium_g__norank_f__Eubacterium_coprostanoligenes_group</v>
          </cell>
        </row>
        <row r="9954">
          <cell r="G9954" t="str">
            <v>ASV12780</v>
          </cell>
          <cell r="H9954" t="str">
            <v>g__Enterococcus</v>
          </cell>
          <cell r="I9954" t="str">
            <v>s__unclassified_g__Enterococcus</v>
          </cell>
        </row>
        <row r="9955">
          <cell r="G9955" t="str">
            <v>ASV16914</v>
          </cell>
          <cell r="H9955" t="str">
            <v>g__Lactobacillus</v>
          </cell>
          <cell r="I9955" t="str">
            <v>s__unclassified_g__Lactobacillus</v>
          </cell>
        </row>
        <row r="9956">
          <cell r="G9956" t="str">
            <v>ASV7787</v>
          </cell>
          <cell r="H9956" t="str">
            <v>g__unclassified_c__Clostridia</v>
          </cell>
          <cell r="I9956" t="str">
            <v>s__unclassified_c__Clostridia</v>
          </cell>
        </row>
        <row r="9957">
          <cell r="G9957" t="str">
            <v>ASV21218</v>
          </cell>
          <cell r="H9957" t="str">
            <v>g__unclassified_f__Lachnospiraceae</v>
          </cell>
          <cell r="I9957" t="str">
            <v>s__unclassified_f__Lachnospiraceae</v>
          </cell>
        </row>
        <row r="9958">
          <cell r="G9958" t="str">
            <v>ASV683</v>
          </cell>
          <cell r="H9958" t="str">
            <v>g__Monoglobus</v>
          </cell>
          <cell r="I9958" t="str">
            <v>s__uncultured_bacterium_g__Monoglobus</v>
          </cell>
        </row>
        <row r="9959">
          <cell r="G9959" t="str">
            <v>ASV4848</v>
          </cell>
          <cell r="H9959" t="str">
            <v>g__Ruminococcus</v>
          </cell>
          <cell r="I9959" t="str">
            <v>s__unclassified_g__Ruminococcus</v>
          </cell>
        </row>
        <row r="9960">
          <cell r="G9960" t="str">
            <v>ASV17360</v>
          </cell>
          <cell r="H9960" t="str">
            <v>g__Kocuria</v>
          </cell>
          <cell r="I9960" t="str">
            <v>s__unclassified_g__Kocuria</v>
          </cell>
        </row>
        <row r="9961">
          <cell r="G9961" t="str">
            <v>ASV12785</v>
          </cell>
          <cell r="H9961" t="str">
            <v>g__unclassified_c__Clostridia</v>
          </cell>
          <cell r="I9961" t="str">
            <v>s__unclassified_c__Clostridia</v>
          </cell>
        </row>
        <row r="9962">
          <cell r="G9962" t="str">
            <v>ASV22923</v>
          </cell>
          <cell r="H9962" t="str">
            <v>g__Streptococcus</v>
          </cell>
          <cell r="I9962" t="str">
            <v>s__unclassified_g__Streptococcus</v>
          </cell>
        </row>
        <row r="9963">
          <cell r="G9963" t="str">
            <v>ASV17670</v>
          </cell>
          <cell r="H9963" t="str">
            <v>g__Lactobacillus</v>
          </cell>
          <cell r="I9963" t="str">
            <v>s__unclassified_g__Lactobacillus</v>
          </cell>
        </row>
        <row r="9964">
          <cell r="G9964" t="str">
            <v>ASV19057</v>
          </cell>
          <cell r="H9964" t="str">
            <v>g__unclassified_f__Lachnospiraceae</v>
          </cell>
          <cell r="I9964" t="str">
            <v>s__unclassified_f__Lachnospiraceae</v>
          </cell>
        </row>
        <row r="9965">
          <cell r="G9965" t="str">
            <v>ASV3183</v>
          </cell>
          <cell r="H9965" t="str">
            <v>g__Bacteroides</v>
          </cell>
          <cell r="I9965" t="str">
            <v>s__uncultured_bacterium_g__Bacteroides</v>
          </cell>
        </row>
        <row r="9966">
          <cell r="G9966" t="str">
            <v>ASV11505</v>
          </cell>
          <cell r="H9966" t="str">
            <v>g__unclassified_c__Clostridia</v>
          </cell>
          <cell r="I9966" t="str">
            <v>s__unclassified_c__Clostridia</v>
          </cell>
        </row>
        <row r="9967">
          <cell r="G9967" t="str">
            <v>ASV10196</v>
          </cell>
          <cell r="H9967" t="str">
            <v>g__Parabacteroides</v>
          </cell>
          <cell r="I9967" t="str">
            <v>s__unclassified_g__Parabacteroides</v>
          </cell>
        </row>
        <row r="9968">
          <cell r="G9968" t="str">
            <v>ASV14697</v>
          </cell>
          <cell r="H9968" t="str">
            <v>g__Lactobacillus</v>
          </cell>
          <cell r="I9968" t="str">
            <v>s__unclassified_g__Lactobacillus</v>
          </cell>
        </row>
        <row r="9969">
          <cell r="G9969" t="str">
            <v>ASV11474</v>
          </cell>
          <cell r="H9969" t="str">
            <v>g__unclassified_p__Firmicutes</v>
          </cell>
          <cell r="I9969" t="str">
            <v>s__unclassified_p__Firmicutes</v>
          </cell>
        </row>
        <row r="9970">
          <cell r="G9970" t="str">
            <v>ASV12699</v>
          </cell>
          <cell r="H9970" t="str">
            <v>g__Ruminococcus</v>
          </cell>
          <cell r="I9970" t="str">
            <v>s__unclassified_g__Ruminococcus</v>
          </cell>
        </row>
        <row r="9971">
          <cell r="G9971" t="str">
            <v>ASV613</v>
          </cell>
          <cell r="H9971" t="str">
            <v>g__unclassified_f__Oscillospiraceae</v>
          </cell>
          <cell r="I9971" t="str">
            <v>s__unclassified_f__Oscillospiraceae</v>
          </cell>
        </row>
        <row r="9972">
          <cell r="G9972" t="str">
            <v>ASV7773</v>
          </cell>
          <cell r="H9972" t="str">
            <v>g__Lactobacillus</v>
          </cell>
          <cell r="I9972" t="str">
            <v>s__unclassified_g__Lactobacillus</v>
          </cell>
        </row>
        <row r="9973">
          <cell r="G9973" t="str">
            <v>ASV13412</v>
          </cell>
          <cell r="H9973" t="str">
            <v>g__unclassified_c__Clostridia</v>
          </cell>
          <cell r="I9973" t="str">
            <v>s__unclassified_c__Clostridia</v>
          </cell>
        </row>
        <row r="9974">
          <cell r="G9974" t="str">
            <v>ASV645</v>
          </cell>
          <cell r="H9974" t="str">
            <v>g__Lactobacillus</v>
          </cell>
          <cell r="I9974" t="str">
            <v>s__unclassified_g__Lactobacillus</v>
          </cell>
        </row>
        <row r="9975">
          <cell r="G9975" t="str">
            <v>ASV664</v>
          </cell>
          <cell r="H9975" t="str">
            <v>g__unclassified_c__Clostridia</v>
          </cell>
          <cell r="I9975" t="str">
            <v>s__unclassified_c__Clostridia</v>
          </cell>
        </row>
        <row r="9976">
          <cell r="G9976" t="str">
            <v>ASV19585</v>
          </cell>
          <cell r="H9976" t="str">
            <v>g__Colidextribacter</v>
          </cell>
          <cell r="I9976" t="str">
            <v>s__unclassified_g__Colidextribacter</v>
          </cell>
        </row>
        <row r="9977">
          <cell r="G9977" t="str">
            <v>ASV16867</v>
          </cell>
          <cell r="H9977" t="str">
            <v>g__Escherichia-Shigella</v>
          </cell>
          <cell r="I9977" t="str">
            <v>s__unclassified_g__Escherichia-Shigella</v>
          </cell>
        </row>
        <row r="9978">
          <cell r="G9978" t="str">
            <v>ASV3378</v>
          </cell>
          <cell r="H9978" t="str">
            <v>g__Roseburia</v>
          </cell>
          <cell r="I9978" t="str">
            <v>s__unclassified_g__Roseburia</v>
          </cell>
        </row>
        <row r="9979">
          <cell r="G9979" t="str">
            <v>ASV7722</v>
          </cell>
          <cell r="H9979" t="str">
            <v>g__unclassified_f__Lachnospiraceae</v>
          </cell>
          <cell r="I9979" t="str">
            <v>s__unclassified_f__Lachnospiraceae</v>
          </cell>
        </row>
        <row r="9980">
          <cell r="G9980" t="str">
            <v>ASV11655</v>
          </cell>
          <cell r="H9980" t="str">
            <v>g__unclassified_c__Clostridia</v>
          </cell>
          <cell r="I9980" t="str">
            <v>s__unclassified_c__Clostridia</v>
          </cell>
        </row>
        <row r="9981">
          <cell r="G9981" t="str">
            <v>ASV19549</v>
          </cell>
          <cell r="H9981" t="str">
            <v>g__Bacteroides</v>
          </cell>
          <cell r="I9981" t="str">
            <v>s__unclassified_g__Bacteroides</v>
          </cell>
        </row>
        <row r="9982">
          <cell r="G9982" t="str">
            <v>ASV723</v>
          </cell>
          <cell r="H9982" t="str">
            <v>g__unclassified_f__Lachnospiraceae</v>
          </cell>
          <cell r="I9982" t="str">
            <v>s__unclassified_f__Lachnospiraceae</v>
          </cell>
        </row>
        <row r="9983">
          <cell r="G9983" t="str">
            <v>ASV2188</v>
          </cell>
          <cell r="H9983" t="str">
            <v>g__unclassified_p__Firmicutes</v>
          </cell>
          <cell r="I9983" t="str">
            <v>s__unclassified_p__Firmicutes</v>
          </cell>
        </row>
        <row r="9984">
          <cell r="G9984" t="str">
            <v>ASV23256</v>
          </cell>
          <cell r="H9984" t="str">
            <v>g__unclassified_f__Lachnospiraceae</v>
          </cell>
          <cell r="I9984" t="str">
            <v>s__unclassified_f__Lachnospiraceae</v>
          </cell>
        </row>
        <row r="9985">
          <cell r="G9985" t="str">
            <v>ASV23761</v>
          </cell>
          <cell r="H9985" t="str">
            <v>g__Family_XIII_UCG-001</v>
          </cell>
          <cell r="I9985" t="str">
            <v>s__unclassified_g__Family_XIII_UCG-001</v>
          </cell>
        </row>
        <row r="9986">
          <cell r="G9986" t="str">
            <v>ASV14197</v>
          </cell>
          <cell r="H9986" t="str">
            <v>g__unclassified_c__Clostridia</v>
          </cell>
          <cell r="I9986" t="str">
            <v>s__unclassified_c__Clostridia</v>
          </cell>
        </row>
        <row r="9987">
          <cell r="G9987" t="str">
            <v>ASV3477</v>
          </cell>
          <cell r="H9987" t="str">
            <v>g__Clostridium_sensu_stricto_1</v>
          </cell>
          <cell r="I9987" t="str">
            <v>s__unclassified_g__Clostridium_sensu_stricto_1</v>
          </cell>
        </row>
        <row r="9988">
          <cell r="G9988" t="str">
            <v>ASV14293</v>
          </cell>
          <cell r="H9988" t="str">
            <v>g__Lactobacillus</v>
          </cell>
          <cell r="I9988" t="str">
            <v>s__unclassified_g__Lactobacillus</v>
          </cell>
        </row>
        <row r="9989">
          <cell r="G9989" t="str">
            <v>ASV771</v>
          </cell>
          <cell r="H9989" t="str">
            <v>g__unclassified_c__Clostridia</v>
          </cell>
          <cell r="I9989" t="str">
            <v>s__unclassified_c__Clostridia</v>
          </cell>
        </row>
        <row r="9990">
          <cell r="G9990" t="str">
            <v>ASV1639</v>
          </cell>
          <cell r="H9990" t="str">
            <v>g__unclassified_k__norank_d__Bacteria</v>
          </cell>
          <cell r="I9990" t="str">
            <v>s__unclassified_k__norank_d__Bacteria</v>
          </cell>
        </row>
        <row r="9991">
          <cell r="G9991" t="str">
            <v>ASV18557</v>
          </cell>
          <cell r="H9991" t="str">
            <v>g__unclassified_f__Lachnospiraceae</v>
          </cell>
          <cell r="I9991" t="str">
            <v>s__unclassified_f__Lachnospiraceae</v>
          </cell>
        </row>
        <row r="9992">
          <cell r="G9992" t="str">
            <v>ASV14203</v>
          </cell>
          <cell r="H9992" t="str">
            <v>g__Lactobacillus</v>
          </cell>
          <cell r="I9992" t="str">
            <v>s__unclassified_g__Lactobacillus</v>
          </cell>
        </row>
        <row r="9993">
          <cell r="G9993" t="str">
            <v>ASV13795</v>
          </cell>
          <cell r="H9993" t="str">
            <v>g__norank_f__norank_o__Saccharimonadales</v>
          </cell>
          <cell r="I9993" t="str">
            <v>s__unclassified_g__norank_f__norank_o__Saccharimonadales</v>
          </cell>
        </row>
        <row r="9994">
          <cell r="G9994" t="str">
            <v>ASV8804</v>
          </cell>
          <cell r="H9994" t="str">
            <v>g__unclassified_o__Oscillospirales</v>
          </cell>
          <cell r="I9994" t="str">
            <v>s__unclassified_o__Oscillospirales</v>
          </cell>
        </row>
        <row r="9995">
          <cell r="G9995" t="str">
            <v>ASV10014</v>
          </cell>
          <cell r="H9995" t="str">
            <v>g__norank_f__norank_o__WCHB1-41</v>
          </cell>
          <cell r="I9995" t="str">
            <v>s__uncultured_rumen_bacterium_g__norank_f__norank</v>
          </cell>
        </row>
        <row r="9996">
          <cell r="G9996" t="str">
            <v>ASV4033</v>
          </cell>
          <cell r="H9996" t="str">
            <v>g__Escherichia-Shigella</v>
          </cell>
          <cell r="I9996" t="str">
            <v>s__unclassified_g__Escherichia-Shigella</v>
          </cell>
        </row>
        <row r="9997">
          <cell r="G9997" t="str">
            <v>ASV17934</v>
          </cell>
          <cell r="H9997" t="str">
            <v>g__unclassified_p__Firmicutes</v>
          </cell>
          <cell r="I9997" t="str">
            <v>s__unclassified_p__Firmicutes</v>
          </cell>
        </row>
        <row r="9998">
          <cell r="G9998" t="str">
            <v>ASV18588</v>
          </cell>
          <cell r="H9998" t="str">
            <v>g__unclassified_f__Lachnospiraceae</v>
          </cell>
          <cell r="I9998" t="str">
            <v>s__unclassified_f__Lachnospiraceae</v>
          </cell>
        </row>
        <row r="9999">
          <cell r="G9999" t="str">
            <v>ASV20447</v>
          </cell>
          <cell r="H9999" t="str">
            <v>g__Pedobacter</v>
          </cell>
          <cell r="I9999" t="str">
            <v>s__Pedobacter_namyangjuensis</v>
          </cell>
        </row>
        <row r="10000">
          <cell r="G10000" t="str">
            <v>ASV19492</v>
          </cell>
          <cell r="H10000" t="str">
            <v>g__unclassified_p__Firmicutes</v>
          </cell>
          <cell r="I10000" t="str">
            <v>s__unclassified_p__Firmicutes</v>
          </cell>
        </row>
        <row r="10001">
          <cell r="G10001" t="str">
            <v>ASV9385</v>
          </cell>
          <cell r="H10001" t="str">
            <v>g__unclassified_c__Clostridia</v>
          </cell>
          <cell r="I10001" t="str">
            <v>s__unclassified_c__Clostridia</v>
          </cell>
        </row>
        <row r="10002">
          <cell r="G10002" t="str">
            <v>ASV728</v>
          </cell>
          <cell r="H10002" t="str">
            <v>g__norank_f__Muribaculaceae</v>
          </cell>
          <cell r="I10002" t="str">
            <v>s__uncultured_bacterium_g__norank_f__Muribaculaceae</v>
          </cell>
        </row>
        <row r="10003">
          <cell r="G10003" t="str">
            <v>ASV15086</v>
          </cell>
          <cell r="H10003" t="str">
            <v>g__Christensenellaceae_R-7_group</v>
          </cell>
          <cell r="I10003" t="str">
            <v>s__unclassified_g__Christensenellaceae_R-7_group</v>
          </cell>
        </row>
        <row r="10004">
          <cell r="G10004" t="str">
            <v>ASV14225</v>
          </cell>
          <cell r="H10004" t="str">
            <v>g__unclassified_c__Clostridia</v>
          </cell>
          <cell r="I10004" t="str">
            <v>s__unclassified_c__Clostridia</v>
          </cell>
        </row>
        <row r="10005">
          <cell r="G10005" t="str">
            <v>ASV635</v>
          </cell>
          <cell r="H10005" t="str">
            <v>g__unclassified_c__Clostridia</v>
          </cell>
          <cell r="I10005" t="str">
            <v>s__unclassified_c__Clostridia</v>
          </cell>
        </row>
        <row r="10006">
          <cell r="G10006" t="str">
            <v>ASV19484</v>
          </cell>
          <cell r="H10006" t="str">
            <v>g__Cloacibacillus</v>
          </cell>
          <cell r="I10006" t="str">
            <v>s__unclassified_g__Cloacibacillus</v>
          </cell>
        </row>
        <row r="10007">
          <cell r="G10007" t="str">
            <v>ASV22093</v>
          </cell>
          <cell r="H10007" t="str">
            <v>g__Desulfovibrio</v>
          </cell>
          <cell r="I10007" t="str">
            <v>s__unclassified_g__Desulfovibrio</v>
          </cell>
        </row>
        <row r="10008">
          <cell r="G10008" t="str">
            <v>ASV20720</v>
          </cell>
          <cell r="H10008" t="str">
            <v>g__unclassified_c__Clostridia</v>
          </cell>
          <cell r="I10008" t="str">
            <v>s__unclassified_c__Clostridia</v>
          </cell>
        </row>
        <row r="10009">
          <cell r="G10009" t="str">
            <v>ASV16387</v>
          </cell>
          <cell r="H10009" t="str">
            <v>g__unclassified_f__Lachnospiraceae</v>
          </cell>
          <cell r="I10009" t="str">
            <v>s__unclassified_f__Lachnospiraceae</v>
          </cell>
        </row>
        <row r="10010">
          <cell r="G10010" t="str">
            <v>ASV5864</v>
          </cell>
          <cell r="H10010" t="str">
            <v>g__Christensenellaceae_R-7_group</v>
          </cell>
          <cell r="I10010" t="str">
            <v>s__unclassified_g__Christensenellaceae_R-7_group</v>
          </cell>
        </row>
        <row r="10011">
          <cell r="G10011" t="str">
            <v>ASV10568</v>
          </cell>
          <cell r="H10011" t="str">
            <v>g__unclassified_c__Clostridia</v>
          </cell>
          <cell r="I10011" t="str">
            <v>s__unclassified_c__Clostridia</v>
          </cell>
        </row>
        <row r="10012">
          <cell r="G10012" t="str">
            <v>ASV8500</v>
          </cell>
          <cell r="H10012" t="str">
            <v>g__Howardella</v>
          </cell>
          <cell r="I10012" t="str">
            <v>s__unclassified_g__Howardella</v>
          </cell>
        </row>
        <row r="10013">
          <cell r="G10013" t="str">
            <v>ASV23265</v>
          </cell>
          <cell r="H10013" t="str">
            <v>g__Escherichia-Shigella</v>
          </cell>
          <cell r="I10013" t="str">
            <v>s__unclassified_g__Escherichia-Shigella</v>
          </cell>
        </row>
        <row r="10014">
          <cell r="G10014" t="str">
            <v>ASV23840</v>
          </cell>
          <cell r="H10014" t="str">
            <v>g__unclassified_f__Lachnospiraceae</v>
          </cell>
          <cell r="I10014" t="str">
            <v>s__unclassified_f__Lachnospiraceae</v>
          </cell>
        </row>
        <row r="10015">
          <cell r="G10015" t="str">
            <v>ASV3974</v>
          </cell>
          <cell r="H10015" t="str">
            <v>g__norank_f__Ruminococcaceae</v>
          </cell>
          <cell r="I10015" t="str">
            <v>s__uncultured_prokaryote_g__norank_f__Ruminococcaceae</v>
          </cell>
        </row>
        <row r="10016">
          <cell r="G10016" t="str">
            <v>ASV616</v>
          </cell>
          <cell r="H10016" t="str">
            <v>g__unclassified_c__Clostridia</v>
          </cell>
          <cell r="I10016" t="str">
            <v>s__unclassified_c__Clostridia</v>
          </cell>
        </row>
        <row r="10017">
          <cell r="G10017" t="str">
            <v>ASV22129</v>
          </cell>
          <cell r="H10017" t="str">
            <v>g__unclassified_f__Oscillospiraceae</v>
          </cell>
          <cell r="I10017" t="str">
            <v>s__unclassified_f__Oscillospiraceae</v>
          </cell>
        </row>
        <row r="10018">
          <cell r="G10018" t="str">
            <v>ASV20247</v>
          </cell>
          <cell r="H10018" t="str">
            <v>g__Eggerthella</v>
          </cell>
          <cell r="I10018" t="str">
            <v>s__uncultured_bacterium_g__Eggerthella</v>
          </cell>
        </row>
        <row r="10019">
          <cell r="G10019" t="str">
            <v>ASV11525</v>
          </cell>
          <cell r="H10019" t="str">
            <v>g__unclassified_f__Anaerovoracaceae</v>
          </cell>
          <cell r="I10019" t="str">
            <v>s__unclassified_f__Anaerovoracaceae</v>
          </cell>
        </row>
        <row r="10020">
          <cell r="G10020" t="str">
            <v>ASV15357</v>
          </cell>
          <cell r="H10020" t="str">
            <v>g__Campylobacter</v>
          </cell>
          <cell r="I10020" t="str">
            <v>s__unclassified_g__Campylobacter</v>
          </cell>
        </row>
        <row r="10021">
          <cell r="G10021" t="str">
            <v>ASV747</v>
          </cell>
          <cell r="H10021" t="str">
            <v>g__unclassified_c__Clostridia</v>
          </cell>
          <cell r="I10021" t="str">
            <v>s__unclassified_c__Clostridia</v>
          </cell>
        </row>
        <row r="10022">
          <cell r="G10022" t="str">
            <v>ASV20244</v>
          </cell>
          <cell r="H10022" t="str">
            <v>g__unclassified_f__Lachnospiraceae</v>
          </cell>
          <cell r="I10022" t="str">
            <v>s__unclassified_f__Lachnospiraceae</v>
          </cell>
        </row>
        <row r="10023">
          <cell r="G10023" t="str">
            <v>ASV8504</v>
          </cell>
          <cell r="H10023" t="str">
            <v>g__unclassified_c__Bacilli</v>
          </cell>
          <cell r="I10023" t="str">
            <v>s__unclassified_c__Bacilli</v>
          </cell>
        </row>
        <row r="10024">
          <cell r="G10024" t="str">
            <v>ASV11060</v>
          </cell>
          <cell r="H10024" t="str">
            <v>g__Lactobacillus</v>
          </cell>
          <cell r="I10024" t="str">
            <v>s__unclassified_g__Lactobacillus</v>
          </cell>
        </row>
        <row r="10025">
          <cell r="G10025" t="str">
            <v>ASV16875</v>
          </cell>
          <cell r="H10025" t="str">
            <v>g__Lactobacillus</v>
          </cell>
          <cell r="I10025" t="str">
            <v>s__unclassified_g__Lactobacillus</v>
          </cell>
        </row>
        <row r="10026">
          <cell r="G10026" t="str">
            <v>ASV9359</v>
          </cell>
          <cell r="H10026" t="str">
            <v>g__unclassified_f__Oscillospiraceae</v>
          </cell>
          <cell r="I10026" t="str">
            <v>s__unclassified_f__Oscillospiraceae</v>
          </cell>
        </row>
        <row r="10027">
          <cell r="G10027" t="str">
            <v>ASV4816</v>
          </cell>
          <cell r="H10027" t="str">
            <v>g__UCG-002</v>
          </cell>
          <cell r="I10027" t="str">
            <v>s__uncultured_bacterium_g__UCG-002</v>
          </cell>
        </row>
        <row r="10028">
          <cell r="G10028" t="str">
            <v>ASV12691</v>
          </cell>
          <cell r="H10028" t="str">
            <v>g__norank_f__norank_o__norank_c__norank_p__WPS-2</v>
          </cell>
          <cell r="I10028" t="str">
            <v>s__uncultured_rumen_bacterium_g__norank_f__norank_o__norank_c__norank</v>
          </cell>
        </row>
        <row r="10029">
          <cell r="G10029" t="str">
            <v>ASV8495</v>
          </cell>
          <cell r="H10029" t="str">
            <v>g__Olsenella</v>
          </cell>
          <cell r="I10029" t="str">
            <v>s__unclassified_g__Olsenella</v>
          </cell>
        </row>
        <row r="10030">
          <cell r="G10030" t="str">
            <v>ASV16880</v>
          </cell>
          <cell r="H10030" t="str">
            <v>g__unclassified_c__Clostridia</v>
          </cell>
          <cell r="I10030" t="str">
            <v>s__unclassified_c__Clostridia</v>
          </cell>
        </row>
        <row r="10031">
          <cell r="G10031" t="str">
            <v>ASV16870</v>
          </cell>
          <cell r="H10031" t="str">
            <v>g__Alloprevotella</v>
          </cell>
          <cell r="I10031" t="str">
            <v>s__uncultured_bacterium_g__Alloprevotella</v>
          </cell>
        </row>
        <row r="10032">
          <cell r="G10032" t="str">
            <v>ASV20755</v>
          </cell>
          <cell r="H10032" t="str">
            <v>g__unclassified_p__Firmicutes</v>
          </cell>
          <cell r="I10032" t="str">
            <v>s__unclassified_p__Firmicutes</v>
          </cell>
        </row>
        <row r="10033">
          <cell r="G10033" t="str">
            <v>ASV3990</v>
          </cell>
          <cell r="H10033" t="str">
            <v>g__Escherichia-Shigella</v>
          </cell>
          <cell r="I10033" t="str">
            <v>s__unclassified_g__Escherichia-Shigella</v>
          </cell>
        </row>
        <row r="10034">
          <cell r="G10034" t="str">
            <v>ASV20744</v>
          </cell>
          <cell r="H10034" t="str">
            <v>g__unclassified_c__Clostridia</v>
          </cell>
          <cell r="I10034" t="str">
            <v>s__unclassified_c__Clostridia</v>
          </cell>
        </row>
        <row r="10035">
          <cell r="G10035" t="str">
            <v>ASV16868</v>
          </cell>
          <cell r="H10035" t="str">
            <v>g__norank_f__Erysipelotrichaceae</v>
          </cell>
          <cell r="I10035" t="str">
            <v>s__uncultured_bacterium_g__norank_f__Erysipelotrichaceae</v>
          </cell>
        </row>
        <row r="10036">
          <cell r="G10036" t="str">
            <v>ASV10653</v>
          </cell>
          <cell r="H10036" t="str">
            <v>g__Terrisporobacter</v>
          </cell>
          <cell r="I10036" t="str">
            <v>s__unclassified_g__Terrisporobacter</v>
          </cell>
        </row>
        <row r="10037">
          <cell r="G10037" t="str">
            <v>ASV3979</v>
          </cell>
          <cell r="H10037" t="str">
            <v>g__unclassified_f__Lachnospiraceae</v>
          </cell>
          <cell r="I10037" t="str">
            <v>s__unclassified_f__Lachnospiraceae</v>
          </cell>
        </row>
        <row r="10038">
          <cell r="G10038" t="str">
            <v>ASV10580</v>
          </cell>
          <cell r="H10038" t="str">
            <v>g__norank_f__Erysipelotrichaceae</v>
          </cell>
          <cell r="I10038" t="str">
            <v>s__uncultured_bacterium_g__norank_f__Erysipelotrichaceae</v>
          </cell>
        </row>
        <row r="10039">
          <cell r="G10039" t="str">
            <v>ASV23263</v>
          </cell>
          <cell r="H10039" t="str">
            <v>g__Eubacterium_oxidoreducens_group</v>
          </cell>
          <cell r="I10039" t="str">
            <v>s__unclassified_g__Eubacterium_oxidoreducens_group</v>
          </cell>
        </row>
        <row r="10040">
          <cell r="G10040" t="str">
            <v>ASV19488</v>
          </cell>
          <cell r="H10040" t="str">
            <v>g__Subdoligranulum</v>
          </cell>
          <cell r="I10040" t="str">
            <v>s__uncultured_bacterium_g__Subdoligranulum</v>
          </cell>
        </row>
        <row r="10041">
          <cell r="G10041" t="str">
            <v>ASV4759</v>
          </cell>
          <cell r="H10041" t="str">
            <v>g__Lactobacillus</v>
          </cell>
          <cell r="I10041" t="str">
            <v>s__unclassified_g__Lactobacillus</v>
          </cell>
        </row>
        <row r="10042">
          <cell r="G10042" t="str">
            <v>ASV6698</v>
          </cell>
          <cell r="H10042" t="str">
            <v>g__Candidatus_Soleaferrea</v>
          </cell>
          <cell r="I10042" t="str">
            <v>s__uncultured_bacterium_g__Candidatus_Soleaferrea</v>
          </cell>
        </row>
        <row r="10043">
          <cell r="G10043" t="str">
            <v>ASV4769</v>
          </cell>
          <cell r="H10043" t="str">
            <v>g__unclassified_o__Erysipelotrichales</v>
          </cell>
          <cell r="I10043" t="str">
            <v>s__unclassified_o__Erysipelotrichales</v>
          </cell>
        </row>
        <row r="10044">
          <cell r="G10044" t="str">
            <v>ASV12684</v>
          </cell>
          <cell r="H10044" t="str">
            <v>g__Eubacterium_oxidoreducens_group</v>
          </cell>
          <cell r="I10044" t="str">
            <v>s__uncultured_bacterium_g__Eubacterium_oxidoreducens_group</v>
          </cell>
        </row>
        <row r="10045">
          <cell r="G10045" t="str">
            <v>ASV9360</v>
          </cell>
          <cell r="H10045" t="str">
            <v>g__Eubacterium_nodatum_group</v>
          </cell>
          <cell r="I10045" t="str">
            <v>s__unclassified_g__Eubacterium_nodatum_group</v>
          </cell>
        </row>
        <row r="10046">
          <cell r="G10046" t="str">
            <v>ASV3720</v>
          </cell>
          <cell r="H10046" t="str">
            <v>g__Exiguobacterium</v>
          </cell>
          <cell r="I10046" t="str">
            <v>s__unclassified_g__Exiguobacterium</v>
          </cell>
        </row>
        <row r="10047">
          <cell r="G10047" t="str">
            <v>ASV22124</v>
          </cell>
          <cell r="H10047" t="str">
            <v>g__Lachnoclostridium</v>
          </cell>
          <cell r="I10047" t="str">
            <v>s__unclassified_g__Lachnoclostridium</v>
          </cell>
        </row>
        <row r="10048">
          <cell r="G10048" t="str">
            <v>ASV18574</v>
          </cell>
          <cell r="H10048" t="str">
            <v>g__Lactobacillus</v>
          </cell>
          <cell r="I10048" t="str">
            <v>s__unclassified_g__Lactobacillus</v>
          </cell>
        </row>
        <row r="10049">
          <cell r="G10049" t="str">
            <v>ASV12784</v>
          </cell>
          <cell r="H10049" t="str">
            <v>g__unclassified_c__Clostridia</v>
          </cell>
          <cell r="I10049" t="str">
            <v>s__unclassified_c__Clostridia</v>
          </cell>
        </row>
        <row r="10050">
          <cell r="G10050" t="str">
            <v>ASV16409</v>
          </cell>
          <cell r="H10050" t="str">
            <v>g__unclassified_f__Peptostreptococcaceae</v>
          </cell>
          <cell r="I10050" t="str">
            <v>s__unclassified_f__Peptostreptococcaceae</v>
          </cell>
        </row>
        <row r="10051">
          <cell r="G10051" t="str">
            <v>ASV7775</v>
          </cell>
          <cell r="H10051" t="str">
            <v>g__Christensenellaceae_R-7_group</v>
          </cell>
          <cell r="I10051" t="str">
            <v>s__unclassified_g__Christensenellaceae_R-7_group</v>
          </cell>
        </row>
        <row r="10052">
          <cell r="G10052" t="str">
            <v>ASV16898</v>
          </cell>
          <cell r="H10052" t="str">
            <v>g__UCG-002</v>
          </cell>
          <cell r="I10052" t="str">
            <v>s__uncultured_bacterium_g__UCG-002</v>
          </cell>
        </row>
        <row r="10053">
          <cell r="G10053" t="str">
            <v>ASV1670</v>
          </cell>
          <cell r="H10053" t="str">
            <v>g__Lactobacillus</v>
          </cell>
          <cell r="I10053" t="str">
            <v>s__unclassified_g__Lactobacillus</v>
          </cell>
        </row>
        <row r="10054">
          <cell r="G10054" t="str">
            <v>ASV12804</v>
          </cell>
          <cell r="H10054" t="str">
            <v>g__unclassified_f__Lachnospiraceae</v>
          </cell>
          <cell r="I10054" t="str">
            <v>s__unclassified_f__Lachnospiraceae</v>
          </cell>
        </row>
        <row r="10055">
          <cell r="G10055" t="str">
            <v>ASV3987</v>
          </cell>
          <cell r="H10055" t="str">
            <v>g__unclassified_c__Clostridia</v>
          </cell>
          <cell r="I10055" t="str">
            <v>s__unclassified_c__Clostridia</v>
          </cell>
        </row>
        <row r="10056">
          <cell r="G10056" t="str">
            <v>ASV22966</v>
          </cell>
          <cell r="H10056" t="str">
            <v>g__Olsenella</v>
          </cell>
          <cell r="I10056" t="str">
            <v>s__unclassified_g__Olsenella</v>
          </cell>
        </row>
        <row r="10057">
          <cell r="G10057" t="str">
            <v>ASV17198</v>
          </cell>
          <cell r="H10057" t="str">
            <v>g__unclassified_f__Peptostreptococcaceae</v>
          </cell>
          <cell r="I10057" t="str">
            <v>s__unclassified_f__Peptostreptococcaceae</v>
          </cell>
        </row>
        <row r="10058">
          <cell r="G10058" t="str">
            <v>ASV15310</v>
          </cell>
          <cell r="H10058" t="str">
            <v>g__DNF00809</v>
          </cell>
          <cell r="I10058" t="str">
            <v>s__Coriobacteriaceae_bacterium_68-1-3</v>
          </cell>
        </row>
        <row r="10059">
          <cell r="G10059" t="str">
            <v>ASV24141</v>
          </cell>
          <cell r="H10059" t="str">
            <v>g__unclassified_f__Ruminococcaceae</v>
          </cell>
          <cell r="I10059" t="str">
            <v>s__unclassified_f__Ruminococcaceae</v>
          </cell>
        </row>
        <row r="10060">
          <cell r="G10060" t="str">
            <v>ASV7691</v>
          </cell>
          <cell r="H10060" t="str">
            <v>g__unclassified_c__Clostridia</v>
          </cell>
          <cell r="I10060" t="str">
            <v>s__unclassified_c__Clostridia</v>
          </cell>
        </row>
        <row r="10061">
          <cell r="G10061" t="str">
            <v>ASV4016</v>
          </cell>
          <cell r="H10061" t="str">
            <v>g__Cloacibacillus</v>
          </cell>
          <cell r="I10061" t="str">
            <v>s__unclassified_g__Cloacibacillus</v>
          </cell>
        </row>
        <row r="10062">
          <cell r="G10062" t="str">
            <v>ASV11591</v>
          </cell>
          <cell r="H10062" t="str">
            <v>g__unclassified_o__Bacteroidales</v>
          </cell>
          <cell r="I10062" t="str">
            <v>s__unclassified_o__Bacteroidales</v>
          </cell>
        </row>
        <row r="10063">
          <cell r="G10063" t="str">
            <v>ASV3654</v>
          </cell>
          <cell r="H10063" t="str">
            <v>g__Alloprevotella</v>
          </cell>
          <cell r="I10063" t="str">
            <v>s__Prevotella_sp._canine_oral_taxon_282</v>
          </cell>
        </row>
        <row r="10064">
          <cell r="G10064" t="str">
            <v>ASV2120</v>
          </cell>
          <cell r="H10064" t="str">
            <v>g__unclassified_p__Firmicutes</v>
          </cell>
          <cell r="I10064" t="str">
            <v>s__unclassified_p__Firmicutes</v>
          </cell>
        </row>
        <row r="10065">
          <cell r="G10065" t="str">
            <v>ASV19589</v>
          </cell>
          <cell r="H10065" t="str">
            <v>g__unclassified_c__Clostridia</v>
          </cell>
          <cell r="I10065" t="str">
            <v>s__unclassified_c__Clostridia</v>
          </cell>
        </row>
        <row r="10066">
          <cell r="G10066" t="str">
            <v>ASV11675</v>
          </cell>
          <cell r="H10066" t="str">
            <v>g__NK4A214_group</v>
          </cell>
          <cell r="I10066" t="str">
            <v>s__unclassified_g__NK4A214_group</v>
          </cell>
        </row>
        <row r="10067">
          <cell r="G10067" t="str">
            <v>ASV16896</v>
          </cell>
          <cell r="H10067" t="str">
            <v>g__unclassified_f__Lachnospiraceae</v>
          </cell>
          <cell r="I10067" t="str">
            <v>s__unclassified_f__Lachnospiraceae</v>
          </cell>
        </row>
        <row r="10068">
          <cell r="G10068" t="str">
            <v>ASV654</v>
          </cell>
          <cell r="H10068" t="str">
            <v>g__Eubacterium_oxidoreducens_group</v>
          </cell>
          <cell r="I10068" t="str">
            <v>s__uncultured_bacterium_g__Eubacterium_oxidoreducens_group</v>
          </cell>
        </row>
        <row r="10069">
          <cell r="G10069" t="str">
            <v>ASV11496</v>
          </cell>
          <cell r="H10069" t="str">
            <v>g__unclassified_c__Bacteroidia</v>
          </cell>
          <cell r="I10069" t="str">
            <v>s__unclassified_c__Bacteroidia</v>
          </cell>
        </row>
        <row r="10070">
          <cell r="G10070" t="str">
            <v>ASV12761</v>
          </cell>
          <cell r="H10070" t="str">
            <v>g__unclassified_k__norank_d__Bacteria</v>
          </cell>
          <cell r="I10070" t="str">
            <v>s__unclassified_k__norank_d__Bacteria</v>
          </cell>
        </row>
        <row r="10071">
          <cell r="G10071" t="str">
            <v>ASV11597</v>
          </cell>
          <cell r="H10071" t="str">
            <v>g__unclassified_f__Lachnospiraceae</v>
          </cell>
          <cell r="I10071" t="str">
            <v>s__unclassified_f__Lachnospiraceae</v>
          </cell>
        </row>
        <row r="10072">
          <cell r="G10072" t="str">
            <v>ASV15073</v>
          </cell>
          <cell r="H10072" t="str">
            <v>g__unclassified_k__norank_d__Bacteria</v>
          </cell>
          <cell r="I10072" t="str">
            <v>s__unclassified_k__norank_d__Bacteria</v>
          </cell>
        </row>
        <row r="10073">
          <cell r="G10073" t="str">
            <v>ASV14205</v>
          </cell>
          <cell r="H10073" t="str">
            <v>g__Lactobacillus</v>
          </cell>
          <cell r="I10073" t="str">
            <v>s__unclassified_g__Lactobacillus</v>
          </cell>
        </row>
        <row r="10074">
          <cell r="G10074" t="str">
            <v>ASV18871</v>
          </cell>
          <cell r="H10074" t="str">
            <v>g__Blautia</v>
          </cell>
          <cell r="I10074" t="str">
            <v>s__unclassified_g__Blautia</v>
          </cell>
        </row>
        <row r="10075">
          <cell r="G10075" t="str">
            <v>ASV13382</v>
          </cell>
          <cell r="H10075" t="str">
            <v>g__norank_f__Bacteroidales_RF16_group</v>
          </cell>
          <cell r="I10075" t="str">
            <v>s__uncultured_bacterium_g__norank_f__Bacteroidales_RF16_group</v>
          </cell>
        </row>
        <row r="10076">
          <cell r="G10076" t="str">
            <v>ASV11638</v>
          </cell>
          <cell r="H10076" t="str">
            <v>g__Clostridium_sensu_stricto_1</v>
          </cell>
          <cell r="I10076" t="str">
            <v>s__unclassified_g__Clostridium_sensu_stricto_1</v>
          </cell>
        </row>
        <row r="10077">
          <cell r="G10077" t="str">
            <v>ASV13406</v>
          </cell>
          <cell r="H10077" t="str">
            <v>g__Cloacibacillus</v>
          </cell>
          <cell r="I10077" t="str">
            <v>s__unclassified_g__Cloacibacillus</v>
          </cell>
        </row>
        <row r="10078">
          <cell r="G10078" t="str">
            <v>ASV14244</v>
          </cell>
          <cell r="H10078" t="str">
            <v>g__unclassified_c__Clostridia</v>
          </cell>
          <cell r="I10078" t="str">
            <v>s__unclassified_c__Clostridia</v>
          </cell>
        </row>
        <row r="10079">
          <cell r="G10079" t="str">
            <v>ASV3181</v>
          </cell>
          <cell r="H10079" t="str">
            <v>g__Campylobacter</v>
          </cell>
          <cell r="I10079" t="str">
            <v>s__unclassified_g__Campylobacter</v>
          </cell>
        </row>
        <row r="10080">
          <cell r="G10080" t="str">
            <v>ASV18862</v>
          </cell>
          <cell r="H10080" t="str">
            <v>g__Alloprevotella</v>
          </cell>
          <cell r="I10080" t="str">
            <v>s__uncultured_bacterium_g__Alloprevotella</v>
          </cell>
        </row>
        <row r="10081">
          <cell r="G10081" t="str">
            <v>ASV11508</v>
          </cell>
          <cell r="H10081" t="str">
            <v>g__unclassified_f__Oscillospiraceae</v>
          </cell>
          <cell r="I10081" t="str">
            <v>s__unclassified_f__Oscillospiraceae</v>
          </cell>
        </row>
        <row r="10082">
          <cell r="G10082" t="str">
            <v>ASV17940</v>
          </cell>
          <cell r="H10082" t="str">
            <v>g__unclassified_f__Lachnospiraceae</v>
          </cell>
          <cell r="I10082" t="str">
            <v>s__unclassified_f__Lachnospiraceae</v>
          </cell>
        </row>
        <row r="10083">
          <cell r="G10083" t="str">
            <v>ASV19481</v>
          </cell>
          <cell r="H10083" t="str">
            <v>g__unclassified_p__Firmicutes</v>
          </cell>
          <cell r="I10083" t="str">
            <v>s__unclassified_p__Firmicutes</v>
          </cell>
        </row>
        <row r="10084">
          <cell r="G10084" t="str">
            <v>ASV5861</v>
          </cell>
          <cell r="H10084" t="str">
            <v>g__Oscillospira</v>
          </cell>
          <cell r="I10084" t="str">
            <v>s__uncultured_organism_g__Oscillospira</v>
          </cell>
        </row>
        <row r="10085">
          <cell r="G10085" t="str">
            <v>ASV5855</v>
          </cell>
          <cell r="H10085" t="str">
            <v>g__unclassified_k__norank_d__Bacteria</v>
          </cell>
          <cell r="I10085" t="str">
            <v>s__unclassified_k__norank_d__Bacteria</v>
          </cell>
        </row>
        <row r="10086">
          <cell r="G10086" t="str">
            <v>ASV19470</v>
          </cell>
          <cell r="H10086" t="str">
            <v>g__unclassified_f__Pasteurellaceae</v>
          </cell>
          <cell r="I10086" t="str">
            <v>s__unclassified_f__Pasteurellaceae</v>
          </cell>
        </row>
        <row r="10087">
          <cell r="G10087" t="str">
            <v>ASV17188</v>
          </cell>
          <cell r="H10087" t="str">
            <v>g__unclassified_f__Peptostreptococcaceae</v>
          </cell>
          <cell r="I10087" t="str">
            <v>s__unclassified_f__Peptostreptococcaceae</v>
          </cell>
        </row>
        <row r="10088">
          <cell r="G10088" t="str">
            <v>ASV22228</v>
          </cell>
          <cell r="H10088" t="str">
            <v>g__unclassified_f__Lachnospiraceae</v>
          </cell>
          <cell r="I10088" t="str">
            <v>s__unclassified_f__Lachnospiraceae</v>
          </cell>
        </row>
        <row r="10089">
          <cell r="G10089" t="str">
            <v>ASV10086</v>
          </cell>
          <cell r="H10089" t="str">
            <v>g__Fusobacterium</v>
          </cell>
          <cell r="I10089" t="str">
            <v>s__Bacillus_bogoriensis_ATCC_BAA-922</v>
          </cell>
        </row>
        <row r="10090">
          <cell r="G10090" t="str">
            <v>ASV17412</v>
          </cell>
          <cell r="H10090" t="str">
            <v>g__Veillonella</v>
          </cell>
          <cell r="I10090" t="str">
            <v>s__unclassified_g__Veillonella</v>
          </cell>
        </row>
        <row r="10091">
          <cell r="G10091" t="str">
            <v>ASV19580</v>
          </cell>
          <cell r="H10091" t="str">
            <v>g__unclassified_o__Oscillospirales</v>
          </cell>
          <cell r="I10091" t="str">
            <v>s__unclassified_o__Oscillospirales</v>
          </cell>
        </row>
        <row r="10092">
          <cell r="G10092" t="str">
            <v>ASV14218</v>
          </cell>
          <cell r="H10092" t="str">
            <v>g__Prevotella</v>
          </cell>
          <cell r="I10092" t="str">
            <v>s__unclassified_g__Prevotella</v>
          </cell>
        </row>
        <row r="10093">
          <cell r="G10093" t="str">
            <v>ASV17972</v>
          </cell>
          <cell r="H10093" t="str">
            <v>g__norank_f__Ruminococcaceae</v>
          </cell>
          <cell r="I10093" t="str">
            <v>s__unclassified_g__norank_f__Ruminococcaceae</v>
          </cell>
        </row>
        <row r="10094">
          <cell r="G10094" t="str">
            <v>ASV8484</v>
          </cell>
          <cell r="H10094" t="str">
            <v>g__Acidaminococcus</v>
          </cell>
          <cell r="I10094" t="str">
            <v>s__unclassified_g__Acidaminococcus</v>
          </cell>
        </row>
        <row r="10095">
          <cell r="G10095" t="str">
            <v>ASV13573</v>
          </cell>
          <cell r="H10095" t="str">
            <v>g__Veillonella</v>
          </cell>
          <cell r="I10095" t="str">
            <v>s__unclassified_g__Veillonella</v>
          </cell>
        </row>
        <row r="10096">
          <cell r="G10096" t="str">
            <v>ASV18007</v>
          </cell>
          <cell r="H10096" t="str">
            <v>g__unclassified_c__Clostridia</v>
          </cell>
          <cell r="I10096" t="str">
            <v>s__unclassified_c__Clostridia</v>
          </cell>
        </row>
        <row r="10097">
          <cell r="G10097" t="str">
            <v>ASV5832</v>
          </cell>
          <cell r="H10097" t="str">
            <v>g__Streptococcus</v>
          </cell>
          <cell r="I10097" t="str">
            <v>s__unclassified_g__Streptococcus</v>
          </cell>
        </row>
        <row r="10098">
          <cell r="G10098" t="str">
            <v>ASV19181</v>
          </cell>
          <cell r="H10098" t="str">
            <v>g__Terrisporobacter</v>
          </cell>
          <cell r="I10098" t="str">
            <v>s__unclassified_g__Terrisporobacter</v>
          </cell>
        </row>
        <row r="10099">
          <cell r="G10099" t="str">
            <v>ASV11488</v>
          </cell>
          <cell r="H10099" t="str">
            <v>g__norank_f__Muribaculaceae</v>
          </cell>
          <cell r="I10099" t="str">
            <v>s__uncultured_bacterium_g__norank_f__Muribaculaceae</v>
          </cell>
        </row>
        <row r="10100">
          <cell r="G10100" t="str">
            <v>ASV17483</v>
          </cell>
          <cell r="H10100" t="str">
            <v>g__unclassified_c__Clostridia</v>
          </cell>
          <cell r="I10100" t="str">
            <v>s__unclassified_c__Clostridia</v>
          </cell>
        </row>
        <row r="10101">
          <cell r="G10101" t="str">
            <v>ASV7764</v>
          </cell>
          <cell r="H10101" t="str">
            <v>g__unclassified_p__Firmicutes</v>
          </cell>
          <cell r="I10101" t="str">
            <v>s__unclassified_p__Firmicutes</v>
          </cell>
        </row>
        <row r="10102">
          <cell r="G10102" t="str">
            <v>ASV8488</v>
          </cell>
          <cell r="H10102" t="str">
            <v>g__Acidaminococcus</v>
          </cell>
          <cell r="I10102" t="str">
            <v>s__unclassified_g__Acidaminococcus</v>
          </cell>
        </row>
        <row r="10103">
          <cell r="G10103" t="str">
            <v>ASV17484</v>
          </cell>
          <cell r="H10103" t="str">
            <v>g__unclassified_f__Lachnospiraceae</v>
          </cell>
          <cell r="I10103" t="str">
            <v>s__unclassified_f__Lachnospiraceae</v>
          </cell>
        </row>
        <row r="10104">
          <cell r="G10104" t="str">
            <v>ASV702</v>
          </cell>
          <cell r="H10104" t="str">
            <v>g__unclassified_f__Lachnospiraceae</v>
          </cell>
          <cell r="I10104" t="str">
            <v>s__unclassified_f__Lachnospiraceae</v>
          </cell>
        </row>
        <row r="10105">
          <cell r="G10105" t="str">
            <v>ASV14230</v>
          </cell>
          <cell r="H10105" t="str">
            <v>g__Lactobacillus</v>
          </cell>
          <cell r="I10105" t="str">
            <v>s__unclassified_g__Lactobacillus</v>
          </cell>
        </row>
        <row r="10106">
          <cell r="G10106" t="str">
            <v>ASV22178</v>
          </cell>
          <cell r="H10106" t="str">
            <v>g__UCG-002</v>
          </cell>
          <cell r="I10106" t="str">
            <v>s__uncultured_bacterium_g__UCG-002</v>
          </cell>
        </row>
        <row r="10107">
          <cell r="G10107" t="str">
            <v>ASV10671</v>
          </cell>
          <cell r="H10107" t="str">
            <v>g__norank_f__UCG-011</v>
          </cell>
          <cell r="I10107" t="str">
            <v>s__uncultured_bacterium_g__norank_f__UCG-011</v>
          </cell>
        </row>
        <row r="10108">
          <cell r="G10108" t="str">
            <v>ASV9857</v>
          </cell>
          <cell r="H10108" t="str">
            <v>g__Actinobacillus</v>
          </cell>
          <cell r="I10108" t="str">
            <v>s__Actinobacillus_indolicus</v>
          </cell>
        </row>
        <row r="10109">
          <cell r="G10109" t="str">
            <v>ASV15953</v>
          </cell>
          <cell r="H10109" t="str">
            <v>g__unclassified_k__norank_d__Bacteria</v>
          </cell>
          <cell r="I10109" t="str">
            <v>s__unclassified_k__norank_d__Bacteria</v>
          </cell>
        </row>
        <row r="10110">
          <cell r="G10110" t="str">
            <v>ASV744</v>
          </cell>
          <cell r="H10110" t="str">
            <v>g__unclassified_f__Lachnospiraceae</v>
          </cell>
          <cell r="I10110" t="str">
            <v>s__unclassified_f__Lachnospiraceae</v>
          </cell>
        </row>
        <row r="10111">
          <cell r="G10111" t="str">
            <v>ASV11058</v>
          </cell>
          <cell r="H10111" t="str">
            <v>g__Clostridium_sensu_stricto_1</v>
          </cell>
          <cell r="I10111" t="str">
            <v>s__unclassified_g__Clostridium_sensu_stricto_1</v>
          </cell>
        </row>
        <row r="10112">
          <cell r="G10112" t="str">
            <v>ASV16864</v>
          </cell>
          <cell r="H10112" t="str">
            <v>g__Prevotella</v>
          </cell>
          <cell r="I10112" t="str">
            <v>s__unclassified_g__Prevotella</v>
          </cell>
        </row>
        <row r="10113">
          <cell r="G10113" t="str">
            <v>ASV18876</v>
          </cell>
          <cell r="H10113" t="str">
            <v>g__Fusobacterium</v>
          </cell>
          <cell r="I10113" t="str">
            <v>s__unclassified_g__Fusobacterium</v>
          </cell>
        </row>
        <row r="10114">
          <cell r="G10114" t="str">
            <v>ASV22150</v>
          </cell>
          <cell r="H10114" t="str">
            <v>g__Christensenellaceae_R-7_group</v>
          </cell>
          <cell r="I10114" t="str">
            <v>s__unclassified_g__Christensenellaceae_R-7_group</v>
          </cell>
        </row>
        <row r="10115">
          <cell r="G10115" t="str">
            <v>ASV5799</v>
          </cell>
          <cell r="H10115" t="str">
            <v>g__unclassified_f__Spirochaetaceae</v>
          </cell>
          <cell r="I10115" t="str">
            <v>s__unclassified_f__Spirochaetaceae</v>
          </cell>
        </row>
        <row r="10116">
          <cell r="G10116" t="str">
            <v>ASV8709</v>
          </cell>
          <cell r="H10116" t="str">
            <v>g__Rothia</v>
          </cell>
          <cell r="I10116" t="str">
            <v>s__unclassified_g__Rothia</v>
          </cell>
        </row>
        <row r="10117">
          <cell r="G10117" t="str">
            <v>ASV24167</v>
          </cell>
          <cell r="H10117" t="str">
            <v>g__unclassified_c__Clostridia</v>
          </cell>
          <cell r="I10117" t="str">
            <v>s__unclassified_c__Clostridia</v>
          </cell>
        </row>
        <row r="10118">
          <cell r="G10118" t="str">
            <v>ASV12778</v>
          </cell>
          <cell r="H10118" t="str">
            <v>g__unclassified_f__Clostridiaceae</v>
          </cell>
          <cell r="I10118" t="str">
            <v>s__unclassified_f__Clostridiaceae</v>
          </cell>
        </row>
        <row r="10119">
          <cell r="G10119" t="str">
            <v>ASV18014</v>
          </cell>
          <cell r="H10119" t="str">
            <v>g__unclassified_f__Prevotellaceae</v>
          </cell>
          <cell r="I10119" t="str">
            <v>s__unclassified_f__Prevotellaceae</v>
          </cell>
        </row>
        <row r="10120">
          <cell r="G10120" t="str">
            <v>ASV7758</v>
          </cell>
          <cell r="H10120" t="str">
            <v>g__unclassified_c__Clostridia</v>
          </cell>
          <cell r="I10120" t="str">
            <v>s__unclassified_c__Clostridia</v>
          </cell>
        </row>
        <row r="10121">
          <cell r="G10121" t="str">
            <v>ASV5875</v>
          </cell>
          <cell r="H10121" t="str">
            <v>g__Clostridium_sensu_stricto_1</v>
          </cell>
          <cell r="I10121" t="str">
            <v>s__unclassified_g__Clostridium_sensu_stricto_1</v>
          </cell>
        </row>
        <row r="10122">
          <cell r="G10122" t="str">
            <v>ASV3377</v>
          </cell>
          <cell r="H10122" t="str">
            <v>g__unclassified_f__Lachnospiraceae</v>
          </cell>
          <cell r="I10122" t="str">
            <v>s__unclassified_f__Lachnospiraceae</v>
          </cell>
        </row>
        <row r="10123">
          <cell r="G10123" t="str">
            <v>ASV6685</v>
          </cell>
          <cell r="H10123" t="str">
            <v>g__unclassified_f__Peptostreptococcaceae</v>
          </cell>
          <cell r="I10123" t="str">
            <v>s__unclassified_f__Peptostreptococcaceae</v>
          </cell>
        </row>
        <row r="10124">
          <cell r="G10124" t="str">
            <v>ASV21209</v>
          </cell>
          <cell r="H10124" t="str">
            <v>g__unclassified_f__Lachnospiraceae</v>
          </cell>
          <cell r="I10124" t="str">
            <v>s__unclassified_f__Lachnospiraceae</v>
          </cell>
        </row>
        <row r="10125">
          <cell r="G10125" t="str">
            <v>ASV4015</v>
          </cell>
          <cell r="H10125" t="str">
            <v>g__unclassified_k__norank_d__Bacteria</v>
          </cell>
          <cell r="I10125" t="str">
            <v>s__unclassified_k__norank_d__Bacteria</v>
          </cell>
        </row>
        <row r="10126">
          <cell r="G10126" t="str">
            <v>ASV8976</v>
          </cell>
          <cell r="H10126" t="str">
            <v>g__norank_f__Christensenellaceae</v>
          </cell>
          <cell r="I10126" t="str">
            <v>s__uncultured_bacterium_g__norank_f__Christensenellaceae</v>
          </cell>
        </row>
        <row r="10127">
          <cell r="G10127" t="str">
            <v>ASV18004</v>
          </cell>
          <cell r="H10127" t="str">
            <v>g__unclassified_c__Clostridia</v>
          </cell>
          <cell r="I10127" t="str">
            <v>s__unclassified_c__Clostridia</v>
          </cell>
        </row>
        <row r="10128">
          <cell r="G10128" t="str">
            <v>ASV9414</v>
          </cell>
          <cell r="H10128" t="str">
            <v>g__unclassified_f__Lachnospiraceae</v>
          </cell>
          <cell r="I10128" t="str">
            <v>s__unclassified_f__Lachnospiraceae</v>
          </cell>
        </row>
        <row r="10129">
          <cell r="G10129" t="str">
            <v>ASV3178</v>
          </cell>
          <cell r="H10129" t="str">
            <v>g__unclassified_f__Lachnospiraceae</v>
          </cell>
          <cell r="I10129" t="str">
            <v>s__unclassified_f__Lachnospiraceae</v>
          </cell>
        </row>
        <row r="10130">
          <cell r="G10130" t="str">
            <v>ASV7701</v>
          </cell>
          <cell r="H10130" t="str">
            <v>g__Christensenellaceae_R-7_group</v>
          </cell>
          <cell r="I10130" t="str">
            <v>s__unclassified_g__Christensenellaceae_R-7_group</v>
          </cell>
        </row>
        <row r="10131">
          <cell r="G10131" t="str">
            <v>ASV12740</v>
          </cell>
          <cell r="H10131" t="str">
            <v>g__unclassified_o__Peptostreptococcales-Tissierellales</v>
          </cell>
          <cell r="I10131" t="str">
            <v>s__unclassified_o__Peptostreptococcales-Tissierellales</v>
          </cell>
        </row>
        <row r="10132">
          <cell r="G10132" t="str">
            <v>ASV18016</v>
          </cell>
          <cell r="H10132" t="str">
            <v>g__unclassified_o__Oscillospirales</v>
          </cell>
          <cell r="I10132" t="str">
            <v>s__unclassified_o__Oscillospirales</v>
          </cell>
        </row>
        <row r="10133">
          <cell r="G10133" t="str">
            <v>ASV12773</v>
          </cell>
          <cell r="H10133" t="str">
            <v>g__unclassified_k__norank_d__Bacteria</v>
          </cell>
          <cell r="I10133" t="str">
            <v>s__unclassified_k__norank_d__Bacteria</v>
          </cell>
        </row>
        <row r="10134">
          <cell r="G10134" t="str">
            <v>ASV23213</v>
          </cell>
          <cell r="H10134" t="str">
            <v>g__Christensenellaceae_R-7_group</v>
          </cell>
          <cell r="I10134" t="str">
            <v>s__unclassified_g__Christensenellaceae_R-7_group</v>
          </cell>
        </row>
        <row r="10135">
          <cell r="G10135" t="str">
            <v>ASV16874</v>
          </cell>
          <cell r="H10135" t="str">
            <v>g__unclassified_f__Lachnospiraceae</v>
          </cell>
          <cell r="I10135" t="str">
            <v>s__unclassified_f__Lachnospiraceae</v>
          </cell>
        </row>
        <row r="10136">
          <cell r="G10136" t="str">
            <v>ASV9883</v>
          </cell>
          <cell r="H10136" t="str">
            <v>g__Aquabacterium</v>
          </cell>
          <cell r="I10136" t="str">
            <v>s__unclassified_g__Aquabacterium</v>
          </cell>
        </row>
        <row r="10137">
          <cell r="G10137" t="str">
            <v>ASV604</v>
          </cell>
          <cell r="H10137" t="str">
            <v>g__Sharpea</v>
          </cell>
          <cell r="I10137" t="str">
            <v>s__unclassified_g__Sharpea</v>
          </cell>
        </row>
        <row r="10138">
          <cell r="G10138" t="str">
            <v>ASV23277</v>
          </cell>
          <cell r="H10138" t="str">
            <v>g__Lactobacillus</v>
          </cell>
          <cell r="I10138" t="str">
            <v>s__unclassified_g__Lactobacillus</v>
          </cell>
        </row>
        <row r="10139">
          <cell r="G10139" t="str">
            <v>ASV15082</v>
          </cell>
          <cell r="H10139" t="str">
            <v>g__norank_f__Erysipelotrichaceae</v>
          </cell>
          <cell r="I10139" t="str">
            <v>s__uncultured_bacterium_g__norank_f__Erysipelotrichaceae</v>
          </cell>
        </row>
        <row r="10140">
          <cell r="G10140" t="str">
            <v>ASV2953</v>
          </cell>
          <cell r="H10140" t="str">
            <v>g__Brevibacillus</v>
          </cell>
          <cell r="I10140" t="str">
            <v>s__unclassified_g__Brevibacillus</v>
          </cell>
        </row>
        <row r="10141">
          <cell r="G10141" t="str">
            <v>ASV8491</v>
          </cell>
          <cell r="H10141" t="str">
            <v>g__Acidaminococcus</v>
          </cell>
          <cell r="I10141" t="str">
            <v>s__unclassified_g__Acidaminococcus</v>
          </cell>
        </row>
        <row r="10142">
          <cell r="G10142" t="str">
            <v>ASV6664</v>
          </cell>
          <cell r="H10142" t="str">
            <v>g__Enterococcus</v>
          </cell>
          <cell r="I10142" t="str">
            <v>s__unclassified_g__Enterococcus</v>
          </cell>
        </row>
        <row r="10143">
          <cell r="G10143" t="str">
            <v>ASV20444</v>
          </cell>
          <cell r="H10143" t="str">
            <v>g__Prevotella</v>
          </cell>
          <cell r="I10143" t="str">
            <v>s__unclassified_g__Prevotella</v>
          </cell>
        </row>
        <row r="10144">
          <cell r="G10144" t="str">
            <v>ASV23762</v>
          </cell>
          <cell r="H10144" t="str">
            <v>g__Lachnospiraceae_AC2044_group</v>
          </cell>
          <cell r="I10144" t="str">
            <v>s__Lachnospiraceae_bacterium_g__Lachnospiraceae_AC2044_group</v>
          </cell>
        </row>
        <row r="10145">
          <cell r="G10145" t="str">
            <v>ASV1680</v>
          </cell>
          <cell r="H10145" t="str">
            <v>g__Terrisporobacter</v>
          </cell>
          <cell r="I10145" t="str">
            <v>s__unclassified_g__Terrisporobacter</v>
          </cell>
        </row>
        <row r="10146">
          <cell r="G10146" t="str">
            <v>ASV9381</v>
          </cell>
          <cell r="H10146" t="str">
            <v>g__Lactobacillus</v>
          </cell>
          <cell r="I10146" t="str">
            <v>s__unclassified_g__Lactobacillus</v>
          </cell>
        </row>
        <row r="10147">
          <cell r="G10147" t="str">
            <v>ASV22145</v>
          </cell>
          <cell r="H10147" t="str">
            <v>g__Christensenellaceae_R-7_group</v>
          </cell>
          <cell r="I10147" t="str">
            <v>s__unclassified_g__Christensenellaceae_R-7_group</v>
          </cell>
        </row>
        <row r="10148">
          <cell r="G10148" t="str">
            <v>ASV2127</v>
          </cell>
          <cell r="H10148" t="str">
            <v>g__unclassified_f__Lachnospiraceae</v>
          </cell>
          <cell r="I10148" t="str">
            <v>s__unclassified_f__Lachnospiraceae</v>
          </cell>
        </row>
        <row r="10149">
          <cell r="G10149" t="str">
            <v>ASV4039</v>
          </cell>
          <cell r="H10149" t="str">
            <v>g__Cloacibacillus</v>
          </cell>
          <cell r="I10149" t="str">
            <v>s__unclassified_g__Cloacibacillus</v>
          </cell>
        </row>
        <row r="10150">
          <cell r="G10150" t="str">
            <v>ASV12800</v>
          </cell>
          <cell r="H10150" t="str">
            <v>g__unclassified_c__Clostridia</v>
          </cell>
          <cell r="I10150" t="str">
            <v>s__unclassified_c__Clostridia</v>
          </cell>
        </row>
        <row r="10151">
          <cell r="G10151" t="str">
            <v>ASV17941</v>
          </cell>
          <cell r="H10151" t="str">
            <v>g__unclassified_f__Ruminococcaceae</v>
          </cell>
          <cell r="I10151" t="str">
            <v>s__unclassified_f__Ruminococcaceae</v>
          </cell>
        </row>
        <row r="10152">
          <cell r="G10152" t="str">
            <v>ASV752</v>
          </cell>
          <cell r="H10152" t="str">
            <v>g__unclassified_k__norank_d__Bacteria</v>
          </cell>
          <cell r="I10152" t="str">
            <v>s__unclassified_k__norank_d__Bacteria</v>
          </cell>
        </row>
        <row r="10153">
          <cell r="G10153" t="str">
            <v>ASV23283</v>
          </cell>
          <cell r="H10153" t="str">
            <v>g__unclassified_c__Clostridia</v>
          </cell>
          <cell r="I10153" t="str">
            <v>s__unclassified_c__Clostridia</v>
          </cell>
        </row>
        <row r="10154">
          <cell r="G10154" t="str">
            <v>ASV11489</v>
          </cell>
          <cell r="H10154" t="str">
            <v>g__Eubacterium_nodatum_group</v>
          </cell>
          <cell r="I10154" t="str">
            <v>s__Eubacterium_sp._68-3-10</v>
          </cell>
        </row>
        <row r="10155">
          <cell r="G10155" t="str">
            <v>ASV17931</v>
          </cell>
          <cell r="H10155" t="str">
            <v>g__unclassified_p__Firmicutes</v>
          </cell>
          <cell r="I10155" t="str">
            <v>s__unclassified_p__Firmicutes</v>
          </cell>
        </row>
        <row r="10156">
          <cell r="G10156" t="str">
            <v>ASV2915</v>
          </cell>
          <cell r="H10156" t="str">
            <v>g__Devosia</v>
          </cell>
          <cell r="I10156" t="str">
            <v>s__unclassified_g__Devosia</v>
          </cell>
        </row>
        <row r="10157">
          <cell r="G10157" t="str">
            <v>ASV14251</v>
          </cell>
          <cell r="H10157" t="str">
            <v>g__unclassified_f__Lachnospiraceae</v>
          </cell>
          <cell r="I10157" t="str">
            <v>s__unclassified_f__Lachnospiraceae</v>
          </cell>
        </row>
        <row r="10158">
          <cell r="G10158" t="str">
            <v>ASV10010</v>
          </cell>
          <cell r="H10158" t="str">
            <v>g__norank_f__UCG-010</v>
          </cell>
          <cell r="I10158" t="str">
            <v>s__unclassified_g__norank_f__UCG-010</v>
          </cell>
        </row>
        <row r="10159">
          <cell r="G10159" t="str">
            <v>ASV21234</v>
          </cell>
          <cell r="H10159" t="str">
            <v>g__Bacillus</v>
          </cell>
          <cell r="I10159" t="str">
            <v>s__Lactobacillus_vaginalis_g__Bacillus</v>
          </cell>
        </row>
        <row r="10160">
          <cell r="G10160" t="str">
            <v>ASV23759</v>
          </cell>
          <cell r="H10160" t="str">
            <v>g__Lactobacillus</v>
          </cell>
          <cell r="I10160" t="str">
            <v>s__unclassified_g__Lactobacillus</v>
          </cell>
        </row>
        <row r="10161">
          <cell r="G10161" t="str">
            <v>ASV9407</v>
          </cell>
          <cell r="H10161" t="str">
            <v>g__Lachnospiraceae_NC2004_group</v>
          </cell>
          <cell r="I10161" t="str">
            <v>s__uncultured_bacterium_g__Lachnospiraceae_NC2004_group</v>
          </cell>
        </row>
        <row r="10162">
          <cell r="G10162" t="str">
            <v>ASV23186</v>
          </cell>
          <cell r="H10162" t="str">
            <v>g__Megasphaera</v>
          </cell>
          <cell r="I10162" t="str">
            <v>s__unclassified_g__Megasphaera</v>
          </cell>
        </row>
        <row r="10163">
          <cell r="G10163" t="str">
            <v>ASV6722</v>
          </cell>
          <cell r="H10163" t="str">
            <v>g__unclassified_c__Bacilli</v>
          </cell>
          <cell r="I10163" t="str">
            <v>s__unclassified_c__Bacilli</v>
          </cell>
        </row>
        <row r="10164">
          <cell r="G10164" t="str">
            <v>ASV8633</v>
          </cell>
          <cell r="H10164" t="str">
            <v>g__norank_f__UCG-010</v>
          </cell>
          <cell r="I10164" t="str">
            <v>s__unclassified_g__norank_f__UCG-010</v>
          </cell>
        </row>
        <row r="10165">
          <cell r="G10165" t="str">
            <v>ASV7702</v>
          </cell>
          <cell r="H10165" t="str">
            <v>g__unclassified_c__Bacilli</v>
          </cell>
          <cell r="I10165" t="str">
            <v>s__unclassified_c__Bacilli</v>
          </cell>
        </row>
        <row r="10166">
          <cell r="G10166" t="str">
            <v>ASV3475</v>
          </cell>
          <cell r="H10166" t="str">
            <v>g__unclassified_c__Bacilli</v>
          </cell>
          <cell r="I10166" t="str">
            <v>s__unclassified_c__Bacilli</v>
          </cell>
        </row>
        <row r="10167">
          <cell r="G10167" t="str">
            <v>ASV22171</v>
          </cell>
          <cell r="H10167" t="str">
            <v>g__Clostridium_sensu_stricto_1</v>
          </cell>
          <cell r="I10167" t="str">
            <v>s__unclassified_g__Clostridium_sensu_stricto_1</v>
          </cell>
        </row>
        <row r="10168">
          <cell r="G10168" t="str">
            <v>ASV18556</v>
          </cell>
          <cell r="H10168" t="str">
            <v>g__unclassified_c__Negativicutes</v>
          </cell>
          <cell r="I10168" t="str">
            <v>s__unclassified_c__Negativicutes</v>
          </cell>
        </row>
        <row r="10169">
          <cell r="G10169" t="str">
            <v>ASV9330</v>
          </cell>
          <cell r="H10169" t="str">
            <v>g__unclassified_f__Anaerovoracaceae</v>
          </cell>
          <cell r="I10169" t="str">
            <v>s__unclassified_f__Anaerovoracaceae</v>
          </cell>
        </row>
        <row r="10170">
          <cell r="G10170" t="str">
            <v>ASV10631</v>
          </cell>
          <cell r="H10170" t="str">
            <v>g__unclassified_c__Clostridia</v>
          </cell>
          <cell r="I10170" t="str">
            <v>s__unclassified_c__Clostridia</v>
          </cell>
        </row>
        <row r="10171">
          <cell r="G10171" t="str">
            <v>ASV21606</v>
          </cell>
          <cell r="H10171" t="str">
            <v>g__Ruminococcus_torques_group</v>
          </cell>
          <cell r="I10171" t="str">
            <v>s__unclassified_g__Ruminococcus_torques_group</v>
          </cell>
        </row>
        <row r="10172">
          <cell r="G10172" t="str">
            <v>ASV23187</v>
          </cell>
          <cell r="H10172" t="str">
            <v>g__Escherichia-Shigella</v>
          </cell>
          <cell r="I10172" t="str">
            <v>s__unclassified_g__Escherichia-Shigella</v>
          </cell>
        </row>
        <row r="10173">
          <cell r="G10173" t="str">
            <v>ASV23203</v>
          </cell>
          <cell r="H10173" t="str">
            <v>g__unclassified_f__Peptococcaceae</v>
          </cell>
          <cell r="I10173" t="str">
            <v>s__unclassified_f__Peptococcaceae</v>
          </cell>
        </row>
        <row r="10174">
          <cell r="G10174" t="str">
            <v>ASV15321</v>
          </cell>
          <cell r="H10174" t="str">
            <v>g__unclassified_f__Lachnospiraceae</v>
          </cell>
          <cell r="I10174" t="str">
            <v>s__unclassified_f__Lachnospiraceae</v>
          </cell>
        </row>
        <row r="10175">
          <cell r="G10175" t="str">
            <v>ASV22120</v>
          </cell>
          <cell r="H10175" t="str">
            <v>g__unclassified_p__Firmicutes</v>
          </cell>
          <cell r="I10175" t="str">
            <v>s__unclassified_p__Firmicutes</v>
          </cell>
        </row>
        <row r="10176">
          <cell r="G10176" t="str">
            <v>ASV15328</v>
          </cell>
          <cell r="H10176" t="str">
            <v>g__unclassified_c__Clostridia</v>
          </cell>
          <cell r="I10176" t="str">
            <v>s__unclassified_c__Clostridia</v>
          </cell>
        </row>
        <row r="10177">
          <cell r="G10177" t="str">
            <v>ASV12742</v>
          </cell>
          <cell r="H10177" t="str">
            <v>g__unclassified_c__Bacilli</v>
          </cell>
          <cell r="I10177" t="str">
            <v>s__unclassified_c__Bacilli</v>
          </cell>
        </row>
        <row r="10178">
          <cell r="G10178" t="str">
            <v>ASV23287</v>
          </cell>
          <cell r="H10178" t="str">
            <v>g__Christensenellaceae_R-7_group</v>
          </cell>
          <cell r="I10178" t="str">
            <v>s__unclassified_g__Christensenellaceae_R-7_group</v>
          </cell>
        </row>
        <row r="10179">
          <cell r="G10179" t="str">
            <v>ASV11560</v>
          </cell>
          <cell r="H10179" t="str">
            <v>g__norank_f__Paludibacteraceae</v>
          </cell>
          <cell r="I10179" t="str">
            <v>s__uncultured_bacterium_g__norank_f__Paludibacteraceae</v>
          </cell>
        </row>
        <row r="10180">
          <cell r="G10180" t="str">
            <v>ASV16395</v>
          </cell>
          <cell r="H10180" t="str">
            <v>g__unclassified_k__norank_d__Bacteria</v>
          </cell>
          <cell r="I10180" t="str">
            <v>s__unclassified_k__norank_d__Bacteria</v>
          </cell>
        </row>
        <row r="10181">
          <cell r="G10181" t="str">
            <v>ASV10569</v>
          </cell>
          <cell r="H10181" t="str">
            <v>g__Treponema</v>
          </cell>
          <cell r="I10181" t="str">
            <v>s__unclassified_g__Treponema</v>
          </cell>
        </row>
        <row r="10182">
          <cell r="G10182" t="str">
            <v>ASV4741</v>
          </cell>
          <cell r="H10182" t="str">
            <v>g__Lactobacillus</v>
          </cell>
          <cell r="I10182" t="str">
            <v>s__unclassified_g__Lactobacillus</v>
          </cell>
        </row>
        <row r="10183">
          <cell r="G10183" t="str">
            <v>ASV16871</v>
          </cell>
          <cell r="H10183" t="str">
            <v>g__Escherichia-Shigella</v>
          </cell>
          <cell r="I10183" t="str">
            <v>s__unclassified_g__Escherichia-Shigella</v>
          </cell>
        </row>
        <row r="10184">
          <cell r="G10184" t="str">
            <v>ASV20252</v>
          </cell>
          <cell r="H10184" t="str">
            <v>g__unclassified_f__Lachnospiraceae</v>
          </cell>
          <cell r="I10184" t="str">
            <v>s__unclassified_f__Lachnospiraceae</v>
          </cell>
        </row>
        <row r="10185">
          <cell r="G10185" t="str">
            <v>ASV13370</v>
          </cell>
          <cell r="H10185" t="str">
            <v>g__unclassified_f__Lachnospiraceae</v>
          </cell>
          <cell r="I10185" t="str">
            <v>s__unclassified_f__Lachnospiraceae</v>
          </cell>
        </row>
        <row r="10186">
          <cell r="G10186" t="str">
            <v>ASV16414</v>
          </cell>
          <cell r="H10186" t="str">
            <v>g__norank_f__norank_o__RF39</v>
          </cell>
          <cell r="I10186" t="str">
            <v>s__unclassified_g__norank_f__norank_o__RF39</v>
          </cell>
        </row>
        <row r="10187">
          <cell r="G10187" t="str">
            <v>ASV19584</v>
          </cell>
          <cell r="H10187" t="str">
            <v>g__unclassified_f__Oscillospiraceae</v>
          </cell>
          <cell r="I10187" t="str">
            <v>s__unclassified_f__Oscillospiraceae</v>
          </cell>
        </row>
        <row r="10188">
          <cell r="G10188" t="str">
            <v>ASV3200</v>
          </cell>
          <cell r="H10188" t="str">
            <v>g__Colidextribacter</v>
          </cell>
          <cell r="I10188" t="str">
            <v>s__unclassified_g__Colidextribacter</v>
          </cell>
        </row>
        <row r="10189">
          <cell r="G10189" t="str">
            <v>ASV20802</v>
          </cell>
          <cell r="H10189" t="str">
            <v>g__unclassified_o__Oscillospirales</v>
          </cell>
          <cell r="I10189" t="str">
            <v>s__unclassified_o__Oscillospirales</v>
          </cell>
        </row>
        <row r="10190">
          <cell r="G10190" t="str">
            <v>ASV4834</v>
          </cell>
          <cell r="H10190" t="str">
            <v>g__norank_f__Eubacterium_coprostanoligenes_group</v>
          </cell>
          <cell r="I10190" t="str">
            <v>s__uncultured_bacterium_g__norank_f__Eubacterium_coprostanoligenes_group</v>
          </cell>
        </row>
        <row r="10191">
          <cell r="G10191" t="str">
            <v>ASV5897</v>
          </cell>
          <cell r="H10191" t="str">
            <v>g__unclassified_k__norank_d__Bacteria</v>
          </cell>
          <cell r="I10191" t="str">
            <v>s__unclassified_k__norank_d__Bacteria</v>
          </cell>
        </row>
        <row r="10192">
          <cell r="G10192" t="str">
            <v>ASV24156</v>
          </cell>
          <cell r="H10192" t="str">
            <v>g__Lactobacillus</v>
          </cell>
          <cell r="I10192" t="str">
            <v>s__unclassified_g__Lactobacillus</v>
          </cell>
        </row>
        <row r="10193">
          <cell r="G10193" t="str">
            <v>ASV21446</v>
          </cell>
          <cell r="H10193" t="str">
            <v>g__Bacillus</v>
          </cell>
          <cell r="I10193" t="str">
            <v>s__Lactobacillus_vaginalis_g__Bacillus</v>
          </cell>
        </row>
        <row r="10194">
          <cell r="G10194" t="str">
            <v>ASV9403</v>
          </cell>
          <cell r="H10194" t="str">
            <v>g__NK4A214_group</v>
          </cell>
          <cell r="I10194" t="str">
            <v>s__unclassified_g__NK4A214_group</v>
          </cell>
        </row>
        <row r="10195">
          <cell r="G10195" t="str">
            <v>ASV18572</v>
          </cell>
          <cell r="H10195" t="str">
            <v>g__unclassified_c__Bacilli</v>
          </cell>
          <cell r="I10195" t="str">
            <v>s__unclassified_c__Bacilli</v>
          </cell>
        </row>
        <row r="10196">
          <cell r="G10196" t="str">
            <v>ASV7423</v>
          </cell>
          <cell r="H10196" t="str">
            <v>g__Streptococcus</v>
          </cell>
          <cell r="I10196" t="str">
            <v>s__unclassified_g__Streptococcus</v>
          </cell>
        </row>
        <row r="10197">
          <cell r="G10197" t="str">
            <v>ASV14288</v>
          </cell>
          <cell r="H10197" t="str">
            <v>g__unclassified_f__Oscillospiraceae</v>
          </cell>
          <cell r="I10197" t="str">
            <v>s__unclassified_f__Oscillospiraceae</v>
          </cell>
        </row>
        <row r="10198">
          <cell r="G10198" t="str">
            <v>ASV18009</v>
          </cell>
          <cell r="H10198" t="str">
            <v>g__Clostridium_sensu_stricto_1</v>
          </cell>
          <cell r="I10198" t="str">
            <v>s__unclassified_g__Clostridium_sensu_stricto_1</v>
          </cell>
        </row>
        <row r="10199">
          <cell r="G10199" t="str">
            <v>ASV23266</v>
          </cell>
          <cell r="H10199" t="str">
            <v>g__Lactobacillus</v>
          </cell>
          <cell r="I10199" t="str">
            <v>s__unclassified_g__Lactobacillus</v>
          </cell>
        </row>
        <row r="10200">
          <cell r="G10200" t="str">
            <v>ASV10604</v>
          </cell>
          <cell r="H10200" t="str">
            <v>g__unclassified_p__Firmicutes</v>
          </cell>
          <cell r="I10200" t="str">
            <v>s__unclassified_p__Firmicutes</v>
          </cell>
        </row>
        <row r="10201">
          <cell r="G10201" t="str">
            <v>ASV768</v>
          </cell>
          <cell r="H10201" t="str">
            <v>g__unclassified_c__Clostridia</v>
          </cell>
          <cell r="I10201" t="str">
            <v>s__unclassified_c__Clostridia</v>
          </cell>
        </row>
        <row r="10202">
          <cell r="G10202" t="str">
            <v>ASV7771</v>
          </cell>
          <cell r="H10202" t="str">
            <v>g__unclassified_f__Lachnospiraceae</v>
          </cell>
          <cell r="I10202" t="str">
            <v>s__unclassified_f__Lachnospiraceae</v>
          </cell>
        </row>
        <row r="10203">
          <cell r="G10203" t="str">
            <v>ASV6684</v>
          </cell>
          <cell r="H10203" t="str">
            <v>g__Enterococcus</v>
          </cell>
          <cell r="I10203" t="str">
            <v>s__unclassified_g__Enterococcus</v>
          </cell>
        </row>
        <row r="10204">
          <cell r="G10204" t="str">
            <v>ASV23237</v>
          </cell>
          <cell r="H10204" t="str">
            <v>g__Lachnospiraceae_NC2004_group</v>
          </cell>
          <cell r="I10204" t="str">
            <v>s__uncultured_bacterium_g__Lachnospiraceae_NC2004_group</v>
          </cell>
        </row>
        <row r="10205">
          <cell r="G10205" t="str">
            <v>ASV15985</v>
          </cell>
          <cell r="H10205" t="str">
            <v>g__Prevotella</v>
          </cell>
          <cell r="I10205" t="str">
            <v>s__unclassified_g__Prevotella</v>
          </cell>
        </row>
        <row r="10206">
          <cell r="G10206" t="str">
            <v>ASV12758</v>
          </cell>
          <cell r="H10206" t="str">
            <v>g__unclassified_p__Firmicutes</v>
          </cell>
          <cell r="I10206" t="str">
            <v>s__unclassified_p__Firmicutes</v>
          </cell>
        </row>
        <row r="10207">
          <cell r="G10207" t="str">
            <v>ASV7717</v>
          </cell>
          <cell r="H10207" t="str">
            <v>g__Christensenellaceae_R-7_group</v>
          </cell>
          <cell r="I10207" t="str">
            <v>s__unclassified_g__Christensenellaceae_R-7_group</v>
          </cell>
        </row>
        <row r="10208">
          <cell r="G10208" t="str">
            <v>ASV13394</v>
          </cell>
          <cell r="H10208" t="str">
            <v>g__Lachnospiraceae_NC2004_group</v>
          </cell>
          <cell r="I10208" t="str">
            <v>s__uncultured_bacterium_g__Lachnospiraceae_NC2004_group</v>
          </cell>
        </row>
        <row r="10209">
          <cell r="G10209" t="str">
            <v>ASV11473</v>
          </cell>
          <cell r="H10209" t="str">
            <v>g__unclassified_c__Clostridia</v>
          </cell>
          <cell r="I10209" t="str">
            <v>s__unclassified_c__Clostridia</v>
          </cell>
        </row>
        <row r="10210">
          <cell r="G10210" t="str">
            <v>ASV21603</v>
          </cell>
          <cell r="H10210" t="str">
            <v>g__Faecalibacterium</v>
          </cell>
          <cell r="I10210" t="str">
            <v>s__uncultured_bacterium_g__Faecalibacterium</v>
          </cell>
        </row>
        <row r="10211">
          <cell r="G10211" t="str">
            <v>ASV7711</v>
          </cell>
          <cell r="H10211" t="str">
            <v>g__unclassified_f__Peptostreptococcaceae</v>
          </cell>
          <cell r="I10211" t="str">
            <v>s__unclassified_f__Peptostreptococcaceae</v>
          </cell>
        </row>
        <row r="10212">
          <cell r="G10212" t="str">
            <v>ASV19548</v>
          </cell>
          <cell r="H10212" t="str">
            <v>g__unclassified_p__Firmicutes</v>
          </cell>
          <cell r="I10212" t="str">
            <v>s__unclassified_p__Firmicutes</v>
          </cell>
        </row>
        <row r="10213">
          <cell r="G10213" t="str">
            <v>ASV11553</v>
          </cell>
          <cell r="H10213" t="str">
            <v>g__Succiniclasticum</v>
          </cell>
          <cell r="I10213" t="str">
            <v>s__uncultured_rumen_bacterium_4C28d-16</v>
          </cell>
        </row>
        <row r="10214">
          <cell r="G10214" t="str">
            <v>ASV3970</v>
          </cell>
          <cell r="H10214" t="str">
            <v>g__Bacteroides</v>
          </cell>
          <cell r="I10214" t="str">
            <v>s__unclassified_g__Bacteroides</v>
          </cell>
        </row>
        <row r="10215">
          <cell r="G10215" t="str">
            <v>ASV15085</v>
          </cell>
          <cell r="H10215" t="str">
            <v>g__Allorhizobium-Neorhizobium-Pararhizobium-Rhizobium</v>
          </cell>
          <cell r="I10215" t="str">
            <v>s__unclassified_g__Allorhizobium-Neorhizobium-Pararhizobium-Rhizobium</v>
          </cell>
        </row>
        <row r="10216">
          <cell r="G10216" t="str">
            <v>ASV14264</v>
          </cell>
          <cell r="H10216" t="str">
            <v>g__Clostridium_sensu_stricto_1</v>
          </cell>
          <cell r="I10216" t="str">
            <v>s__unclassified_g__Clostridium_sensu_stricto_1</v>
          </cell>
        </row>
        <row r="10217">
          <cell r="G10217" t="str">
            <v>ASV11471</v>
          </cell>
          <cell r="H10217" t="str">
            <v>g__unclassified_c__Bacilli</v>
          </cell>
          <cell r="I10217" t="str">
            <v>s__unclassified_c__Bacilli</v>
          </cell>
        </row>
        <row r="10218">
          <cell r="G10218" t="str">
            <v>ASV10598</v>
          </cell>
          <cell r="H10218" t="str">
            <v>g__Lactobacillus</v>
          </cell>
          <cell r="I10218" t="str">
            <v>s__unclassified_g__Lactobacillus</v>
          </cell>
        </row>
        <row r="10219">
          <cell r="G10219" t="str">
            <v>ASV4800</v>
          </cell>
          <cell r="H10219" t="str">
            <v>g__Parabacteroides</v>
          </cell>
          <cell r="I10219" t="str">
            <v>s__Porphyromonadaceae_bacterium_DJF_B175</v>
          </cell>
        </row>
        <row r="10220">
          <cell r="G10220" t="str">
            <v>ASV23206</v>
          </cell>
          <cell r="H10220" t="str">
            <v>g__Mitsuokella</v>
          </cell>
          <cell r="I10220" t="str">
            <v>s__unclassified_g__Mitsuokella</v>
          </cell>
        </row>
        <row r="10221">
          <cell r="G10221" t="str">
            <v>ASV23174</v>
          </cell>
          <cell r="H10221" t="str">
            <v>g__Lactobacillus</v>
          </cell>
          <cell r="I10221" t="str">
            <v>s__gut_metagenome_g__Lactobacillus</v>
          </cell>
        </row>
        <row r="10222">
          <cell r="G10222" t="str">
            <v>ASV17973</v>
          </cell>
          <cell r="H10222" t="str">
            <v>g__Lachnospiraceae_NC2004_group</v>
          </cell>
          <cell r="I10222" t="str">
            <v>s__uncultured_bacterium_g__Lachnospiraceae_NC2004_group</v>
          </cell>
        </row>
        <row r="10223">
          <cell r="G10223" t="str">
            <v>ASV12788</v>
          </cell>
          <cell r="H10223" t="str">
            <v>g__unclassified_f__Oscillospiraceae</v>
          </cell>
          <cell r="I10223" t="str">
            <v>s__unclassified_f__Oscillospiraceae</v>
          </cell>
        </row>
        <row r="10224">
          <cell r="G10224" t="str">
            <v>ASV17932</v>
          </cell>
          <cell r="H10224" t="str">
            <v>g__Bacteroides</v>
          </cell>
          <cell r="I10224" t="str">
            <v>s__uncultured_bacterium_g__Bacteroides</v>
          </cell>
        </row>
        <row r="10225">
          <cell r="G10225" t="str">
            <v>ASV22098</v>
          </cell>
          <cell r="H10225" t="str">
            <v>g__unclassified_p__Firmicutes</v>
          </cell>
          <cell r="I10225" t="str">
            <v>s__unclassified_p__Firmicutes</v>
          </cell>
        </row>
        <row r="10226">
          <cell r="G10226" t="str">
            <v>ASV22217</v>
          </cell>
          <cell r="H10226" t="str">
            <v>g__Eubacterium_oxidoreducens_group</v>
          </cell>
          <cell r="I10226" t="str">
            <v>s__uncultured_bacterium_g__Eubacterium_oxidoreducens_group</v>
          </cell>
        </row>
        <row r="10227">
          <cell r="G10227" t="str">
            <v>ASV24385</v>
          </cell>
          <cell r="H10227" t="str">
            <v>g__Bifidobacterium</v>
          </cell>
          <cell r="I10227" t="str">
            <v>s__unclassified_g__Bifidobacterium</v>
          </cell>
        </row>
        <row r="10228">
          <cell r="G10228" t="str">
            <v>ASV22215</v>
          </cell>
          <cell r="H10228" t="str">
            <v>g__unclassified_p__Firmicutes</v>
          </cell>
          <cell r="I10228" t="str">
            <v>s__unclassified_p__Firmicutes</v>
          </cell>
        </row>
        <row r="10229">
          <cell r="G10229" t="str">
            <v>ASV14256</v>
          </cell>
          <cell r="H10229" t="str">
            <v>g__Turicibacter</v>
          </cell>
          <cell r="I10229" t="str">
            <v>s__unclassified_g__Turicibacter</v>
          </cell>
        </row>
        <row r="10230">
          <cell r="G10230" t="str">
            <v>ASV11604</v>
          </cell>
          <cell r="H10230" t="str">
            <v>g__unclassified_f__Anaerovoracaceae</v>
          </cell>
          <cell r="I10230" t="str">
            <v>s__unclassified_f__Anaerovoracaceae</v>
          </cell>
        </row>
        <row r="10231">
          <cell r="G10231" t="str">
            <v>ASV631</v>
          </cell>
          <cell r="H10231" t="str">
            <v>g__unclassified_f__Oscillospiraceae</v>
          </cell>
          <cell r="I10231" t="str">
            <v>s__unclassified_f__Oscillospiraceae</v>
          </cell>
        </row>
        <row r="10232">
          <cell r="G10232" t="str">
            <v>ASV20758</v>
          </cell>
          <cell r="H10232" t="str">
            <v>g__unclassified_f__Peptostreptococcaceae</v>
          </cell>
          <cell r="I10232" t="str">
            <v>s__unclassified_f__Peptostreptococcaceae</v>
          </cell>
        </row>
        <row r="10233">
          <cell r="G10233" t="str">
            <v>ASV14189</v>
          </cell>
          <cell r="H10233" t="str">
            <v>g__unclassified_f__Oscillospiraceae</v>
          </cell>
          <cell r="I10233" t="str">
            <v>s__unclassified_f__Oscillospiraceae</v>
          </cell>
        </row>
        <row r="10234">
          <cell r="G10234" t="str">
            <v>ASV6659</v>
          </cell>
          <cell r="H10234" t="str">
            <v>g__Escherichia-Shigella</v>
          </cell>
          <cell r="I10234" t="str">
            <v>s__unclassified_g__Escherichia-Shigella</v>
          </cell>
        </row>
        <row r="10235">
          <cell r="G10235" t="str">
            <v>ASV9349</v>
          </cell>
          <cell r="H10235" t="str">
            <v>g__unclassified_c__Clostridia</v>
          </cell>
          <cell r="I10235" t="str">
            <v>s__unclassified_c__Clostridia</v>
          </cell>
        </row>
        <row r="10236">
          <cell r="G10236" t="str">
            <v>ASV17971</v>
          </cell>
          <cell r="H10236" t="str">
            <v>g__Christensenellaceae_R-7_group</v>
          </cell>
          <cell r="I10236" t="str">
            <v>s__unclassified_g__Christensenellaceae_R-7_group</v>
          </cell>
        </row>
        <row r="10237">
          <cell r="G10237" t="str">
            <v>ASV23217</v>
          </cell>
          <cell r="H10237" t="str">
            <v>g__norank_f__p-2534-18B5_gut_group</v>
          </cell>
          <cell r="I10237" t="str">
            <v>s__uncultured_bacterium_g__norank_f__p-2534-18B5_gut_group</v>
          </cell>
        </row>
        <row r="10238">
          <cell r="G10238" t="str">
            <v>ASV10640</v>
          </cell>
          <cell r="H10238" t="str">
            <v>g__Christensenellaceae_R-7_group</v>
          </cell>
          <cell r="I10238" t="str">
            <v>s__unclassified_g__Christensenellaceae_R-7_group</v>
          </cell>
        </row>
        <row r="10239">
          <cell r="G10239" t="str">
            <v>ASV1664</v>
          </cell>
          <cell r="H10239" t="str">
            <v>g__Blautia</v>
          </cell>
          <cell r="I10239" t="str">
            <v>s__unclassified_g__Blautia</v>
          </cell>
        </row>
        <row r="10240">
          <cell r="G10240" t="str">
            <v>ASV19551</v>
          </cell>
          <cell r="H10240" t="str">
            <v>g__Lactobacillus</v>
          </cell>
          <cell r="I10240" t="str">
            <v>s__unclassified_g__Lactobacillus</v>
          </cell>
        </row>
        <row r="10241">
          <cell r="G10241" t="str">
            <v>ASV19067</v>
          </cell>
          <cell r="H10241" t="str">
            <v>g__Lactobacillus</v>
          </cell>
          <cell r="I10241" t="str">
            <v>s__unclassified_g__Lactobacillus</v>
          </cell>
        </row>
        <row r="10242">
          <cell r="G10242" t="str">
            <v>ASV11539</v>
          </cell>
          <cell r="H10242" t="str">
            <v>g__Bifidobacterium</v>
          </cell>
          <cell r="I10242" t="str">
            <v>s__unclassified_g__Bifidobacterium</v>
          </cell>
        </row>
        <row r="10243">
          <cell r="G10243" t="str">
            <v>ASV8334</v>
          </cell>
          <cell r="H10243" t="str">
            <v>g__Proteiniclasticum</v>
          </cell>
          <cell r="I10243" t="str">
            <v>s__uncultured_bacterium_g__Proteiniclasticum</v>
          </cell>
        </row>
        <row r="10244">
          <cell r="G10244" t="str">
            <v>ASV1671</v>
          </cell>
          <cell r="H10244" t="str">
            <v>g__unclassified_f__Peptostreptococcaceae</v>
          </cell>
          <cell r="I10244" t="str">
            <v>s__unclassified_f__Peptostreptococcaceae</v>
          </cell>
        </row>
        <row r="10245">
          <cell r="G10245" t="str">
            <v>ASV13711</v>
          </cell>
          <cell r="H10245" t="str">
            <v>g__Lactobacillus</v>
          </cell>
          <cell r="I10245" t="str">
            <v>s__unclassified_g__Lactobacillus</v>
          </cell>
        </row>
        <row r="10246">
          <cell r="G10246" t="str">
            <v>ASV8986</v>
          </cell>
          <cell r="H10246" t="str">
            <v>g__Lachnoclostridium</v>
          </cell>
          <cell r="I10246" t="str">
            <v>s__unclassified_g__Lachnoclostridium</v>
          </cell>
        </row>
        <row r="10247">
          <cell r="G10247" t="str">
            <v>ASV13800</v>
          </cell>
          <cell r="H10247" t="str">
            <v>g__unclassified_f__Anaerovoracaceae</v>
          </cell>
          <cell r="I10247" t="str">
            <v>s__unclassified_f__Anaerovoracaceae</v>
          </cell>
        </row>
        <row r="10248">
          <cell r="G10248" t="str">
            <v>ASV17985</v>
          </cell>
          <cell r="H10248" t="str">
            <v>g__Ruminococcus</v>
          </cell>
          <cell r="I10248" t="str">
            <v>s__unclassified_g__Ruminococcus</v>
          </cell>
        </row>
        <row r="10249">
          <cell r="G10249" t="str">
            <v>ASV4806</v>
          </cell>
          <cell r="H10249" t="str">
            <v>g__Parabacteroides</v>
          </cell>
          <cell r="I10249" t="str">
            <v>s__Porphyromonadaceae_bacterium_DJF_B175</v>
          </cell>
        </row>
        <row r="10250">
          <cell r="G10250" t="str">
            <v>ASV17943</v>
          </cell>
          <cell r="H10250" t="str">
            <v>g__Christensenellaceae_R-7_group</v>
          </cell>
          <cell r="I10250" t="str">
            <v>s__unclassified_g__Christensenellaceae_R-7_group</v>
          </cell>
        </row>
        <row r="10251">
          <cell r="G10251" t="str">
            <v>ASV19550</v>
          </cell>
          <cell r="H10251" t="str">
            <v>g__Allisonella</v>
          </cell>
          <cell r="I10251" t="str">
            <v>s__uncultured_bacterium_g__Allisonella</v>
          </cell>
        </row>
        <row r="10252">
          <cell r="G10252" t="str">
            <v>ASV20731</v>
          </cell>
          <cell r="H10252" t="str">
            <v>g__unclassified_f__Ruminococcaceae</v>
          </cell>
          <cell r="I10252" t="str">
            <v>s__unclassified_f__Ruminococcaceae</v>
          </cell>
        </row>
        <row r="10253">
          <cell r="G10253" t="str">
            <v>ASV22139</v>
          </cell>
          <cell r="H10253" t="str">
            <v>g__unclassified_f__Oscillospiraceae</v>
          </cell>
          <cell r="I10253" t="str">
            <v>s__unclassified_f__Oscillospiraceae</v>
          </cell>
        </row>
        <row r="10254">
          <cell r="G10254" t="str">
            <v>ASV4873</v>
          </cell>
          <cell r="H10254" t="str">
            <v>g__Prevotellaceae_UCG-004</v>
          </cell>
          <cell r="I10254" t="str">
            <v>s__uncultured_bacterium_g__Prevotellaceae_UCG-004</v>
          </cell>
        </row>
        <row r="10255">
          <cell r="G10255" t="str">
            <v>ASV11509</v>
          </cell>
          <cell r="H10255" t="str">
            <v>g__unclassified_f__Clostridiaceae</v>
          </cell>
          <cell r="I10255" t="str">
            <v>s__unclassified_f__Clostridiaceae</v>
          </cell>
        </row>
        <row r="10256">
          <cell r="G10256" t="str">
            <v>ASV15389</v>
          </cell>
          <cell r="H10256" t="str">
            <v>g__Terrisporobacter</v>
          </cell>
          <cell r="I10256" t="str">
            <v>s__unclassified_g__Terrisporobacter</v>
          </cell>
        </row>
        <row r="10257">
          <cell r="G10257" t="str">
            <v>ASV16901</v>
          </cell>
          <cell r="H10257" t="str">
            <v>g__Lactobacillus</v>
          </cell>
          <cell r="I10257" t="str">
            <v>s__unclassified_g__Lactobacillus</v>
          </cell>
        </row>
        <row r="10258">
          <cell r="G10258" t="str">
            <v>ASV6690</v>
          </cell>
          <cell r="H10258" t="str">
            <v>g__unclassified_c__Clostridia</v>
          </cell>
          <cell r="I10258" t="str">
            <v>s__unclassified_c__Clostridia</v>
          </cell>
        </row>
        <row r="10259">
          <cell r="G10259" t="str">
            <v>ASV22922</v>
          </cell>
          <cell r="H10259" t="str">
            <v>g__Peptococcus</v>
          </cell>
          <cell r="I10259" t="str">
            <v>s__Peptococcus_sp._canine_oral_taxon_334</v>
          </cell>
        </row>
        <row r="10260">
          <cell r="G10260" t="str">
            <v>ASV14272</v>
          </cell>
          <cell r="H10260" t="str">
            <v>g__Colidextribacter</v>
          </cell>
          <cell r="I10260" t="str">
            <v>s__unclassified_g__Colidextribacter</v>
          </cell>
        </row>
        <row r="10261">
          <cell r="G10261" t="str">
            <v>ASV5813</v>
          </cell>
          <cell r="H10261" t="str">
            <v>g__unclassified_f__Lachnospiraceae</v>
          </cell>
          <cell r="I10261" t="str">
            <v>s__unclassified_f__Lachnospiraceae</v>
          </cell>
        </row>
        <row r="10262">
          <cell r="G10262" t="str">
            <v>ASV4027</v>
          </cell>
          <cell r="H10262" t="str">
            <v>g__unclassified_k__norank_d__Bacteria</v>
          </cell>
          <cell r="I10262" t="str">
            <v>s__unclassified_k__norank_d__Bacteria</v>
          </cell>
        </row>
        <row r="10263">
          <cell r="G10263" t="str">
            <v>ASV633</v>
          </cell>
          <cell r="H10263" t="str">
            <v>g__unclassified_c__Clostridia</v>
          </cell>
          <cell r="I10263" t="str">
            <v>s__unclassified_c__Clostridia</v>
          </cell>
        </row>
        <row r="10264">
          <cell r="G10264" t="str">
            <v>ASV3998</v>
          </cell>
          <cell r="H10264" t="str">
            <v>g__Cloacibacillus</v>
          </cell>
          <cell r="I10264" t="str">
            <v>s__unclassified_g__Cloacibacillus</v>
          </cell>
        </row>
        <row r="10265">
          <cell r="G10265" t="str">
            <v>ASV15305</v>
          </cell>
          <cell r="H10265" t="str">
            <v>g__norank_f__Muribaculaceae</v>
          </cell>
          <cell r="I10265" t="str">
            <v>s__uncultured_bacterium_g__norank_f__Muribaculaceae</v>
          </cell>
        </row>
        <row r="10266">
          <cell r="G10266" t="str">
            <v>ASV4779</v>
          </cell>
          <cell r="H10266" t="str">
            <v>g__Christensenellaceae_R-7_group</v>
          </cell>
          <cell r="I10266" t="str">
            <v>s__unclassified_g__Christensenellaceae_R-7_group</v>
          </cell>
        </row>
        <row r="10267">
          <cell r="G10267" t="str">
            <v>ASV13805</v>
          </cell>
          <cell r="H10267" t="str">
            <v>g__Streptococcus</v>
          </cell>
          <cell r="I10267" t="str">
            <v>s__unclassified_g__Streptococcus</v>
          </cell>
        </row>
        <row r="10268">
          <cell r="G10268" t="str">
            <v>ASV10582</v>
          </cell>
          <cell r="H10268" t="str">
            <v>g__unclassified_o__Oscillospirales</v>
          </cell>
          <cell r="I10268" t="str">
            <v>s__unclassified_o__Oscillospirales</v>
          </cell>
        </row>
        <row r="10269">
          <cell r="G10269" t="str">
            <v>ASV8485</v>
          </cell>
          <cell r="H10269" t="str">
            <v>g__unclassified_c__Bacilli</v>
          </cell>
          <cell r="I10269" t="str">
            <v>s__unclassified_c__Bacilli</v>
          </cell>
        </row>
        <row r="10270">
          <cell r="G10270" t="str">
            <v>ASV3198</v>
          </cell>
          <cell r="H10270" t="str">
            <v>g__Lactobacillus</v>
          </cell>
          <cell r="I10270" t="str">
            <v>s__unclassified_g__Lactobacillus</v>
          </cell>
        </row>
        <row r="10271">
          <cell r="G10271" t="str">
            <v>ASV2608</v>
          </cell>
          <cell r="H10271" t="str">
            <v>g__unclassified_k__norank_d__Bacteria</v>
          </cell>
          <cell r="I10271" t="str">
            <v>s__unclassified_k__norank_d__Bacteria</v>
          </cell>
        </row>
        <row r="10272">
          <cell r="G10272" t="str">
            <v>ASV19596</v>
          </cell>
          <cell r="H10272" t="str">
            <v>g__Ruminococcus</v>
          </cell>
          <cell r="I10272" t="str">
            <v>s__unclassified_g__Ruminococcus</v>
          </cell>
        </row>
        <row r="10273">
          <cell r="G10273" t="str">
            <v>ASV17358</v>
          </cell>
          <cell r="H10273" t="str">
            <v>g__Veillonella</v>
          </cell>
          <cell r="I10273" t="str">
            <v>s__bacterium_RA2114</v>
          </cell>
        </row>
        <row r="10274">
          <cell r="G10274" t="str">
            <v>ASV4869</v>
          </cell>
          <cell r="H10274" t="str">
            <v>g__unclassified_f__Lachnospiraceae</v>
          </cell>
          <cell r="I10274" t="str">
            <v>s__unclassified_f__Lachnospiraceae</v>
          </cell>
        </row>
        <row r="10275">
          <cell r="G10275" t="str">
            <v>ASV2174</v>
          </cell>
          <cell r="H10275" t="str">
            <v>g__Sharpea</v>
          </cell>
          <cell r="I10275" t="str">
            <v>s__unclassified_g__Sharpea</v>
          </cell>
        </row>
        <row r="10276">
          <cell r="G10276" t="str">
            <v>ASV4788</v>
          </cell>
          <cell r="H10276" t="str">
            <v>g__unclassified_p__Firmicutes</v>
          </cell>
          <cell r="I10276" t="str">
            <v>s__unclassified_p__Firmicutes</v>
          </cell>
        </row>
        <row r="10277">
          <cell r="G10277" t="str">
            <v>ASV11630</v>
          </cell>
          <cell r="H10277" t="str">
            <v>g__Monoglobus</v>
          </cell>
          <cell r="I10277" t="str">
            <v>s__unclassified_g__Monoglobus</v>
          </cell>
        </row>
        <row r="10278">
          <cell r="G10278" t="str">
            <v>ASV7728</v>
          </cell>
          <cell r="H10278" t="str">
            <v>g__unclassified_c__Clostridia</v>
          </cell>
          <cell r="I10278" t="str">
            <v>s__unclassified_c__Clostridia</v>
          </cell>
        </row>
        <row r="10279">
          <cell r="G10279" t="str">
            <v>ASV17203</v>
          </cell>
          <cell r="H10279" t="str">
            <v>g__Veillonella</v>
          </cell>
          <cell r="I10279" t="str">
            <v>s__unclassified_g__Veillonella</v>
          </cell>
        </row>
        <row r="10280">
          <cell r="G10280" t="str">
            <v>ASV11626</v>
          </cell>
          <cell r="H10280" t="str">
            <v>g__Christensenellaceae_R-7_group</v>
          </cell>
          <cell r="I10280" t="str">
            <v>s__unclassified_g__Christensenellaceae_R-7_group</v>
          </cell>
        </row>
        <row r="10281">
          <cell r="G10281" t="str">
            <v>ASV10592</v>
          </cell>
          <cell r="H10281" t="str">
            <v>g__Sharpea</v>
          </cell>
          <cell r="I10281" t="str">
            <v>s__unclassified_g__Sharpea</v>
          </cell>
        </row>
        <row r="10282">
          <cell r="G10282" t="str">
            <v>ASV22130</v>
          </cell>
          <cell r="H10282" t="str">
            <v>g__unclassified_c__Clostridia</v>
          </cell>
          <cell r="I10282" t="str">
            <v>s__unclassified_c__Clostridia</v>
          </cell>
        </row>
        <row r="10283">
          <cell r="G10283" t="str">
            <v>ASV2207</v>
          </cell>
          <cell r="H10283" t="str">
            <v>g__norank_f__Eubacterium_coprostanoligenes_group</v>
          </cell>
          <cell r="I10283" t="str">
            <v>s__Eubacterium_coprostanoligenes</v>
          </cell>
        </row>
        <row r="10284">
          <cell r="G10284" t="str">
            <v>ASV14290</v>
          </cell>
          <cell r="H10284" t="str">
            <v>g__Lactobacillus</v>
          </cell>
          <cell r="I10284" t="str">
            <v>s__unclassified_g__Lactobacillus</v>
          </cell>
        </row>
        <row r="10285">
          <cell r="G10285" t="str">
            <v>ASV7719</v>
          </cell>
          <cell r="H10285" t="str">
            <v>g__Lactobacillus</v>
          </cell>
          <cell r="I10285" t="str">
            <v>s__unclassified_g__Lactobacillus</v>
          </cell>
        </row>
        <row r="10286">
          <cell r="G10286" t="str">
            <v>ASV23281</v>
          </cell>
          <cell r="H10286" t="str">
            <v>g__UCG-002</v>
          </cell>
          <cell r="I10286" t="str">
            <v>s__uncultured_bacterium_g__UCG-002</v>
          </cell>
        </row>
        <row r="10287">
          <cell r="G10287" t="str">
            <v>ASV14214</v>
          </cell>
          <cell r="H10287" t="str">
            <v>g__Rikenellaceae_RC9_gut_group</v>
          </cell>
          <cell r="I10287" t="str">
            <v>s__unclassified_g__Rikenellaceae_RC9_gut_group</v>
          </cell>
        </row>
        <row r="10288">
          <cell r="G10288" t="str">
            <v>ASV15804</v>
          </cell>
          <cell r="H10288" t="str">
            <v>g__Bacteroides</v>
          </cell>
          <cell r="I10288" t="str">
            <v>s__unclassified_g__Bacteroides</v>
          </cell>
        </row>
        <row r="10289">
          <cell r="G10289" t="str">
            <v>ASV15359</v>
          </cell>
          <cell r="H10289" t="str">
            <v>g__unclassified_f__Lachnospiraceae</v>
          </cell>
          <cell r="I10289" t="str">
            <v>s__unclassified_f__Lachnospiraceae</v>
          </cell>
        </row>
        <row r="10290">
          <cell r="G10290" t="str">
            <v>ASV3479</v>
          </cell>
          <cell r="H10290" t="str">
            <v>g__unclassified_f__Pasteurellaceae</v>
          </cell>
          <cell r="I10290" t="str">
            <v>s__unclassified_f__Pasteurellaceae</v>
          </cell>
        </row>
        <row r="10291">
          <cell r="G10291" t="str">
            <v>ASV14282</v>
          </cell>
          <cell r="H10291" t="str">
            <v>g__unclassified_f__Lachnospiraceae</v>
          </cell>
          <cell r="I10291" t="str">
            <v>s__unclassified_f__Lachnospiraceae</v>
          </cell>
        </row>
        <row r="10292">
          <cell r="G10292" t="str">
            <v>ASV15317</v>
          </cell>
          <cell r="H10292" t="str">
            <v>g__unclassified_c__Clostridia</v>
          </cell>
          <cell r="I10292" t="str">
            <v>s__unclassified_c__Clostridia</v>
          </cell>
        </row>
        <row r="10293">
          <cell r="G10293" t="str">
            <v>ASV4000</v>
          </cell>
          <cell r="H10293" t="str">
            <v>g__norank_f__Eubacterium_coprostanoligenes_group</v>
          </cell>
          <cell r="I10293" t="str">
            <v>s__unclassified_g__norank_f__Eubacterium_coprostanoligenes_group</v>
          </cell>
        </row>
        <row r="10294">
          <cell r="G10294" t="str">
            <v>ASV11582</v>
          </cell>
          <cell r="H10294" t="str">
            <v>g__unclassified_c__Clostridia</v>
          </cell>
          <cell r="I10294" t="str">
            <v>s__unclassified_c__Clostridia</v>
          </cell>
        </row>
        <row r="10295">
          <cell r="G10295" t="str">
            <v>ASV22213</v>
          </cell>
          <cell r="H10295" t="str">
            <v>g__unclassified_c__Bacilli</v>
          </cell>
          <cell r="I10295" t="str">
            <v>s__unclassified_c__Bacilli</v>
          </cell>
        </row>
        <row r="10296">
          <cell r="G10296" t="str">
            <v>ASV4757</v>
          </cell>
          <cell r="H10296" t="str">
            <v>g__unclassified_f__Ruminococcaceae</v>
          </cell>
          <cell r="I10296" t="str">
            <v>s__unclassified_f__Ruminococcaceae</v>
          </cell>
        </row>
        <row r="10297">
          <cell r="G10297" t="str">
            <v>ASV11482</v>
          </cell>
          <cell r="H10297" t="str">
            <v>g__unclassified_p__Firmicutes</v>
          </cell>
          <cell r="I10297" t="str">
            <v>s__unclassified_p__Firmicutes</v>
          </cell>
        </row>
        <row r="10298">
          <cell r="G10298" t="str">
            <v>ASV11516</v>
          </cell>
          <cell r="H10298" t="str">
            <v>g__unclassified_f__Lachnospiraceae</v>
          </cell>
          <cell r="I10298" t="str">
            <v>s__unclassified_f__Lachnospiraceae</v>
          </cell>
        </row>
        <row r="10299">
          <cell r="G10299" t="str">
            <v>ASV19165</v>
          </cell>
          <cell r="H10299" t="str">
            <v>g__Facklamia</v>
          </cell>
          <cell r="I10299" t="str">
            <v>s__unclassified_g__Facklamia</v>
          </cell>
        </row>
        <row r="10300">
          <cell r="G10300" t="str">
            <v>ASV19583</v>
          </cell>
          <cell r="H10300" t="str">
            <v>g__Lactobacillus</v>
          </cell>
          <cell r="I10300" t="str">
            <v>s__unclassified_g__Lactobacillus</v>
          </cell>
        </row>
        <row r="10301">
          <cell r="G10301" t="str">
            <v>ASV15369</v>
          </cell>
          <cell r="H10301" t="str">
            <v>g__unclassified_p__Firmicutes</v>
          </cell>
          <cell r="I10301" t="str">
            <v>s__unclassified_p__Firmicutes</v>
          </cell>
        </row>
        <row r="10302">
          <cell r="G10302" t="str">
            <v>ASV726</v>
          </cell>
          <cell r="H10302" t="str">
            <v>g__norank_f__Muribaculaceae</v>
          </cell>
          <cell r="I10302" t="str">
            <v>s__uncultured_bacterium_g__norank_f__Muribaculaceae</v>
          </cell>
        </row>
        <row r="10303">
          <cell r="G10303" t="str">
            <v>ASV14200</v>
          </cell>
          <cell r="H10303" t="str">
            <v>g__unclassified_f__Lachnospiraceae</v>
          </cell>
          <cell r="I10303" t="str">
            <v>s__unclassified_f__Lachnospiraceae</v>
          </cell>
        </row>
        <row r="10304">
          <cell r="G10304" t="str">
            <v>ASV16374</v>
          </cell>
          <cell r="H10304" t="str">
            <v>g__unclassified_k__norank_d__Bacteria</v>
          </cell>
          <cell r="I10304" t="str">
            <v>s__unclassified_k__norank_d__Bacteria</v>
          </cell>
        </row>
        <row r="10305">
          <cell r="G10305" t="str">
            <v>ASV21221</v>
          </cell>
          <cell r="H10305" t="str">
            <v>g__Bifidobacterium</v>
          </cell>
          <cell r="I10305" t="str">
            <v>s__unclassified_g__Bifidobacterium</v>
          </cell>
        </row>
        <row r="10306">
          <cell r="G10306" t="str">
            <v>ASV14249</v>
          </cell>
          <cell r="H10306" t="str">
            <v>g__unclassified_c__Clostridia</v>
          </cell>
          <cell r="I10306" t="str">
            <v>s__unclassified_c__Clostridia</v>
          </cell>
        </row>
        <row r="10307">
          <cell r="G10307" t="str">
            <v>ASV23198</v>
          </cell>
          <cell r="H10307" t="str">
            <v>g__Lactobacillus</v>
          </cell>
          <cell r="I10307" t="str">
            <v>s__unclassified_g__Lactobacillus</v>
          </cell>
        </row>
        <row r="10308">
          <cell r="G10308" t="str">
            <v>ASV6656</v>
          </cell>
          <cell r="H10308" t="str">
            <v>g__unclassified_f__Synergistaceae</v>
          </cell>
          <cell r="I10308" t="str">
            <v>s__unclassified_f__Synergistaceae</v>
          </cell>
        </row>
        <row r="10309">
          <cell r="G10309" t="str">
            <v>ASV13428</v>
          </cell>
          <cell r="H10309" t="str">
            <v>g__unclassified_c__Clostridia</v>
          </cell>
          <cell r="I10309" t="str">
            <v>s__unclassified_c__Clostridia</v>
          </cell>
        </row>
        <row r="10310">
          <cell r="G10310" t="str">
            <v>ASV1655</v>
          </cell>
          <cell r="H10310" t="str">
            <v>g__Bacillus</v>
          </cell>
          <cell r="I10310" t="str">
            <v>s__Lactobacillus_vaginalis_g__Bacillus</v>
          </cell>
        </row>
        <row r="10311">
          <cell r="G10311" t="str">
            <v>ASV8290</v>
          </cell>
          <cell r="H10311" t="str">
            <v>g__Lactobacillus</v>
          </cell>
          <cell r="I10311" t="str">
            <v>s__unclassified_g__Lactobacillus</v>
          </cell>
        </row>
        <row r="10312">
          <cell r="G10312" t="str">
            <v>ASV10565</v>
          </cell>
          <cell r="H10312" t="str">
            <v>g__Actinomyces</v>
          </cell>
          <cell r="I10312" t="str">
            <v>s__unclassified_g__Actinomyces</v>
          </cell>
        </row>
        <row r="10313">
          <cell r="G10313" t="str">
            <v>ASV11565</v>
          </cell>
          <cell r="H10313" t="str">
            <v>g__Treponema</v>
          </cell>
          <cell r="I10313" t="str">
            <v>s__Treponema_porcinum</v>
          </cell>
        </row>
        <row r="10314">
          <cell r="G10314" t="str">
            <v>ASV17951</v>
          </cell>
          <cell r="H10314" t="str">
            <v>g__norank_f__norank_o__Clostridia_UCG-014</v>
          </cell>
          <cell r="I10314" t="str">
            <v>s__uncultured_bacterium_g__norank_f__norank_o__Clostridia_UCG-014</v>
          </cell>
        </row>
        <row r="10315">
          <cell r="G10315" t="str">
            <v>ASV11624</v>
          </cell>
          <cell r="H10315" t="str">
            <v>g__unclassified_f__Peptostreptococcaceae</v>
          </cell>
          <cell r="I10315" t="str">
            <v>s__unclassified_f__Peptostreptococcaceae</v>
          </cell>
        </row>
        <row r="10316">
          <cell r="G10316" t="str">
            <v>ASV7061</v>
          </cell>
          <cell r="H10316" t="str">
            <v>g__Lactobacillus</v>
          </cell>
          <cell r="I10316" t="str">
            <v>s__unclassified_g__Lactobacillus</v>
          </cell>
        </row>
        <row r="10317">
          <cell r="G10317" t="str">
            <v>ASV23249</v>
          </cell>
          <cell r="H10317" t="str">
            <v>g__unclassified_o__Lactobacillales</v>
          </cell>
          <cell r="I10317" t="str">
            <v>s__unclassified_o__Lactobacillales</v>
          </cell>
        </row>
        <row r="10318">
          <cell r="G10318" t="str">
            <v>ASV23765</v>
          </cell>
          <cell r="H10318" t="str">
            <v>g__Clostridium_sensu_stricto_1</v>
          </cell>
          <cell r="I10318" t="str">
            <v>s__unclassified_g__Clostridium_sensu_stricto_1</v>
          </cell>
        </row>
        <row r="10319">
          <cell r="G10319" t="str">
            <v>ASV11502</v>
          </cell>
          <cell r="H10319" t="str">
            <v>g__norank_f__norank_o__Clostridia_UCG-014</v>
          </cell>
          <cell r="I10319" t="str">
            <v>s__uncultured_bacterium_g__norank_f__norank_o__Clostridia_UCG-014</v>
          </cell>
        </row>
        <row r="10320">
          <cell r="G10320" t="str">
            <v>ASV20767</v>
          </cell>
          <cell r="H10320" t="str">
            <v>g__unclassified_c__Clostridia</v>
          </cell>
          <cell r="I10320" t="str">
            <v>s__unclassified_c__Clostridia</v>
          </cell>
        </row>
        <row r="10321">
          <cell r="G10321" t="str">
            <v>ASV17960</v>
          </cell>
          <cell r="H10321" t="str">
            <v>g__NK4A214_group</v>
          </cell>
          <cell r="I10321" t="str">
            <v>s__unclassified_g__NK4A214_group</v>
          </cell>
        </row>
        <row r="10322">
          <cell r="G10322" t="str">
            <v>ASV8479</v>
          </cell>
          <cell r="H10322" t="str">
            <v>g__unclassified_p__Firmicutes</v>
          </cell>
          <cell r="I10322" t="str">
            <v>s__unclassified_p__Firmicutes</v>
          </cell>
        </row>
        <row r="10323">
          <cell r="G10323" t="str">
            <v>ASV5931</v>
          </cell>
          <cell r="H10323" t="str">
            <v>g__unclassified_f__Lachnospiraceae</v>
          </cell>
          <cell r="I10323" t="str">
            <v>s__unclassified_f__Lachnospiraceae</v>
          </cell>
        </row>
        <row r="10324">
          <cell r="G10324" t="str">
            <v>ASV22164</v>
          </cell>
          <cell r="H10324" t="str">
            <v>g__Lactobacillus</v>
          </cell>
          <cell r="I10324" t="str">
            <v>s__unclassified_g__Lactobacillus</v>
          </cell>
        </row>
        <row r="10325">
          <cell r="G10325" t="str">
            <v>ASV762</v>
          </cell>
          <cell r="H10325" t="str">
            <v>g__Lactobacillus</v>
          </cell>
          <cell r="I10325" t="str">
            <v>s__unclassified_g__Lactobacillus</v>
          </cell>
        </row>
        <row r="10326">
          <cell r="G10326" t="str">
            <v>ASV19582</v>
          </cell>
          <cell r="H10326" t="str">
            <v>g__Ruminococcus</v>
          </cell>
          <cell r="I10326" t="str">
            <v>s__uncultured_bacterium_g__Ruminococcus</v>
          </cell>
        </row>
        <row r="10327">
          <cell r="G10327" t="str">
            <v>ASV14296</v>
          </cell>
          <cell r="H10327" t="str">
            <v>g__unclassified_c__Clostridia</v>
          </cell>
          <cell r="I10327" t="str">
            <v>s__unclassified_c__Clostridia</v>
          </cell>
        </row>
        <row r="10328">
          <cell r="G10328" t="str">
            <v>ASV3985</v>
          </cell>
          <cell r="H10328" t="str">
            <v>g__unclassified_f__Lachnospiraceae</v>
          </cell>
          <cell r="I10328" t="str">
            <v>s__unclassified_f__Lachnospiraceae</v>
          </cell>
        </row>
        <row r="10329">
          <cell r="G10329" t="str">
            <v>ASV14171</v>
          </cell>
          <cell r="H10329" t="str">
            <v>g__unclassified_f__Prevotellaceae</v>
          </cell>
          <cell r="I10329" t="str">
            <v>s__unclassified_f__Prevotellaceae</v>
          </cell>
        </row>
        <row r="10330">
          <cell r="G10330" t="str">
            <v>ASV11538</v>
          </cell>
          <cell r="H10330" t="str">
            <v>g__unclassified_c__Clostridia</v>
          </cell>
          <cell r="I10330" t="str">
            <v>s__unclassified_c__Clostridia</v>
          </cell>
        </row>
        <row r="10331">
          <cell r="G10331" t="str">
            <v>ASV14223</v>
          </cell>
          <cell r="H10331" t="str">
            <v>g__unclassified_p__Firmicutes</v>
          </cell>
          <cell r="I10331" t="str">
            <v>s__unclassified_p__Firmicutes</v>
          </cell>
        </row>
        <row r="10332">
          <cell r="G10332" t="str">
            <v>ASV17603</v>
          </cell>
          <cell r="H10332" t="str">
            <v>g__Lactobacillus</v>
          </cell>
          <cell r="I10332" t="str">
            <v>s__unclassified_g__Lactobacillus</v>
          </cell>
        </row>
        <row r="10333">
          <cell r="G10333" t="str">
            <v>ASV12765</v>
          </cell>
          <cell r="H10333" t="str">
            <v>g__unclassified_f__Oscillospiraceae</v>
          </cell>
          <cell r="I10333" t="str">
            <v>s__unclassified_f__Oscillospiraceae</v>
          </cell>
        </row>
        <row r="10334">
          <cell r="G10334" t="str">
            <v>ASV9365</v>
          </cell>
          <cell r="H10334" t="str">
            <v>g__unclassified_f__Lachnospiraceae</v>
          </cell>
          <cell r="I10334" t="str">
            <v>s__unclassified_f__Lachnospiraceae</v>
          </cell>
        </row>
        <row r="10335">
          <cell r="G10335" t="str">
            <v>ASV22131</v>
          </cell>
          <cell r="H10335" t="str">
            <v>g__unclassified_c__Clostridia</v>
          </cell>
          <cell r="I10335" t="str">
            <v>s__unclassified_c__Clostridia</v>
          </cell>
        </row>
        <row r="10336">
          <cell r="G10336" t="str">
            <v>ASV6689</v>
          </cell>
          <cell r="H10336" t="str">
            <v>g__Escherichia-Shigella</v>
          </cell>
          <cell r="I10336" t="str">
            <v>s__unclassified_g__Escherichia-Shigella</v>
          </cell>
        </row>
        <row r="10337">
          <cell r="G10337" t="str">
            <v>ASV22243</v>
          </cell>
          <cell r="H10337" t="str">
            <v>g__unclassified_c__Clostridia</v>
          </cell>
          <cell r="I10337" t="str">
            <v>s__unclassified_c__Clostridia</v>
          </cell>
        </row>
        <row r="10338">
          <cell r="G10338" t="str">
            <v>ASV597</v>
          </cell>
          <cell r="H10338" t="str">
            <v>g__unclassified_p__Firmicutes</v>
          </cell>
          <cell r="I10338" t="str">
            <v>s__unclassified_p__Firmicutes</v>
          </cell>
        </row>
        <row r="10339">
          <cell r="G10339" t="str">
            <v>ASV23201</v>
          </cell>
          <cell r="H10339" t="str">
            <v>g__unclassified_p__Firmicutes</v>
          </cell>
          <cell r="I10339" t="str">
            <v>s__unclassified_p__Firmicutes</v>
          </cell>
        </row>
        <row r="10340">
          <cell r="G10340" t="str">
            <v>ASV14145</v>
          </cell>
          <cell r="H10340" t="str">
            <v>g__Christensenellaceae_R-7_group</v>
          </cell>
          <cell r="I10340" t="str">
            <v>s__human_gut_metagenome_g__Christensenellaceae_R-7_group</v>
          </cell>
        </row>
        <row r="10341">
          <cell r="G10341" t="str">
            <v>ASV24143</v>
          </cell>
          <cell r="H10341" t="str">
            <v>g__unclassified_c__Clostridia</v>
          </cell>
          <cell r="I10341" t="str">
            <v>s__unclassified_c__Clostridia</v>
          </cell>
        </row>
        <row r="10342">
          <cell r="G10342" t="str">
            <v>ASV15803</v>
          </cell>
          <cell r="H10342" t="str">
            <v>g__Collinsella</v>
          </cell>
          <cell r="I10342" t="str">
            <v>s__unclassified_g__Collinsella</v>
          </cell>
        </row>
        <row r="10343">
          <cell r="G10343" t="str">
            <v>ASV14232</v>
          </cell>
          <cell r="H10343" t="str">
            <v>g__norank_f__Muribaculaceae</v>
          </cell>
          <cell r="I10343" t="str">
            <v>s__uncultured_bacterium_g__norank_f__Muribaculaceae</v>
          </cell>
        </row>
        <row r="10344">
          <cell r="G10344" t="str">
            <v>ASV17666</v>
          </cell>
          <cell r="H10344" t="str">
            <v>g__Enterococcus</v>
          </cell>
          <cell r="I10344" t="str">
            <v>s__unclassified_g__Enterococcus</v>
          </cell>
        </row>
        <row r="10345">
          <cell r="G10345" t="str">
            <v>ASV11479</v>
          </cell>
          <cell r="H10345" t="str">
            <v>g__unclassified_c__Clostridia</v>
          </cell>
          <cell r="I10345" t="str">
            <v>s__unclassified_c__Clostridia</v>
          </cell>
        </row>
        <row r="10346">
          <cell r="G10346" t="str">
            <v>ASV10670</v>
          </cell>
          <cell r="H10346" t="str">
            <v>g__Oscillibacter</v>
          </cell>
          <cell r="I10346" t="str">
            <v>s__uncultured_bacterium_g__Oscillibacter</v>
          </cell>
        </row>
        <row r="10347">
          <cell r="G10347" t="str">
            <v>ASV19588</v>
          </cell>
          <cell r="H10347" t="str">
            <v>g__Prevotella</v>
          </cell>
          <cell r="I10347" t="str">
            <v>s__uncultured_bacterium_g__Prevotella</v>
          </cell>
        </row>
        <row r="10348">
          <cell r="G10348" t="str">
            <v>ASV658</v>
          </cell>
          <cell r="H10348" t="str">
            <v>g__unclassified_o__Oscillospirales</v>
          </cell>
          <cell r="I10348" t="str">
            <v>s__unclassified_o__Oscillospirales</v>
          </cell>
        </row>
        <row r="10349">
          <cell r="G10349" t="str">
            <v>ASV6676</v>
          </cell>
          <cell r="H10349" t="str">
            <v>g__unclassified_p__Firmicutes</v>
          </cell>
          <cell r="I10349" t="str">
            <v>s__unclassified_p__Firmicutes</v>
          </cell>
        </row>
        <row r="10350">
          <cell r="G10350" t="str">
            <v>ASV22100</v>
          </cell>
          <cell r="H10350" t="str">
            <v>g__norank_f__norank_o__Clostridia_UCG-014</v>
          </cell>
          <cell r="I10350" t="str">
            <v>s__unclassified_g__norank_f__norank_o__Clostridia_UCG-014</v>
          </cell>
        </row>
        <row r="10351">
          <cell r="G10351" t="str">
            <v>ASV3972</v>
          </cell>
          <cell r="H10351" t="str">
            <v>g__norank_f__Eubacterium_coprostanoligenes_group</v>
          </cell>
          <cell r="I10351" t="str">
            <v>s__unclassified_g__norank_f__Eubacterium_coprostanoligenes_group</v>
          </cell>
        </row>
        <row r="10352">
          <cell r="G10352" t="str">
            <v>ASV15805</v>
          </cell>
          <cell r="H10352" t="str">
            <v>g__Lactobacillus</v>
          </cell>
          <cell r="I10352" t="str">
            <v>s__unclassified_g__Lactobacillus</v>
          </cell>
        </row>
        <row r="10353">
          <cell r="G10353" t="str">
            <v>ASV16426</v>
          </cell>
          <cell r="H10353" t="str">
            <v>g__unclassified_c__Clostridia</v>
          </cell>
          <cell r="I10353" t="str">
            <v>s__unclassified_c__Clostridia</v>
          </cell>
        </row>
        <row r="10354">
          <cell r="G10354" t="str">
            <v>ASV7762</v>
          </cell>
          <cell r="H10354" t="str">
            <v>g__norank_f__Muribaculaceae</v>
          </cell>
          <cell r="I10354" t="str">
            <v>s__unclassified_g__norank_f__Muribaculaceae</v>
          </cell>
        </row>
        <row r="10355">
          <cell r="G10355" t="str">
            <v>ASV5841</v>
          </cell>
          <cell r="H10355" t="str">
            <v>g__unclassified_c__Clostridia</v>
          </cell>
          <cell r="I10355" t="str">
            <v>s__unclassified_c__Clostridia</v>
          </cell>
        </row>
        <row r="10356">
          <cell r="G10356" t="str">
            <v>ASV4017</v>
          </cell>
          <cell r="H10356" t="str">
            <v>g__norank_f__Eubacterium_coprostanoligenes_group</v>
          </cell>
          <cell r="I10356" t="str">
            <v>s__human_gut_metagenome_g__norank_f__Eubacterium_coprostanoligenes_group</v>
          </cell>
        </row>
        <row r="10357">
          <cell r="G10357" t="str">
            <v>ASV11633</v>
          </cell>
          <cell r="H10357" t="str">
            <v>g__Subdoligranulum</v>
          </cell>
          <cell r="I10357" t="str">
            <v>s__unclassified_g__Subdoligranulum</v>
          </cell>
        </row>
        <row r="10358">
          <cell r="G10358" t="str">
            <v>ASV18757</v>
          </cell>
          <cell r="H10358" t="str">
            <v>g__Psychrobacter</v>
          </cell>
          <cell r="I10358" t="str">
            <v>s__unclassified_g__Psychrobacter</v>
          </cell>
        </row>
        <row r="10359">
          <cell r="G10359" t="str">
            <v>ASV2190</v>
          </cell>
          <cell r="H10359" t="str">
            <v>g__Blautia</v>
          </cell>
          <cell r="I10359" t="str">
            <v>s__unclassified_g__Blautia</v>
          </cell>
        </row>
        <row r="10360">
          <cell r="G10360" t="str">
            <v>ASV9382</v>
          </cell>
          <cell r="H10360" t="str">
            <v>g__UCG-002</v>
          </cell>
          <cell r="I10360" t="str">
            <v>s__uncultured_bacterium_g__UCG-002</v>
          </cell>
        </row>
        <row r="10361">
          <cell r="G10361" t="str">
            <v>ASV5823</v>
          </cell>
          <cell r="H10361" t="str">
            <v>g__unclassified_o__Oscillospirales</v>
          </cell>
          <cell r="I10361" t="str">
            <v>s__unclassified_o__Oscillospirales</v>
          </cell>
        </row>
        <row r="10362">
          <cell r="G10362" t="str">
            <v>ASV17986</v>
          </cell>
          <cell r="H10362" t="str">
            <v>g__UCG-002</v>
          </cell>
          <cell r="I10362" t="str">
            <v>s__uncultured_bacterium_g__UCG-002</v>
          </cell>
        </row>
        <row r="10363">
          <cell r="G10363" t="str">
            <v>ASV4748</v>
          </cell>
          <cell r="H10363" t="str">
            <v>g__Ruminococcus</v>
          </cell>
          <cell r="I10363" t="str">
            <v>s__unclassified_g__Ruminococcus</v>
          </cell>
        </row>
        <row r="10364">
          <cell r="G10364" t="str">
            <v>ASV23267</v>
          </cell>
          <cell r="H10364" t="str">
            <v>g__unclassified_f__Oscillospiraceae</v>
          </cell>
          <cell r="I10364" t="str">
            <v>s__unclassified_f__Oscillospiraceae</v>
          </cell>
        </row>
        <row r="10365">
          <cell r="G10365" t="str">
            <v>ASV7686</v>
          </cell>
          <cell r="H10365" t="str">
            <v>g__norank_f__Eggerthellaceae</v>
          </cell>
          <cell r="I10365" t="str">
            <v>s__uncultured_bacterium_g__norank_f__Eggerthellaceae</v>
          </cell>
        </row>
        <row r="10366">
          <cell r="G10366" t="str">
            <v>ASV9341</v>
          </cell>
          <cell r="H10366" t="str">
            <v>g__unclassified_c__Clostridia</v>
          </cell>
          <cell r="I10366" t="str">
            <v>s__unclassified_c__Clostridia</v>
          </cell>
        </row>
        <row r="10367">
          <cell r="G10367" t="str">
            <v>ASV22175</v>
          </cell>
          <cell r="H10367" t="str">
            <v>g__unclassified_c__Clostridia</v>
          </cell>
          <cell r="I10367" t="str">
            <v>s__unclassified_c__Clostridia</v>
          </cell>
        </row>
        <row r="10368">
          <cell r="G10368" t="str">
            <v>ASV10661</v>
          </cell>
          <cell r="H10368" t="str">
            <v>g__unclassified_f__Clostridiaceae</v>
          </cell>
          <cell r="I10368" t="str">
            <v>s__unclassified_f__Clostridiaceae</v>
          </cell>
        </row>
        <row r="10369">
          <cell r="G10369" t="str">
            <v>ASV4857</v>
          </cell>
          <cell r="H10369" t="str">
            <v>g__unclassified_c__Clostridia</v>
          </cell>
          <cell r="I10369" t="str">
            <v>s__unclassified_c__Clostridia</v>
          </cell>
        </row>
        <row r="10370">
          <cell r="G10370" t="str">
            <v>ASV23280</v>
          </cell>
          <cell r="H10370" t="str">
            <v>g__unclassified_p__Firmicutes</v>
          </cell>
          <cell r="I10370" t="str">
            <v>s__unclassified_p__Firmicutes</v>
          </cell>
        </row>
        <row r="10371">
          <cell r="G10371" t="str">
            <v>ASV10017</v>
          </cell>
          <cell r="H10371" t="str">
            <v>g__norank_f__Desulfovibrionaceae</v>
          </cell>
          <cell r="I10371" t="str">
            <v>s__uncultured_bacterium_g__norank_f__Desulfovibrionaceae</v>
          </cell>
        </row>
        <row r="10372">
          <cell r="G10372" t="str">
            <v>ASV14233</v>
          </cell>
          <cell r="H10372" t="str">
            <v>g__Lactobacillus</v>
          </cell>
          <cell r="I10372" t="str">
            <v>s__unclassified_g__Lactobacillus</v>
          </cell>
        </row>
        <row r="10373">
          <cell r="G10373" t="str">
            <v>ASV12774</v>
          </cell>
          <cell r="H10373" t="str">
            <v>g__Christensenellaceae_R-7_group</v>
          </cell>
          <cell r="I10373" t="str">
            <v>s__unclassified_g__Christensenellaceae_R-7_group</v>
          </cell>
        </row>
        <row r="10374">
          <cell r="G10374" t="str">
            <v>ASV23289</v>
          </cell>
          <cell r="H10374" t="str">
            <v>g__unclassified_c__Clostridia</v>
          </cell>
          <cell r="I10374" t="str">
            <v>s__unclassified_c__Clostridia</v>
          </cell>
        </row>
        <row r="10375">
          <cell r="G10375" t="str">
            <v>ASV17966</v>
          </cell>
          <cell r="H10375" t="str">
            <v>g__unclassified_c__Clostridia</v>
          </cell>
          <cell r="I10375" t="str">
            <v>s__unclassified_c__Clostridia</v>
          </cell>
        </row>
        <row r="10376">
          <cell r="G10376" t="str">
            <v>ASV4766</v>
          </cell>
          <cell r="H10376" t="str">
            <v>g__norank_f__Muribaculaceae</v>
          </cell>
          <cell r="I10376" t="str">
            <v>s__uncultured_bacterium_g__norank_f__Muribaculaceae</v>
          </cell>
        </row>
        <row r="10377">
          <cell r="G10377" t="str">
            <v>ASV7727</v>
          </cell>
          <cell r="H10377" t="str">
            <v>g__norank_f__Peptostreptococcaceae</v>
          </cell>
          <cell r="I10377" t="str">
            <v>s__uncultured_bacterium_g__norank_f__Peptostreptococcaceae</v>
          </cell>
        </row>
        <row r="10378">
          <cell r="G10378" t="str">
            <v>ASV5927</v>
          </cell>
          <cell r="H10378" t="str">
            <v>g__unclassified_c__Clostridia</v>
          </cell>
          <cell r="I10378" t="str">
            <v>s__unclassified_c__Clostridia</v>
          </cell>
        </row>
        <row r="10379">
          <cell r="G10379" t="str">
            <v>ASV20745</v>
          </cell>
          <cell r="H10379" t="str">
            <v>g__Lachnospiraceae_NC2004_group</v>
          </cell>
          <cell r="I10379" t="str">
            <v>s__unclassified_g__Lachnospiraceae_NC2004_group</v>
          </cell>
        </row>
        <row r="10380">
          <cell r="G10380" t="str">
            <v>ASV20756</v>
          </cell>
          <cell r="H10380" t="str">
            <v>g__Rikenellaceae_RC9_gut_group</v>
          </cell>
          <cell r="I10380" t="str">
            <v>s__uncultured_bacterium_g__Rikenellaceae_RC9_gut_group</v>
          </cell>
        </row>
        <row r="10381">
          <cell r="G10381" t="str">
            <v>ASV11621</v>
          </cell>
          <cell r="H10381" t="str">
            <v>g__unclassified_f__Oscillospiraceae</v>
          </cell>
          <cell r="I10381" t="str">
            <v>s__unclassified_f__Oscillospiraceae</v>
          </cell>
        </row>
        <row r="10382">
          <cell r="G10382" t="str">
            <v>ASV8287</v>
          </cell>
          <cell r="H10382" t="str">
            <v>g__Veillonella</v>
          </cell>
          <cell r="I10382" t="str">
            <v>s__unclassified_g__Veillonella</v>
          </cell>
        </row>
        <row r="10383">
          <cell r="G10383" t="str">
            <v>ASV6701</v>
          </cell>
          <cell r="H10383" t="str">
            <v>g__Enterococcus</v>
          </cell>
          <cell r="I10383" t="str">
            <v>s__unclassified_g__Enterococcus</v>
          </cell>
        </row>
        <row r="10384">
          <cell r="G10384" t="str">
            <v>ASV16911</v>
          </cell>
          <cell r="H10384" t="str">
            <v>g__Bacteroides</v>
          </cell>
          <cell r="I10384" t="str">
            <v>s__unclassified_g__Bacteroides</v>
          </cell>
        </row>
        <row r="10385">
          <cell r="G10385" t="str">
            <v>ASV11605</v>
          </cell>
          <cell r="H10385" t="str">
            <v>g__Holdemanella</v>
          </cell>
          <cell r="I10385" t="str">
            <v>s__unclassified_g__Holdemanella</v>
          </cell>
        </row>
        <row r="10386">
          <cell r="G10386" t="str">
            <v>ASV15395</v>
          </cell>
          <cell r="H10386" t="str">
            <v>g__unclassified_c__Clostridia</v>
          </cell>
          <cell r="I10386" t="str">
            <v>s__unclassified_c__Clostridia</v>
          </cell>
        </row>
        <row r="10387">
          <cell r="G10387" t="str">
            <v>ASV23225</v>
          </cell>
          <cell r="H10387" t="str">
            <v>g__Lactobacillus</v>
          </cell>
          <cell r="I10387" t="str">
            <v>s__unclassified_g__Lactobacillus</v>
          </cell>
        </row>
        <row r="10388">
          <cell r="G10388" t="str">
            <v>ASV7714</v>
          </cell>
          <cell r="H10388" t="str">
            <v>g__unclassified_k__norank_d__Bacteria</v>
          </cell>
          <cell r="I10388" t="str">
            <v>s__unclassified_k__norank_d__Bacteria</v>
          </cell>
        </row>
        <row r="10389">
          <cell r="G10389" t="str">
            <v>ASV19533</v>
          </cell>
          <cell r="H10389" t="str">
            <v>g__unclassified_f__Lachnospiraceae</v>
          </cell>
          <cell r="I10389" t="str">
            <v>s__unclassified_f__Lachnospiraceae</v>
          </cell>
        </row>
        <row r="10390">
          <cell r="G10390" t="str">
            <v>ASV9428</v>
          </cell>
          <cell r="H10390" t="str">
            <v>g__norank_f__Erysipelotrichaceae</v>
          </cell>
          <cell r="I10390" t="str">
            <v>s__uncultured_bacterium_g__norank_f__Erysipelotrichaceae</v>
          </cell>
        </row>
        <row r="10391">
          <cell r="G10391" t="str">
            <v>ASV4035</v>
          </cell>
          <cell r="H10391" t="str">
            <v>g__unclassified_k__norank_d__Bacteria</v>
          </cell>
          <cell r="I10391" t="str">
            <v>s__unclassified_k__norank_d__Bacteria</v>
          </cell>
        </row>
        <row r="10392">
          <cell r="G10392" t="str">
            <v>ASV8858</v>
          </cell>
          <cell r="H10392" t="str">
            <v>g__C39</v>
          </cell>
          <cell r="I10392" t="str">
            <v>s__unclassified_g__C39</v>
          </cell>
        </row>
        <row r="10393">
          <cell r="G10393" t="str">
            <v>ASV5854</v>
          </cell>
          <cell r="H10393" t="str">
            <v>g__unclassified_o__Oscillospirales</v>
          </cell>
          <cell r="I10393" t="str">
            <v>s__unclassified_o__Oscillospirales</v>
          </cell>
        </row>
        <row r="10394">
          <cell r="G10394" t="str">
            <v>ASV12709</v>
          </cell>
          <cell r="H10394" t="str">
            <v>g__unclassified_c__Clostridia</v>
          </cell>
          <cell r="I10394" t="str">
            <v>s__unclassified_c__Clostridia</v>
          </cell>
        </row>
        <row r="10395">
          <cell r="G10395" t="str">
            <v>ASV20241</v>
          </cell>
          <cell r="H10395" t="str">
            <v>g__Clostridium_sensu_stricto_1</v>
          </cell>
          <cell r="I10395" t="str">
            <v>s__unclassified_g__Clostridium_sensu_stricto_1</v>
          </cell>
        </row>
        <row r="10396">
          <cell r="G10396" t="str">
            <v>ASV20460</v>
          </cell>
          <cell r="H10396" t="str">
            <v>g__Acinetobacter</v>
          </cell>
          <cell r="I10396" t="str">
            <v>s__unclassified_g__Acinetobacter</v>
          </cell>
        </row>
        <row r="10397">
          <cell r="G10397" t="str">
            <v>ASV16424</v>
          </cell>
          <cell r="H10397" t="str">
            <v>g__Ruminococcus</v>
          </cell>
          <cell r="I10397" t="str">
            <v>s__unclassified_g__Ruminococcus</v>
          </cell>
        </row>
        <row r="10398">
          <cell r="G10398" t="str">
            <v>ASV5888</v>
          </cell>
          <cell r="H10398" t="str">
            <v>g__Christensenellaceae_R-7_group</v>
          </cell>
          <cell r="I10398" t="str">
            <v>s__unclassified_g__Christensenellaceae_R-7_group</v>
          </cell>
        </row>
        <row r="10399">
          <cell r="G10399" t="str">
            <v>ASV14158</v>
          </cell>
          <cell r="H10399" t="str">
            <v>g__unclassified_c__Clostridia</v>
          </cell>
          <cell r="I10399" t="str">
            <v>s__unclassified_c__Clostridia</v>
          </cell>
        </row>
        <row r="10400">
          <cell r="G10400" t="str">
            <v>ASV10187</v>
          </cell>
          <cell r="H10400" t="str">
            <v>g__unclassified_p__Firmicutes</v>
          </cell>
          <cell r="I10400" t="str">
            <v>s__unclassified_p__Firmicutes</v>
          </cell>
        </row>
        <row r="10401">
          <cell r="G10401" t="str">
            <v>ASV12687</v>
          </cell>
          <cell r="H10401" t="str">
            <v>g__norank_f__norank_o__WCHB1-41</v>
          </cell>
          <cell r="I10401" t="str">
            <v>s__unclassified_g__norank_f__norank_o__WCHB1-41</v>
          </cell>
        </row>
        <row r="10402">
          <cell r="G10402" t="str">
            <v>ASV15333</v>
          </cell>
          <cell r="H10402" t="str">
            <v>g__Clostridium_sensu_stricto_1</v>
          </cell>
          <cell r="I10402" t="str">
            <v>s__unclassified_g__Clostridium_sensu_stricto_1</v>
          </cell>
        </row>
        <row r="10403">
          <cell r="G10403" t="str">
            <v>ASV6667</v>
          </cell>
          <cell r="H10403" t="str">
            <v>g__Mogibacterium</v>
          </cell>
          <cell r="I10403" t="str">
            <v>s__uncultured_bacterium_g__Mogibacterium</v>
          </cell>
        </row>
        <row r="10404">
          <cell r="G10404" t="str">
            <v>ASV10194</v>
          </cell>
          <cell r="H10404" t="str">
            <v>g__Lactobacillus</v>
          </cell>
          <cell r="I10404" t="str">
            <v>s__unclassified_g__Lactobacillus</v>
          </cell>
        </row>
        <row r="10405">
          <cell r="G10405" t="str">
            <v>ASV2155</v>
          </cell>
          <cell r="H10405" t="str">
            <v>g__unclassified_o__Lactobacillales</v>
          </cell>
          <cell r="I10405" t="str">
            <v>s__unclassified_o__Lactobacillales</v>
          </cell>
        </row>
        <row r="10406">
          <cell r="G10406" t="str">
            <v>ASV8803</v>
          </cell>
          <cell r="H10406" t="str">
            <v>g__Lactococcus</v>
          </cell>
          <cell r="I10406" t="str">
            <v>s__unclassified_g__Lactococcus</v>
          </cell>
        </row>
        <row r="10407">
          <cell r="G10407" t="str">
            <v>ASV19527</v>
          </cell>
          <cell r="H10407" t="str">
            <v>g__unclassified_c__Clostridia</v>
          </cell>
          <cell r="I10407" t="str">
            <v>s__unclassified_c__Clostridia</v>
          </cell>
        </row>
        <row r="10408">
          <cell r="G10408" t="str">
            <v>ASV10192</v>
          </cell>
          <cell r="H10408" t="str">
            <v>g__Clostridioides</v>
          </cell>
          <cell r="I10408" t="str">
            <v>s__unclassified_g__Clostridioides</v>
          </cell>
        </row>
        <row r="10409">
          <cell r="G10409" t="str">
            <v>ASV4809</v>
          </cell>
          <cell r="H10409" t="str">
            <v>g__unclassified_f__Clostridiaceae</v>
          </cell>
          <cell r="I10409" t="str">
            <v>s__unclassified_f__Clostridiaceae</v>
          </cell>
        </row>
        <row r="10410">
          <cell r="G10410" t="str">
            <v>ASV7705</v>
          </cell>
          <cell r="H10410" t="str">
            <v>g__unclassified_c__Clostridia</v>
          </cell>
          <cell r="I10410" t="str">
            <v>s__unclassified_c__Clostridia</v>
          </cell>
        </row>
        <row r="10411">
          <cell r="G10411" t="str">
            <v>ASV23951</v>
          </cell>
          <cell r="H10411" t="str">
            <v>g__Escherichia-Shigella</v>
          </cell>
          <cell r="I10411" t="str">
            <v>s__unclassified_g__Escherichia-Shigella</v>
          </cell>
        </row>
        <row r="10412">
          <cell r="G10412" t="str">
            <v>ASV23208</v>
          </cell>
          <cell r="H10412" t="str">
            <v>g__UCG-002</v>
          </cell>
          <cell r="I10412" t="str">
            <v>s__uncultured_organism_g__UCG-002</v>
          </cell>
        </row>
        <row r="10413">
          <cell r="G10413" t="str">
            <v>ASV8356</v>
          </cell>
          <cell r="H10413" t="str">
            <v>g__Lactobacillus</v>
          </cell>
          <cell r="I10413" t="str">
            <v>s__unclassified_g__Lactobacillus</v>
          </cell>
        </row>
        <row r="10414">
          <cell r="G10414" t="str">
            <v>ASV13408</v>
          </cell>
          <cell r="H10414" t="str">
            <v>g__Lactobacillus</v>
          </cell>
          <cell r="I10414" t="str">
            <v>s__unclassified_g__Lactobacillus</v>
          </cell>
        </row>
        <row r="10415">
          <cell r="G10415" t="str">
            <v>ASV22177</v>
          </cell>
          <cell r="H10415" t="str">
            <v>g__unclassified_p__Firmicutes</v>
          </cell>
          <cell r="I10415" t="str">
            <v>s__unclassified_p__Firmicutes</v>
          </cell>
        </row>
        <row r="10416">
          <cell r="G10416" t="str">
            <v>ASV8711</v>
          </cell>
          <cell r="H10416" t="str">
            <v>g__Clostridium_sensu_stricto_1</v>
          </cell>
          <cell r="I10416" t="str">
            <v>s__unclassified_g__Clostridium_sensu_stricto_1</v>
          </cell>
        </row>
        <row r="10417">
          <cell r="G10417" t="str">
            <v>ASV2115</v>
          </cell>
          <cell r="H10417" t="str">
            <v>g__Streptococcus</v>
          </cell>
          <cell r="I10417" t="str">
            <v>s__unclassified_g__Streptococcus</v>
          </cell>
        </row>
        <row r="10418">
          <cell r="G10418" t="str">
            <v>ASV3024</v>
          </cell>
          <cell r="H10418" t="str">
            <v>g__unclassified_f__norank_o__Peptostreptococcales-Tissierellales</v>
          </cell>
          <cell r="I10418" t="str">
            <v>s__unclassified_f__norank_o__Peptostreptococcales-Tissierellales</v>
          </cell>
        </row>
        <row r="10419">
          <cell r="G10419" t="str">
            <v>ASV16872</v>
          </cell>
          <cell r="H10419" t="str">
            <v>g__norank_f__Erysipelotrichaceae</v>
          </cell>
          <cell r="I10419" t="str">
            <v>s__uncultured_bacterium_g__norank_f__Erysipelotrichaceae</v>
          </cell>
        </row>
        <row r="10420">
          <cell r="G10420" t="str">
            <v>ASV9420</v>
          </cell>
          <cell r="H10420" t="str">
            <v>g__norank_f__Erysipelotrichaceae</v>
          </cell>
          <cell r="I10420" t="str">
            <v>s__uncultured_bacterium_g__norank_f__Erysipelotrichaceae</v>
          </cell>
        </row>
        <row r="10421">
          <cell r="G10421" t="str">
            <v>ASV20734</v>
          </cell>
          <cell r="H10421" t="str">
            <v>g__unclassified_f__Oscillospiraceae</v>
          </cell>
          <cell r="I10421" t="str">
            <v>s__unclassified_f__Oscillospiraceae</v>
          </cell>
        </row>
        <row r="10422">
          <cell r="G10422" t="str">
            <v>ASV736</v>
          </cell>
          <cell r="H10422" t="str">
            <v>g__Lactobacillus</v>
          </cell>
          <cell r="I10422" t="str">
            <v>s__unclassified_g__Lactobacillus</v>
          </cell>
        </row>
        <row r="10423">
          <cell r="G10423" t="str">
            <v>ASV11490</v>
          </cell>
          <cell r="H10423" t="str">
            <v>g__unclassified_k__norank_d__Bacteria</v>
          </cell>
          <cell r="I10423" t="str">
            <v>s__unclassified_k__norank_d__Bacteria</v>
          </cell>
        </row>
        <row r="10424">
          <cell r="G10424" t="str">
            <v>ASV11609</v>
          </cell>
          <cell r="H10424" t="str">
            <v>g__unclassified_f__Lachnospiraceae</v>
          </cell>
          <cell r="I10424" t="str">
            <v>s__unclassified_f__Lachnospiraceae</v>
          </cell>
        </row>
        <row r="10425">
          <cell r="G10425" t="str">
            <v>ASV11540</v>
          </cell>
          <cell r="H10425" t="str">
            <v>g__unclassified_f__Ruminococcaceae</v>
          </cell>
          <cell r="I10425" t="str">
            <v>s__unclassified_f__Ruminococcaceae</v>
          </cell>
        </row>
        <row r="10426">
          <cell r="G10426" t="str">
            <v>ASV15799</v>
          </cell>
          <cell r="H10426" t="str">
            <v>g__Butyricicoccus</v>
          </cell>
          <cell r="I10426" t="str">
            <v>s__unclassified_g__Butyricicoccus</v>
          </cell>
        </row>
        <row r="10427">
          <cell r="G10427" t="str">
            <v>ASV3487</v>
          </cell>
          <cell r="H10427" t="str">
            <v>g__Lactobacillus</v>
          </cell>
          <cell r="I10427" t="str">
            <v>s__unclassified_g__Lactobacillus</v>
          </cell>
        </row>
        <row r="10428">
          <cell r="G10428" t="str">
            <v>ASV8800</v>
          </cell>
          <cell r="H10428" t="str">
            <v>g__UCG-009</v>
          </cell>
          <cell r="I10428" t="str">
            <v>s__uncultured_bacterium_g__UCG-009</v>
          </cell>
        </row>
        <row r="10429">
          <cell r="G10429" t="str">
            <v>ASV23829</v>
          </cell>
          <cell r="H10429" t="str">
            <v>g__unclassified_f__Lachnospiraceae</v>
          </cell>
          <cell r="I10429" t="str">
            <v>s__unclassified_f__Lachnospiraceae</v>
          </cell>
        </row>
        <row r="10430">
          <cell r="G10430" t="str">
            <v>ASV21227</v>
          </cell>
          <cell r="H10430" t="str">
            <v>g__Sutterella</v>
          </cell>
          <cell r="I10430" t="str">
            <v>s__Sutterella_parvirubra</v>
          </cell>
        </row>
        <row r="10431">
          <cell r="G10431" t="str">
            <v>ASV14215</v>
          </cell>
          <cell r="H10431" t="str">
            <v>g__UCG-002</v>
          </cell>
          <cell r="I10431" t="str">
            <v>s__unclassified_g__UCG-002</v>
          </cell>
        </row>
        <row r="10432">
          <cell r="G10432" t="str">
            <v>ASV21738</v>
          </cell>
          <cell r="H10432" t="str">
            <v>g__Alloprevotella</v>
          </cell>
          <cell r="I10432" t="str">
            <v>s__uncultured_bacterium_g__Alloprevotella</v>
          </cell>
        </row>
        <row r="10433">
          <cell r="G10433" t="str">
            <v>ASV16396</v>
          </cell>
          <cell r="H10433" t="str">
            <v>g__unclassified_f__Lachnospiraceae</v>
          </cell>
          <cell r="I10433" t="str">
            <v>s__unclassified_f__Lachnospiraceae</v>
          </cell>
        </row>
        <row r="10434">
          <cell r="G10434" t="str">
            <v>ASV8632</v>
          </cell>
          <cell r="H10434" t="str">
            <v>g__Lysobacter</v>
          </cell>
          <cell r="I10434" t="str">
            <v>s__Lysobacter_xinjiangensis</v>
          </cell>
        </row>
        <row r="10435">
          <cell r="G10435" t="str">
            <v>ASV22197</v>
          </cell>
          <cell r="H10435" t="str">
            <v>g__Ruminococcus</v>
          </cell>
          <cell r="I10435" t="str">
            <v>s__uncultured_bacterium_g__Ruminococcus</v>
          </cell>
        </row>
        <row r="10436">
          <cell r="G10436" t="str">
            <v>ASV18882</v>
          </cell>
          <cell r="H10436" t="str">
            <v>g__unclassified_f__Lachnospiraceae</v>
          </cell>
          <cell r="I10436" t="str">
            <v>s__unclassified_f__Lachnospiraceae</v>
          </cell>
        </row>
        <row r="10437">
          <cell r="G10437" t="str">
            <v>ASV10019</v>
          </cell>
          <cell r="H10437" t="str">
            <v>g__UCG-002</v>
          </cell>
          <cell r="I10437" t="str">
            <v>s__uncultured_rumen_bacterium_g__UCG-002</v>
          </cell>
        </row>
        <row r="10438">
          <cell r="G10438" t="str">
            <v>ASV5840</v>
          </cell>
          <cell r="H10438" t="str">
            <v>g__unclassified_f__Lachnospiraceae</v>
          </cell>
          <cell r="I10438" t="str">
            <v>s__unclassified_f__Lachnospiraceae</v>
          </cell>
        </row>
        <row r="10439">
          <cell r="G10439" t="str">
            <v>ASV10583</v>
          </cell>
          <cell r="H10439" t="str">
            <v>g__unclassified_p__Firmicutes</v>
          </cell>
          <cell r="I10439" t="str">
            <v>s__unclassified_p__Firmicutes</v>
          </cell>
        </row>
        <row r="10440">
          <cell r="G10440" t="str">
            <v>ASV3195</v>
          </cell>
          <cell r="H10440" t="str">
            <v>g__Lactobacillus</v>
          </cell>
          <cell r="I10440" t="str">
            <v>s__unclassified_g__Lactobacillus</v>
          </cell>
        </row>
        <row r="10441">
          <cell r="G10441" t="str">
            <v>ASV16422</v>
          </cell>
          <cell r="H10441" t="str">
            <v>g__unclassified_f__Ruminococcaceae</v>
          </cell>
          <cell r="I10441" t="str">
            <v>s__unclassified_f__Ruminococcaceae</v>
          </cell>
        </row>
        <row r="10442">
          <cell r="G10442" t="str">
            <v>ASV16899</v>
          </cell>
          <cell r="H10442" t="str">
            <v>g__Bacteroides</v>
          </cell>
          <cell r="I10442" t="str">
            <v>s__unclassified_g__Bacteroides</v>
          </cell>
        </row>
        <row r="10443">
          <cell r="G10443" t="str">
            <v>ASV5881</v>
          </cell>
          <cell r="H10443" t="str">
            <v>g__Anaerofustis</v>
          </cell>
          <cell r="I10443" t="str">
            <v>s__unclassified_g__Anaerofustis</v>
          </cell>
        </row>
        <row r="10444">
          <cell r="G10444" t="str">
            <v>ASV15961</v>
          </cell>
          <cell r="H10444" t="str">
            <v>g__Blautia</v>
          </cell>
          <cell r="I10444" t="str">
            <v>s__unclassified_g__Blautia</v>
          </cell>
        </row>
        <row r="10445">
          <cell r="G10445" t="str">
            <v>ASV717</v>
          </cell>
          <cell r="H10445" t="str">
            <v>g__unclassified_c__Clostridia</v>
          </cell>
          <cell r="I10445" t="str">
            <v>s__unclassified_c__Clostridia</v>
          </cell>
        </row>
        <row r="10446">
          <cell r="G10446" t="str">
            <v>ASV21439</v>
          </cell>
          <cell r="H10446" t="str">
            <v>g__unclassified_k__norank_d__Bacteria</v>
          </cell>
          <cell r="I10446" t="str">
            <v>s__unclassified_k__norank_d__Bacteria</v>
          </cell>
        </row>
        <row r="10447">
          <cell r="G10447" t="str">
            <v>ASV19531</v>
          </cell>
          <cell r="H10447" t="str">
            <v>g__Succiniclasticum</v>
          </cell>
          <cell r="I10447" t="str">
            <v>s__uncultured_bacterium_g__Succiniclasticum</v>
          </cell>
        </row>
        <row r="10448">
          <cell r="G10448" t="str">
            <v>ASV4756</v>
          </cell>
          <cell r="H10448" t="str">
            <v>g__unclassified_f__Rikenellaceae</v>
          </cell>
          <cell r="I10448" t="str">
            <v>s__unclassified_f__Rikenellaceae</v>
          </cell>
        </row>
        <row r="10449">
          <cell r="G10449" t="str">
            <v>ASV10570</v>
          </cell>
          <cell r="H10449" t="str">
            <v>g__unclassified_f__Peptostreptococcaceae</v>
          </cell>
          <cell r="I10449" t="str">
            <v>s__unclassified_f__Peptostreptococcaceae</v>
          </cell>
        </row>
        <row r="10450">
          <cell r="G10450" t="str">
            <v>ASV15390</v>
          </cell>
          <cell r="H10450" t="str">
            <v>g__unclassified_o__Oscillospirales</v>
          </cell>
          <cell r="I10450" t="str">
            <v>s__unclassified_o__Oscillospirales</v>
          </cell>
        </row>
        <row r="10451">
          <cell r="G10451" t="str">
            <v>ASV9355</v>
          </cell>
          <cell r="H10451" t="str">
            <v>g__unclassified_c__Clostridia</v>
          </cell>
          <cell r="I10451" t="str">
            <v>s__unclassified_c__Clostridia</v>
          </cell>
        </row>
        <row r="10452">
          <cell r="G10452" t="str">
            <v>ASV18579</v>
          </cell>
          <cell r="H10452" t="str">
            <v>g__Mogibacterium</v>
          </cell>
          <cell r="I10452" t="str">
            <v>s__uncultured_bacterium_g__Mogibacterium</v>
          </cell>
        </row>
        <row r="10453">
          <cell r="G10453" t="str">
            <v>ASV16389</v>
          </cell>
          <cell r="H10453" t="str">
            <v>g__unclassified_f__Spirochaetaceae</v>
          </cell>
          <cell r="I10453" t="str">
            <v>s__unclassified_f__Spirochaetaceae</v>
          </cell>
        </row>
        <row r="10454">
          <cell r="G10454" t="str">
            <v>ASV7288</v>
          </cell>
          <cell r="H10454" t="str">
            <v>g__Megasphaera</v>
          </cell>
          <cell r="I10454" t="str">
            <v>s__unclassified_g__Megasphaera</v>
          </cell>
        </row>
        <row r="10455">
          <cell r="G10455" t="str">
            <v>ASV618</v>
          </cell>
          <cell r="H10455" t="str">
            <v>g__Lactobacillus</v>
          </cell>
          <cell r="I10455" t="str">
            <v>s__unclassified_g__Lactobacillus</v>
          </cell>
        </row>
        <row r="10456">
          <cell r="G10456" t="str">
            <v>ASV665</v>
          </cell>
          <cell r="H10456" t="str">
            <v>g__unclassified_f__Lachnospiraceae</v>
          </cell>
          <cell r="I10456" t="str">
            <v>s__unclassified_f__Lachnospiraceae</v>
          </cell>
        </row>
        <row r="10457">
          <cell r="G10457" t="str">
            <v>ASV22152</v>
          </cell>
          <cell r="H10457" t="str">
            <v>g__unclassified_f__Peptostreptococcaceae</v>
          </cell>
          <cell r="I10457" t="str">
            <v>s__unclassified_f__Peptostreptococcaceae</v>
          </cell>
        </row>
        <row r="10458">
          <cell r="G10458" t="str">
            <v>ASV577</v>
          </cell>
          <cell r="H10458" t="str">
            <v>g__unclassified_p__Firmicutes</v>
          </cell>
          <cell r="I10458" t="str">
            <v>s__unclassified_p__Firmicutes</v>
          </cell>
        </row>
        <row r="10459">
          <cell r="G10459" t="str">
            <v>ASV10613</v>
          </cell>
          <cell r="H10459" t="str">
            <v>g__Fournierella</v>
          </cell>
          <cell r="I10459" t="str">
            <v>s__unclassified_g__Fournierella</v>
          </cell>
        </row>
        <row r="10460">
          <cell r="G10460" t="str">
            <v>ASV12754</v>
          </cell>
          <cell r="H10460" t="str">
            <v>g__Christensenellaceae_R-7_group</v>
          </cell>
          <cell r="I10460" t="str">
            <v>s__unclassified_g__Christensenellaceae_R-7_group</v>
          </cell>
        </row>
        <row r="10461">
          <cell r="G10461" t="str">
            <v>ASV19514</v>
          </cell>
          <cell r="H10461" t="str">
            <v>g__unclassified_c__Clostridia</v>
          </cell>
          <cell r="I10461" t="str">
            <v>s__unclassified_c__Clostridia</v>
          </cell>
        </row>
        <row r="10462">
          <cell r="G10462" t="str">
            <v>ASV2179</v>
          </cell>
          <cell r="H10462" t="str">
            <v>g__Enterococcus</v>
          </cell>
          <cell r="I10462" t="str">
            <v>s__unclassified_g__Enterococcus</v>
          </cell>
        </row>
        <row r="10463">
          <cell r="G10463" t="str">
            <v>ASV7347</v>
          </cell>
          <cell r="H10463" t="str">
            <v>g__Clostridium_sensu_stricto_1</v>
          </cell>
          <cell r="I10463" t="str">
            <v>s__unclassified_g__Clostridium_sensu_stricto_1</v>
          </cell>
        </row>
        <row r="10464">
          <cell r="G10464" t="str">
            <v>ASV3997</v>
          </cell>
          <cell r="H10464" t="str">
            <v>g__unclassified_f__Lachnospiraceae</v>
          </cell>
          <cell r="I10464" t="str">
            <v>s__unclassified_f__Lachnospiraceae</v>
          </cell>
        </row>
        <row r="10465">
          <cell r="G10465" t="str">
            <v>ASV15965</v>
          </cell>
          <cell r="H10465" t="str">
            <v>g__Anaerovibrio</v>
          </cell>
          <cell r="I10465" t="str">
            <v>s__unclassified_g__Anaerovibrio</v>
          </cell>
        </row>
        <row r="10466">
          <cell r="G10466" t="str">
            <v>ASV7179</v>
          </cell>
          <cell r="H10466" t="str">
            <v>g__Lactobacillus</v>
          </cell>
          <cell r="I10466" t="str">
            <v>s__Lactobacillus_concavus</v>
          </cell>
        </row>
        <row r="10467">
          <cell r="G10467" t="str">
            <v>ASV19070</v>
          </cell>
          <cell r="H10467" t="str">
            <v>g__Desulfovibrio</v>
          </cell>
          <cell r="I10467" t="str">
            <v>s__unclassified_g__Desulfovibrio</v>
          </cell>
        </row>
        <row r="10468">
          <cell r="G10468" t="str">
            <v>ASV18025</v>
          </cell>
          <cell r="H10468" t="str">
            <v>g__unclassified_c__Clostridia</v>
          </cell>
          <cell r="I10468" t="str">
            <v>s__unclassified_c__Clostridia</v>
          </cell>
        </row>
        <row r="10469">
          <cell r="G10469" t="str">
            <v>ASV11592</v>
          </cell>
          <cell r="H10469" t="str">
            <v>g__unclassified_f__Lachnospiraceae</v>
          </cell>
          <cell r="I10469" t="str">
            <v>s__unclassified_f__Lachnospiraceae</v>
          </cell>
        </row>
        <row r="10470">
          <cell r="G10470" t="str">
            <v>ASV20780</v>
          </cell>
          <cell r="H10470" t="str">
            <v>g__unclassified_c__Bacilli</v>
          </cell>
          <cell r="I10470" t="str">
            <v>s__unclassified_c__Bacilli</v>
          </cell>
        </row>
        <row r="10471">
          <cell r="G10471" t="str">
            <v>ASV11546</v>
          </cell>
          <cell r="H10471" t="str">
            <v>g__unclassified_f__Peptostreptococcaceae</v>
          </cell>
          <cell r="I10471" t="str">
            <v>s__unclassified_f__Peptostreptococcaceae</v>
          </cell>
        </row>
        <row r="10472">
          <cell r="G10472" t="str">
            <v>ASV16392</v>
          </cell>
          <cell r="H10472" t="str">
            <v>g__unclassified_c__Clostridia</v>
          </cell>
          <cell r="I10472" t="str">
            <v>s__unclassified_c__Clostridia</v>
          </cell>
        </row>
        <row r="10473">
          <cell r="G10473" t="str">
            <v>ASV15349</v>
          </cell>
          <cell r="H10473" t="str">
            <v>g__norank_f__norank_o__Clostridia_vadinBB60_group</v>
          </cell>
          <cell r="I10473" t="str">
            <v>s__uncultured_bacterium_g__norank_f__norank_o__Clostridia_vadinBB60_group</v>
          </cell>
        </row>
        <row r="10474">
          <cell r="G10474" t="str">
            <v>ASV5932</v>
          </cell>
          <cell r="H10474" t="str">
            <v>g__unclassified_o__Oscillospirales</v>
          </cell>
          <cell r="I10474" t="str">
            <v>s__unclassified_o__Oscillospirales</v>
          </cell>
        </row>
        <row r="10475">
          <cell r="G10475" t="str">
            <v>ASV4754</v>
          </cell>
          <cell r="H10475" t="str">
            <v>g__Eubacterium_oxidoreducens_group</v>
          </cell>
          <cell r="I10475" t="str">
            <v>s__uncultured_bacterium_g__Eubacterium_oxidoreducens_group</v>
          </cell>
        </row>
        <row r="10476">
          <cell r="G10476" t="str">
            <v>ASV20714</v>
          </cell>
          <cell r="H10476" t="str">
            <v>g__unclassified_c__Clostridia</v>
          </cell>
          <cell r="I10476" t="str">
            <v>s__unclassified_c__Clostridia</v>
          </cell>
        </row>
        <row r="10477">
          <cell r="G10477" t="str">
            <v>ASV16406</v>
          </cell>
          <cell r="H10477" t="str">
            <v>g__Bacteroides</v>
          </cell>
          <cell r="I10477" t="str">
            <v>s__unclassified_g__Bacteroides</v>
          </cell>
        </row>
        <row r="10478">
          <cell r="G10478" t="str">
            <v>ASV10644</v>
          </cell>
          <cell r="H10478" t="str">
            <v>g__Monoglobus</v>
          </cell>
          <cell r="I10478" t="str">
            <v>s__uncultured_bacterium_g__Monoglobus</v>
          </cell>
        </row>
        <row r="10479">
          <cell r="G10479" t="str">
            <v>ASV19167</v>
          </cell>
          <cell r="H10479" t="str">
            <v>g__Chryseobacterium</v>
          </cell>
          <cell r="I10479" t="str">
            <v>s__Chryseobacterium_yonginense</v>
          </cell>
        </row>
        <row r="10480">
          <cell r="G10480" t="str">
            <v>ASV6720</v>
          </cell>
          <cell r="H10480" t="str">
            <v>g__unclassified_o__Oscillospirales</v>
          </cell>
          <cell r="I10480" t="str">
            <v>s__unclassified_o__Oscillospirales</v>
          </cell>
        </row>
        <row r="10481">
          <cell r="G10481" t="str">
            <v>ASV649</v>
          </cell>
          <cell r="H10481" t="str">
            <v>g__Lactobacillus</v>
          </cell>
          <cell r="I10481" t="str">
            <v>s__unclassified_g__Lactobacillus</v>
          </cell>
        </row>
        <row r="10482">
          <cell r="G10482" t="str">
            <v>ASV6724</v>
          </cell>
          <cell r="H10482" t="str">
            <v>g__unclassified_c__Bacilli</v>
          </cell>
          <cell r="I10482" t="str">
            <v>s__unclassified_c__Bacilli</v>
          </cell>
        </row>
        <row r="10483">
          <cell r="G10483" t="str">
            <v>ASV19521</v>
          </cell>
          <cell r="H10483" t="str">
            <v>g__unclassified_f__Lachnospiraceae</v>
          </cell>
          <cell r="I10483" t="str">
            <v>s__unclassified_f__Lachnospiraceae</v>
          </cell>
        </row>
        <row r="10484">
          <cell r="G10484" t="str">
            <v>ASV11554</v>
          </cell>
          <cell r="H10484" t="str">
            <v>g__norank_f__Muribaculaceae</v>
          </cell>
          <cell r="I10484" t="str">
            <v>s__uncultured_Porphyromonadaceae_bacterium_g__norank_f__Muribaculaceae</v>
          </cell>
        </row>
        <row r="10485">
          <cell r="G10485" t="str">
            <v>ASV8981</v>
          </cell>
          <cell r="H10485" t="str">
            <v>g__unclassified_f__Lachnospiraceae</v>
          </cell>
          <cell r="I10485" t="str">
            <v>s__unclassified_f__Lachnospiraceae</v>
          </cell>
        </row>
        <row r="10486">
          <cell r="G10486" t="str">
            <v>ASV712</v>
          </cell>
          <cell r="H10486" t="str">
            <v>g__unclassified_c__Clostridia</v>
          </cell>
          <cell r="I10486" t="str">
            <v>s__unclassified_c__Clostridia</v>
          </cell>
        </row>
        <row r="10487">
          <cell r="G10487" t="str">
            <v>ASV640</v>
          </cell>
          <cell r="H10487" t="str">
            <v>g__Lactobacillus</v>
          </cell>
          <cell r="I10487" t="str">
            <v>s__unclassified_g__Lactobacillus</v>
          </cell>
        </row>
        <row r="10488">
          <cell r="G10488" t="str">
            <v>ASV16430</v>
          </cell>
          <cell r="H10488" t="str">
            <v>g__unclassified_c__Clostridia</v>
          </cell>
          <cell r="I10488" t="str">
            <v>s__unclassified_c__Clostridia</v>
          </cell>
        </row>
        <row r="10489">
          <cell r="G10489" t="str">
            <v>ASV14142</v>
          </cell>
          <cell r="H10489" t="str">
            <v>g__unclassified_o__Oscillospirales</v>
          </cell>
          <cell r="I10489" t="str">
            <v>s__unclassified_o__Oscillospirales</v>
          </cell>
        </row>
        <row r="10490">
          <cell r="G10490" t="str">
            <v>ASV5871</v>
          </cell>
          <cell r="H10490" t="str">
            <v>g__unclassified_c__Clostridia</v>
          </cell>
          <cell r="I10490" t="str">
            <v>s__unclassified_c__Clostridia</v>
          </cell>
        </row>
        <row r="10491">
          <cell r="G10491" t="str">
            <v>ASV9340</v>
          </cell>
          <cell r="H10491" t="str">
            <v>g__Lactobacillus</v>
          </cell>
          <cell r="I10491" t="str">
            <v>s__unclassified_g__Lactobacillus</v>
          </cell>
        </row>
        <row r="10492">
          <cell r="G10492" t="str">
            <v>ASV2134</v>
          </cell>
          <cell r="H10492" t="str">
            <v>g__unclassified_f__Lachnospiraceae</v>
          </cell>
          <cell r="I10492" t="str">
            <v>s__unclassified_f__Lachnospiraceae</v>
          </cell>
        </row>
        <row r="10493">
          <cell r="G10493" t="str">
            <v>ASV11052</v>
          </cell>
          <cell r="H10493" t="str">
            <v>g__Lactobacillus</v>
          </cell>
          <cell r="I10493" t="str">
            <v>s__unclassified_g__Lactobacillus</v>
          </cell>
        </row>
        <row r="10494">
          <cell r="G10494" t="str">
            <v>ASV14155</v>
          </cell>
          <cell r="H10494" t="str">
            <v>g__unclassified_f__Lachnospiraceae</v>
          </cell>
          <cell r="I10494" t="str">
            <v>s__unclassified_f__Lachnospiraceae</v>
          </cell>
        </row>
        <row r="10495">
          <cell r="G10495" t="str">
            <v>ASV1660</v>
          </cell>
          <cell r="H10495" t="str">
            <v>g__Collinsella</v>
          </cell>
          <cell r="I10495" t="str">
            <v>s__unclassified_g__Collinsella</v>
          </cell>
        </row>
        <row r="10496">
          <cell r="G10496" t="str">
            <v>ASV2106</v>
          </cell>
          <cell r="H10496" t="str">
            <v>g__unclassified_f__Lachnospiraceae</v>
          </cell>
          <cell r="I10496" t="str">
            <v>s__unclassified_f__Lachnospiraceae</v>
          </cell>
        </row>
        <row r="10497">
          <cell r="G10497" t="str">
            <v>ASV4773</v>
          </cell>
          <cell r="H10497" t="str">
            <v>g__Colidextribacter</v>
          </cell>
          <cell r="I10497" t="str">
            <v>s__uncultured_bacterium_g__Colidextribacter</v>
          </cell>
        </row>
        <row r="10498">
          <cell r="G10498" t="str">
            <v>ASV5930</v>
          </cell>
          <cell r="H10498" t="str">
            <v>g__Bacteroides</v>
          </cell>
          <cell r="I10498" t="str">
            <v>s__unclassified_g__Bacteroides</v>
          </cell>
        </row>
        <row r="10499">
          <cell r="G10499" t="str">
            <v>ASV6712</v>
          </cell>
          <cell r="H10499" t="str">
            <v>g__Enterococcus</v>
          </cell>
          <cell r="I10499" t="str">
            <v>s__unclassified_g__Enterococcus</v>
          </cell>
        </row>
        <row r="10500">
          <cell r="G10500" t="str">
            <v>ASV9331</v>
          </cell>
          <cell r="H10500" t="str">
            <v>g__unclassified_c__Clostridia</v>
          </cell>
          <cell r="I10500" t="str">
            <v>s__unclassified_c__Clostridia</v>
          </cell>
        </row>
        <row r="10501">
          <cell r="G10501" t="str">
            <v>ASV11547</v>
          </cell>
          <cell r="H10501" t="str">
            <v>g__norank_f__norank_o__Clostridia_UCG-014</v>
          </cell>
          <cell r="I10501" t="str">
            <v>s__uncultured_bacterium_g__norank_f__norank_o__Clostridia_UCG-014</v>
          </cell>
        </row>
        <row r="10502">
          <cell r="G10502" t="str">
            <v>ASV19543</v>
          </cell>
          <cell r="H10502" t="str">
            <v>g__unclassified_f__Lachnospiraceae</v>
          </cell>
          <cell r="I10502" t="str">
            <v>s__unclassified_f__Lachnospiraceae</v>
          </cell>
        </row>
        <row r="10503">
          <cell r="G10503" t="str">
            <v>ASV22173</v>
          </cell>
          <cell r="H10503" t="str">
            <v>g__unclassified_c__Clostridia</v>
          </cell>
          <cell r="I10503" t="str">
            <v>s__unclassified_c__Clostridia</v>
          </cell>
        </row>
        <row r="10504">
          <cell r="G10504" t="str">
            <v>ASV10628</v>
          </cell>
          <cell r="H10504" t="str">
            <v>g__Terrisporobacter</v>
          </cell>
          <cell r="I10504" t="str">
            <v>s__unclassified_g__Terrisporobacter</v>
          </cell>
        </row>
        <row r="10505">
          <cell r="G10505" t="str">
            <v>ASV2200</v>
          </cell>
          <cell r="H10505" t="str">
            <v>g__unclassified_f__Lachnospiraceae</v>
          </cell>
          <cell r="I10505" t="str">
            <v>s__unclassified_f__Lachnospiraceae</v>
          </cell>
        </row>
        <row r="10506">
          <cell r="G10506" t="str">
            <v>ASV22967</v>
          </cell>
          <cell r="H10506" t="str">
            <v>g__Lactobacillus</v>
          </cell>
          <cell r="I10506" t="str">
            <v>s__unclassified_g__Lactobacillus</v>
          </cell>
        </row>
        <row r="10507">
          <cell r="G10507" t="str">
            <v>ASV20251</v>
          </cell>
          <cell r="H10507" t="str">
            <v>g__unclassified_f__Lachnospiraceae</v>
          </cell>
          <cell r="I10507" t="str">
            <v>s__unclassified_f__Lachnospiraceae</v>
          </cell>
        </row>
        <row r="10508">
          <cell r="G10508" t="str">
            <v>ASV19489</v>
          </cell>
          <cell r="H10508" t="str">
            <v>g__unclassified_c__Bacilli</v>
          </cell>
          <cell r="I10508" t="str">
            <v>s__unclassified_c__Bacilli</v>
          </cell>
        </row>
        <row r="10509">
          <cell r="G10509" t="str">
            <v>ASV20771</v>
          </cell>
          <cell r="H10509" t="str">
            <v>g__unclassified_c__Clostridia</v>
          </cell>
          <cell r="I10509" t="str">
            <v>s__unclassified_c__Clostridia</v>
          </cell>
        </row>
        <row r="10510">
          <cell r="G10510" t="str">
            <v>ASV2194</v>
          </cell>
          <cell r="H10510" t="str">
            <v>g__unclassified_f__Anaerovoracaceae</v>
          </cell>
          <cell r="I10510" t="str">
            <v>s__unclassified_f__Anaerovoracaceae</v>
          </cell>
        </row>
        <row r="10511">
          <cell r="G10511" t="str">
            <v>ASV4038</v>
          </cell>
          <cell r="H10511" t="str">
            <v>g__Eubacterium_oxidoreducens_group</v>
          </cell>
          <cell r="I10511" t="str">
            <v>s__uncultured_bacterium_g__Eubacterium_oxidoreducens_group</v>
          </cell>
        </row>
        <row r="10512">
          <cell r="G10512" t="str">
            <v>ASV9879</v>
          </cell>
          <cell r="H10512" t="str">
            <v>g__Paenibacillus</v>
          </cell>
          <cell r="I10512" t="str">
            <v>s__unclassified_g__Paenibacillus</v>
          </cell>
        </row>
        <row r="10513">
          <cell r="G10513" t="str">
            <v>ASV15331</v>
          </cell>
          <cell r="H10513" t="str">
            <v>g__Eubacterium_oxidoreducens_group</v>
          </cell>
          <cell r="I10513" t="str">
            <v>s__uncultured_bacterium_g__Eubacterium_oxidoreducens_group</v>
          </cell>
        </row>
        <row r="10514">
          <cell r="G10514" t="str">
            <v>ASV9413</v>
          </cell>
          <cell r="H10514" t="str">
            <v>g__Prevotella</v>
          </cell>
          <cell r="I10514" t="str">
            <v>s__Prevotella_sp._DJF_LS16</v>
          </cell>
        </row>
        <row r="10515">
          <cell r="G10515" t="str">
            <v>ASV4036</v>
          </cell>
          <cell r="H10515" t="str">
            <v>g__unclassified_f__Synergistaceae</v>
          </cell>
          <cell r="I10515" t="str">
            <v>s__unclassified_f__Synergistaceae</v>
          </cell>
        </row>
        <row r="10516">
          <cell r="G10516" t="str">
            <v>ASV15356</v>
          </cell>
          <cell r="H10516" t="str">
            <v>g__norank_f__norank_o__Clostridia_UCG-014</v>
          </cell>
          <cell r="I10516" t="str">
            <v>s__uncultured_bacterium_g__norank_f__norank_o__Clostridia_UCG-014</v>
          </cell>
        </row>
        <row r="10517">
          <cell r="G10517" t="str">
            <v>ASV13401</v>
          </cell>
          <cell r="H10517" t="str">
            <v>g__unclassified_f__Lachnospiraceae</v>
          </cell>
          <cell r="I10517" t="str">
            <v>s__unclassified_f__Lachnospiraceae</v>
          </cell>
        </row>
        <row r="10518">
          <cell r="G10518" t="str">
            <v>ASV733</v>
          </cell>
          <cell r="H10518" t="str">
            <v>g__unclassified_c__Clostridia</v>
          </cell>
          <cell r="I10518" t="str">
            <v>s__unclassified_c__Clostridia</v>
          </cell>
        </row>
        <row r="10519">
          <cell r="G10519" t="str">
            <v>ASV663</v>
          </cell>
          <cell r="H10519" t="str">
            <v>g__unclassified_k__norank_d__Bacteria</v>
          </cell>
          <cell r="I10519" t="str">
            <v>s__unclassified_k__norank_d__Bacteria</v>
          </cell>
        </row>
        <row r="10520">
          <cell r="G10520" t="str">
            <v>ASV5910</v>
          </cell>
          <cell r="H10520" t="str">
            <v>g__unclassified_c__Clostridia</v>
          </cell>
          <cell r="I10520" t="str">
            <v>s__unclassified_c__Clostridia</v>
          </cell>
        </row>
        <row r="10521">
          <cell r="G10521" t="str">
            <v>ASV3651</v>
          </cell>
          <cell r="H10521" t="str">
            <v>g__Lactobacillus</v>
          </cell>
          <cell r="I10521" t="str">
            <v>s__unclassified_g__Lactobacillus</v>
          </cell>
        </row>
        <row r="10522">
          <cell r="G10522" t="str">
            <v>ASV3199</v>
          </cell>
          <cell r="H10522" t="str">
            <v>g__Eubacterium_oxidoreducens_group</v>
          </cell>
          <cell r="I10522" t="str">
            <v>s__uncultured_bacterium_g__Eubacterium_oxidoreducens_group</v>
          </cell>
        </row>
        <row r="10523">
          <cell r="G10523" t="str">
            <v>ASV694</v>
          </cell>
          <cell r="H10523" t="str">
            <v>g__CAG-873</v>
          </cell>
          <cell r="I10523" t="str">
            <v>s__Bacteroidales_bacterium_H4</v>
          </cell>
        </row>
        <row r="10524">
          <cell r="G10524" t="str">
            <v>ASV2153</v>
          </cell>
          <cell r="H10524" t="str">
            <v>g__unclassified_f__Lachnospiraceae</v>
          </cell>
          <cell r="I10524" t="str">
            <v>s__unclassified_f__Lachnospiraceae</v>
          </cell>
        </row>
        <row r="10525">
          <cell r="G10525" t="str">
            <v>ASV14247</v>
          </cell>
          <cell r="H10525" t="str">
            <v>g__Lactobacillus</v>
          </cell>
          <cell r="I10525" t="str">
            <v>s__unclassified_g__Lactobacillus</v>
          </cell>
        </row>
        <row r="10526">
          <cell r="G10526" t="str">
            <v>ASV21593</v>
          </cell>
          <cell r="H10526" t="str">
            <v>g__unclassified_k__norank_d__Bacteria</v>
          </cell>
          <cell r="I10526" t="str">
            <v>s__unclassified_k__norank_d__Bacteria</v>
          </cell>
        </row>
        <row r="10527">
          <cell r="G10527" t="str">
            <v>ASV6714</v>
          </cell>
          <cell r="H10527" t="str">
            <v>g__Cloacibacillus</v>
          </cell>
          <cell r="I10527" t="str">
            <v>s__unclassified_g__Cloacibacillus</v>
          </cell>
        </row>
        <row r="10528">
          <cell r="G10528" t="str">
            <v>ASV13707</v>
          </cell>
          <cell r="H10528" t="str">
            <v>g__unclassified_f__Veillonellaceae</v>
          </cell>
          <cell r="I10528" t="str">
            <v>s__unclassified_f__Veillonellaceae</v>
          </cell>
        </row>
        <row r="10529">
          <cell r="G10529" t="str">
            <v>ASV13424</v>
          </cell>
          <cell r="H10529" t="str">
            <v>g__Streptococcus</v>
          </cell>
          <cell r="I10529" t="str">
            <v>s__unclassified_g__Streptococcus</v>
          </cell>
        </row>
        <row r="10530">
          <cell r="G10530" t="str">
            <v>ASV5883</v>
          </cell>
          <cell r="H10530" t="str">
            <v>g__Christensenellaceae_R-7_group</v>
          </cell>
          <cell r="I10530" t="str">
            <v>s__unclassified_g__Christensenellaceae_R-7_group</v>
          </cell>
        </row>
        <row r="10531">
          <cell r="G10531" t="str">
            <v>ASV22222</v>
          </cell>
          <cell r="H10531" t="str">
            <v>g__unclassified_c__Clostridia</v>
          </cell>
          <cell r="I10531" t="str">
            <v>s__unclassified_c__Clostridia</v>
          </cell>
        </row>
        <row r="10532">
          <cell r="G10532" t="str">
            <v>ASV6717</v>
          </cell>
          <cell r="H10532" t="str">
            <v>g__unclassified_c__Clostridia</v>
          </cell>
          <cell r="I10532" t="str">
            <v>s__unclassified_c__Clostridia</v>
          </cell>
        </row>
        <row r="10533">
          <cell r="G10533" t="str">
            <v>ASV9397</v>
          </cell>
          <cell r="H10533" t="str">
            <v>g__unclassified_f__Lachnospiraceae</v>
          </cell>
          <cell r="I10533" t="str">
            <v>s__unclassified_f__Lachnospiraceae</v>
          </cell>
        </row>
        <row r="10534">
          <cell r="G10534" t="str">
            <v>ASV7774</v>
          </cell>
          <cell r="H10534" t="str">
            <v>g__unclassified_o__Peptostreptococcales-Tissierellales</v>
          </cell>
          <cell r="I10534" t="str">
            <v>s__unclassified_o__Peptostreptococcales-Tissierellales</v>
          </cell>
        </row>
        <row r="10535">
          <cell r="G10535" t="str">
            <v>ASV2199</v>
          </cell>
          <cell r="H10535" t="str">
            <v>g__unclassified_f__Lachnospiraceae</v>
          </cell>
          <cell r="I10535" t="str">
            <v>s__unclassified_f__Lachnospiraceae</v>
          </cell>
        </row>
        <row r="10536">
          <cell r="G10536" t="str">
            <v>ASV14270</v>
          </cell>
          <cell r="H10536" t="str">
            <v>g__unclassified_f__Lachnospiraceae</v>
          </cell>
          <cell r="I10536" t="str">
            <v>s__unclassified_f__Lachnospiraceae</v>
          </cell>
        </row>
        <row r="10537">
          <cell r="G10537" t="str">
            <v>ASV2949</v>
          </cell>
          <cell r="H10537" t="str">
            <v>g__Odoribacter</v>
          </cell>
          <cell r="I10537" t="str">
            <v>s__Odoribacter_sp._Marseille-P2698</v>
          </cell>
        </row>
        <row r="10538">
          <cell r="G10538" t="str">
            <v>ASV6661</v>
          </cell>
          <cell r="H10538" t="str">
            <v>g__Howardella</v>
          </cell>
          <cell r="I10538" t="str">
            <v>s__unclassified_g__Howardella</v>
          </cell>
        </row>
        <row r="10539">
          <cell r="G10539" t="str">
            <v>ASV17359</v>
          </cell>
          <cell r="H10539" t="str">
            <v>g__Christensenellaceae_R-7_group</v>
          </cell>
          <cell r="I10539" t="str">
            <v>s__uncultured_prokaryote_g__Christensenellaceae_R-7_group</v>
          </cell>
        </row>
        <row r="10540">
          <cell r="G10540" t="str">
            <v>ASV23949</v>
          </cell>
          <cell r="H10540" t="str">
            <v>g__unclassified_f__Lachnospiraceae</v>
          </cell>
          <cell r="I10540" t="str">
            <v>s__unclassified_f__Lachnospiraceae</v>
          </cell>
        </row>
        <row r="10541">
          <cell r="G10541" t="str">
            <v>ASV595</v>
          </cell>
          <cell r="H10541" t="str">
            <v>g__unclassified_f__Prevotellaceae</v>
          </cell>
          <cell r="I10541" t="str">
            <v>s__unclassified_f__Prevotellaceae</v>
          </cell>
        </row>
        <row r="10542">
          <cell r="G10542" t="str">
            <v>ASV748</v>
          </cell>
          <cell r="H10542" t="str">
            <v>g__unclassified_o__Oscillospirales</v>
          </cell>
          <cell r="I10542" t="str">
            <v>s__unclassified_o__Oscillospirales</v>
          </cell>
        </row>
        <row r="10543">
          <cell r="G10543" t="str">
            <v>ASV11656</v>
          </cell>
          <cell r="H10543" t="str">
            <v>g__unclassified_c__Clostridia</v>
          </cell>
          <cell r="I10543" t="str">
            <v>s__unclassified_c__Clostridia</v>
          </cell>
        </row>
        <row r="10544">
          <cell r="G10544" t="str">
            <v>ASV10673</v>
          </cell>
          <cell r="H10544" t="str">
            <v>g__unclassified_f__Lachnospiraceae</v>
          </cell>
          <cell r="I10544" t="str">
            <v>s__unclassified_f__Lachnospiraceae</v>
          </cell>
        </row>
        <row r="10545">
          <cell r="G10545" t="str">
            <v>ASV9337</v>
          </cell>
          <cell r="H10545" t="str">
            <v>g__Lactobacillus</v>
          </cell>
          <cell r="I10545" t="str">
            <v>s__unclassified_g__Lactobacillus</v>
          </cell>
        </row>
        <row r="10546">
          <cell r="G10546" t="str">
            <v>ASV8493</v>
          </cell>
          <cell r="H10546" t="str">
            <v>g__unclassified_o__Lactobacillales</v>
          </cell>
          <cell r="I10546" t="str">
            <v>s__unclassified_o__Lactobacillales</v>
          </cell>
        </row>
        <row r="10547">
          <cell r="G10547" t="str">
            <v>ASV9410</v>
          </cell>
          <cell r="H10547" t="str">
            <v>g__unclassified_f__Lachnospiraceae</v>
          </cell>
          <cell r="I10547" t="str">
            <v>s__unclassified_f__Lachnospiraceae</v>
          </cell>
        </row>
        <row r="10548">
          <cell r="G10548" t="str">
            <v>ASV15324</v>
          </cell>
          <cell r="H10548" t="str">
            <v>g__unclassified_c__Bacilli</v>
          </cell>
          <cell r="I10548" t="str">
            <v>s__unclassified_c__Bacilli</v>
          </cell>
        </row>
        <row r="10549">
          <cell r="G10549" t="str">
            <v>ASV17478</v>
          </cell>
          <cell r="H10549" t="str">
            <v>g__Weissella</v>
          </cell>
          <cell r="I10549" t="str">
            <v>s__unclassified_g__Weissella</v>
          </cell>
        </row>
        <row r="10550">
          <cell r="G10550" t="str">
            <v>ASV14178</v>
          </cell>
          <cell r="H10550" t="str">
            <v>g__Lachnospiraceae_NC2004_group</v>
          </cell>
          <cell r="I10550" t="str">
            <v>s__uncultured_bacterium_g__Lachnospiraceae_NC2004_group</v>
          </cell>
        </row>
        <row r="10551">
          <cell r="G10551" t="str">
            <v>ASV23945</v>
          </cell>
          <cell r="H10551" t="str">
            <v>g__Bifidobacterium</v>
          </cell>
          <cell r="I10551" t="str">
            <v>s__unclassified_g__Bifidobacterium</v>
          </cell>
        </row>
        <row r="10552">
          <cell r="G10552" t="str">
            <v>ASV643</v>
          </cell>
          <cell r="H10552" t="str">
            <v>g__unclassified_p__Firmicutes</v>
          </cell>
          <cell r="I10552" t="str">
            <v>s__unclassified_p__Firmicutes</v>
          </cell>
        </row>
        <row r="10553">
          <cell r="G10553" t="str">
            <v>ASV19559</v>
          </cell>
          <cell r="H10553" t="str">
            <v>g__unclassified_f__Prevotellaceae</v>
          </cell>
          <cell r="I10553" t="str">
            <v>s__unclassified_f__Prevotellaceae</v>
          </cell>
        </row>
        <row r="10554">
          <cell r="G10554" t="str">
            <v>ASV23236</v>
          </cell>
          <cell r="H10554" t="str">
            <v>g__Christensenellaceae_R-7_group</v>
          </cell>
          <cell r="I10554" t="str">
            <v>s__unclassified_g__Christensenellaceae_R-7_group</v>
          </cell>
        </row>
        <row r="10555">
          <cell r="G10555" t="str">
            <v>ASV5822</v>
          </cell>
          <cell r="H10555" t="str">
            <v>g__Escherichia-Shigella</v>
          </cell>
          <cell r="I10555" t="str">
            <v>s__unclassified_g__Escherichia-Shigella</v>
          </cell>
        </row>
        <row r="10556">
          <cell r="G10556" t="str">
            <v>ASV15303</v>
          </cell>
          <cell r="H10556" t="str">
            <v>g__norank_f__Eubacterium_coprostanoligenes_group</v>
          </cell>
          <cell r="I10556" t="str">
            <v>s__uncultured_bacterium_g__norank_f__Eubacterium_coprostanoligenes_group</v>
          </cell>
        </row>
        <row r="10557">
          <cell r="G10557" t="str">
            <v>ASV8291</v>
          </cell>
          <cell r="H10557" t="str">
            <v>g__Dorea</v>
          </cell>
          <cell r="I10557" t="str">
            <v>s__unclassified_g__Dorea</v>
          </cell>
        </row>
        <row r="10558">
          <cell r="G10558" t="str">
            <v>ASV5829</v>
          </cell>
          <cell r="H10558" t="str">
            <v>g__norank_f__Ruminococcaceae</v>
          </cell>
          <cell r="I10558" t="str">
            <v>s__unclassified_g__norank_f__Ruminococcaceae</v>
          </cell>
        </row>
        <row r="10559">
          <cell r="G10559" t="str">
            <v>ASV18020</v>
          </cell>
          <cell r="H10559" t="str">
            <v>g__Ruminococcus</v>
          </cell>
          <cell r="I10559" t="str">
            <v>s__bacterium_ic1277</v>
          </cell>
        </row>
        <row r="10560">
          <cell r="G10560" t="str">
            <v>ASV19513</v>
          </cell>
          <cell r="H10560" t="str">
            <v>g__unclassified_c__Clostridia</v>
          </cell>
          <cell r="I10560" t="str">
            <v>s__unclassified_c__Clostridia</v>
          </cell>
        </row>
        <row r="10561">
          <cell r="G10561" t="str">
            <v>ASV13397</v>
          </cell>
          <cell r="H10561" t="str">
            <v>g__norank_f__Christensenellaceae</v>
          </cell>
          <cell r="I10561" t="str">
            <v>s__uncultured_rumen_bacterium_g__norank_f__Christensenellaceae</v>
          </cell>
        </row>
        <row r="10562">
          <cell r="G10562" t="str">
            <v>ASV5856</v>
          </cell>
          <cell r="H10562" t="str">
            <v>g__unclassified_c__Clostridia</v>
          </cell>
          <cell r="I10562" t="str">
            <v>s__unclassified_c__Clostridia</v>
          </cell>
        </row>
        <row r="10563">
          <cell r="G10563" t="str">
            <v>ASV14267</v>
          </cell>
          <cell r="H10563" t="str">
            <v>g__unclassified_f__Peptostreptococcaceae</v>
          </cell>
          <cell r="I10563" t="str">
            <v>s__unclassified_f__Peptostreptococcaceae</v>
          </cell>
        </row>
        <row r="10564">
          <cell r="G10564" t="str">
            <v>ASV8336</v>
          </cell>
          <cell r="H10564" t="str">
            <v>g__Corynebacterium</v>
          </cell>
          <cell r="I10564" t="str">
            <v>s__unclassified_g__Corynebacterium</v>
          </cell>
        </row>
        <row r="10565">
          <cell r="G10565" t="str">
            <v>ASV11522</v>
          </cell>
          <cell r="H10565" t="str">
            <v>g__Lactobacillus</v>
          </cell>
          <cell r="I10565" t="str">
            <v>s__unclassified_g__Lactobacillus</v>
          </cell>
        </row>
        <row r="10566">
          <cell r="G10566" t="str">
            <v>ASV6655</v>
          </cell>
          <cell r="H10566" t="str">
            <v>g__unclassified_c__Clostridia</v>
          </cell>
          <cell r="I10566" t="str">
            <v>s__unclassified_c__Clostridia</v>
          </cell>
        </row>
        <row r="10567">
          <cell r="G10567" t="str">
            <v>ASV17200</v>
          </cell>
          <cell r="H10567" t="str">
            <v>g__unclassified_f__Peptostreptococcaceae</v>
          </cell>
          <cell r="I10567" t="str">
            <v>s__unclassified_f__Peptostreptococcaceae</v>
          </cell>
        </row>
        <row r="10568">
          <cell r="G10568" t="str">
            <v>ASV15397</v>
          </cell>
          <cell r="H10568" t="str">
            <v>g__unclassified_c__Clostridia</v>
          </cell>
          <cell r="I10568" t="str">
            <v>s__unclassified_c__Clostridia</v>
          </cell>
        </row>
        <row r="10569">
          <cell r="G10569" t="str">
            <v>ASV18011</v>
          </cell>
          <cell r="H10569" t="str">
            <v>g__UCG-002</v>
          </cell>
          <cell r="I10569" t="str">
            <v>s__uncultured_bacterium_g__UCG-002</v>
          </cell>
        </row>
        <row r="10570">
          <cell r="G10570" t="str">
            <v>ASV11557</v>
          </cell>
          <cell r="H10570" t="str">
            <v>g__Subdoligranulum</v>
          </cell>
          <cell r="I10570" t="str">
            <v>s__unclassified_g__Subdoligranulum</v>
          </cell>
        </row>
        <row r="10571">
          <cell r="G10571" t="str">
            <v>ASV5916</v>
          </cell>
          <cell r="H10571" t="str">
            <v>g__Clostridium_sensu_stricto_1</v>
          </cell>
          <cell r="I10571" t="str">
            <v>s__unclassified_g__Clostridium_sensu_stricto_1</v>
          </cell>
        </row>
        <row r="10572">
          <cell r="G10572" t="str">
            <v>ASV18026</v>
          </cell>
          <cell r="H10572" t="str">
            <v>g__Christensenellaceae_R-7_group</v>
          </cell>
          <cell r="I10572" t="str">
            <v>s__unclassified_g__Christensenellaceae_R-7_group</v>
          </cell>
        </row>
        <row r="10573">
          <cell r="G10573" t="str">
            <v>ASV22170</v>
          </cell>
          <cell r="H10573" t="str">
            <v>g__unclassified_f__Oscillospiraceae</v>
          </cell>
          <cell r="I10573" t="str">
            <v>s__unclassified_f__Oscillospiraceae</v>
          </cell>
        </row>
        <row r="10574">
          <cell r="G10574" t="str">
            <v>ASV9366</v>
          </cell>
          <cell r="H10574" t="str">
            <v>g__unclassified_c__Clostridia</v>
          </cell>
          <cell r="I10574" t="str">
            <v>s__unclassified_c__Clostridia</v>
          </cell>
        </row>
        <row r="10575">
          <cell r="G10575" t="str">
            <v>ASV12790</v>
          </cell>
          <cell r="H10575" t="str">
            <v>g__Christensenellaceae_R-7_group</v>
          </cell>
          <cell r="I10575" t="str">
            <v>s__unclassified_g__Christensenellaceae_R-7_group</v>
          </cell>
        </row>
        <row r="10576">
          <cell r="G10576" t="str">
            <v>ASV15958</v>
          </cell>
          <cell r="H10576" t="str">
            <v>g__Desulfovibrio</v>
          </cell>
          <cell r="I10576" t="str">
            <v>s__unclassified_g__Desulfovibrio</v>
          </cell>
        </row>
        <row r="10577">
          <cell r="G10577" t="str">
            <v>ASV19479</v>
          </cell>
          <cell r="H10577" t="str">
            <v>g__norank_f__Eubacterium_coprostanoligenes_group</v>
          </cell>
          <cell r="I10577" t="str">
            <v>s__uncultured_bacterium_g__norank_f__Eubacterium_coprostanoligenes_group</v>
          </cell>
        </row>
        <row r="10578">
          <cell r="G10578" t="str">
            <v>ASV2175</v>
          </cell>
          <cell r="H10578" t="str">
            <v>g__unclassified_c__Clostridia</v>
          </cell>
          <cell r="I10578" t="str">
            <v>s__unclassified_c__Clostridia</v>
          </cell>
        </row>
        <row r="10579">
          <cell r="G10579" t="str">
            <v>ASV21208</v>
          </cell>
          <cell r="H10579" t="str">
            <v>g__Fusobacterium</v>
          </cell>
          <cell r="I10579" t="str">
            <v>s__unclassified_g__Fusobacterium</v>
          </cell>
        </row>
        <row r="10580">
          <cell r="G10580" t="str">
            <v>ASV2156</v>
          </cell>
          <cell r="H10580" t="str">
            <v>g__NK4A214_group</v>
          </cell>
          <cell r="I10580" t="str">
            <v>s__uncultured_bacterium_g__NK4A214_group</v>
          </cell>
        </row>
        <row r="10581">
          <cell r="G10581" t="str">
            <v>ASV19487</v>
          </cell>
          <cell r="H10581" t="str">
            <v>g__unclassified_f__Oscillospiraceae</v>
          </cell>
          <cell r="I10581" t="str">
            <v>s__unclassified_f__Oscillospiraceae</v>
          </cell>
        </row>
        <row r="10582">
          <cell r="G10582" t="str">
            <v>ASV17988</v>
          </cell>
          <cell r="H10582" t="str">
            <v>g__unclassified_f__Oscillospiraceae</v>
          </cell>
          <cell r="I10582" t="str">
            <v>s__unclassified_f__Oscillospiraceae</v>
          </cell>
        </row>
        <row r="10583">
          <cell r="G10583" t="str">
            <v>ASV19539</v>
          </cell>
          <cell r="H10583" t="str">
            <v>g__norank_f__Oscillospiraceae</v>
          </cell>
          <cell r="I10583" t="str">
            <v>s__Pseudoflavonifractor_sp._Marseille-P3106</v>
          </cell>
        </row>
        <row r="10584">
          <cell r="G10584" t="str">
            <v>ASV6696</v>
          </cell>
          <cell r="H10584" t="str">
            <v>g__Escherichia-Shigella</v>
          </cell>
          <cell r="I10584" t="str">
            <v>s__unclassified_g__Escherichia-Shigella</v>
          </cell>
        </row>
        <row r="10585">
          <cell r="G10585" t="str">
            <v>ASV5833</v>
          </cell>
          <cell r="H10585" t="str">
            <v>g__Bacteroides</v>
          </cell>
          <cell r="I10585" t="str">
            <v>s__uncultured_bacterium_g__Bacteroides</v>
          </cell>
        </row>
        <row r="10586">
          <cell r="G10586" t="str">
            <v>ASV17608</v>
          </cell>
          <cell r="H10586" t="str">
            <v>g__Veillonella</v>
          </cell>
          <cell r="I10586" t="str">
            <v>s__unclassified_g__Veillonella</v>
          </cell>
        </row>
        <row r="10587">
          <cell r="G10587" t="str">
            <v>ASV18559</v>
          </cell>
          <cell r="H10587" t="str">
            <v>g__Desulfovibrio</v>
          </cell>
          <cell r="I10587" t="str">
            <v>s__Desulfovibrio_sp._enrichment_culture_clone_Jdgsrb034</v>
          </cell>
        </row>
        <row r="10588">
          <cell r="G10588" t="str">
            <v>ASV12701</v>
          </cell>
          <cell r="H10588" t="str">
            <v>g__norank_f__UCG-010</v>
          </cell>
          <cell r="I10588" t="str">
            <v>s__unclassified_g__norank_f__UCG-010</v>
          </cell>
        </row>
        <row r="10589">
          <cell r="G10589" t="str">
            <v>ASV7731</v>
          </cell>
          <cell r="H10589" t="str">
            <v>g__Christensenellaceae_R-7_group</v>
          </cell>
          <cell r="I10589" t="str">
            <v>s__unclassified_g__Christensenellaceae_R-7_group</v>
          </cell>
        </row>
        <row r="10590">
          <cell r="G10590" t="str">
            <v>ASV17280</v>
          </cell>
          <cell r="H10590" t="str">
            <v>g__Lactobacillus</v>
          </cell>
          <cell r="I10590" t="str">
            <v>s__unclassified_g__Lactobacillus</v>
          </cell>
        </row>
        <row r="10591">
          <cell r="G10591" t="str">
            <v>ASV4005</v>
          </cell>
          <cell r="H10591" t="str">
            <v>g__unclassified_k__norank_d__Bacteria</v>
          </cell>
          <cell r="I10591" t="str">
            <v>s__unclassified_k__norank_d__Bacteria</v>
          </cell>
        </row>
        <row r="10592">
          <cell r="G10592" t="str">
            <v>ASV20743</v>
          </cell>
          <cell r="H10592" t="str">
            <v>g__unclassified_f__Oscillospiraceae</v>
          </cell>
          <cell r="I10592" t="str">
            <v>s__unclassified_f__Oscillospiraceae</v>
          </cell>
        </row>
        <row r="10593">
          <cell r="G10593" t="str">
            <v>ASV12716</v>
          </cell>
          <cell r="H10593" t="str">
            <v>g__unclassified_f__Ruminococcaceae</v>
          </cell>
          <cell r="I10593" t="str">
            <v>s__unclassified_f__Ruminococcaceae</v>
          </cell>
        </row>
        <row r="10594">
          <cell r="G10594" t="str">
            <v>ASV731</v>
          </cell>
          <cell r="H10594" t="str">
            <v>g__Lactobacillus</v>
          </cell>
          <cell r="I10594" t="str">
            <v>s__unclassified_g__Lactobacillus</v>
          </cell>
        </row>
        <row r="10595">
          <cell r="G10595" t="str">
            <v>ASV11641</v>
          </cell>
          <cell r="H10595" t="str">
            <v>g__unclassified_c__Clostridia</v>
          </cell>
          <cell r="I10595" t="str">
            <v>s__unclassified_c__Clostridia</v>
          </cell>
        </row>
        <row r="10596">
          <cell r="G10596" t="str">
            <v>ASV2158</v>
          </cell>
          <cell r="H10596" t="str">
            <v>g__Lactobacillus</v>
          </cell>
          <cell r="I10596" t="str">
            <v>s__unclassified_g__Lactobacillus</v>
          </cell>
        </row>
        <row r="10597">
          <cell r="G10597" t="str">
            <v>ASV17930</v>
          </cell>
          <cell r="H10597" t="str">
            <v>g__norank_f__norank_o__RF39</v>
          </cell>
          <cell r="I10597" t="str">
            <v>s__uncultured_bacterium_g__norank_f__norank_o__RF39</v>
          </cell>
        </row>
        <row r="10598">
          <cell r="G10598" t="str">
            <v>ASV22112</v>
          </cell>
          <cell r="H10598" t="str">
            <v>g__unclassified_c__Bacilli</v>
          </cell>
          <cell r="I10598" t="str">
            <v>s__unclassified_c__Bacilli</v>
          </cell>
        </row>
        <row r="10599">
          <cell r="G10599" t="str">
            <v>ASV7720</v>
          </cell>
          <cell r="H10599" t="str">
            <v>g__unclassified_o__Bacteroidales</v>
          </cell>
          <cell r="I10599" t="str">
            <v>s__unclassified_o__Bacteroidales</v>
          </cell>
        </row>
        <row r="10600">
          <cell r="G10600" t="str">
            <v>ASV743</v>
          </cell>
          <cell r="H10600" t="str">
            <v>g__Parabacteroides</v>
          </cell>
          <cell r="I10600" t="str">
            <v>s__Porphyromonadaceae_bacterium_DJF_B175</v>
          </cell>
        </row>
        <row r="10601">
          <cell r="G10601" t="str">
            <v>ASV4028</v>
          </cell>
          <cell r="H10601" t="str">
            <v>g__Parabacteroides</v>
          </cell>
          <cell r="I10601" t="str">
            <v>s__unclassified_g__Parabacteroides</v>
          </cell>
        </row>
        <row r="10602">
          <cell r="G10602" t="str">
            <v>ASV20778</v>
          </cell>
          <cell r="H10602" t="str">
            <v>g__UCG-002</v>
          </cell>
          <cell r="I10602" t="str">
            <v>s__uncultured_bacterium_g__UCG-002</v>
          </cell>
        </row>
        <row r="10603">
          <cell r="G10603" t="str">
            <v>ASV2105</v>
          </cell>
          <cell r="H10603" t="str">
            <v>g__unclassified_p__Firmicutes</v>
          </cell>
          <cell r="I10603" t="str">
            <v>s__unclassified_p__Firmicutes</v>
          </cell>
        </row>
        <row r="10604">
          <cell r="G10604" t="str">
            <v>ASV19520</v>
          </cell>
          <cell r="H10604" t="str">
            <v>g__unclassified_f__Christensenellaceae</v>
          </cell>
          <cell r="I10604" t="str">
            <v>s__unclassified_f__Christensenellaceae</v>
          </cell>
        </row>
        <row r="10605">
          <cell r="G10605" t="str">
            <v>ASV9343</v>
          </cell>
          <cell r="H10605" t="str">
            <v>g__Lactobacillus</v>
          </cell>
          <cell r="I10605" t="str">
            <v>s__unclassified_g__Lactobacillus</v>
          </cell>
        </row>
        <row r="10606">
          <cell r="G10606" t="str">
            <v>ASV642</v>
          </cell>
          <cell r="H10606" t="str">
            <v>g__norank_f__Atopobiaceae</v>
          </cell>
          <cell r="I10606" t="str">
            <v>s__uncultured_bacterium_g__norank_f__Atopobiaceae</v>
          </cell>
        </row>
        <row r="10607">
          <cell r="G10607" t="str">
            <v>ASV22246</v>
          </cell>
          <cell r="H10607" t="str">
            <v>g__unclassified_c__Clostridia</v>
          </cell>
          <cell r="I10607" t="str">
            <v>s__unclassified_c__Clostridia</v>
          </cell>
        </row>
        <row r="10608">
          <cell r="G10608" t="str">
            <v>ASV16897</v>
          </cell>
          <cell r="H10608" t="str">
            <v>g__Lactobacillus</v>
          </cell>
          <cell r="I10608" t="str">
            <v>s__unclassified_g__Lactobacillus</v>
          </cell>
        </row>
        <row r="10609">
          <cell r="G10609" t="str">
            <v>ASV17936</v>
          </cell>
          <cell r="H10609" t="str">
            <v>g__unclassified_c__Clostridia</v>
          </cell>
          <cell r="I10609" t="str">
            <v>s__unclassified_c__Clostridia</v>
          </cell>
        </row>
        <row r="10610">
          <cell r="G10610" t="str">
            <v>ASV14263</v>
          </cell>
          <cell r="H10610" t="str">
            <v>g__Lachnospiraceae_UCG-004</v>
          </cell>
          <cell r="I10610" t="str">
            <v>s__uncultured_bacterium_g__Lachnospiraceae_UCG-004</v>
          </cell>
        </row>
        <row r="10611">
          <cell r="G10611" t="str">
            <v>ASV12755</v>
          </cell>
          <cell r="H10611" t="str">
            <v>g__Enterorhabdus</v>
          </cell>
          <cell r="I10611" t="str">
            <v>s__uncultured_bacterium_g__Enterorhabdus</v>
          </cell>
        </row>
        <row r="10612">
          <cell r="G10612" t="str">
            <v>ASV4764</v>
          </cell>
          <cell r="H10612" t="str">
            <v>g__unclassified_f__Eggerthellaceae</v>
          </cell>
          <cell r="I10612" t="str">
            <v>s__unclassified_f__Eggerthellaceae</v>
          </cell>
        </row>
        <row r="10613">
          <cell r="G10613" t="str">
            <v>ASV7721</v>
          </cell>
          <cell r="H10613" t="str">
            <v>g__unclassified_f__Lachnospiraceae</v>
          </cell>
          <cell r="I10613" t="str">
            <v>s__unclassified_f__Lachnospiraceae</v>
          </cell>
        </row>
        <row r="10614">
          <cell r="G10614" t="str">
            <v>ASV5817</v>
          </cell>
          <cell r="H10614" t="str">
            <v>g__norank_f__Erysipelotrichaceae</v>
          </cell>
          <cell r="I10614" t="str">
            <v>s__uncultured_bacterium_g__norank_f__Erysipelotrichaceae</v>
          </cell>
        </row>
        <row r="10615">
          <cell r="G10615" t="str">
            <v>ASV19586</v>
          </cell>
          <cell r="H10615" t="str">
            <v>g__norank_f__Ruminococcaceae</v>
          </cell>
          <cell r="I10615" t="str">
            <v>s__unclassified_g__norank_f__Ruminococcaceae</v>
          </cell>
        </row>
        <row r="10616">
          <cell r="G10616" t="str">
            <v>ASV14204</v>
          </cell>
          <cell r="H10616" t="str">
            <v>g__Treponema</v>
          </cell>
          <cell r="I10616" t="str">
            <v>s__unclassified_g__Treponema</v>
          </cell>
        </row>
        <row r="10617">
          <cell r="G10617" t="str">
            <v>ASV7734</v>
          </cell>
          <cell r="H10617" t="str">
            <v>g__norank_f__Muribaculaceae</v>
          </cell>
          <cell r="I10617" t="str">
            <v>s__uncultured_bacterium_g__norank_f__Muribaculaceae</v>
          </cell>
        </row>
        <row r="10618">
          <cell r="G10618" t="str">
            <v>ASV5807</v>
          </cell>
          <cell r="H10618" t="str">
            <v>g__Anaerofilum</v>
          </cell>
          <cell r="I10618" t="str">
            <v>s__uncultured_bacterium_g__Anaerofilum</v>
          </cell>
        </row>
        <row r="10619">
          <cell r="G10619" t="str">
            <v>ASV3658</v>
          </cell>
          <cell r="H10619" t="str">
            <v>g__Moraxella</v>
          </cell>
          <cell r="I10619" t="str">
            <v>s__Moraxella_porci_DSM_25326</v>
          </cell>
        </row>
        <row r="10620">
          <cell r="G10620" t="str">
            <v>ASV12718</v>
          </cell>
          <cell r="H10620" t="str">
            <v>g__unclassified_f__Lachnospiraceae</v>
          </cell>
          <cell r="I10620" t="str">
            <v>s__unclassified_f__Lachnospiraceae</v>
          </cell>
        </row>
        <row r="10621">
          <cell r="G10621" t="str">
            <v>ASV19568</v>
          </cell>
          <cell r="H10621" t="str">
            <v>g__unclassified_f__Oscillospiraceae</v>
          </cell>
          <cell r="I10621" t="str">
            <v>s__unclassified_f__Oscillospiraceae</v>
          </cell>
        </row>
        <row r="10622">
          <cell r="G10622" t="str">
            <v>ASV6506</v>
          </cell>
          <cell r="H10622" t="str">
            <v>g__Sediminibacterium</v>
          </cell>
          <cell r="I10622" t="str">
            <v>s__unclassified_g__Sediminibacterium</v>
          </cell>
        </row>
        <row r="10623">
          <cell r="G10623" t="str">
            <v>ASV5858</v>
          </cell>
          <cell r="H10623" t="str">
            <v>g__norank_f__Ruminococcaceae</v>
          </cell>
          <cell r="I10623" t="str">
            <v>s__unclassified_g__norank_f__Ruminococcaceae</v>
          </cell>
        </row>
        <row r="10624">
          <cell r="G10624" t="str">
            <v>ASV11618</v>
          </cell>
          <cell r="H10624" t="str">
            <v>g__unclassified_k__norank_d__Bacteria</v>
          </cell>
          <cell r="I10624" t="str">
            <v>s__unclassified_k__norank_d__Bacteria</v>
          </cell>
        </row>
        <row r="10625">
          <cell r="G10625" t="str">
            <v>ASV10623</v>
          </cell>
          <cell r="H10625" t="str">
            <v>g__unclassified_f__Peptostreptococcaceae</v>
          </cell>
          <cell r="I10625" t="str">
            <v>s__unclassified_f__Peptostreptococcaceae</v>
          </cell>
        </row>
        <row r="10626">
          <cell r="G10626" t="str">
            <v>ASV681</v>
          </cell>
          <cell r="H10626" t="str">
            <v>g__unclassified_f__Peptostreptococcaceae</v>
          </cell>
          <cell r="I10626" t="str">
            <v>s__unclassified_f__Peptostreptococcaceae</v>
          </cell>
        </row>
        <row r="10627">
          <cell r="G10627" t="str">
            <v>ASV9418</v>
          </cell>
          <cell r="H10627" t="str">
            <v>g__norank_f__Erysipelotrichaceae</v>
          </cell>
          <cell r="I10627" t="str">
            <v>s__uncultured_bacterium_g__norank_f__Erysipelotrichaceae</v>
          </cell>
        </row>
        <row r="10628">
          <cell r="G10628" t="str">
            <v>ASV18872</v>
          </cell>
          <cell r="H10628" t="str">
            <v>g__unclassified_f__Lachnospiraceae</v>
          </cell>
          <cell r="I10628" t="str">
            <v>s__unclassified_f__Lachnospiraceae</v>
          </cell>
        </row>
        <row r="10629">
          <cell r="G10629" t="str">
            <v>ASV11544</v>
          </cell>
          <cell r="H10629" t="str">
            <v>g__unclassified_c__Clostridia</v>
          </cell>
          <cell r="I10629" t="str">
            <v>s__unclassified_c__Clostridia</v>
          </cell>
        </row>
        <row r="10630">
          <cell r="G10630" t="str">
            <v>ASV17961</v>
          </cell>
          <cell r="H10630" t="str">
            <v>g__unclassified_c__Clostridia</v>
          </cell>
          <cell r="I10630" t="str">
            <v>s__unclassified_c__Clostridia</v>
          </cell>
        </row>
        <row r="10631">
          <cell r="G10631" t="str">
            <v>ASV20808</v>
          </cell>
          <cell r="H10631" t="str">
            <v>g__unclassified_c__Clostridia</v>
          </cell>
          <cell r="I10631" t="str">
            <v>s__unclassified_c__Clostridia</v>
          </cell>
        </row>
        <row r="10632">
          <cell r="G10632" t="str">
            <v>ASV2135</v>
          </cell>
          <cell r="H10632" t="str">
            <v>g__unclassified_f__Lachnospiraceae</v>
          </cell>
          <cell r="I10632" t="str">
            <v>s__unclassified_f__Lachnospiraceae</v>
          </cell>
        </row>
        <row r="10633">
          <cell r="G10633" t="str">
            <v>ASV3483</v>
          </cell>
          <cell r="H10633" t="str">
            <v>g__unclassified_k__norank_d__Bacteria</v>
          </cell>
          <cell r="I10633" t="str">
            <v>s__unclassified_k__norank_d__Bacteria</v>
          </cell>
        </row>
        <row r="10634">
          <cell r="G10634" t="str">
            <v>ASV4851</v>
          </cell>
          <cell r="H10634" t="str">
            <v>g__Lactobacillus</v>
          </cell>
          <cell r="I10634" t="str">
            <v>s__unclassified_g__Lactobacillus</v>
          </cell>
        </row>
        <row r="10635">
          <cell r="G10635" t="str">
            <v>ASV2202</v>
          </cell>
          <cell r="H10635" t="str">
            <v>g__Lactobacillus</v>
          </cell>
          <cell r="I10635" t="str">
            <v>s__unclassified_g__Lactobacillus</v>
          </cell>
        </row>
        <row r="10636">
          <cell r="G10636" t="str">
            <v>ASV732</v>
          </cell>
          <cell r="H10636" t="str">
            <v>g__unclassified_f__Oscillospiraceae</v>
          </cell>
          <cell r="I10636" t="str">
            <v>s__unclassified_f__Oscillospiraceae</v>
          </cell>
        </row>
        <row r="10637">
          <cell r="G10637" t="str">
            <v>ASV21607</v>
          </cell>
          <cell r="H10637" t="str">
            <v>g__Eubacterium_oxidoreducens_group</v>
          </cell>
          <cell r="I10637" t="str">
            <v>s__uncultured_bacterium_g__Eubacterium_oxidoreducens_group</v>
          </cell>
        </row>
        <row r="10638">
          <cell r="G10638" t="str">
            <v>ASV5907</v>
          </cell>
          <cell r="H10638" t="str">
            <v>g__Monoglobus</v>
          </cell>
          <cell r="I10638" t="str">
            <v>s__unclassified_g__Monoglobus</v>
          </cell>
        </row>
        <row r="10639">
          <cell r="G10639" t="str">
            <v>ASV23243</v>
          </cell>
          <cell r="H10639" t="str">
            <v>g__UCG-002</v>
          </cell>
          <cell r="I10639" t="str">
            <v>s__uncultured_bacterium_g__UCG-002</v>
          </cell>
        </row>
        <row r="10640">
          <cell r="G10640" t="str">
            <v>ASV4866</v>
          </cell>
          <cell r="H10640" t="str">
            <v>g__Sphaerochaeta</v>
          </cell>
          <cell r="I10640" t="str">
            <v>s__uncultured_bacterium_g__Sphaerochaeta</v>
          </cell>
        </row>
        <row r="10641">
          <cell r="G10641" t="str">
            <v>ASV7747</v>
          </cell>
          <cell r="H10641" t="str">
            <v>g__unclassified_f__Lachnospiraceae</v>
          </cell>
          <cell r="I10641" t="str">
            <v>s__unclassified_f__Lachnospiraceae</v>
          </cell>
        </row>
        <row r="10642">
          <cell r="G10642" t="str">
            <v>ASV3191</v>
          </cell>
          <cell r="H10642" t="str">
            <v>g__Tuzzerella</v>
          </cell>
          <cell r="I10642" t="str">
            <v>s__unclassified_g__Tuzzerella</v>
          </cell>
        </row>
        <row r="10643">
          <cell r="G10643" t="str">
            <v>ASV17283</v>
          </cell>
          <cell r="H10643" t="str">
            <v>g__Streptococcus</v>
          </cell>
          <cell r="I10643" t="str">
            <v>s__unclassified_g__Streptococcus</v>
          </cell>
        </row>
        <row r="10644">
          <cell r="G10644" t="str">
            <v>ASV4854</v>
          </cell>
          <cell r="H10644" t="str">
            <v>g__norank_f__Muribaculaceae</v>
          </cell>
          <cell r="I10644" t="str">
            <v>s__uncultured_bacterium_g__norank_f__Muribaculaceae</v>
          </cell>
        </row>
        <row r="10645">
          <cell r="G10645" t="str">
            <v>ASV7761</v>
          </cell>
          <cell r="H10645" t="str">
            <v>g__unclassified_c__Clostridia</v>
          </cell>
          <cell r="I10645" t="str">
            <v>s__unclassified_c__Clostridia</v>
          </cell>
        </row>
        <row r="10646">
          <cell r="G10646" t="str">
            <v>ASV3197</v>
          </cell>
          <cell r="H10646" t="str">
            <v>g__Bacteroides</v>
          </cell>
          <cell r="I10646" t="str">
            <v>s__uncultured_bacterium_g__Bacteroides</v>
          </cell>
        </row>
        <row r="10647">
          <cell r="G10647" t="str">
            <v>ASV5912</v>
          </cell>
          <cell r="H10647" t="str">
            <v>g__unclassified_c__Clostridia</v>
          </cell>
          <cell r="I10647" t="str">
            <v>s__unclassified_c__Clostridia</v>
          </cell>
        </row>
        <row r="10648">
          <cell r="G10648" t="str">
            <v>ASV6681</v>
          </cell>
          <cell r="H10648" t="str">
            <v>g__unclassified_p__Firmicutes</v>
          </cell>
          <cell r="I10648" t="str">
            <v>s__unclassified_p__Firmicutes</v>
          </cell>
        </row>
        <row r="10649">
          <cell r="G10649" t="str">
            <v>ASV13425</v>
          </cell>
          <cell r="H10649" t="str">
            <v>g__unclassified_c__Clostridia</v>
          </cell>
          <cell r="I10649" t="str">
            <v>s__unclassified_c__Clostridia</v>
          </cell>
        </row>
        <row r="10650">
          <cell r="G10650" t="str">
            <v>ASV18849</v>
          </cell>
          <cell r="H10650" t="str">
            <v>g__Escherichia-Shigella</v>
          </cell>
          <cell r="I10650" t="str">
            <v>s__unclassified_g__Escherichia-Shigella</v>
          </cell>
        </row>
        <row r="10651">
          <cell r="G10651" t="str">
            <v>ASV15972</v>
          </cell>
          <cell r="H10651" t="str">
            <v>g__Fusobacterium</v>
          </cell>
          <cell r="I10651" t="str">
            <v>s__unclassified_g__Fusobacterium</v>
          </cell>
        </row>
        <row r="10652">
          <cell r="G10652" t="str">
            <v>ASV11515</v>
          </cell>
          <cell r="H10652" t="str">
            <v>g__Treponema</v>
          </cell>
          <cell r="I10652" t="str">
            <v>s__uncultured_bacterium_g__Treponema</v>
          </cell>
        </row>
        <row r="10653">
          <cell r="G10653" t="str">
            <v>ASV23276</v>
          </cell>
          <cell r="H10653" t="str">
            <v>g__unclassified_o__Oscillospirales</v>
          </cell>
          <cell r="I10653" t="str">
            <v>s__unclassified_o__Oscillospirales</v>
          </cell>
        </row>
        <row r="10654">
          <cell r="G10654" t="str">
            <v>ASV20249</v>
          </cell>
          <cell r="H10654" t="str">
            <v>g__unclassified_f__Lachnospiraceae</v>
          </cell>
          <cell r="I10654" t="str">
            <v>s__unclassified_f__Lachnospiraceae</v>
          </cell>
        </row>
        <row r="10655">
          <cell r="G10655" t="str">
            <v>ASV11567</v>
          </cell>
          <cell r="H10655" t="str">
            <v>g__Eubacterium_oxidoreducens_group</v>
          </cell>
          <cell r="I10655" t="str">
            <v>s__uncultured_bacterium_g__Eubacterium_oxidoreducens_group</v>
          </cell>
        </row>
        <row r="10656">
          <cell r="G10656" t="str">
            <v>ASV14201</v>
          </cell>
          <cell r="H10656" t="str">
            <v>g__norank_f__UCG-011</v>
          </cell>
          <cell r="I10656" t="str">
            <v>s__uncultured_bacterium_g__norank_f__UCG-011</v>
          </cell>
        </row>
        <row r="10657">
          <cell r="G10657" t="str">
            <v>ASV7055</v>
          </cell>
          <cell r="H10657" t="str">
            <v>g__unclassified_f__Peptostreptococcaceae</v>
          </cell>
          <cell r="I10657" t="str">
            <v>s__unclassified_f__Peptostreptococcaceae</v>
          </cell>
        </row>
        <row r="10658">
          <cell r="G10658" t="str">
            <v>ASV23232</v>
          </cell>
          <cell r="H10658" t="str">
            <v>g__norank_f__Ruminococcaceae</v>
          </cell>
          <cell r="I10658" t="str">
            <v>s__unclassified_g__norank_f__Ruminococcaceae</v>
          </cell>
        </row>
        <row r="10659">
          <cell r="G10659" t="str">
            <v>ASV23260</v>
          </cell>
          <cell r="H10659" t="str">
            <v>g__Collinsella</v>
          </cell>
          <cell r="I10659" t="str">
            <v>s__unclassified_g__Collinsella</v>
          </cell>
        </row>
        <row r="10660">
          <cell r="G10660" t="str">
            <v>ASV15330</v>
          </cell>
          <cell r="H10660" t="str">
            <v>g__Clostridium_sensu_stricto_1</v>
          </cell>
          <cell r="I10660" t="str">
            <v>s__unclassified_g__Clostridium_sensu_stricto_1</v>
          </cell>
        </row>
        <row r="10661">
          <cell r="G10661" t="str">
            <v>ASV10636</v>
          </cell>
          <cell r="H10661" t="str">
            <v>g__Lactobacillus</v>
          </cell>
          <cell r="I10661" t="str">
            <v>s__unclassified_g__Lactobacillus</v>
          </cell>
        </row>
        <row r="10662">
          <cell r="G10662" t="str">
            <v>ASV646</v>
          </cell>
          <cell r="H10662" t="str">
            <v>g__unclassified_c__Clostridia</v>
          </cell>
          <cell r="I10662" t="str">
            <v>s__unclassified_c__Clostridia</v>
          </cell>
        </row>
        <row r="10663">
          <cell r="G10663" t="str">
            <v>ASV21214</v>
          </cell>
          <cell r="H10663" t="str">
            <v>g__Streptococcus</v>
          </cell>
          <cell r="I10663" t="str">
            <v>s__unclassified_g__Streptococcus</v>
          </cell>
        </row>
        <row r="10664">
          <cell r="G10664" t="str">
            <v>ASV606</v>
          </cell>
          <cell r="H10664" t="str">
            <v>g__unclassified_f__Lachnospiraceae</v>
          </cell>
          <cell r="I10664" t="str">
            <v>s__unclassified_f__Lachnospiraceae</v>
          </cell>
        </row>
        <row r="10665">
          <cell r="G10665" t="str">
            <v>ASV9881</v>
          </cell>
          <cell r="H10665" t="str">
            <v>g__Prevotellaceae_UCG-003</v>
          </cell>
          <cell r="I10665" t="str">
            <v>s__unclassified_g__Prevotellaceae_UCG-003</v>
          </cell>
        </row>
        <row r="10666">
          <cell r="G10666" t="str">
            <v>ASV18585</v>
          </cell>
          <cell r="H10666" t="str">
            <v>g__Lactobacillus</v>
          </cell>
          <cell r="I10666" t="str">
            <v>s__unclassified_g__Lactobacillus</v>
          </cell>
        </row>
        <row r="10667">
          <cell r="G10667" t="str">
            <v>ASV11480</v>
          </cell>
          <cell r="H10667" t="str">
            <v>g__unclassified_c__Clostridia</v>
          </cell>
          <cell r="I10667" t="str">
            <v>s__unclassified_c__Clostridia</v>
          </cell>
        </row>
        <row r="10668">
          <cell r="G10668" t="str">
            <v>ASV3659</v>
          </cell>
          <cell r="H10668" t="str">
            <v>g__Veillonella</v>
          </cell>
          <cell r="I10668" t="str">
            <v>s__Veillonella_sp._R-32</v>
          </cell>
        </row>
        <row r="10669">
          <cell r="G10669" t="str">
            <v>ASV7684</v>
          </cell>
          <cell r="H10669" t="str">
            <v>g__unclassified_f__Peptostreptococcaceae</v>
          </cell>
          <cell r="I10669" t="str">
            <v>s__unclassified_f__Peptostreptococcaceae</v>
          </cell>
        </row>
        <row r="10670">
          <cell r="G10670" t="str">
            <v>ASV12690</v>
          </cell>
          <cell r="H10670" t="str">
            <v>g__unclassified_p__Firmicutes</v>
          </cell>
          <cell r="I10670" t="str">
            <v>s__unclassified_p__Firmicutes</v>
          </cell>
        </row>
        <row r="10671">
          <cell r="G10671" t="str">
            <v>ASV7703</v>
          </cell>
          <cell r="H10671" t="str">
            <v>g__Lactobacillus</v>
          </cell>
          <cell r="I10671" t="str">
            <v>s__unclassified_g__Lactobacillus</v>
          </cell>
        </row>
        <row r="10672">
          <cell r="G10672" t="str">
            <v>ASV20809</v>
          </cell>
          <cell r="H10672" t="str">
            <v>g__unclassified_c__Clostridia</v>
          </cell>
          <cell r="I10672" t="str">
            <v>s__unclassified_c__Clostridia</v>
          </cell>
        </row>
        <row r="10673">
          <cell r="G10673" t="str">
            <v>ASV10663</v>
          </cell>
          <cell r="H10673" t="str">
            <v>g__Lactobacillus</v>
          </cell>
          <cell r="I10673" t="str">
            <v>s__unclassified_g__Lactobacillus</v>
          </cell>
        </row>
        <row r="10674">
          <cell r="G10674" t="str">
            <v>ASV22144</v>
          </cell>
          <cell r="H10674" t="str">
            <v>g__Christensenellaceae_R-7_group</v>
          </cell>
          <cell r="I10674" t="str">
            <v>s__unclassified_g__Christensenellaceae_R-7_group</v>
          </cell>
        </row>
        <row r="10675">
          <cell r="G10675" t="str">
            <v>ASV23234</v>
          </cell>
          <cell r="H10675" t="str">
            <v>g__norank_f__Erysipelotrichaceae</v>
          </cell>
          <cell r="I10675" t="str">
            <v>s__uncultured_bacterium_g__norank_f__Erysipelotrichaceae</v>
          </cell>
        </row>
        <row r="10676">
          <cell r="G10676" t="str">
            <v>ASV14250</v>
          </cell>
          <cell r="H10676" t="str">
            <v>g__unclassified_f__Lachnospiraceae</v>
          </cell>
          <cell r="I10676" t="str">
            <v>s__unclassified_f__Lachnospiraceae</v>
          </cell>
        </row>
        <row r="10677">
          <cell r="G10677" t="str">
            <v>ASV24139</v>
          </cell>
          <cell r="H10677" t="str">
            <v>g__Turicibacter</v>
          </cell>
          <cell r="I10677" t="str">
            <v>s__unclassified_g__Turicibacter</v>
          </cell>
        </row>
        <row r="10678">
          <cell r="G10678" t="str">
            <v>ASV11577</v>
          </cell>
          <cell r="H10678" t="str">
            <v>g__Rikenellaceae_RC9_gut_group</v>
          </cell>
          <cell r="I10678" t="str">
            <v>s__uncultured_bacterium_g__Rikenellaceae_RC9_gut_group</v>
          </cell>
        </row>
        <row r="10679">
          <cell r="G10679" t="str">
            <v>ASV3964</v>
          </cell>
          <cell r="H10679" t="str">
            <v>g__unclassified_k__norank_d__Bacteria</v>
          </cell>
          <cell r="I10679" t="str">
            <v>s__unclassified_k__norank_d__Bacteria</v>
          </cell>
        </row>
        <row r="10680">
          <cell r="G10680" t="str">
            <v>ASV15970</v>
          </cell>
          <cell r="H10680" t="str">
            <v>g__Lactobacillus</v>
          </cell>
          <cell r="I10680" t="str">
            <v>s__unclassified_g__Lactobacillus</v>
          </cell>
        </row>
        <row r="10681">
          <cell r="G10681" t="str">
            <v>ASV4029</v>
          </cell>
          <cell r="H10681" t="str">
            <v>g__unclassified_c__Clostridia</v>
          </cell>
          <cell r="I10681" t="str">
            <v>s__unclassified_c__Clostridia</v>
          </cell>
        </row>
        <row r="10682">
          <cell r="G10682" t="str">
            <v>ASV21216</v>
          </cell>
          <cell r="H10682" t="str">
            <v>g__unclassified_f__Lachnospiraceae</v>
          </cell>
          <cell r="I10682" t="str">
            <v>s__unclassified_f__Lachnospiraceae</v>
          </cell>
        </row>
        <row r="10683">
          <cell r="G10683" t="str">
            <v>ASV11047</v>
          </cell>
          <cell r="H10683" t="str">
            <v>g__unclassified_f__Oscillospiraceae</v>
          </cell>
          <cell r="I10683" t="str">
            <v>s__unclassified_f__Oscillospiraceae</v>
          </cell>
        </row>
        <row r="10684">
          <cell r="G10684" t="str">
            <v>ASV4787</v>
          </cell>
          <cell r="H10684" t="str">
            <v>g__Eubacterium_oxidoreducens_group</v>
          </cell>
          <cell r="I10684" t="str">
            <v>s__uncultured_bacterium_g__Eubacterium_oxidoreducens_group</v>
          </cell>
        </row>
        <row r="10685">
          <cell r="G10685" t="str">
            <v>ASV10083</v>
          </cell>
          <cell r="H10685" t="str">
            <v>g__Megasphaera</v>
          </cell>
          <cell r="I10685" t="str">
            <v>s__unclassified_g__Megasphaera</v>
          </cell>
        </row>
        <row r="10686">
          <cell r="G10686" t="str">
            <v>ASV10645</v>
          </cell>
          <cell r="H10686" t="str">
            <v>g__Sharpea</v>
          </cell>
          <cell r="I10686" t="str">
            <v>s__unclassified_g__Sharpea</v>
          </cell>
        </row>
        <row r="10687">
          <cell r="G10687" t="str">
            <v>ASV11620</v>
          </cell>
          <cell r="H10687" t="str">
            <v>g__norank_f__Eubacterium_coprostanoligenes_group</v>
          </cell>
          <cell r="I10687" t="str">
            <v>s__uncultured_bacterium_g__norank_f__Eubacterium_coprostanoligenes_group</v>
          </cell>
        </row>
        <row r="10688">
          <cell r="G10688" t="str">
            <v>ASV4874</v>
          </cell>
          <cell r="H10688" t="str">
            <v>g__norank_f__Muribaculaceae</v>
          </cell>
          <cell r="I10688" t="str">
            <v>s__unclassified_g__norank_f__Muribaculaceae</v>
          </cell>
        </row>
        <row r="10689">
          <cell r="G10689" t="str">
            <v>ASV11506</v>
          </cell>
          <cell r="H10689" t="str">
            <v>g__unclassified_c__Clostridia</v>
          </cell>
          <cell r="I10689" t="str">
            <v>s__unclassified_c__Clostridia</v>
          </cell>
        </row>
        <row r="10690">
          <cell r="G10690" t="str">
            <v>ASV17942</v>
          </cell>
          <cell r="H10690" t="str">
            <v>g__unclassified_o__Oscillospirales</v>
          </cell>
          <cell r="I10690" t="str">
            <v>s__unclassified_o__Oscillospirales</v>
          </cell>
        </row>
        <row r="10691">
          <cell r="G10691" t="str">
            <v>ASV8799</v>
          </cell>
          <cell r="H10691" t="str">
            <v>g__Cloacibacillus</v>
          </cell>
          <cell r="I10691" t="str">
            <v>s__Cloacibacillus_porcorum</v>
          </cell>
        </row>
        <row r="10692">
          <cell r="G10692" t="str">
            <v>ASV19570</v>
          </cell>
          <cell r="H10692" t="str">
            <v>g__unclassified_f__Lachnospiraceae</v>
          </cell>
          <cell r="I10692" t="str">
            <v>s__unclassified_f__Lachnospiraceae</v>
          </cell>
        </row>
        <row r="10693">
          <cell r="G10693" t="str">
            <v>ASV12767</v>
          </cell>
          <cell r="H10693" t="str">
            <v>g__Sphaerochaeta</v>
          </cell>
          <cell r="I10693" t="str">
            <v>s__uncultured_prokaryote_g__Sphaerochaeta</v>
          </cell>
        </row>
        <row r="10694">
          <cell r="G10694" t="str">
            <v>ASV3209</v>
          </cell>
          <cell r="H10694" t="str">
            <v>g__unclassified_f__Lachnospiraceae</v>
          </cell>
          <cell r="I10694" t="str">
            <v>s__unclassified_f__Lachnospiraceae</v>
          </cell>
        </row>
        <row r="10695">
          <cell r="G10695" t="str">
            <v>ASV7715</v>
          </cell>
          <cell r="H10695" t="str">
            <v>g__unclassified_f__Clostridiaceae</v>
          </cell>
          <cell r="I10695" t="str">
            <v>s__unclassified_f__Clostridiaceae</v>
          </cell>
        </row>
        <row r="10696">
          <cell r="G10696" t="str">
            <v>ASV18555</v>
          </cell>
          <cell r="H10696" t="str">
            <v>g__unclassified_f__Lachnospiraceae</v>
          </cell>
          <cell r="I10696" t="str">
            <v>s__unclassified_f__Lachnospiraceae</v>
          </cell>
        </row>
        <row r="10697">
          <cell r="G10697" t="str">
            <v>ASV22253</v>
          </cell>
          <cell r="H10697" t="str">
            <v>g__Monoglobus</v>
          </cell>
          <cell r="I10697" t="str">
            <v>s__uncultured_bacterium_g__Monoglobus</v>
          </cell>
        </row>
        <row r="10698">
          <cell r="G10698" t="str">
            <v>ASV617</v>
          </cell>
          <cell r="H10698" t="str">
            <v>g__unclassified_c__Clostridia</v>
          </cell>
          <cell r="I10698" t="str">
            <v>s__unclassified_c__Clostridia</v>
          </cell>
        </row>
        <row r="10699">
          <cell r="G10699" t="str">
            <v>ASV4849</v>
          </cell>
          <cell r="H10699" t="str">
            <v>g__Lactobacillus</v>
          </cell>
          <cell r="I10699" t="str">
            <v>s__unclassified_g__Lactobacillus</v>
          </cell>
        </row>
        <row r="10700">
          <cell r="G10700" t="str">
            <v>ASV13409</v>
          </cell>
          <cell r="H10700" t="str">
            <v>g__unclassified_f__Clostridiaceae</v>
          </cell>
          <cell r="I10700" t="str">
            <v>s__unclassified_f__Clostridiaceae</v>
          </cell>
        </row>
        <row r="10701">
          <cell r="G10701" t="str">
            <v>ASV13709</v>
          </cell>
          <cell r="H10701" t="str">
            <v>g__unclassified_k__norank_d__Bacteria</v>
          </cell>
          <cell r="I10701" t="str">
            <v>s__unclassified_k__norank_d__Bacteria</v>
          </cell>
        </row>
        <row r="10702">
          <cell r="G10702" t="str">
            <v>ASV18583</v>
          </cell>
          <cell r="H10702" t="str">
            <v>g__unclassified_f__Oscillospiraceae</v>
          </cell>
          <cell r="I10702" t="str">
            <v>s__unclassified_f__Oscillospiraceae</v>
          </cell>
        </row>
        <row r="10703">
          <cell r="G10703" t="str">
            <v>ASV3993</v>
          </cell>
          <cell r="H10703" t="str">
            <v>g__Fusobacterium</v>
          </cell>
          <cell r="I10703" t="str">
            <v>s__unclassified_g__Fusobacterium</v>
          </cell>
        </row>
        <row r="10704">
          <cell r="G10704" t="str">
            <v>ASV5886</v>
          </cell>
          <cell r="H10704" t="str">
            <v>g__Paludicola</v>
          </cell>
          <cell r="I10704" t="str">
            <v>s__metagenome_g__Paludicola</v>
          </cell>
        </row>
        <row r="10705">
          <cell r="G10705" t="str">
            <v>ASV12708</v>
          </cell>
          <cell r="H10705" t="str">
            <v>g__norank_f__Ruminococcaceae</v>
          </cell>
          <cell r="I10705" t="str">
            <v>s__uncultured_bacterium_g__norank_f__Ruminococcaceae</v>
          </cell>
        </row>
        <row r="10706">
          <cell r="G10706" t="str">
            <v>ASV21231</v>
          </cell>
          <cell r="H10706" t="str">
            <v>g__unclassified_p__Firmicutes</v>
          </cell>
          <cell r="I10706" t="str">
            <v>s__unclassified_p__Firmicutes</v>
          </cell>
        </row>
        <row r="10707">
          <cell r="G10707" t="str">
            <v>ASV10638</v>
          </cell>
          <cell r="H10707" t="str">
            <v>g__unclassified_f__Lachnospiraceae</v>
          </cell>
          <cell r="I10707" t="str">
            <v>s__unclassified_f__Lachnospiraceae</v>
          </cell>
        </row>
        <row r="10708">
          <cell r="G10708" t="str">
            <v>ASV22091</v>
          </cell>
          <cell r="H10708" t="str">
            <v>g__unclassified_p__Firmicutes</v>
          </cell>
          <cell r="I10708" t="str">
            <v>s__unclassified_p__Firmicutes</v>
          </cell>
        </row>
        <row r="10709">
          <cell r="G10709" t="str">
            <v>ASV22157</v>
          </cell>
          <cell r="H10709" t="str">
            <v>g__unclassified_f__Lachnospiraceae</v>
          </cell>
          <cell r="I10709" t="str">
            <v>s__unclassified_f__Lachnospiraceae</v>
          </cell>
        </row>
        <row r="10710">
          <cell r="G10710" t="str">
            <v>ASV5908</v>
          </cell>
          <cell r="H10710" t="str">
            <v>g__unclassified_c__Bacteroidia</v>
          </cell>
          <cell r="I10710" t="str">
            <v>s__unclassified_c__Bacteroidia</v>
          </cell>
        </row>
        <row r="10711">
          <cell r="G10711" t="str">
            <v>ASV17357</v>
          </cell>
          <cell r="H10711" t="str">
            <v>g__Parabacteroides</v>
          </cell>
          <cell r="I10711" t="str">
            <v>s__Porphyromonadaceae_bacterium_DJF_B175</v>
          </cell>
        </row>
        <row r="10712">
          <cell r="G10712" t="str">
            <v>ASV16882</v>
          </cell>
          <cell r="H10712" t="str">
            <v>g__Lactobacillus</v>
          </cell>
          <cell r="I10712" t="str">
            <v>s__unclassified_g__Lactobacillus</v>
          </cell>
        </row>
        <row r="10713">
          <cell r="G10713" t="str">
            <v>ASV22230</v>
          </cell>
          <cell r="H10713" t="str">
            <v>g__unclassified_f__Lachnospiraceae</v>
          </cell>
          <cell r="I10713" t="str">
            <v>s__unclassified_f__Lachnospiraceae</v>
          </cell>
        </row>
        <row r="10714">
          <cell r="G10714" t="str">
            <v>ASV10618</v>
          </cell>
          <cell r="H10714" t="str">
            <v>g__unclassified_f__Lachnospiraceae</v>
          </cell>
          <cell r="I10714" t="str">
            <v>s__unclassified_f__Lachnospiraceae</v>
          </cell>
        </row>
        <row r="10715">
          <cell r="G10715" t="str">
            <v>ASV3652</v>
          </cell>
          <cell r="H10715" t="str">
            <v>g__Neisseria</v>
          </cell>
          <cell r="I10715" t="str">
            <v>s__unclassified_g__Neisseria</v>
          </cell>
        </row>
        <row r="10716">
          <cell r="G10716" t="str">
            <v>ASV21457</v>
          </cell>
          <cell r="H10716" t="str">
            <v>g__Megasphaera</v>
          </cell>
          <cell r="I10716" t="str">
            <v>s__unclassified_g__Megasphaera</v>
          </cell>
        </row>
        <row r="10717">
          <cell r="G10717" t="str">
            <v>ASV18858</v>
          </cell>
          <cell r="H10717" t="str">
            <v>g__Lactobacillus</v>
          </cell>
          <cell r="I10717" t="str">
            <v>s__unclassified_g__Lactobacillus</v>
          </cell>
        </row>
        <row r="10718">
          <cell r="G10718" t="str">
            <v>ASV14148</v>
          </cell>
          <cell r="H10718" t="str">
            <v>g__unclassified_f__Prevotellaceae</v>
          </cell>
          <cell r="I10718" t="str">
            <v>s__unclassified_f__Prevotellaceae</v>
          </cell>
        </row>
        <row r="10719">
          <cell r="G10719" t="str">
            <v>ASV5820</v>
          </cell>
          <cell r="H10719" t="str">
            <v>g__unclassified_o__Oscillospirales</v>
          </cell>
          <cell r="I10719" t="str">
            <v>s__unclassified_o__Oscillospirales</v>
          </cell>
        </row>
        <row r="10720">
          <cell r="G10720" t="str">
            <v>ASV20806</v>
          </cell>
          <cell r="H10720" t="str">
            <v>g__norank_f__Eubacterium_coprostanoligenes_group</v>
          </cell>
          <cell r="I10720" t="str">
            <v>s__uncultured_bacterium_g__norank_f__Eubacterium_coprostanoligenes_group</v>
          </cell>
        </row>
        <row r="10721">
          <cell r="G10721" t="str">
            <v>ASV22220</v>
          </cell>
          <cell r="H10721" t="str">
            <v>g__unclassified_f__Oscillospiraceae</v>
          </cell>
          <cell r="I10721" t="str">
            <v>s__unclassified_f__Oscillospiraceae</v>
          </cell>
        </row>
        <row r="10722">
          <cell r="G10722" t="str">
            <v>ASV19066</v>
          </cell>
          <cell r="H10722" t="str">
            <v>g__unclassified_f__Lachnospiraceae</v>
          </cell>
          <cell r="I10722" t="str">
            <v>s__unclassified_f__Lachnospiraceae</v>
          </cell>
        </row>
        <row r="10723">
          <cell r="G10723" t="str">
            <v>ASV24165</v>
          </cell>
          <cell r="H10723" t="str">
            <v>g__norank_f__Atopobiaceae</v>
          </cell>
          <cell r="I10723" t="str">
            <v>s__uncultured_bacterium_g__norank_f__Atopobiaceae</v>
          </cell>
        </row>
        <row r="10724">
          <cell r="G10724" t="str">
            <v>ASV8477</v>
          </cell>
          <cell r="H10724" t="str">
            <v>g__Selenomonas</v>
          </cell>
          <cell r="I10724" t="str">
            <v>s__unclassified_g__Selenomonas</v>
          </cell>
        </row>
        <row r="10725">
          <cell r="G10725" t="str">
            <v>ASV13398</v>
          </cell>
          <cell r="H10725" t="str">
            <v>g__unclassified_k__norank_d__Bacteria</v>
          </cell>
          <cell r="I10725" t="str">
            <v>s__unclassified_k__norank_d__Bacteria</v>
          </cell>
        </row>
        <row r="10726">
          <cell r="G10726" t="str">
            <v>ASV19532</v>
          </cell>
          <cell r="H10726" t="str">
            <v>g__Bacillus</v>
          </cell>
          <cell r="I10726" t="str">
            <v>s__Lactobacillus_vaginalis_g__Bacillus</v>
          </cell>
        </row>
        <row r="10727">
          <cell r="G10727" t="str">
            <v>ASV3988</v>
          </cell>
          <cell r="H10727" t="str">
            <v>g__unclassified_c__Clostridia</v>
          </cell>
          <cell r="I10727" t="str">
            <v>s__unclassified_c__Clostridia</v>
          </cell>
        </row>
        <row r="10728">
          <cell r="G10728" t="str">
            <v>ASV12696</v>
          </cell>
          <cell r="H10728" t="str">
            <v>g__Clostridium_sensu_stricto_1</v>
          </cell>
          <cell r="I10728" t="str">
            <v>s__unclassified_g__Clostridium_sensu_stricto_1</v>
          </cell>
        </row>
        <row r="10729">
          <cell r="G10729" t="str">
            <v>ASV14175</v>
          </cell>
          <cell r="H10729" t="str">
            <v>g__norank_f__Oscillospiraceae</v>
          </cell>
          <cell r="I10729" t="str">
            <v>s__unclassified_g__norank_f__Oscillospiraceae</v>
          </cell>
        </row>
        <row r="10730">
          <cell r="G10730" t="str">
            <v>ASV4771</v>
          </cell>
          <cell r="H10730" t="str">
            <v>g__norank_f__Muribaculaceae</v>
          </cell>
          <cell r="I10730" t="str">
            <v>s__uncultured_bacterium_g__norank_f__Muribaculaceae</v>
          </cell>
        </row>
        <row r="10731">
          <cell r="G10731" t="str">
            <v>ASV4783</v>
          </cell>
          <cell r="H10731" t="str">
            <v>g__Clostridium_sensu_stricto_1</v>
          </cell>
          <cell r="I10731" t="str">
            <v>s__unclassified_g__Clostridium_sensu_stricto_1</v>
          </cell>
        </row>
        <row r="10732">
          <cell r="G10732" t="str">
            <v>ASV15797</v>
          </cell>
          <cell r="H10732" t="str">
            <v>g__unclassified_f__Lachnospiraceae</v>
          </cell>
          <cell r="I10732" t="str">
            <v>s__unclassified_f__Lachnospiraceae</v>
          </cell>
        </row>
        <row r="10733">
          <cell r="G10733" t="str">
            <v>ASV13376</v>
          </cell>
          <cell r="H10733" t="str">
            <v>g__unclassified_f__Lachnospiraceae</v>
          </cell>
          <cell r="I10733" t="str">
            <v>s__unclassified_f__Lachnospiraceae</v>
          </cell>
        </row>
        <row r="10734">
          <cell r="G10734" t="str">
            <v>ASV2122</v>
          </cell>
          <cell r="H10734" t="str">
            <v>g__norank_f__norank_o__Clostridia_UCG-014</v>
          </cell>
          <cell r="I10734" t="str">
            <v>s__uncultured_bacterium_g__norank_f__norank_o__Clostridia_UCG-014</v>
          </cell>
        </row>
        <row r="10735">
          <cell r="G10735" t="str">
            <v>ASV11486</v>
          </cell>
          <cell r="H10735" t="str">
            <v>g__norank_f__norank_o__RF39</v>
          </cell>
          <cell r="I10735" t="str">
            <v>s__uncultured_bacterium_g__norank_f__norank_o__RF39</v>
          </cell>
        </row>
        <row r="10736">
          <cell r="G10736" t="str">
            <v>ASV698</v>
          </cell>
          <cell r="H10736" t="str">
            <v>g__unclassified_f__Lachnospiraceae</v>
          </cell>
          <cell r="I10736" t="str">
            <v>s__unclassified_f__Lachnospiraceae</v>
          </cell>
        </row>
        <row r="10737">
          <cell r="G10737" t="str">
            <v>ASV4795</v>
          </cell>
          <cell r="H10737" t="str">
            <v>g__unclassified_o__Oscillospirales</v>
          </cell>
          <cell r="I10737" t="str">
            <v>s__unclassified_o__Oscillospirales</v>
          </cell>
        </row>
        <row r="10738">
          <cell r="G10738" t="str">
            <v>ASV13386</v>
          </cell>
          <cell r="H10738" t="str">
            <v>g__Christensenellaceae_R-7_group</v>
          </cell>
          <cell r="I10738" t="str">
            <v>s__uncultured_bacterium_g__Christensenellaceae_R-7_group</v>
          </cell>
        </row>
        <row r="10739">
          <cell r="G10739" t="str">
            <v>ASV5835</v>
          </cell>
          <cell r="H10739" t="str">
            <v>g__Escherichia-Shigella</v>
          </cell>
          <cell r="I10739" t="str">
            <v>s__unclassified_g__Escherichia-Shigella</v>
          </cell>
        </row>
        <row r="10740">
          <cell r="G10740" t="str">
            <v>ASV13405</v>
          </cell>
          <cell r="H10740" t="str">
            <v>g__unclassified_f__Lachnospiraceae</v>
          </cell>
          <cell r="I10740" t="str">
            <v>s__unclassified_f__Lachnospiraceae</v>
          </cell>
        </row>
        <row r="10741">
          <cell r="G10741" t="str">
            <v>ASV10589</v>
          </cell>
          <cell r="H10741" t="str">
            <v>g__Sharpea</v>
          </cell>
          <cell r="I10741" t="str">
            <v>s__unclassified_g__Sharpea</v>
          </cell>
        </row>
        <row r="10742">
          <cell r="G10742" t="str">
            <v>ASV2114</v>
          </cell>
          <cell r="H10742" t="str">
            <v>g__Eubacterium_oxidoreducens_group</v>
          </cell>
          <cell r="I10742" t="str">
            <v>s__uncultured_bacterium_g__Eubacterium_oxidoreducens_group</v>
          </cell>
        </row>
        <row r="10743">
          <cell r="G10743" t="str">
            <v>ASV14268</v>
          </cell>
          <cell r="H10743" t="str">
            <v>g__unclassified_f__Lachnospiraceae</v>
          </cell>
          <cell r="I10743" t="str">
            <v>s__unclassified_f__Lachnospiraceae</v>
          </cell>
        </row>
        <row r="10744">
          <cell r="G10744" t="str">
            <v>ASV11657</v>
          </cell>
          <cell r="H10744" t="str">
            <v>g__Parabacteroides</v>
          </cell>
          <cell r="I10744" t="str">
            <v>s__Porphyromonadaceae_bacterium_DJF_B175</v>
          </cell>
        </row>
        <row r="10745">
          <cell r="G10745" t="str">
            <v>ASV11668</v>
          </cell>
          <cell r="H10745" t="str">
            <v>g__norank_f__Ruminococcaceae</v>
          </cell>
          <cell r="I10745" t="str">
            <v>s__uncultured_bacterium_g__norank_f__Ruminococcaceae</v>
          </cell>
        </row>
        <row r="10746">
          <cell r="G10746" t="str">
            <v>ASV9339</v>
          </cell>
          <cell r="H10746" t="str">
            <v>g__unclassified_f__Oscillospiraceae</v>
          </cell>
          <cell r="I10746" t="str">
            <v>s__unclassified_f__Oscillospiraceae</v>
          </cell>
        </row>
        <row r="10747">
          <cell r="G10747" t="str">
            <v>ASV9354</v>
          </cell>
          <cell r="H10747" t="str">
            <v>g__unclassified_f__Lachnospiraceae</v>
          </cell>
          <cell r="I10747" t="str">
            <v>s__unclassified_f__Lachnospiraceae</v>
          </cell>
        </row>
        <row r="10748">
          <cell r="G10748" t="str">
            <v>ASV15302</v>
          </cell>
          <cell r="H10748" t="str">
            <v>g__unclassified_f__Prevotellaceae</v>
          </cell>
          <cell r="I10748" t="str">
            <v>s__unclassified_f__Prevotellaceae</v>
          </cell>
        </row>
        <row r="10749">
          <cell r="G10749" t="str">
            <v>ASV1640</v>
          </cell>
          <cell r="H10749" t="str">
            <v>g__unclassified_f__Erysipelatoclostridiaceae</v>
          </cell>
          <cell r="I10749" t="str">
            <v>s__unclassified_f__Erysipelatoclostridiaceae</v>
          </cell>
        </row>
        <row r="10750">
          <cell r="G10750" t="str">
            <v>ASV14254</v>
          </cell>
          <cell r="H10750" t="str">
            <v>g__Lactobacillus</v>
          </cell>
          <cell r="I10750" t="str">
            <v>s__unclassified_g__Lactobacillus</v>
          </cell>
        </row>
        <row r="10751">
          <cell r="G10751" t="str">
            <v>ASV16889</v>
          </cell>
          <cell r="H10751" t="str">
            <v>g__Family_XIII_AD3011_group</v>
          </cell>
          <cell r="I10751" t="str">
            <v>s__unclassified_g__Family_XIII_AD3011_group</v>
          </cell>
        </row>
        <row r="10752">
          <cell r="G10752" t="str">
            <v>ASV23200</v>
          </cell>
          <cell r="H10752" t="str">
            <v>g__unclassified_c__Clostridia</v>
          </cell>
          <cell r="I10752" t="str">
            <v>s__unclassified_c__Clostridia</v>
          </cell>
        </row>
        <row r="10753">
          <cell r="G10753" t="str">
            <v>ASV22248</v>
          </cell>
          <cell r="H10753" t="str">
            <v>g__norank_f__Eubacterium_coprostanoligenes_group</v>
          </cell>
          <cell r="I10753" t="str">
            <v>s__uncultured_bacterium_g__norank_f__Eubacterium_coprostanoligenes_group</v>
          </cell>
        </row>
        <row r="10754">
          <cell r="G10754" t="str">
            <v>ASV3202</v>
          </cell>
          <cell r="H10754" t="str">
            <v>g__Desulfovibrio</v>
          </cell>
          <cell r="I10754" t="str">
            <v>s__unclassified_g__Desulfovibrio</v>
          </cell>
        </row>
        <row r="10755">
          <cell r="G10755" t="str">
            <v>ASV2113</v>
          </cell>
          <cell r="H10755" t="str">
            <v>g__norank_f__norank_o__WCHB1-41</v>
          </cell>
          <cell r="I10755" t="str">
            <v>s__uncultured_bacterium_g__norank_f__norank_o__WCHB1-41</v>
          </cell>
        </row>
        <row r="10756">
          <cell r="G10756" t="str">
            <v>ASV5839</v>
          </cell>
          <cell r="H10756" t="str">
            <v>g__Streptococcus</v>
          </cell>
          <cell r="I10756" t="str">
            <v>s__unclassified_g__Streptococcus</v>
          </cell>
        </row>
        <row r="10757">
          <cell r="G10757" t="str">
            <v>ASV17276</v>
          </cell>
          <cell r="H10757" t="str">
            <v>g__Tessaracoccus</v>
          </cell>
          <cell r="I10757" t="str">
            <v>s__unclassified_g__Tessaracoccus</v>
          </cell>
        </row>
        <row r="10758">
          <cell r="G10758" t="str">
            <v>ASV3481</v>
          </cell>
          <cell r="H10758" t="str">
            <v>g__unclassified_p__Firmicutes</v>
          </cell>
          <cell r="I10758" t="str">
            <v>s__unclassified_p__Firmicutes</v>
          </cell>
        </row>
        <row r="10759">
          <cell r="G10759" t="str">
            <v>ASV20738</v>
          </cell>
          <cell r="H10759" t="str">
            <v>g__Phascolarctobacterium</v>
          </cell>
          <cell r="I10759" t="str">
            <v>s__unclassified_g__Phascolarctobacterium</v>
          </cell>
        </row>
        <row r="10760">
          <cell r="G10760" t="str">
            <v>ASV23191</v>
          </cell>
          <cell r="H10760" t="str">
            <v>g__UCG-002</v>
          </cell>
          <cell r="I10760" t="str">
            <v>s__uncultured_bacterium_g__UCG-002</v>
          </cell>
        </row>
        <row r="10761">
          <cell r="G10761" t="str">
            <v>ASV15345</v>
          </cell>
          <cell r="H10761" t="str">
            <v>g__unclassified_f__Ruminococcaceae</v>
          </cell>
          <cell r="I10761" t="str">
            <v>s__unclassified_f__Ruminococcaceae</v>
          </cell>
        </row>
        <row r="10762">
          <cell r="G10762" t="str">
            <v>ASV12702</v>
          </cell>
          <cell r="H10762" t="str">
            <v>g__Intestinimonas</v>
          </cell>
          <cell r="I10762" t="str">
            <v>s__Flavonifractor_plautii_g__Intestinimonas</v>
          </cell>
        </row>
        <row r="10763">
          <cell r="G10763" t="str">
            <v>ASV5918</v>
          </cell>
          <cell r="H10763" t="str">
            <v>g__Blautia</v>
          </cell>
          <cell r="I10763" t="str">
            <v>s__unclassified_g__Blautia</v>
          </cell>
        </row>
        <row r="10764">
          <cell r="G10764" t="str">
            <v>ASV704</v>
          </cell>
          <cell r="H10764" t="str">
            <v>g__Terrisporobacter</v>
          </cell>
          <cell r="I10764" t="str">
            <v>s__unclassified_g__Terrisporobacter</v>
          </cell>
        </row>
        <row r="10765">
          <cell r="G10765" t="str">
            <v>ASV17570</v>
          </cell>
          <cell r="H10765" t="str">
            <v>g__Psychrobacter</v>
          </cell>
          <cell r="I10765" t="str">
            <v>s__unclassified_g__Psychrobacter</v>
          </cell>
        </row>
        <row r="10766">
          <cell r="G10766" t="str">
            <v>ASV20458</v>
          </cell>
          <cell r="H10766" t="str">
            <v>g__Nocardioides</v>
          </cell>
          <cell r="I10766" t="str">
            <v>s__unclassified_g__Nocardioides</v>
          </cell>
        </row>
        <row r="10767">
          <cell r="G10767" t="str">
            <v>ASV22184</v>
          </cell>
          <cell r="H10767" t="str">
            <v>g__unclassified_o__Oscillospirales</v>
          </cell>
          <cell r="I10767" t="str">
            <v>s__unclassified_o__Oscillospirales</v>
          </cell>
        </row>
        <row r="10768">
          <cell r="G10768" t="str">
            <v>ASV8798</v>
          </cell>
          <cell r="H10768" t="str">
            <v>g__Bacteroides</v>
          </cell>
          <cell r="I10768" t="str">
            <v>s__unclassified_g__Bacteroides</v>
          </cell>
        </row>
        <row r="10769">
          <cell r="G10769" t="str">
            <v>ASV657</v>
          </cell>
          <cell r="H10769" t="str">
            <v>g__Lactobacillus</v>
          </cell>
          <cell r="I10769" t="str">
            <v>s__unclassified_g__Lactobacillus</v>
          </cell>
        </row>
        <row r="10770">
          <cell r="G10770" t="str">
            <v>ASV1638</v>
          </cell>
          <cell r="H10770" t="str">
            <v>g__unclassified_c__Clostridia</v>
          </cell>
          <cell r="I10770" t="str">
            <v>s__unclassified_c__Clostridia</v>
          </cell>
        </row>
        <row r="10771">
          <cell r="G10771" t="str">
            <v>ASV24154</v>
          </cell>
          <cell r="H10771" t="str">
            <v>g__unclassified_c__Bacilli</v>
          </cell>
          <cell r="I10771" t="str">
            <v>s__unclassified_c__Bacilli</v>
          </cell>
        </row>
        <row r="10772">
          <cell r="G10772" t="str">
            <v>ASV23196</v>
          </cell>
          <cell r="H10772" t="str">
            <v>g__unclassified_c__Clostridia</v>
          </cell>
          <cell r="I10772" t="str">
            <v>s__unclassified_c__Clostridia</v>
          </cell>
        </row>
        <row r="10773">
          <cell r="G10773" t="str">
            <v>ASV12703</v>
          </cell>
          <cell r="H10773" t="str">
            <v>g__unclassified_c__Bacilli</v>
          </cell>
          <cell r="I10773" t="str">
            <v>s__unclassified_c__Bacilli</v>
          </cell>
        </row>
        <row r="10774">
          <cell r="G10774" t="str">
            <v>ASV10601</v>
          </cell>
          <cell r="H10774" t="str">
            <v>g__Eubacterium_hallii_group</v>
          </cell>
          <cell r="I10774" t="str">
            <v>s__unclassified_g__Eubacterium_hallii_group</v>
          </cell>
        </row>
        <row r="10775">
          <cell r="G10775" t="str">
            <v>ASV18756</v>
          </cell>
          <cell r="H10775" t="str">
            <v>g__Microbacterium</v>
          </cell>
          <cell r="I10775" t="str">
            <v>s__unclassified_g__Microbacterium</v>
          </cell>
        </row>
        <row r="10776">
          <cell r="G10776" t="str">
            <v>ASV16386</v>
          </cell>
          <cell r="H10776" t="str">
            <v>g__Clostridium_sensu_stricto_1</v>
          </cell>
          <cell r="I10776" t="str">
            <v>s__unclassified_g__Clostridium_sensu_stricto_1</v>
          </cell>
        </row>
        <row r="10777">
          <cell r="G10777" t="str">
            <v>ASV15350</v>
          </cell>
          <cell r="H10777" t="str">
            <v>g__Ruminococcus</v>
          </cell>
          <cell r="I10777" t="str">
            <v>s__uncultured_bacterium_g__Ruminococcus</v>
          </cell>
        </row>
        <row r="10778">
          <cell r="G10778" t="str">
            <v>ASV5868</v>
          </cell>
          <cell r="H10778" t="str">
            <v>g__unclassified_f__Oscillospiraceae</v>
          </cell>
          <cell r="I10778" t="str">
            <v>s__unclassified_f__Oscillospiraceae</v>
          </cell>
        </row>
        <row r="10779">
          <cell r="G10779" t="str">
            <v>ASV15346</v>
          </cell>
          <cell r="H10779" t="str">
            <v>g__unclassified_c__Clostridia</v>
          </cell>
          <cell r="I10779" t="str">
            <v>s__unclassified_c__Clostridia</v>
          </cell>
        </row>
        <row r="10780">
          <cell r="G10780" t="str">
            <v>ASV12693</v>
          </cell>
          <cell r="H10780" t="str">
            <v>g__Clostridium_sensu_stricto_1</v>
          </cell>
          <cell r="I10780" t="str">
            <v>s__unclassified_g__Clostridium_sensu_stricto_1</v>
          </cell>
        </row>
        <row r="10781">
          <cell r="G10781" t="str">
            <v>ASV13367</v>
          </cell>
          <cell r="H10781" t="str">
            <v>g__Fusobacterium</v>
          </cell>
          <cell r="I10781" t="str">
            <v>s__Bacillus_bogoriensis_ATCC_BAA-922</v>
          </cell>
        </row>
        <row r="10782">
          <cell r="G10782" t="str">
            <v>ASV7710</v>
          </cell>
          <cell r="H10782" t="str">
            <v>g__unclassified_c__Clostridia</v>
          </cell>
          <cell r="I10782" t="str">
            <v>s__unclassified_c__Clostridia</v>
          </cell>
        </row>
        <row r="10783">
          <cell r="G10783" t="str">
            <v>ASV24386</v>
          </cell>
          <cell r="H10783" t="str">
            <v>g__Eubacterium_nodatum_group</v>
          </cell>
          <cell r="I10783" t="str">
            <v>s__Eubacterium_pyruvativorans</v>
          </cell>
        </row>
        <row r="10784">
          <cell r="G10784" t="str">
            <v>ASV9356</v>
          </cell>
          <cell r="H10784" t="str">
            <v>g__unclassified_f__Ruminococcaceae</v>
          </cell>
          <cell r="I10784" t="str">
            <v>s__unclassified_f__Ruminococcaceae</v>
          </cell>
        </row>
        <row r="10785">
          <cell r="G10785" t="str">
            <v>ASV10018</v>
          </cell>
          <cell r="H10785" t="str">
            <v>g__Mailhella</v>
          </cell>
          <cell r="I10785" t="str">
            <v>s__Desulfovibrio_sp._Marseille-P3199</v>
          </cell>
        </row>
        <row r="10786">
          <cell r="G10786" t="str">
            <v>ASV23278</v>
          </cell>
          <cell r="H10786" t="str">
            <v>g__Clostridium_sensu_stricto_1</v>
          </cell>
          <cell r="I10786" t="str">
            <v>s__unclassified_g__Clostridium_sensu_stricto_1</v>
          </cell>
        </row>
        <row r="10787">
          <cell r="G10787" t="str">
            <v>ASV14938</v>
          </cell>
          <cell r="H10787" t="str">
            <v>g__Bacillus</v>
          </cell>
          <cell r="I10787" t="str">
            <v>s__Lactobacillus_vaginalis_g__Bacillus</v>
          </cell>
        </row>
        <row r="10788">
          <cell r="G10788" t="str">
            <v>ASV15304</v>
          </cell>
          <cell r="H10788" t="str">
            <v>g__unclassified_o__Bacteroidales</v>
          </cell>
          <cell r="I10788" t="str">
            <v>s__unclassified_o__Bacteroidales</v>
          </cell>
        </row>
        <row r="10789">
          <cell r="G10789" t="str">
            <v>ASV679</v>
          </cell>
          <cell r="H10789" t="str">
            <v>g__Lactobacillus</v>
          </cell>
          <cell r="I10789" t="str">
            <v>s__unclassified_g__Lactobacillus</v>
          </cell>
        </row>
        <row r="10790">
          <cell r="G10790" t="str">
            <v>ASV12757</v>
          </cell>
          <cell r="H10790" t="str">
            <v>g__unclassified_f__Peptostreptococcaceae</v>
          </cell>
          <cell r="I10790" t="str">
            <v>s__unclassified_f__Peptostreptococcaceae</v>
          </cell>
        </row>
        <row r="10791">
          <cell r="G10791" t="str">
            <v>ASV773</v>
          </cell>
          <cell r="H10791" t="str">
            <v>g__Prevotellaceae_UCG-001</v>
          </cell>
          <cell r="I10791" t="str">
            <v>s__uncultured_rumen_bacterium_g__Prevotellaceae_UCG-001</v>
          </cell>
        </row>
        <row r="10792">
          <cell r="G10792" t="str">
            <v>ASV6721</v>
          </cell>
          <cell r="H10792" t="str">
            <v>g__unclassified_f__Lachnospiraceae</v>
          </cell>
          <cell r="I10792" t="str">
            <v>s__unclassified_f__Lachnospiraceae</v>
          </cell>
        </row>
        <row r="10793">
          <cell r="G10793" t="str">
            <v>ASV20725</v>
          </cell>
          <cell r="H10793" t="str">
            <v>g__Enterococcus</v>
          </cell>
          <cell r="I10793" t="str">
            <v>s__unclassified_g__Enterococcus</v>
          </cell>
        </row>
        <row r="10794">
          <cell r="G10794" t="str">
            <v>ASV23224</v>
          </cell>
          <cell r="H10794" t="str">
            <v>g__unclassified_c__Clostridia</v>
          </cell>
          <cell r="I10794" t="str">
            <v>s__unclassified_c__Clostridia</v>
          </cell>
        </row>
        <row r="10795">
          <cell r="G10795" t="str">
            <v>ASV8492</v>
          </cell>
          <cell r="H10795" t="str">
            <v>g__Acidaminococcus</v>
          </cell>
          <cell r="I10795" t="str">
            <v>s__Acidaminococcus_fermentans</v>
          </cell>
        </row>
        <row r="10796">
          <cell r="G10796" t="str">
            <v>ASV7694</v>
          </cell>
          <cell r="H10796" t="str">
            <v>g__Ruminococcus</v>
          </cell>
          <cell r="I10796" t="str">
            <v>s__unclassified_g__Ruminococcus</v>
          </cell>
        </row>
        <row r="10797">
          <cell r="G10797" t="str">
            <v>ASV7725</v>
          </cell>
          <cell r="H10797" t="str">
            <v>g__Christensenellaceae_R-7_group</v>
          </cell>
          <cell r="I10797" t="str">
            <v>s__unclassified_g__Christensenellaceae_R-7_group</v>
          </cell>
        </row>
        <row r="10798">
          <cell r="G10798" t="str">
            <v>ASV19571</v>
          </cell>
          <cell r="H10798" t="str">
            <v>g__unclassified_c__Clostridia</v>
          </cell>
          <cell r="I10798" t="str">
            <v>s__unclassified_c__Clostridia</v>
          </cell>
        </row>
        <row r="10799">
          <cell r="G10799" t="str">
            <v>ASV16390</v>
          </cell>
          <cell r="H10799" t="str">
            <v>g__unclassified_f__Lachnospiraceae</v>
          </cell>
          <cell r="I10799" t="str">
            <v>s__unclassified_f__Lachnospiraceae</v>
          </cell>
        </row>
        <row r="10800">
          <cell r="G10800" t="str">
            <v>ASV5934</v>
          </cell>
          <cell r="H10800" t="str">
            <v>g__Clostridium_sensu_stricto_1</v>
          </cell>
          <cell r="I10800" t="str">
            <v>s__uncultured_bacterium_g__Clostridium_sensu_stricto_1</v>
          </cell>
        </row>
        <row r="10801">
          <cell r="G10801" t="str">
            <v>ASV3480</v>
          </cell>
          <cell r="H10801" t="str">
            <v>g__Lactobacillus</v>
          </cell>
          <cell r="I10801" t="str">
            <v>s__unclassified_g__Lactobacillus</v>
          </cell>
        </row>
        <row r="10802">
          <cell r="G10802" t="str">
            <v>ASV9429</v>
          </cell>
          <cell r="H10802" t="str">
            <v>g__unclassified_c__Clostridia</v>
          </cell>
          <cell r="I10802" t="str">
            <v>s__unclassified_c__Clostridia</v>
          </cell>
        </row>
        <row r="10803">
          <cell r="G10803" t="str">
            <v>ASV23188</v>
          </cell>
          <cell r="H10803" t="str">
            <v>g__Fusobacterium</v>
          </cell>
          <cell r="I10803" t="str">
            <v>s__unclassified_g__Fusobacterium</v>
          </cell>
        </row>
        <row r="10804">
          <cell r="G10804" t="str">
            <v>ASV9362</v>
          </cell>
          <cell r="H10804" t="str">
            <v>g__unclassified_c__Clostridia</v>
          </cell>
          <cell r="I10804" t="str">
            <v>s__unclassified_c__Clostridia</v>
          </cell>
        </row>
        <row r="10805">
          <cell r="G10805" t="str">
            <v>ASV20256</v>
          </cell>
          <cell r="H10805" t="str">
            <v>g__Colidextribacter</v>
          </cell>
          <cell r="I10805" t="str">
            <v>s__unclassified_g__Colidextribacter</v>
          </cell>
        </row>
        <row r="10806">
          <cell r="G10806" t="str">
            <v>ASV15306</v>
          </cell>
          <cell r="H10806" t="str">
            <v>g__norank_f__norank_o__Clostridia_vadinBB60_group</v>
          </cell>
          <cell r="I10806" t="str">
            <v>s__uncultured_bacterium_g__norank_f__norank_o__Clostridia_vadinBB60_group</v>
          </cell>
        </row>
        <row r="10807">
          <cell r="G10807" t="str">
            <v>ASV15979</v>
          </cell>
          <cell r="H10807" t="str">
            <v>g__unclassified_c__Clostridia</v>
          </cell>
          <cell r="I10807" t="str">
            <v>s__unclassified_c__Clostridia</v>
          </cell>
        </row>
        <row r="10808">
          <cell r="G10808" t="str">
            <v>ASV12787</v>
          </cell>
          <cell r="H10808" t="str">
            <v>g__Christensenellaceae_R-7_group</v>
          </cell>
          <cell r="I10808" t="str">
            <v>s__unclassified_g__Christensenellaceae_R-7_group</v>
          </cell>
        </row>
        <row r="10809">
          <cell r="G10809" t="str">
            <v>ASV24166</v>
          </cell>
          <cell r="H10809" t="str">
            <v>g__norank_f__Ruminococcaceae</v>
          </cell>
          <cell r="I10809" t="str">
            <v>s__unclassified_g__norank_f__Ruminococcaceae</v>
          </cell>
        </row>
        <row r="10810">
          <cell r="G10810" t="str">
            <v>ASV22224</v>
          </cell>
          <cell r="H10810" t="str">
            <v>g__Christensenellaceae_R-7_group</v>
          </cell>
          <cell r="I10810" t="str">
            <v>s__unclassified_g__Christensenellaceae_R-7_group</v>
          </cell>
        </row>
        <row r="10811">
          <cell r="G10811" t="str">
            <v>ASV10186</v>
          </cell>
          <cell r="H10811" t="str">
            <v>g__Bacteroides</v>
          </cell>
          <cell r="I10811" t="str">
            <v>s__unclassified_g__Bacteroides</v>
          </cell>
        </row>
        <row r="10812">
          <cell r="G10812" t="str">
            <v>ASV4867</v>
          </cell>
          <cell r="H10812" t="str">
            <v>g__norank_f__Muribaculaceae</v>
          </cell>
          <cell r="I10812" t="str">
            <v>s__unclassified_g__norank_f__Muribaculaceae</v>
          </cell>
        </row>
        <row r="10813">
          <cell r="G10813" t="str">
            <v>ASV10615</v>
          </cell>
          <cell r="H10813" t="str">
            <v>g__unclassified_c__Clostridia</v>
          </cell>
          <cell r="I10813" t="str">
            <v>s__unclassified_c__Clostridia</v>
          </cell>
        </row>
        <row r="10814">
          <cell r="G10814" t="str">
            <v>ASV5791</v>
          </cell>
          <cell r="H10814" t="str">
            <v>g__unclassified_c__Clostridia</v>
          </cell>
          <cell r="I10814" t="str">
            <v>s__unclassified_c__Clostridia</v>
          </cell>
        </row>
        <row r="10815">
          <cell r="G10815" t="str">
            <v>ASV23269</v>
          </cell>
          <cell r="H10815" t="str">
            <v>g__unclassified_f__Clostridiaceae</v>
          </cell>
          <cell r="I10815" t="str">
            <v>s__unclassified_f__Clostridiaceae</v>
          </cell>
        </row>
        <row r="10816">
          <cell r="G10816" t="str">
            <v>ASV9380</v>
          </cell>
          <cell r="H10816" t="str">
            <v>g__unclassified_f__Lachnospiraceae</v>
          </cell>
          <cell r="I10816" t="str">
            <v>s__unclassified_f__Lachnospiraceae</v>
          </cell>
        </row>
        <row r="10817">
          <cell r="G10817" t="str">
            <v>ASV13418</v>
          </cell>
          <cell r="H10817" t="str">
            <v>g__Christensenellaceae_R-7_group</v>
          </cell>
          <cell r="I10817" t="str">
            <v>s__uncultured_prokaryote_g__Christensenellaceae_R-7_group</v>
          </cell>
        </row>
        <row r="10818">
          <cell r="G10818" t="str">
            <v>ASV23272</v>
          </cell>
          <cell r="H10818" t="str">
            <v>g__norank_f__Erysipelotrichaceae</v>
          </cell>
          <cell r="I10818" t="str">
            <v>s__uncultured_Solobacterium_sp.</v>
          </cell>
        </row>
        <row r="10819">
          <cell r="G10819" t="str">
            <v>ASV22138</v>
          </cell>
          <cell r="H10819" t="str">
            <v>g__Christensenellaceae_R-7_group</v>
          </cell>
          <cell r="I10819" t="str">
            <v>s__unclassified_g__Christensenellaceae_R-7_group</v>
          </cell>
        </row>
        <row r="10820">
          <cell r="G10820" t="str">
            <v>ASV17411</v>
          </cell>
          <cell r="H10820" t="str">
            <v>g__Staphylococcus</v>
          </cell>
          <cell r="I10820" t="str">
            <v>s__unclassified_g__Staphylococcus</v>
          </cell>
        </row>
        <row r="10821">
          <cell r="G10821" t="str">
            <v>ASV14271</v>
          </cell>
          <cell r="H10821" t="str">
            <v>g__unclassified_f__Lachnospiraceae</v>
          </cell>
          <cell r="I10821" t="str">
            <v>s__unclassified_f__Lachnospiraceae</v>
          </cell>
        </row>
        <row r="10822">
          <cell r="G10822" t="str">
            <v>ASV3973</v>
          </cell>
          <cell r="H10822" t="str">
            <v>g__Bilophila</v>
          </cell>
          <cell r="I10822" t="str">
            <v>s__uncultured_delta_proteobacterium_g__Bilophila</v>
          </cell>
        </row>
        <row r="10823">
          <cell r="G10823" t="str">
            <v>ASV9328</v>
          </cell>
          <cell r="H10823" t="str">
            <v>g__Enterococcus</v>
          </cell>
          <cell r="I10823" t="str">
            <v>s__unclassified_g__Enterococcus</v>
          </cell>
        </row>
        <row r="10824">
          <cell r="G10824" t="str">
            <v>ASV18878</v>
          </cell>
          <cell r="H10824" t="str">
            <v>g__Fusobacterium</v>
          </cell>
          <cell r="I10824" t="str">
            <v>s__Bacillus_bogoriensis_ATCC_BAA-922</v>
          </cell>
        </row>
        <row r="10825">
          <cell r="G10825" t="str">
            <v>ASV10184</v>
          </cell>
          <cell r="H10825" t="str">
            <v>g__Fusobacterium</v>
          </cell>
          <cell r="I10825" t="str">
            <v>s__unclassified_g__Fusobacterium</v>
          </cell>
        </row>
        <row r="10826">
          <cell r="G10826" t="str">
            <v>ASV19490</v>
          </cell>
          <cell r="H10826" t="str">
            <v>g__norank_f__Muribaculaceae</v>
          </cell>
          <cell r="I10826" t="str">
            <v>s__uncultured_bacterium_g__norank_f__Muribaculaceae</v>
          </cell>
        </row>
        <row r="10827">
          <cell r="G10827" t="str">
            <v>ASV10678</v>
          </cell>
          <cell r="H10827" t="str">
            <v>g__unclassified_c__Bacilli</v>
          </cell>
          <cell r="I10827" t="str">
            <v>s__unclassified_c__Bacilli</v>
          </cell>
        </row>
        <row r="10828">
          <cell r="G10828" t="str">
            <v>ASV21223</v>
          </cell>
          <cell r="H10828" t="str">
            <v>g__unclassified_k__norank_d__Bacteria</v>
          </cell>
          <cell r="I10828" t="str">
            <v>s__unclassified_k__norank_d__Bacteria</v>
          </cell>
        </row>
        <row r="10829">
          <cell r="G10829" t="str">
            <v>ASV14295</v>
          </cell>
          <cell r="H10829" t="str">
            <v>g__Lactobacillus</v>
          </cell>
          <cell r="I10829" t="str">
            <v>s__unclassified_g__Lactobacillus</v>
          </cell>
        </row>
        <row r="10830">
          <cell r="G10830" t="str">
            <v>ASV15951</v>
          </cell>
          <cell r="H10830" t="str">
            <v>g__UCG-002</v>
          </cell>
          <cell r="I10830" t="str">
            <v>s__uncultured_bacterium_g__UCG-002</v>
          </cell>
        </row>
        <row r="10831">
          <cell r="G10831" t="str">
            <v>ASV23255</v>
          </cell>
          <cell r="H10831" t="str">
            <v>g__Streptococcus</v>
          </cell>
          <cell r="I10831" t="str">
            <v>s__unclassified_g__Streptococcus</v>
          </cell>
        </row>
        <row r="10832">
          <cell r="G10832" t="str">
            <v>ASV22185</v>
          </cell>
          <cell r="H10832" t="str">
            <v>g__NK4A214_group</v>
          </cell>
          <cell r="I10832" t="str">
            <v>s__Lachnospiraceae_bacterium_19gly4</v>
          </cell>
        </row>
        <row r="10833">
          <cell r="G10833" t="str">
            <v>ASV9348</v>
          </cell>
          <cell r="H10833" t="str">
            <v>g__unclassified_f__Lachnospiraceae</v>
          </cell>
          <cell r="I10833" t="str">
            <v>s__unclassified_f__Lachnospiraceae</v>
          </cell>
        </row>
        <row r="10834">
          <cell r="G10834" t="str">
            <v>ASV730</v>
          </cell>
          <cell r="H10834" t="str">
            <v>g__unclassified_f__Lachnospiraceae</v>
          </cell>
          <cell r="I10834" t="str">
            <v>s__unclassified_f__Lachnospiraceae</v>
          </cell>
        </row>
        <row r="10835">
          <cell r="G10835" t="str">
            <v>ASV22141</v>
          </cell>
          <cell r="H10835" t="str">
            <v>g__unclassified_c__Clostridia</v>
          </cell>
          <cell r="I10835" t="str">
            <v>s__unclassified_c__Clostridia</v>
          </cell>
        </row>
        <row r="10836">
          <cell r="G10836" t="str">
            <v>ASV6716</v>
          </cell>
          <cell r="H10836" t="str">
            <v>g__unclassified_f__Lachnospiraceae</v>
          </cell>
          <cell r="I10836" t="str">
            <v>s__unclassified_f__Lachnospiraceae</v>
          </cell>
        </row>
        <row r="10837">
          <cell r="G10837" t="str">
            <v>ASV674</v>
          </cell>
          <cell r="H10837" t="str">
            <v>g__Lactobacillus</v>
          </cell>
          <cell r="I10837" t="str">
            <v>s__unclassified_g__Lactobacillus</v>
          </cell>
        </row>
        <row r="10838">
          <cell r="G10838" t="str">
            <v>ASV17965</v>
          </cell>
          <cell r="H10838" t="str">
            <v>g__norank_f__norank_o__Clostridia_UCG-014</v>
          </cell>
          <cell r="I10838" t="str">
            <v>s__uncultured_bacterium_g__norank_f__norank_o__Clostridia_UCG-014</v>
          </cell>
        </row>
        <row r="10839">
          <cell r="G10839" t="str">
            <v>ASV3975</v>
          </cell>
          <cell r="H10839" t="str">
            <v>g__Monoglobus</v>
          </cell>
          <cell r="I10839" t="str">
            <v>s__uncultured_bacterium_g__Monoglobus</v>
          </cell>
        </row>
        <row r="10840">
          <cell r="G10840" t="str">
            <v>ASV700</v>
          </cell>
          <cell r="H10840" t="str">
            <v>g__unclassified_c__Clostridia</v>
          </cell>
          <cell r="I10840" t="str">
            <v>s__unclassified_c__Clostridia</v>
          </cell>
        </row>
        <row r="10841">
          <cell r="G10841" t="str">
            <v>ASV20750</v>
          </cell>
          <cell r="H10841" t="str">
            <v>g__Lactobacillus</v>
          </cell>
          <cell r="I10841" t="str">
            <v>s__unclassified_g__Lactobacillus</v>
          </cell>
        </row>
        <row r="10842">
          <cell r="G10842" t="str">
            <v>ASV14179</v>
          </cell>
          <cell r="H10842" t="str">
            <v>g__unclassified_f__Christensenellaceae</v>
          </cell>
          <cell r="I10842" t="str">
            <v>s__unclassified_f__Christensenellaceae</v>
          </cell>
        </row>
        <row r="10843">
          <cell r="G10843" t="str">
            <v>ASV5928</v>
          </cell>
          <cell r="H10843" t="str">
            <v>g__unclassified_f__Peptostreptococcaceae</v>
          </cell>
          <cell r="I10843" t="str">
            <v>s__unclassified_f__Peptostreptococcaceae</v>
          </cell>
        </row>
        <row r="10844">
          <cell r="G10844" t="str">
            <v>ASV12719</v>
          </cell>
          <cell r="H10844" t="str">
            <v>g__unclassified_c__Clostridia</v>
          </cell>
          <cell r="I10844" t="str">
            <v>s__unclassified_c__Clostridia</v>
          </cell>
        </row>
        <row r="10845">
          <cell r="G10845" t="str">
            <v>ASV11475</v>
          </cell>
          <cell r="H10845" t="str">
            <v>g__Bifidobacterium</v>
          </cell>
          <cell r="I10845" t="str">
            <v>s__unclassified_g__Bifidobacterium</v>
          </cell>
        </row>
        <row r="10846">
          <cell r="G10846" t="str">
            <v>ASV12791</v>
          </cell>
          <cell r="H10846" t="str">
            <v>g__Subdoligranulum</v>
          </cell>
          <cell r="I10846" t="str">
            <v>s__uncultured_bacterium_g__Subdoligranulum</v>
          </cell>
        </row>
        <row r="10847">
          <cell r="G10847" t="str">
            <v>ASV7724</v>
          </cell>
          <cell r="H10847" t="str">
            <v>g__unclassified_p__Firmicutes</v>
          </cell>
          <cell r="I10847" t="str">
            <v>s__unclassified_p__Firmicutes</v>
          </cell>
        </row>
        <row r="10848">
          <cell r="G10848" t="str">
            <v>ASV3470</v>
          </cell>
          <cell r="H10848" t="str">
            <v>g__unclassified_f__Selenomonadaceae</v>
          </cell>
          <cell r="I10848" t="str">
            <v>s__unclassified_f__Selenomonadaceae</v>
          </cell>
        </row>
        <row r="10849">
          <cell r="G10849" t="str">
            <v>ASV638</v>
          </cell>
          <cell r="H10849" t="str">
            <v>g__unclassified_f__Lachnospiraceae</v>
          </cell>
          <cell r="I10849" t="str">
            <v>s__unclassified_f__Lachnospiraceae</v>
          </cell>
        </row>
        <row r="10850">
          <cell r="G10850" t="str">
            <v>ASV766</v>
          </cell>
          <cell r="H10850" t="str">
            <v>g__unclassified_f__Oscillospiraceae</v>
          </cell>
          <cell r="I10850" t="str">
            <v>s__unclassified_f__Oscillospiraceae</v>
          </cell>
        </row>
        <row r="10851">
          <cell r="G10851" t="str">
            <v>ASV18571</v>
          </cell>
          <cell r="H10851" t="str">
            <v>g__Lactobacillus</v>
          </cell>
          <cell r="I10851" t="str">
            <v>s__unclassified_g__Lactobacillus</v>
          </cell>
        </row>
        <row r="10852">
          <cell r="G10852" t="str">
            <v>ASV19472</v>
          </cell>
          <cell r="H10852" t="str">
            <v>g__unclassified_c__Clostridia</v>
          </cell>
          <cell r="I10852" t="str">
            <v>s__unclassified_c__Clostridia</v>
          </cell>
        </row>
        <row r="10853">
          <cell r="G10853" t="str">
            <v>ASV5808</v>
          </cell>
          <cell r="H10853" t="str">
            <v>g__unclassified_f__Oscillospiraceae</v>
          </cell>
          <cell r="I10853" t="str">
            <v>s__unclassified_f__Oscillospiraceae</v>
          </cell>
        </row>
        <row r="10854">
          <cell r="G10854" t="str">
            <v>ASV11664</v>
          </cell>
          <cell r="H10854" t="str">
            <v>g__Lachnospira</v>
          </cell>
          <cell r="I10854" t="str">
            <v>s__uncultured_bacterium_g__Lachnospira</v>
          </cell>
        </row>
        <row r="10855">
          <cell r="G10855" t="str">
            <v>ASV692</v>
          </cell>
          <cell r="H10855" t="str">
            <v>g__Holdemanella</v>
          </cell>
          <cell r="I10855" t="str">
            <v>s__uncultured_bacterium_g__Holdemanella</v>
          </cell>
        </row>
        <row r="10856">
          <cell r="G10856" t="str">
            <v>ASV19504</v>
          </cell>
          <cell r="H10856" t="str">
            <v>g__unclassified_o__Oscillospirales</v>
          </cell>
          <cell r="I10856" t="str">
            <v>s__unclassified_o__Oscillospirales</v>
          </cell>
        </row>
        <row r="10857">
          <cell r="G10857" t="str">
            <v>ASV18593</v>
          </cell>
          <cell r="H10857" t="str">
            <v>g__unclassified_f__Lachnospiraceae</v>
          </cell>
          <cell r="I10857" t="str">
            <v>s__unclassified_f__Lachnospiraceae</v>
          </cell>
        </row>
        <row r="10858">
          <cell r="G10858" t="str">
            <v>ASV23180</v>
          </cell>
          <cell r="H10858" t="str">
            <v>g__Lactobacillus</v>
          </cell>
          <cell r="I10858" t="str">
            <v>s__unclassified_g__Lactobacillus</v>
          </cell>
        </row>
        <row r="10859">
          <cell r="G10859" t="str">
            <v>ASV585</v>
          </cell>
          <cell r="H10859" t="str">
            <v>g__unclassified_p__Firmicutes</v>
          </cell>
          <cell r="I10859" t="str">
            <v>s__unclassified_p__Firmicutes</v>
          </cell>
        </row>
        <row r="10860">
          <cell r="G10860" t="str">
            <v>ASV21207</v>
          </cell>
          <cell r="H10860" t="str">
            <v>g__unclassified_o__Lactobacillales</v>
          </cell>
          <cell r="I10860" t="str">
            <v>s__unclassified_o__Lactobacillales</v>
          </cell>
        </row>
        <row r="10861">
          <cell r="G10861" t="str">
            <v>ASV22153</v>
          </cell>
          <cell r="H10861" t="str">
            <v>g__Christensenellaceae_R-7_group</v>
          </cell>
          <cell r="I10861" t="str">
            <v>s__unclassified_g__Christensenellaceae_R-7_group</v>
          </cell>
        </row>
        <row r="10862">
          <cell r="G10862" t="str">
            <v>ASV5909</v>
          </cell>
          <cell r="H10862" t="str">
            <v>g__Bacteroides</v>
          </cell>
          <cell r="I10862" t="str">
            <v>s__unclassified_g__Bacteroides</v>
          </cell>
        </row>
        <row r="10863">
          <cell r="G10863" t="str">
            <v>ASV15320</v>
          </cell>
          <cell r="H10863" t="str">
            <v>g__unclassified_c__Clostridia</v>
          </cell>
          <cell r="I10863" t="str">
            <v>s__unclassified_c__Clostridia</v>
          </cell>
        </row>
        <row r="10864">
          <cell r="G10864" t="str">
            <v>ASV4839</v>
          </cell>
          <cell r="H10864" t="str">
            <v>g__Christensenellaceae_R-7_group</v>
          </cell>
          <cell r="I10864" t="str">
            <v>s__unclassified_g__Christensenellaceae_R-7_group</v>
          </cell>
        </row>
        <row r="10865">
          <cell r="G10865" t="str">
            <v>ASV10607</v>
          </cell>
          <cell r="H10865" t="str">
            <v>g__norank_f__Erysipelotrichaceae</v>
          </cell>
          <cell r="I10865" t="str">
            <v>s__uncultured_bacterium_g__norank_f__Erysipelotrichaceae</v>
          </cell>
        </row>
        <row r="10866">
          <cell r="G10866" t="str">
            <v>ASV10182</v>
          </cell>
          <cell r="H10866" t="str">
            <v>g__unclassified_f__Lachnospiraceae</v>
          </cell>
          <cell r="I10866" t="str">
            <v>s__unclassified_f__Lachnospiraceae</v>
          </cell>
        </row>
        <row r="10867">
          <cell r="G10867" t="str">
            <v>ASV2206</v>
          </cell>
          <cell r="H10867" t="str">
            <v>g__Clostridium_sensu_stricto_1</v>
          </cell>
          <cell r="I10867" t="str">
            <v>s__unclassified_g__Clostridium_sensu_stricto_1</v>
          </cell>
        </row>
        <row r="10868">
          <cell r="G10868" t="str">
            <v>ASV4785</v>
          </cell>
          <cell r="H10868" t="str">
            <v>g__unclassified_c__Clostridia</v>
          </cell>
          <cell r="I10868" t="str">
            <v>s__unclassified_c__Clostridia</v>
          </cell>
        </row>
        <row r="10869">
          <cell r="G10869" t="str">
            <v>ASV1650</v>
          </cell>
          <cell r="H10869" t="str">
            <v>g__Romboutsia</v>
          </cell>
          <cell r="I10869" t="str">
            <v>s__unclassified_g__Romboutsia</v>
          </cell>
        </row>
        <row r="10870">
          <cell r="G10870" t="str">
            <v>ASV6665</v>
          </cell>
          <cell r="H10870" t="str">
            <v>g__Escherichia-Shigella</v>
          </cell>
          <cell r="I10870" t="str">
            <v>s__unclassified_g__Escherichia-Shigella</v>
          </cell>
        </row>
        <row r="10871">
          <cell r="G10871" t="str">
            <v>ASV13420</v>
          </cell>
          <cell r="H10871" t="str">
            <v>g__Enterococcus</v>
          </cell>
          <cell r="I10871" t="str">
            <v>s__unclassified_g__Enterococcus</v>
          </cell>
        </row>
        <row r="10872">
          <cell r="G10872" t="str">
            <v>ASV626</v>
          </cell>
          <cell r="H10872" t="str">
            <v>g__Lactobacillus</v>
          </cell>
          <cell r="I10872" t="str">
            <v>s__unclassified_g__Lactobacillus</v>
          </cell>
        </row>
        <row r="10873">
          <cell r="G10873" t="str">
            <v>ASV14291</v>
          </cell>
          <cell r="H10873" t="str">
            <v>g__CAG-873</v>
          </cell>
          <cell r="I10873" t="str">
            <v>s__Bacteroidales_bacterium_H4</v>
          </cell>
        </row>
        <row r="10874">
          <cell r="G10874" t="str">
            <v>ASV690</v>
          </cell>
          <cell r="H10874" t="str">
            <v>g__unclassified_c__Clostridia</v>
          </cell>
          <cell r="I10874" t="str">
            <v>s__unclassified_c__Clostridia</v>
          </cell>
        </row>
        <row r="10875">
          <cell r="G10875" t="str">
            <v>ASV17355</v>
          </cell>
          <cell r="H10875" t="str">
            <v>g__norank_f__norank_o__RF39</v>
          </cell>
          <cell r="I10875" t="str">
            <v>s__uncultured_bacterium_g__norank_f__norank_o__RF39</v>
          </cell>
        </row>
        <row r="10876">
          <cell r="G10876" t="str">
            <v>ASV628</v>
          </cell>
          <cell r="H10876" t="str">
            <v>g__unclassified_k__norank_d__Bacteria</v>
          </cell>
          <cell r="I10876" t="str">
            <v>s__unclassified_k__norank_d__Bacteria</v>
          </cell>
        </row>
        <row r="10877">
          <cell r="G10877" t="str">
            <v>ASV15340</v>
          </cell>
          <cell r="H10877" t="str">
            <v>g__Clostridium_sensu_stricto_1</v>
          </cell>
          <cell r="I10877" t="str">
            <v>s__unclassified_g__Clostridium_sensu_stricto_1</v>
          </cell>
        </row>
        <row r="10878">
          <cell r="G10878" t="str">
            <v>ASV9387</v>
          </cell>
          <cell r="H10878" t="str">
            <v>g__unclassified_f__Lachnospiraceae</v>
          </cell>
          <cell r="I10878" t="str">
            <v>s__unclassified_f__Lachnospiraceae</v>
          </cell>
        </row>
        <row r="10879">
          <cell r="G10879" t="str">
            <v>ASV24155</v>
          </cell>
          <cell r="H10879" t="str">
            <v>g__unclassified_f__Lachnospiraceae</v>
          </cell>
          <cell r="I10879" t="str">
            <v>s__unclassified_f__Lachnospiraceae</v>
          </cell>
        </row>
        <row r="10880">
          <cell r="G10880" t="str">
            <v>ASV3980</v>
          </cell>
          <cell r="H10880" t="str">
            <v>g__norank_f__Ruminococcaceae</v>
          </cell>
          <cell r="I10880" t="str">
            <v>s__gut_metagenome_g__norank_f__Ruminococcaceae</v>
          </cell>
        </row>
        <row r="10881">
          <cell r="G10881" t="str">
            <v>ASV18852</v>
          </cell>
          <cell r="H10881" t="str">
            <v>g__Succinivibrio</v>
          </cell>
          <cell r="I10881" t="str">
            <v>s__metagenome_g__Succinivibrio</v>
          </cell>
        </row>
        <row r="10882">
          <cell r="G10882" t="str">
            <v>ASV17982</v>
          </cell>
          <cell r="H10882" t="str">
            <v>g__unclassified_c__Clostridia</v>
          </cell>
          <cell r="I10882" t="str">
            <v>s__unclassified_c__Clostridia</v>
          </cell>
        </row>
        <row r="10883">
          <cell r="G10883" t="str">
            <v>ASV655</v>
          </cell>
          <cell r="H10883" t="str">
            <v>g__unclassified_f__Ruminococcaceae</v>
          </cell>
          <cell r="I10883" t="str">
            <v>s__unclassified_f__Ruminococcaceae</v>
          </cell>
        </row>
        <row r="10884">
          <cell r="G10884" t="str">
            <v>ASV12760</v>
          </cell>
          <cell r="H10884" t="str">
            <v>g__norank_f__Erysipelotrichaceae</v>
          </cell>
          <cell r="I10884" t="str">
            <v>s__uncultured_bacterium_g__norank_f__Erysipelotrichaceae</v>
          </cell>
        </row>
        <row r="10885">
          <cell r="G10885" t="str">
            <v>ASV21742</v>
          </cell>
          <cell r="H10885" t="str">
            <v>g__Noviherbaspirillum</v>
          </cell>
          <cell r="I10885" t="str">
            <v>s__unclassified_g__Noviherbaspirillum</v>
          </cell>
        </row>
        <row r="10886">
          <cell r="G10886" t="str">
            <v>ASV23235</v>
          </cell>
          <cell r="H10886" t="str">
            <v>g__unclassified_f__Lachnospiraceae</v>
          </cell>
          <cell r="I10886" t="str">
            <v>s__unclassified_f__Lachnospiraceae</v>
          </cell>
        </row>
        <row r="10887">
          <cell r="G10887" t="str">
            <v>ASV9326</v>
          </cell>
          <cell r="H10887" t="str">
            <v>g__SP3-e08</v>
          </cell>
          <cell r="I10887" t="str">
            <v>s__uncultured_bacterium_g__SP3-e08</v>
          </cell>
        </row>
        <row r="10888">
          <cell r="G10888" t="str">
            <v>ASV20774</v>
          </cell>
          <cell r="H10888" t="str">
            <v>g__Clostridium_sensu_stricto_1</v>
          </cell>
          <cell r="I10888" t="str">
            <v>s__unclassified_g__Clostridium_sensu_stricto_1</v>
          </cell>
        </row>
        <row r="10889">
          <cell r="G10889" t="str">
            <v>ASV22255</v>
          </cell>
          <cell r="H10889" t="str">
            <v>g__unclassified_c__Clostridia</v>
          </cell>
          <cell r="I10889" t="str">
            <v>s__unclassified_c__Clostridia</v>
          </cell>
        </row>
        <row r="10890">
          <cell r="G10890" t="str">
            <v>ASV14212</v>
          </cell>
          <cell r="H10890" t="str">
            <v>g__Sharpea</v>
          </cell>
          <cell r="I10890" t="str">
            <v>s__unclassified_g__Sharpea</v>
          </cell>
        </row>
        <row r="10891">
          <cell r="G10891" t="str">
            <v>ASV11622</v>
          </cell>
          <cell r="H10891" t="str">
            <v>g__unclassified_f__Ruminococcaceae</v>
          </cell>
          <cell r="I10891" t="str">
            <v>s__unclassified_f__Ruminococcaceae</v>
          </cell>
        </row>
        <row r="10892">
          <cell r="G10892" t="str">
            <v>ASV2195</v>
          </cell>
          <cell r="H10892" t="str">
            <v>g__unclassified_f__Lachnospiraceae</v>
          </cell>
          <cell r="I10892" t="str">
            <v>s__unclassified_f__Lachnospiraceae</v>
          </cell>
        </row>
        <row r="10893">
          <cell r="G10893" t="str">
            <v>ASV21741</v>
          </cell>
          <cell r="H10893" t="str">
            <v>g__Mobilicoccus</v>
          </cell>
          <cell r="I10893" t="str">
            <v>s__unclassified_g__Mobilicoccus</v>
          </cell>
        </row>
        <row r="10894">
          <cell r="G10894" t="str">
            <v>ASV15383</v>
          </cell>
          <cell r="H10894" t="str">
            <v>g__unclassified_f__Ruminococcaceae</v>
          </cell>
          <cell r="I10894" t="str">
            <v>s__unclassified_f__Ruminococcaceae</v>
          </cell>
        </row>
        <row r="10895">
          <cell r="G10895" t="str">
            <v>ASV15400</v>
          </cell>
          <cell r="H10895" t="str">
            <v>g__Ruminococcus</v>
          </cell>
          <cell r="I10895" t="str">
            <v>s__unclassified_g__Ruminococcus</v>
          </cell>
        </row>
        <row r="10896">
          <cell r="G10896" t="str">
            <v>ASV2212</v>
          </cell>
          <cell r="H10896" t="str">
            <v>g__unclassified_f__Clostridiaceae</v>
          </cell>
          <cell r="I10896" t="str">
            <v>s__unclassified_f__Clostridiaceae</v>
          </cell>
        </row>
        <row r="10897">
          <cell r="G10897" t="str">
            <v>ASV774</v>
          </cell>
          <cell r="H10897" t="str">
            <v>g__NK4A214_group</v>
          </cell>
          <cell r="I10897" t="str">
            <v>s__unclassified_g__NK4A214_group</v>
          </cell>
        </row>
        <row r="10898">
          <cell r="G10898" t="str">
            <v>ASV13414</v>
          </cell>
          <cell r="H10898" t="str">
            <v>g__Romboutsia</v>
          </cell>
          <cell r="I10898" t="str">
            <v>s__unclassified_g__Romboutsia</v>
          </cell>
        </row>
        <row r="10899">
          <cell r="G10899" t="str">
            <v>ASV17976</v>
          </cell>
          <cell r="H10899" t="str">
            <v>g__norank_f__UCG-010</v>
          </cell>
          <cell r="I10899" t="str">
            <v>s__uncultured_bacterium_g__norank_f__UCG-010</v>
          </cell>
        </row>
        <row r="10900">
          <cell r="G10900" t="str">
            <v>ASV5877</v>
          </cell>
          <cell r="H10900" t="str">
            <v>g__UCG-002</v>
          </cell>
          <cell r="I10900" t="str">
            <v>s__uncultured_bacterium_g__UCG-002</v>
          </cell>
        </row>
        <row r="10901">
          <cell r="G10901" t="str">
            <v>ASV7051</v>
          </cell>
          <cell r="H10901" t="str">
            <v>g__Faecalibacterium</v>
          </cell>
          <cell r="I10901" t="str">
            <v>s__uncultured_bacterium_g__Faecalibacterium</v>
          </cell>
        </row>
        <row r="10902">
          <cell r="G10902" t="str">
            <v>ASV8812</v>
          </cell>
          <cell r="H10902" t="str">
            <v>g__Lactobacillus</v>
          </cell>
          <cell r="I10902" t="str">
            <v>s__unclassified_g__Lactobacillus</v>
          </cell>
        </row>
        <row r="10903">
          <cell r="G10903" t="str">
            <v>ASV15365</v>
          </cell>
          <cell r="H10903" t="str">
            <v>g__Christensenellaceae_R-7_group</v>
          </cell>
          <cell r="I10903" t="str">
            <v>s__unclassified_g__Christensenellaceae_R-7_group</v>
          </cell>
        </row>
        <row r="10904">
          <cell r="G10904" t="str">
            <v>ASV15807</v>
          </cell>
          <cell r="H10904" t="str">
            <v>g__Bacteroides</v>
          </cell>
          <cell r="I10904" t="str">
            <v>s__unclassified_g__Bacteroides</v>
          </cell>
        </row>
        <row r="10905">
          <cell r="G10905" t="str">
            <v>ASV4780</v>
          </cell>
          <cell r="H10905" t="str">
            <v>g__unclassified_c__Clostridia</v>
          </cell>
          <cell r="I10905" t="str">
            <v>s__unclassified_c__Clostridia</v>
          </cell>
        </row>
        <row r="10906">
          <cell r="G10906" t="str">
            <v>ASV2166</v>
          </cell>
          <cell r="H10906" t="str">
            <v>g__Lachnospiraceae_NC2004_group</v>
          </cell>
          <cell r="I10906" t="str">
            <v>s__uncultured_bacterium_g__Lachnospiraceae_NC2004_group</v>
          </cell>
        </row>
        <row r="10907">
          <cell r="G10907" t="str">
            <v>ASV17486</v>
          </cell>
          <cell r="H10907" t="str">
            <v>g__unclassified_f__Lachnospiraceae</v>
          </cell>
          <cell r="I10907" t="str">
            <v>s__unclassified_f__Lachnospiraceae</v>
          </cell>
        </row>
        <row r="10908">
          <cell r="G10908" t="str">
            <v>ASV3984</v>
          </cell>
          <cell r="H10908" t="str">
            <v>g__unclassified_o__Oscillospirales</v>
          </cell>
          <cell r="I10908" t="str">
            <v>s__unclassified_o__Oscillospirales</v>
          </cell>
        </row>
        <row r="10909">
          <cell r="G10909" t="str">
            <v>ASV10586</v>
          </cell>
          <cell r="H10909" t="str">
            <v>g__unclassified_f__Oscillospiraceae</v>
          </cell>
          <cell r="I10909" t="str">
            <v>s__unclassified_f__Oscillospiraceae</v>
          </cell>
        </row>
        <row r="10910">
          <cell r="G10910" t="str">
            <v>ASV4744</v>
          </cell>
          <cell r="H10910" t="str">
            <v>g__unclassified_k__norank_d__Bacteria</v>
          </cell>
          <cell r="I10910" t="str">
            <v>s__unclassified_k__norank_d__Bacteria</v>
          </cell>
        </row>
        <row r="10911">
          <cell r="G10911" t="str">
            <v>ASV13714</v>
          </cell>
          <cell r="H10911" t="str">
            <v>g__Veillonella</v>
          </cell>
          <cell r="I10911" t="str">
            <v>s__unclassified_g__Veillonella</v>
          </cell>
        </row>
        <row r="10912">
          <cell r="G10912" t="str">
            <v>ASV10595</v>
          </cell>
          <cell r="H10912" t="str">
            <v>g__UCG-002</v>
          </cell>
          <cell r="I10912" t="str">
            <v>s__uncultured_bacterium_g__UCG-002</v>
          </cell>
        </row>
        <row r="10913">
          <cell r="G10913" t="str">
            <v>ASV10677</v>
          </cell>
          <cell r="H10913" t="str">
            <v>g__norank_f__Eubacterium_coprostanoligenes_group</v>
          </cell>
          <cell r="I10913" t="str">
            <v>s__uncultured_bacterium_g__norank_f__Eubacterium_coprostanoligenes_group</v>
          </cell>
        </row>
        <row r="10914">
          <cell r="G10914" t="str">
            <v>ASV17141</v>
          </cell>
          <cell r="H10914" t="str">
            <v>g__unclassified_k__norank_d__Bacteria</v>
          </cell>
          <cell r="I10914" t="str">
            <v>s__unclassified_k__norank_d__Bacteria</v>
          </cell>
        </row>
        <row r="10915">
          <cell r="G10915" t="str">
            <v>ASV12721</v>
          </cell>
          <cell r="H10915" t="str">
            <v>g__norank_f__Muribaculaceae</v>
          </cell>
          <cell r="I10915" t="str">
            <v>s__unclassified_g__norank_f__Muribaculaceae</v>
          </cell>
        </row>
        <row r="10916">
          <cell r="G10916" t="str">
            <v>ASV22194</v>
          </cell>
          <cell r="H10916" t="str">
            <v>g__unclassified_c__Clostridia</v>
          </cell>
          <cell r="I10916" t="str">
            <v>s__unclassified_c__Clostridia</v>
          </cell>
        </row>
        <row r="10917">
          <cell r="G10917" t="str">
            <v>ASV19163</v>
          </cell>
          <cell r="H10917" t="str">
            <v>g__Chryseobacterium</v>
          </cell>
          <cell r="I10917" t="str">
            <v>s__unclassified_g__Chryseobacterium</v>
          </cell>
        </row>
        <row r="10918">
          <cell r="G10918" t="str">
            <v>ASV11570</v>
          </cell>
          <cell r="H10918" t="str">
            <v>g__Lachnospiraceae_NK4B4_group</v>
          </cell>
          <cell r="I10918" t="str">
            <v>s__uncultured_bacterium_g__Lachnospiraceae_NK4B4_group</v>
          </cell>
        </row>
        <row r="10919">
          <cell r="G10919" t="str">
            <v>ASV20724</v>
          </cell>
          <cell r="H10919" t="str">
            <v>g__unclassified_f__Ruminococcaceae</v>
          </cell>
          <cell r="I10919" t="str">
            <v>s__unclassified_f__Ruminococcaceae</v>
          </cell>
        </row>
        <row r="10920">
          <cell r="G10920" t="str">
            <v>ASV14196</v>
          </cell>
          <cell r="H10920" t="str">
            <v>g__unclassified_c__Bacilli</v>
          </cell>
          <cell r="I10920" t="str">
            <v>s__unclassified_c__Bacilli</v>
          </cell>
        </row>
        <row r="10921">
          <cell r="G10921" t="str">
            <v>ASV586</v>
          </cell>
          <cell r="H10921" t="str">
            <v>g__Family_XIII_AD3011_group</v>
          </cell>
          <cell r="I10921" t="str">
            <v>s__uncultured_bacterium_g__Family_XIII_AD3011_group</v>
          </cell>
        </row>
        <row r="10922">
          <cell r="G10922" t="str">
            <v>ASV17196</v>
          </cell>
          <cell r="H10922" t="str">
            <v>g__Turicibacter</v>
          </cell>
          <cell r="I10922" t="str">
            <v>s__uncultured_bacterium_g__Turicibacter</v>
          </cell>
        </row>
        <row r="10923">
          <cell r="G10923" t="str">
            <v>ASV5895</v>
          </cell>
          <cell r="H10923" t="str">
            <v>g__unclassified_c__Clostridia</v>
          </cell>
          <cell r="I10923" t="str">
            <v>s__unclassified_c__Clostridia</v>
          </cell>
        </row>
        <row r="10924">
          <cell r="G10924" t="str">
            <v>ASV10195</v>
          </cell>
          <cell r="H10924" t="str">
            <v>g__unclassified_f__Lachnospiraceae</v>
          </cell>
          <cell r="I10924" t="str">
            <v>s__unclassified_f__Lachnospiraceae</v>
          </cell>
        </row>
        <row r="10925">
          <cell r="G10925" t="str">
            <v>ASV17669</v>
          </cell>
          <cell r="H10925" t="str">
            <v>g__unclassified_c__Bacilli</v>
          </cell>
          <cell r="I10925" t="str">
            <v>s__unclassified_c__Bacilli</v>
          </cell>
        </row>
        <row r="10926">
          <cell r="G10926" t="str">
            <v>ASV3645</v>
          </cell>
          <cell r="H10926" t="str">
            <v>g__Rothia</v>
          </cell>
          <cell r="I10926" t="str">
            <v>s__unclassified_g__Rothia</v>
          </cell>
        </row>
        <row r="10927">
          <cell r="G10927" t="str">
            <v>ASV23212</v>
          </cell>
          <cell r="H10927" t="str">
            <v>g__Staphylococcus</v>
          </cell>
          <cell r="I10927" t="str">
            <v>s__unclassified_g__Staphylococcus</v>
          </cell>
        </row>
        <row r="10928">
          <cell r="G10928" t="str">
            <v>ASV22117</v>
          </cell>
          <cell r="H10928" t="str">
            <v>g__Turicibacter</v>
          </cell>
          <cell r="I10928" t="str">
            <v>s__uncultured_bacterium_g__Turicibacter</v>
          </cell>
        </row>
        <row r="10929">
          <cell r="G10929" t="str">
            <v>ASV2161</v>
          </cell>
          <cell r="H10929" t="str">
            <v>g__unclassified_f__Lachnospiraceae</v>
          </cell>
          <cell r="I10929" t="str">
            <v>s__unclassified_f__Lachnospiraceae</v>
          </cell>
        </row>
        <row r="10930">
          <cell r="G10930" t="str">
            <v>ASV10651</v>
          </cell>
          <cell r="H10930" t="str">
            <v>g__Candidatus_Saccharimonas</v>
          </cell>
          <cell r="I10930" t="str">
            <v>s__unclassified_g__Candidatus_Saccharimonas</v>
          </cell>
        </row>
        <row r="10931">
          <cell r="G10931" t="str">
            <v>ASV20812</v>
          </cell>
          <cell r="H10931" t="str">
            <v>g__Ruminococcus</v>
          </cell>
          <cell r="I10931" t="str">
            <v>s__unclassified_g__Ruminococcus</v>
          </cell>
        </row>
        <row r="10932">
          <cell r="G10932" t="str">
            <v>ASV15971</v>
          </cell>
          <cell r="H10932" t="str">
            <v>g__unclassified_f__Lachnospiraceae</v>
          </cell>
          <cell r="I10932" t="str">
            <v>s__unclassified_f__Lachnospiraceae</v>
          </cell>
        </row>
        <row r="10933">
          <cell r="G10933" t="str">
            <v>ASV648</v>
          </cell>
          <cell r="H10933" t="str">
            <v>g__unclassified_f__Lachnospiraceae</v>
          </cell>
          <cell r="I10933" t="str">
            <v>s__unclassified_f__Lachnospiraceae</v>
          </cell>
        </row>
        <row r="10934">
          <cell r="G10934" t="str">
            <v>ASV3193</v>
          </cell>
          <cell r="H10934" t="str">
            <v>g__unclassified_o__Lactobacillales</v>
          </cell>
          <cell r="I10934" t="str">
            <v>s__unclassified_o__Lactobacillales</v>
          </cell>
        </row>
        <row r="10935">
          <cell r="G10935" t="str">
            <v>ASV22183</v>
          </cell>
          <cell r="H10935" t="str">
            <v>g__Christensenellaceae_R-7_group</v>
          </cell>
          <cell r="I10935" t="str">
            <v>s__unclassified_g__Christensenellaceae_R-7_group</v>
          </cell>
        </row>
        <row r="10936">
          <cell r="G10936" t="str">
            <v>ASV8997</v>
          </cell>
          <cell r="H10936" t="str">
            <v>g__norank_f__norank_o__JGI_0000069-P22</v>
          </cell>
          <cell r="I10936" t="str">
            <v>s__uncultured_bacterium_g__norank_f__norank_o__JGI_0000069-P22</v>
          </cell>
        </row>
        <row r="10937">
          <cell r="G10937" t="str">
            <v>ASV14170</v>
          </cell>
          <cell r="H10937" t="str">
            <v>g__Lactobacillus</v>
          </cell>
          <cell r="I10937" t="str">
            <v>s__unclassified_g__Lactobacillus</v>
          </cell>
        </row>
        <row r="10938">
          <cell r="G10938" t="str">
            <v>ASV12753</v>
          </cell>
          <cell r="H10938" t="str">
            <v>g__Peptococcus</v>
          </cell>
          <cell r="I10938" t="str">
            <v>s__uncultured_bacterium_g__Peptococcus</v>
          </cell>
        </row>
        <row r="10939">
          <cell r="G10939" t="str">
            <v>ASV6675</v>
          </cell>
          <cell r="H10939" t="str">
            <v>g__Monoglobus</v>
          </cell>
          <cell r="I10939" t="str">
            <v>s__uncultured_bacterium_g__Monoglobus</v>
          </cell>
        </row>
        <row r="10940">
          <cell r="G10940" t="str">
            <v>ASV18573</v>
          </cell>
          <cell r="H10940" t="str">
            <v>g__Phascolarctobacterium</v>
          </cell>
          <cell r="I10940" t="str">
            <v>s__uncultured_bacterium_g__Phascolarctobacterium</v>
          </cell>
        </row>
        <row r="10941">
          <cell r="G10941" t="str">
            <v>ASV16394</v>
          </cell>
          <cell r="H10941" t="str">
            <v>g__Actinobacillus</v>
          </cell>
          <cell r="I10941" t="str">
            <v>s__unclassified_g__Actinobacillus</v>
          </cell>
        </row>
        <row r="10942">
          <cell r="G10942" t="str">
            <v>ASV23271</v>
          </cell>
          <cell r="H10942" t="str">
            <v>g__Cloacibacillus</v>
          </cell>
          <cell r="I10942" t="str">
            <v>s__unclassified_g__Cloacibacillus</v>
          </cell>
        </row>
        <row r="10943">
          <cell r="G10943" t="str">
            <v>ASV14245</v>
          </cell>
          <cell r="H10943" t="str">
            <v>g__unclassified_f__Lachnospiraceae</v>
          </cell>
          <cell r="I10943" t="str">
            <v>s__unclassified_f__Lachnospiraceae</v>
          </cell>
        </row>
        <row r="10944">
          <cell r="G10944" t="str">
            <v>ASV18003</v>
          </cell>
          <cell r="H10944" t="str">
            <v>g__unclassified_c__Clostridia</v>
          </cell>
          <cell r="I10944" t="str">
            <v>s__unclassified_c__Clostridia</v>
          </cell>
        </row>
        <row r="10945">
          <cell r="G10945" t="str">
            <v>ASV680</v>
          </cell>
          <cell r="H10945" t="str">
            <v>g__Rikenellaceae_RC9_gut_group</v>
          </cell>
          <cell r="I10945" t="str">
            <v>s__uncultured_bacterium_g__Rikenellaceae_RC9_gut_group</v>
          </cell>
        </row>
        <row r="10946">
          <cell r="G10946" t="str">
            <v>ASV11615</v>
          </cell>
          <cell r="H10946" t="str">
            <v>g__unclassified_k__norank_d__Bacteria</v>
          </cell>
          <cell r="I10946" t="str">
            <v>s__unclassified_k__norank_d__Bacteria</v>
          </cell>
        </row>
        <row r="10947">
          <cell r="G10947" t="str">
            <v>ASV15078</v>
          </cell>
          <cell r="H10947" t="str">
            <v>g__unclassified_k__norank_d__Bacteria</v>
          </cell>
          <cell r="I10947" t="str">
            <v>s__unclassified_k__norank_d__Bacteria</v>
          </cell>
        </row>
        <row r="10948">
          <cell r="G10948" t="str">
            <v>ASV10579</v>
          </cell>
          <cell r="H10948" t="str">
            <v>g__unclassified_p__Firmicutes</v>
          </cell>
          <cell r="I10948" t="str">
            <v>s__unclassified_p__Firmicutes</v>
          </cell>
        </row>
        <row r="10949">
          <cell r="G10949" t="str">
            <v>ASV2132</v>
          </cell>
          <cell r="H10949" t="str">
            <v>g__unclassified_f__Peptostreptococcaceae</v>
          </cell>
          <cell r="I10949" t="str">
            <v>s__unclassified_f__Peptostreptococcaceae</v>
          </cell>
        </row>
        <row r="10950">
          <cell r="G10950" t="str">
            <v>ASV4835</v>
          </cell>
          <cell r="H10950" t="str">
            <v>g__Lactobacillus</v>
          </cell>
          <cell r="I10950" t="str">
            <v>s__unclassified_g__Lactobacillus</v>
          </cell>
        </row>
        <row r="10951">
          <cell r="G10951" t="str">
            <v>ASV23954</v>
          </cell>
          <cell r="H10951" t="str">
            <v>g__unclassified_p__Firmicutes</v>
          </cell>
          <cell r="I10951" t="str">
            <v>s__unclassified_p__Firmicutes</v>
          </cell>
        </row>
        <row r="10952">
          <cell r="G10952" t="str">
            <v>ASV5874</v>
          </cell>
          <cell r="H10952" t="str">
            <v>g__Bacteroides</v>
          </cell>
          <cell r="I10952" t="str">
            <v>s__unclassified_g__Bacteroides</v>
          </cell>
        </row>
        <row r="10953">
          <cell r="G10953" t="str">
            <v>ASV710</v>
          </cell>
          <cell r="H10953" t="str">
            <v>g__Lactobacillus</v>
          </cell>
          <cell r="I10953" t="str">
            <v>s__unclassified_g__Lactobacillus</v>
          </cell>
        </row>
        <row r="10954">
          <cell r="G10954" t="str">
            <v>ASV13804</v>
          </cell>
          <cell r="H10954" t="str">
            <v>g__unclassified_p__Firmicutes</v>
          </cell>
          <cell r="I10954" t="str">
            <v>s__unclassified_p__Firmicutes</v>
          </cell>
        </row>
        <row r="10955">
          <cell r="G10955" t="str">
            <v>ASV11643</v>
          </cell>
          <cell r="H10955" t="str">
            <v>g__unclassified_c__Clostridia</v>
          </cell>
          <cell r="I10955" t="str">
            <v>s__unclassified_c__Clostridia</v>
          </cell>
        </row>
        <row r="10956">
          <cell r="G10956" t="str">
            <v>ASV3484</v>
          </cell>
          <cell r="H10956" t="str">
            <v>g__Enterococcus</v>
          </cell>
          <cell r="I10956" t="str">
            <v>s__unclassified_g__Enterococcus</v>
          </cell>
        </row>
        <row r="10957">
          <cell r="G10957" t="str">
            <v>ASV13378</v>
          </cell>
          <cell r="H10957" t="str">
            <v>g__unclassified_p__Firmicutes</v>
          </cell>
          <cell r="I10957" t="str">
            <v>s__unclassified_p__Firmicutes</v>
          </cell>
        </row>
        <row r="10958">
          <cell r="G10958" t="str">
            <v>ASV14156</v>
          </cell>
          <cell r="H10958" t="str">
            <v>g__Christensenellaceae_R-7_group</v>
          </cell>
          <cell r="I10958" t="str">
            <v>s__unclassified_g__Christensenellaceae_R-7_group</v>
          </cell>
        </row>
        <row r="10959">
          <cell r="G10959" t="str">
            <v>ASV4760</v>
          </cell>
          <cell r="H10959" t="str">
            <v>g__Ruminococcus</v>
          </cell>
          <cell r="I10959" t="str">
            <v>s__unclassified_g__Ruminococcus</v>
          </cell>
        </row>
        <row r="10960">
          <cell r="G10960" t="str">
            <v>ASV22121</v>
          </cell>
          <cell r="H10960" t="str">
            <v>g__norank_f__Atopobiaceae</v>
          </cell>
          <cell r="I10960" t="str">
            <v>s__uncultured_bacterium_g__norank_f__Atopobiaceae</v>
          </cell>
        </row>
        <row r="10961">
          <cell r="G10961" t="str">
            <v>ASV17990</v>
          </cell>
          <cell r="H10961" t="str">
            <v>g__unclassified_c__Clostridia</v>
          </cell>
          <cell r="I10961" t="str">
            <v>s__unclassified_c__Clostridia</v>
          </cell>
        </row>
        <row r="10962">
          <cell r="G10962" t="str">
            <v>ASV746</v>
          </cell>
          <cell r="H10962" t="str">
            <v>g__unclassified_f__Ruminococcaceae</v>
          </cell>
          <cell r="I10962" t="str">
            <v>s__unclassified_f__Ruminococcaceae</v>
          </cell>
        </row>
        <row r="10963">
          <cell r="G10963" t="str">
            <v>ASV8499</v>
          </cell>
          <cell r="H10963" t="str">
            <v>g__Veillonella</v>
          </cell>
          <cell r="I10963" t="str">
            <v>s__unclassified_g__Veillonella</v>
          </cell>
        </row>
        <row r="10964">
          <cell r="G10964" t="str">
            <v>ASV4781</v>
          </cell>
          <cell r="H10964" t="str">
            <v>g__Monoglobus</v>
          </cell>
          <cell r="I10964" t="str">
            <v>s__unclassified_g__Monoglobus</v>
          </cell>
        </row>
        <row r="10965">
          <cell r="G10965" t="str">
            <v>ASV4025</v>
          </cell>
          <cell r="H10965" t="str">
            <v>g__unclassified_f__Selenomonadaceae</v>
          </cell>
          <cell r="I10965" t="str">
            <v>s__unclassified_f__Selenomonadaceae</v>
          </cell>
        </row>
        <row r="10966">
          <cell r="G10966" t="str">
            <v>ASV8501</v>
          </cell>
          <cell r="H10966" t="str">
            <v>g__Lactobacillus</v>
          </cell>
          <cell r="I10966" t="str">
            <v>s__unclassified_g__Lactobacillus</v>
          </cell>
        </row>
        <row r="10967">
          <cell r="G10967" t="str">
            <v>ASV10594</v>
          </cell>
          <cell r="H10967" t="str">
            <v>g__unclassified_f__Lachnospiraceae</v>
          </cell>
          <cell r="I10967" t="str">
            <v>s__unclassified_f__Lachnospiraceae</v>
          </cell>
        </row>
        <row r="10968">
          <cell r="G10968" t="str">
            <v>ASV7680</v>
          </cell>
          <cell r="H10968" t="str">
            <v>g__Eubacterium_oxidoreducens_group</v>
          </cell>
          <cell r="I10968" t="str">
            <v>s__uncultured_bacterium_g__Eubacterium_oxidoreducens_group</v>
          </cell>
        </row>
        <row r="10969">
          <cell r="G10969" t="str">
            <v>ASV22232</v>
          </cell>
          <cell r="H10969" t="str">
            <v>g__UCG-002</v>
          </cell>
          <cell r="I10969" t="str">
            <v>s__uncultured_bacterium_g__UCG-002</v>
          </cell>
        </row>
        <row r="10970">
          <cell r="G10970" t="str">
            <v>ASV20708</v>
          </cell>
          <cell r="H10970" t="str">
            <v>g__unclassified_f__Lachnospiraceae</v>
          </cell>
          <cell r="I10970" t="str">
            <v>s__unclassified_f__Lachnospiraceae</v>
          </cell>
        </row>
        <row r="10971">
          <cell r="G10971" t="str">
            <v>ASV5894</v>
          </cell>
          <cell r="H10971" t="str">
            <v>g__Eubacterium_oxidoreducens_group</v>
          </cell>
          <cell r="I10971" t="str">
            <v>s__uncultured_bacterium_g__Eubacterium_oxidoreducens_group</v>
          </cell>
        </row>
        <row r="10972">
          <cell r="G10972" t="str">
            <v>ASV4828</v>
          </cell>
          <cell r="H10972" t="str">
            <v>g__Prevotella</v>
          </cell>
          <cell r="I10972" t="str">
            <v>s__unclassified_g__Prevotella</v>
          </cell>
        </row>
        <row r="10973">
          <cell r="G10973" t="str">
            <v>ASV22221</v>
          </cell>
          <cell r="H10973" t="str">
            <v>g__Prevotellaceae_UCG-003</v>
          </cell>
          <cell r="I10973" t="str">
            <v>s__uncultured_bacterium_g__Prevotellaceae_UCG-003</v>
          </cell>
        </row>
        <row r="10974">
          <cell r="G10974" t="str">
            <v>ASV17949</v>
          </cell>
          <cell r="H10974" t="str">
            <v>g__unclassified_c__Clostridia</v>
          </cell>
          <cell r="I10974" t="str">
            <v>s__unclassified_c__Clostridia</v>
          </cell>
        </row>
        <row r="10975">
          <cell r="G10975" t="str">
            <v>ASV20800</v>
          </cell>
          <cell r="H10975" t="str">
            <v>g__unclassified_c__Clostridia</v>
          </cell>
          <cell r="I10975" t="str">
            <v>s__unclassified_c__Clostridia</v>
          </cell>
        </row>
        <row r="10976">
          <cell r="G10976" t="str">
            <v>ASV673</v>
          </cell>
          <cell r="H10976" t="str">
            <v>g__unclassified_f__Lachnospiraceae</v>
          </cell>
          <cell r="I10976" t="str">
            <v>s__unclassified_f__Lachnospiraceae</v>
          </cell>
        </row>
        <row r="10977">
          <cell r="G10977" t="str">
            <v>ASV22172</v>
          </cell>
          <cell r="H10977" t="str">
            <v>g__Lactobacillus</v>
          </cell>
          <cell r="I10977" t="str">
            <v>s__unclassified_g__Lactobacillus</v>
          </cell>
        </row>
        <row r="10978">
          <cell r="G10978" t="str">
            <v>ASV14199</v>
          </cell>
          <cell r="H10978" t="str">
            <v>g__unclassified_f__Lachnospiraceae</v>
          </cell>
          <cell r="I10978" t="str">
            <v>s__unclassified_f__Lachnospiraceae</v>
          </cell>
        </row>
        <row r="10979">
          <cell r="G10979" t="str">
            <v>ASV721</v>
          </cell>
          <cell r="H10979" t="str">
            <v>g__unclassified_p__Firmicutes</v>
          </cell>
          <cell r="I10979" t="str">
            <v>s__unclassified_p__Firmicutes</v>
          </cell>
        </row>
        <row r="10980">
          <cell r="G10980" t="str">
            <v>ASV625</v>
          </cell>
          <cell r="H10980" t="str">
            <v>g__unclassified_f__Oscillospiraceae</v>
          </cell>
          <cell r="I10980" t="str">
            <v>s__unclassified_f__Oscillospiraceae</v>
          </cell>
        </row>
        <row r="10981">
          <cell r="G10981" t="str">
            <v>ASV14195</v>
          </cell>
          <cell r="H10981" t="str">
            <v>g__Lactobacillus</v>
          </cell>
          <cell r="I10981" t="str">
            <v>s__unclassified_g__Lactobacillus</v>
          </cell>
        </row>
        <row r="10982">
          <cell r="G10982" t="str">
            <v>ASV4790</v>
          </cell>
          <cell r="H10982" t="str">
            <v>g__unclassified_f__Ruminococcaceae</v>
          </cell>
          <cell r="I10982" t="str">
            <v>s__unclassified_f__Ruminococcaceae</v>
          </cell>
        </row>
        <row r="10983">
          <cell r="G10983" t="str">
            <v>ASV22109</v>
          </cell>
          <cell r="H10983" t="str">
            <v>g__Phascolarctobacterium</v>
          </cell>
          <cell r="I10983" t="str">
            <v>s__uncultured_bacterium_g__Phascolarctobacterium</v>
          </cell>
        </row>
        <row r="10984">
          <cell r="G10984" t="str">
            <v>ASV11566</v>
          </cell>
          <cell r="H10984" t="str">
            <v>g__NK4A214_group</v>
          </cell>
          <cell r="I10984" t="str">
            <v>s__Lachnospiraceae_bacterium_19gly4</v>
          </cell>
        </row>
        <row r="10985">
          <cell r="G10985" t="str">
            <v>ASV12714</v>
          </cell>
          <cell r="H10985" t="str">
            <v>g__Sharpea</v>
          </cell>
          <cell r="I10985" t="str">
            <v>s__unclassified_g__Sharpea</v>
          </cell>
        </row>
        <row r="10986">
          <cell r="G10986" t="str">
            <v>ASV20801</v>
          </cell>
          <cell r="H10986" t="str">
            <v>g__unclassified_c__Clostridia</v>
          </cell>
          <cell r="I10986" t="str">
            <v>s__unclassified_c__Clostridia</v>
          </cell>
        </row>
        <row r="10987">
          <cell r="G10987" t="str">
            <v>ASV7054</v>
          </cell>
          <cell r="H10987" t="str">
            <v>g__Peptostreptococcus</v>
          </cell>
          <cell r="I10987" t="str">
            <v>s__unclassified_g__Peptostreptococcus</v>
          </cell>
        </row>
        <row r="10988">
          <cell r="G10988" t="str">
            <v>ASV7682</v>
          </cell>
          <cell r="H10988" t="str">
            <v>g__unclassified_o__Peptostreptococcales-Tissierellales</v>
          </cell>
          <cell r="I10988" t="str">
            <v>s__unclassified_o__Peptostreptococcales-Tissierellales</v>
          </cell>
        </row>
        <row r="10989">
          <cell r="G10989" t="str">
            <v>ASV670</v>
          </cell>
          <cell r="H10989" t="str">
            <v>g__Streptococcus</v>
          </cell>
          <cell r="I10989" t="str">
            <v>s__unclassified_g__Streptococcus</v>
          </cell>
        </row>
        <row r="10990">
          <cell r="G10990" t="str">
            <v>ASV20803</v>
          </cell>
          <cell r="H10990" t="str">
            <v>g__unclassified_c__Clostridia</v>
          </cell>
          <cell r="I10990" t="str">
            <v>s__unclassified_c__Clostridia</v>
          </cell>
        </row>
        <row r="10991">
          <cell r="G10991" t="str">
            <v>ASV23223</v>
          </cell>
          <cell r="H10991" t="str">
            <v>g__Veillonella</v>
          </cell>
          <cell r="I10991" t="str">
            <v>s__bacterium_RA2114</v>
          </cell>
        </row>
        <row r="10992">
          <cell r="G10992" t="str">
            <v>ASV9425</v>
          </cell>
          <cell r="H10992" t="str">
            <v>g__unclassified_f__Lachnospiraceae</v>
          </cell>
          <cell r="I10992" t="str">
            <v>s__unclassified_f__Lachnospiraceae</v>
          </cell>
        </row>
        <row r="10993">
          <cell r="G10993" t="str">
            <v>ASV12726</v>
          </cell>
          <cell r="H10993" t="str">
            <v>g__unclassified_c__Clostridia</v>
          </cell>
          <cell r="I10993" t="str">
            <v>s__unclassified_c__Clostridia</v>
          </cell>
        </row>
        <row r="10994">
          <cell r="G10994" t="str">
            <v>ASV12707</v>
          </cell>
          <cell r="H10994" t="str">
            <v>g__norank_f__UCG-011</v>
          </cell>
          <cell r="I10994" t="str">
            <v>s__uncultured_bacterium_g__norank_f__UCG-011</v>
          </cell>
        </row>
        <row r="10995">
          <cell r="G10995" t="str">
            <v>ASV21451</v>
          </cell>
          <cell r="H10995" t="str">
            <v>g__unclassified_c__Bacilli</v>
          </cell>
          <cell r="I10995" t="str">
            <v>s__unclassified_c__Bacilli</v>
          </cell>
        </row>
        <row r="10996">
          <cell r="G10996" t="str">
            <v>ASV4831</v>
          </cell>
          <cell r="H10996" t="str">
            <v>g__unclassified_f__Lachnospiraceae</v>
          </cell>
          <cell r="I10996" t="str">
            <v>s__unclassified_f__Lachnospiraceae</v>
          </cell>
        </row>
        <row r="10997">
          <cell r="G10997" t="str">
            <v>ASV588</v>
          </cell>
          <cell r="H10997" t="str">
            <v>g__Prevotellaceae_UCG-001</v>
          </cell>
          <cell r="I10997" t="str">
            <v>s__uncultured_bacterium_g__Prevotellaceae_UCG-001</v>
          </cell>
        </row>
        <row r="10998">
          <cell r="G10998" t="str">
            <v>ASV6660</v>
          </cell>
          <cell r="H10998" t="str">
            <v>g__Fusobacterium</v>
          </cell>
          <cell r="I10998" t="str">
            <v>s__unclassified_g__Fusobacterium</v>
          </cell>
        </row>
        <row r="10999">
          <cell r="G10999" t="str">
            <v>ASV20761</v>
          </cell>
          <cell r="H10999" t="str">
            <v>g__unclassified_f__Ruminococcaceae</v>
          </cell>
          <cell r="I10999" t="str">
            <v>s__unclassified_f__Ruminococcaceae</v>
          </cell>
        </row>
        <row r="11000">
          <cell r="G11000" t="str">
            <v>ASV4022</v>
          </cell>
          <cell r="H11000" t="str">
            <v>g__Phascolarctobacterium</v>
          </cell>
          <cell r="I11000" t="str">
            <v>s__unclassified_g__Phascolarctobacterium</v>
          </cell>
        </row>
        <row r="11001">
          <cell r="G11001" t="str">
            <v>ASV11607</v>
          </cell>
          <cell r="H11001" t="str">
            <v>g__norank_f__Muribaculaceae</v>
          </cell>
          <cell r="I11001" t="str">
            <v>s__uncultured_bacterium_g__norank_f__Muribaculaceae</v>
          </cell>
        </row>
        <row r="11002">
          <cell r="G11002" t="str">
            <v>ASV24172</v>
          </cell>
          <cell r="H11002" t="str">
            <v>g__Clostridium_sensu_stricto_1</v>
          </cell>
          <cell r="I11002" t="str">
            <v>s__unclassified_g__Clostridium_sensu_stricto_1</v>
          </cell>
        </row>
        <row r="11003">
          <cell r="G11003" t="str">
            <v>ASV761</v>
          </cell>
          <cell r="H11003" t="str">
            <v>g__unclassified_f__Lachnospiraceae</v>
          </cell>
          <cell r="I11003" t="str">
            <v>s__unclassified_f__Lachnospiraceae</v>
          </cell>
        </row>
        <row r="11004">
          <cell r="G11004" t="str">
            <v>ASV23244</v>
          </cell>
          <cell r="H11004" t="str">
            <v>g__unclassified_c__Clostridia</v>
          </cell>
          <cell r="I11004" t="str">
            <v>s__unclassified_c__Clostridia</v>
          </cell>
        </row>
        <row r="11005">
          <cell r="G11005" t="str">
            <v>ASV14573</v>
          </cell>
          <cell r="H11005" t="str">
            <v>g__Oxalobacter</v>
          </cell>
          <cell r="I11005" t="str">
            <v>s__unclassified_g__Oxalobacter</v>
          </cell>
        </row>
        <row r="11006">
          <cell r="G11006" t="str">
            <v>ASV22205</v>
          </cell>
          <cell r="H11006" t="str">
            <v>g__unclassified_f__Lachnospiraceae</v>
          </cell>
          <cell r="I11006" t="str">
            <v>s__unclassified_f__Lachnospiraceae</v>
          </cell>
        </row>
        <row r="11007">
          <cell r="G11007" t="str">
            <v>ASV12729</v>
          </cell>
          <cell r="H11007" t="str">
            <v>g__Peptococcus</v>
          </cell>
          <cell r="I11007" t="str">
            <v>s__uncultured_bacterium_g__Peptococcus</v>
          </cell>
        </row>
        <row r="11008">
          <cell r="G11008" t="str">
            <v>ASV763</v>
          </cell>
          <cell r="H11008" t="str">
            <v>g__unclassified_k__norank_d__Bacteria</v>
          </cell>
          <cell r="I11008" t="str">
            <v>s__unclassified_k__norank_d__Bacteria</v>
          </cell>
        </row>
        <row r="11009">
          <cell r="G11009" t="str">
            <v>ASV20722</v>
          </cell>
          <cell r="H11009" t="str">
            <v>g__unclassified_c__Clostridia</v>
          </cell>
          <cell r="I11009" t="str">
            <v>s__unclassified_c__Clostridia</v>
          </cell>
        </row>
        <row r="11010">
          <cell r="G11010" t="str">
            <v>ASV14194</v>
          </cell>
          <cell r="H11010" t="str">
            <v>g__Prevotellaceae_UCG-001</v>
          </cell>
          <cell r="I11010" t="str">
            <v>s__uncultured_bacterium_g__Prevotellaceae_UCG-001</v>
          </cell>
        </row>
        <row r="11011">
          <cell r="G11011" t="str">
            <v>ASV703</v>
          </cell>
          <cell r="H11011" t="str">
            <v>g__Lachnospiraceae_NC2004_group</v>
          </cell>
          <cell r="I11011" t="str">
            <v>s__unclassified_g__Lachnospiraceae_NC2004_group</v>
          </cell>
        </row>
        <row r="11012">
          <cell r="G11012" t="str">
            <v>ASV23204</v>
          </cell>
          <cell r="H11012" t="str">
            <v>g__Christensenellaceae_R-7_group</v>
          </cell>
          <cell r="I11012" t="str">
            <v>s__unclassified_g__Christensenellaceae_R-7_group</v>
          </cell>
        </row>
        <row r="11013">
          <cell r="G11013" t="str">
            <v>ASV5852</v>
          </cell>
          <cell r="H11013" t="str">
            <v>g__unclassified_f__Lachnospiraceae</v>
          </cell>
          <cell r="I11013" t="str">
            <v>s__unclassified_f__Lachnospiraceae</v>
          </cell>
        </row>
        <row r="11014">
          <cell r="G11014" t="str">
            <v>ASV12739</v>
          </cell>
          <cell r="H11014" t="str">
            <v>g__unclassified_c__Bacilli</v>
          </cell>
          <cell r="I11014" t="str">
            <v>s__unclassified_c__Bacilli</v>
          </cell>
        </row>
        <row r="11015">
          <cell r="G11015" t="str">
            <v>ASV22092</v>
          </cell>
          <cell r="H11015" t="str">
            <v>g__unclassified_p__Firmicutes</v>
          </cell>
          <cell r="I11015" t="str">
            <v>s__unclassified_p__Firmicutes</v>
          </cell>
        </row>
        <row r="11016">
          <cell r="G11016" t="str">
            <v>ASV14239</v>
          </cell>
          <cell r="H11016" t="str">
            <v>g__unclassified_f__Ruminococcaceae</v>
          </cell>
          <cell r="I11016" t="str">
            <v>s__unclassified_f__Ruminococcaceae</v>
          </cell>
        </row>
        <row r="11017">
          <cell r="G11017" t="str">
            <v>ASV7741</v>
          </cell>
          <cell r="H11017" t="str">
            <v>g__unclassified_f__Peptostreptococcaceae</v>
          </cell>
          <cell r="I11017" t="str">
            <v>s__unclassified_f__Peptostreptococcaceae</v>
          </cell>
        </row>
        <row r="11018">
          <cell r="G11018" t="str">
            <v>ASV7064</v>
          </cell>
          <cell r="H11018" t="str">
            <v>g__unclassified_f__Lachnospiraceae</v>
          </cell>
          <cell r="I11018" t="str">
            <v>s__unclassified_f__Lachnospiraceae</v>
          </cell>
        </row>
        <row r="11019">
          <cell r="G11019" t="str">
            <v>ASV11663</v>
          </cell>
          <cell r="H11019" t="str">
            <v>g__unclassified_f__Lachnospiraceae</v>
          </cell>
          <cell r="I11019" t="str">
            <v>s__unclassified_f__Lachnospiraceae</v>
          </cell>
        </row>
        <row r="11020">
          <cell r="G11020" t="str">
            <v>ASV17281</v>
          </cell>
          <cell r="H11020" t="str">
            <v>g__unclassified_c__Bacilli</v>
          </cell>
          <cell r="I11020" t="str">
            <v>s__unclassified_c__Bacilli</v>
          </cell>
        </row>
        <row r="11021">
          <cell r="G11021" t="str">
            <v>ASV3962</v>
          </cell>
          <cell r="H11021" t="str">
            <v>g__Enterococcus</v>
          </cell>
          <cell r="I11021" t="str">
            <v>s__unclassified_g__Enterococcus</v>
          </cell>
        </row>
        <row r="11022">
          <cell r="G11022" t="str">
            <v>ASV17287</v>
          </cell>
          <cell r="H11022" t="str">
            <v>g__Corynebacterium</v>
          </cell>
          <cell r="I11022" t="str">
            <v>s__unclassified_g__Corynebacterium</v>
          </cell>
        </row>
        <row r="11023">
          <cell r="G11023" t="str">
            <v>ASV17569</v>
          </cell>
          <cell r="H11023" t="str">
            <v>g__Corynebacterium</v>
          </cell>
          <cell r="I11023" t="str">
            <v>s__unclassified_g__Corynebacterium</v>
          </cell>
        </row>
        <row r="11024">
          <cell r="G11024" t="str">
            <v>ASV15988</v>
          </cell>
          <cell r="H11024" t="str">
            <v>g__Tyzzerella</v>
          </cell>
          <cell r="I11024" t="str">
            <v>s__Anaerotignum_lactatifermentans</v>
          </cell>
        </row>
        <row r="11025">
          <cell r="G11025" t="str">
            <v>ASV12775</v>
          </cell>
          <cell r="H11025" t="str">
            <v>g__norank_f__Eubacterium_coprostanoligenes_group</v>
          </cell>
          <cell r="I11025" t="str">
            <v>s__unclassified_g__norank_f__Eubacterium_coprostanoligenes_group</v>
          </cell>
        </row>
        <row r="11026">
          <cell r="G11026" t="str">
            <v>ASV20727</v>
          </cell>
          <cell r="H11026" t="str">
            <v>g__unclassified_f__Anaerovoracaceae</v>
          </cell>
          <cell r="I11026" t="str">
            <v>s__unclassified_f__Anaerovoracaceae</v>
          </cell>
        </row>
        <row r="11027">
          <cell r="G11027" t="str">
            <v>ASV7052</v>
          </cell>
          <cell r="H11027" t="str">
            <v>g__Lactobacillus</v>
          </cell>
          <cell r="I11027" t="str">
            <v>s__unclassified_g__Lactobacillus</v>
          </cell>
        </row>
        <row r="11028">
          <cell r="G11028" t="str">
            <v>ASV23961</v>
          </cell>
          <cell r="H11028" t="str">
            <v>g__Escherichia-Shigella</v>
          </cell>
          <cell r="I11028" t="str">
            <v>s__unclassified_g__Escherichia-Shigella</v>
          </cell>
        </row>
        <row r="11029">
          <cell r="G11029" t="str">
            <v>ASV611</v>
          </cell>
          <cell r="H11029" t="str">
            <v>g__unclassified_c__Clostridia</v>
          </cell>
          <cell r="I11029" t="str">
            <v>s__unclassified_c__Clostridia</v>
          </cell>
        </row>
        <row r="11030">
          <cell r="G11030" t="str">
            <v>ASV19512</v>
          </cell>
          <cell r="H11030" t="str">
            <v>g__unclassified_o__Oscillospirales</v>
          </cell>
          <cell r="I11030" t="str">
            <v>s__unclassified_o__Oscillospirales</v>
          </cell>
        </row>
        <row r="11031">
          <cell r="G11031" t="str">
            <v>ASV20749</v>
          </cell>
          <cell r="H11031" t="str">
            <v>g__unclassified_f__Lachnospiraceae</v>
          </cell>
          <cell r="I11031" t="str">
            <v>s__unclassified_f__Lachnospiraceae</v>
          </cell>
        </row>
        <row r="11032">
          <cell r="G11032" t="str">
            <v>ASV14150</v>
          </cell>
          <cell r="H11032" t="str">
            <v>g__unclassified_f__Lachnospiraceae</v>
          </cell>
          <cell r="I11032" t="str">
            <v>s__unclassified_f__Lachnospiraceae</v>
          </cell>
        </row>
        <row r="11033">
          <cell r="G11033" t="str">
            <v>ASV9409</v>
          </cell>
          <cell r="H11033" t="str">
            <v>g__Eubacterium_oxidoreducens_group</v>
          </cell>
          <cell r="I11033" t="str">
            <v>s__uncultured_bacterium_g__Eubacterium_oxidoreducens_group</v>
          </cell>
        </row>
        <row r="11034">
          <cell r="G11034" t="str">
            <v>ASV23185</v>
          </cell>
          <cell r="H11034" t="str">
            <v>g__Subdoligranulum</v>
          </cell>
          <cell r="I11034" t="str">
            <v>s__unclassified_g__Subdoligranulum</v>
          </cell>
        </row>
        <row r="11035">
          <cell r="G11035" t="str">
            <v>ASV15401</v>
          </cell>
          <cell r="H11035" t="str">
            <v>g__Christensenellaceae_R-7_group</v>
          </cell>
          <cell r="I11035" t="str">
            <v>s__uncultured_bacterium_g__Christensenellaceae_R-7_group</v>
          </cell>
        </row>
        <row r="11036">
          <cell r="G11036" t="str">
            <v>ASV17477</v>
          </cell>
          <cell r="H11036" t="str">
            <v>g__Allisonella</v>
          </cell>
          <cell r="I11036" t="str">
            <v>s__uncultured_bacterium_g__Allisonella</v>
          </cell>
        </row>
        <row r="11037">
          <cell r="G11037" t="str">
            <v>ASV22161</v>
          </cell>
          <cell r="H11037" t="str">
            <v>g__NK4A214_group</v>
          </cell>
          <cell r="I11037" t="str">
            <v>s__unclassified_g__NK4A214_group</v>
          </cell>
        </row>
        <row r="11038">
          <cell r="G11038" t="str">
            <v>ASV19587</v>
          </cell>
          <cell r="H11038" t="str">
            <v>g__Subdoligranulum</v>
          </cell>
          <cell r="I11038" t="str">
            <v>s__unclassified_g__Subdoligranulum</v>
          </cell>
        </row>
        <row r="11039">
          <cell r="G11039" t="str">
            <v>ASV22110</v>
          </cell>
          <cell r="H11039" t="str">
            <v>g__unclassified_f__Peptostreptococcaceae</v>
          </cell>
          <cell r="I11039" t="str">
            <v>s__unclassified_f__Peptostreptococcaceae</v>
          </cell>
        </row>
        <row r="11040">
          <cell r="G11040" t="str">
            <v>ASV9393</v>
          </cell>
          <cell r="H11040" t="str">
            <v>g__norank_f__Muribaculaceae</v>
          </cell>
          <cell r="I11040" t="str">
            <v>s__uncultured_bacterium_g__norank_f__Muribaculaceae</v>
          </cell>
        </row>
        <row r="11041">
          <cell r="G11041" t="str">
            <v>ASV11549</v>
          </cell>
          <cell r="H11041" t="str">
            <v>g__unclassified_c__Clostridia</v>
          </cell>
          <cell r="I11041" t="str">
            <v>s__unclassified_c__Clostridia</v>
          </cell>
        </row>
        <row r="11042">
          <cell r="G11042" t="str">
            <v>ASV17279</v>
          </cell>
          <cell r="H11042" t="str">
            <v>g__Lactobacillus</v>
          </cell>
          <cell r="I11042" t="str">
            <v>s__unclassified_g__Lactobacillus</v>
          </cell>
        </row>
        <row r="11043">
          <cell r="G11043" t="str">
            <v>ASV18569</v>
          </cell>
          <cell r="H11043" t="str">
            <v>g__unclassified_f__Prevotellaceae</v>
          </cell>
          <cell r="I11043" t="str">
            <v>s__unclassified_f__Prevotellaceae</v>
          </cell>
        </row>
        <row r="11044">
          <cell r="G11044" t="str">
            <v>ASV15382</v>
          </cell>
          <cell r="H11044" t="str">
            <v>g__unclassified_f__Lachnospiraceae</v>
          </cell>
          <cell r="I11044" t="str">
            <v>s__unclassified_f__Lachnospiraceae</v>
          </cell>
        </row>
        <row r="11045">
          <cell r="G11045" t="str">
            <v>ASV20737</v>
          </cell>
          <cell r="H11045" t="str">
            <v>g__unclassified_c__Clostridia</v>
          </cell>
          <cell r="I11045" t="str">
            <v>s__unclassified_c__Clostridia</v>
          </cell>
        </row>
        <row r="11046">
          <cell r="G11046" t="str">
            <v>ASV11498</v>
          </cell>
          <cell r="H11046" t="str">
            <v>g__unclassified_f__Lachnospiraceae</v>
          </cell>
          <cell r="I11046" t="str">
            <v>s__unclassified_f__Lachnospiraceae</v>
          </cell>
        </row>
        <row r="11047">
          <cell r="G11047" t="str">
            <v>ASV16418</v>
          </cell>
          <cell r="H11047" t="str">
            <v>g__norank_f__Oscillospiraceae</v>
          </cell>
          <cell r="I11047" t="str">
            <v>s__unclassified_g__norank_f__Oscillospiraceae</v>
          </cell>
        </row>
        <row r="11048">
          <cell r="G11048" t="str">
            <v>ASV20747</v>
          </cell>
          <cell r="H11048" t="str">
            <v>g__unclassified_o__Oscillospirales</v>
          </cell>
          <cell r="I11048" t="str">
            <v>s__unclassified_o__Oscillospirales</v>
          </cell>
        </row>
        <row r="11049">
          <cell r="G11049" t="str">
            <v>ASV19509</v>
          </cell>
          <cell r="H11049" t="str">
            <v>g__Ruminococcus</v>
          </cell>
          <cell r="I11049" t="str">
            <v>s__unclassified_g__Ruminococcus</v>
          </cell>
        </row>
        <row r="11050">
          <cell r="G11050" t="str">
            <v>ASV8641</v>
          </cell>
          <cell r="H11050" t="str">
            <v>g__Deinococcus</v>
          </cell>
          <cell r="I11050" t="str">
            <v>s__Deinococcus_sp._G82015</v>
          </cell>
        </row>
        <row r="11051">
          <cell r="G11051" t="str">
            <v>ASV22214</v>
          </cell>
          <cell r="H11051" t="str">
            <v>g__NK4A214_group</v>
          </cell>
          <cell r="I11051" t="str">
            <v>s__uncultured_bacterium_g__NK4A214_group</v>
          </cell>
        </row>
        <row r="11052">
          <cell r="G11052" t="str">
            <v>ASV22105</v>
          </cell>
          <cell r="H11052" t="str">
            <v>g__Parabacteroides</v>
          </cell>
          <cell r="I11052" t="str">
            <v>s__Porphyromonadaceae_bacterium_DJF_B175</v>
          </cell>
        </row>
        <row r="11053">
          <cell r="G11053" t="str">
            <v>ASV12733</v>
          </cell>
          <cell r="H11053" t="str">
            <v>g__UCG-002</v>
          </cell>
          <cell r="I11053" t="str">
            <v>s__uncultured_bacterium_g__UCG-002</v>
          </cell>
        </row>
        <row r="11054">
          <cell r="G11054" t="str">
            <v>ASV2751</v>
          </cell>
          <cell r="H11054" t="str">
            <v>g__unclassified_c__Bacilli</v>
          </cell>
          <cell r="I11054" t="str">
            <v>s__unclassified_c__Bacilli</v>
          </cell>
        </row>
        <row r="11055">
          <cell r="G11055" t="str">
            <v>ASV16777</v>
          </cell>
          <cell r="H11055" t="str">
            <v>g__Prevotella</v>
          </cell>
          <cell r="I11055" t="str">
            <v>s__unclassified_g__Prevotella</v>
          </cell>
        </row>
        <row r="11056">
          <cell r="G11056" t="str">
            <v>ASV7784</v>
          </cell>
          <cell r="H11056" t="str">
            <v>g__unclassified_c__Bacilli</v>
          </cell>
          <cell r="I11056" t="str">
            <v>s__unclassified_c__Bacilli</v>
          </cell>
        </row>
        <row r="11057">
          <cell r="G11057" t="str">
            <v>ASV22211</v>
          </cell>
          <cell r="H11057" t="str">
            <v>g__norank_f__Eubacterium_coprostanoligenes_group</v>
          </cell>
          <cell r="I11057" t="str">
            <v>s__unclassified_g__norank_f__Eubacterium_coprostanoligenes_group</v>
          </cell>
        </row>
        <row r="11058">
          <cell r="G11058" t="str">
            <v>ASV15388</v>
          </cell>
          <cell r="H11058" t="str">
            <v>g__unclassified_c__Clostridia</v>
          </cell>
          <cell r="I11058" t="str">
            <v>s__unclassified_c__Clostridia</v>
          </cell>
        </row>
        <row r="11059">
          <cell r="G11059" t="str">
            <v>ASV9416</v>
          </cell>
          <cell r="H11059" t="str">
            <v>g__norank_f__norank_o__Saccharimonadales</v>
          </cell>
          <cell r="I11059" t="str">
            <v>s__unclassified_g__norank_f__norank_o__Saccharimonadales</v>
          </cell>
        </row>
        <row r="11060">
          <cell r="G11060" t="str">
            <v>ASV15343</v>
          </cell>
          <cell r="H11060" t="str">
            <v>g__Family_XIII_AD3011_group</v>
          </cell>
          <cell r="I11060" t="str">
            <v>s__uncultured_bacterium_g__Family_XIII_AD3011_group</v>
          </cell>
        </row>
        <row r="11061">
          <cell r="G11061" t="str">
            <v>ASV10632</v>
          </cell>
          <cell r="H11061" t="str">
            <v>g__unclassified_f__Rikenellaceae</v>
          </cell>
          <cell r="I11061" t="str">
            <v>s__unclassified_f__Rikenellaceae</v>
          </cell>
        </row>
        <row r="11062">
          <cell r="G11062" t="str">
            <v>ASV14243</v>
          </cell>
          <cell r="H11062" t="str">
            <v>g__Colidextribacter</v>
          </cell>
          <cell r="I11062" t="str">
            <v>s__uncultured_bacterium_g__Colidextribacter</v>
          </cell>
        </row>
        <row r="11063">
          <cell r="G11063" t="str">
            <v>ASV11575</v>
          </cell>
          <cell r="H11063" t="str">
            <v>g__Megasphaera</v>
          </cell>
          <cell r="I11063" t="str">
            <v>s__unclassified_g__Megasphaera</v>
          </cell>
        </row>
        <row r="11064">
          <cell r="G11064" t="str">
            <v>ASV6677</v>
          </cell>
          <cell r="H11064" t="str">
            <v>g__Christensenellaceae_R-7_group</v>
          </cell>
          <cell r="I11064" t="str">
            <v>s__unclassified_g__Christensenellaceae_R-7_group</v>
          </cell>
        </row>
        <row r="11065">
          <cell r="G11065" t="str">
            <v>ASV18006</v>
          </cell>
          <cell r="H11065" t="str">
            <v>g__Christensenellaceae_R-7_group</v>
          </cell>
          <cell r="I11065" t="str">
            <v>s__unclassified_g__Christensenellaceae_R-7_group</v>
          </cell>
        </row>
        <row r="11066">
          <cell r="G11066" t="str">
            <v>ASV14188</v>
          </cell>
          <cell r="H11066" t="str">
            <v>g__unclassified_p__Firmicutes</v>
          </cell>
          <cell r="I11066" t="str">
            <v>s__unclassified_p__Firmicutes</v>
          </cell>
        </row>
        <row r="11067">
          <cell r="G11067" t="str">
            <v>ASV16425</v>
          </cell>
          <cell r="H11067" t="str">
            <v>g__Clostridium_sensu_stricto_1</v>
          </cell>
          <cell r="I11067" t="str">
            <v>s__unclassified_g__Clostridium_sensu_stricto_1</v>
          </cell>
        </row>
        <row r="11068">
          <cell r="G11068" t="str">
            <v>ASV23834</v>
          </cell>
          <cell r="H11068" t="str">
            <v>g__Bacteroides</v>
          </cell>
          <cell r="I11068" t="str">
            <v>s__unclassified_g__Bacteroides</v>
          </cell>
        </row>
        <row r="11069">
          <cell r="G11069" t="str">
            <v>ASV3969</v>
          </cell>
          <cell r="H11069" t="str">
            <v>g__Desulfovibrio</v>
          </cell>
          <cell r="I11069" t="str">
            <v>s__unclassified_g__Desulfovibrio</v>
          </cell>
        </row>
        <row r="11070">
          <cell r="G11070" t="str">
            <v>ASV19063</v>
          </cell>
          <cell r="H11070" t="str">
            <v>g__Lactobacillus</v>
          </cell>
          <cell r="I11070" t="str">
            <v>s__unclassified_g__Lactobacillus</v>
          </cell>
        </row>
        <row r="11071">
          <cell r="G11071" t="str">
            <v>ASV20726</v>
          </cell>
          <cell r="H11071" t="str">
            <v>g__Christensenellaceae_R-7_group</v>
          </cell>
          <cell r="I11071" t="str">
            <v>s__unclassified_g__Christensenellaceae_R-7_group</v>
          </cell>
        </row>
        <row r="11072">
          <cell r="G11072" t="str">
            <v>ASV7704</v>
          </cell>
          <cell r="H11072" t="str">
            <v>g__Veillonella</v>
          </cell>
          <cell r="I11072" t="str">
            <v>s__unclassified_g__Veillonella</v>
          </cell>
        </row>
        <row r="11073">
          <cell r="G11073" t="str">
            <v>ASV2186</v>
          </cell>
          <cell r="H11073" t="str">
            <v>g__unclassified_c__Clostridia</v>
          </cell>
          <cell r="I11073" t="str">
            <v>s__unclassified_c__Clostridia</v>
          </cell>
        </row>
        <row r="11074">
          <cell r="G11074" t="str">
            <v>ASV24144</v>
          </cell>
          <cell r="H11074" t="str">
            <v>g__unclassified_c__Clostridia</v>
          </cell>
          <cell r="I11074" t="str">
            <v>s__unclassified_c__Clostridia</v>
          </cell>
        </row>
        <row r="11075">
          <cell r="G11075" t="str">
            <v>ASV750</v>
          </cell>
          <cell r="H11075" t="str">
            <v>g__unclassified_f__Lachnospiraceae</v>
          </cell>
          <cell r="I11075" t="str">
            <v>s__unclassified_f__Lachnospiraceae</v>
          </cell>
        </row>
        <row r="11076">
          <cell r="G11076" t="str">
            <v>ASV5797</v>
          </cell>
          <cell r="H11076" t="str">
            <v>g__unclassified_o__Oscillospirales</v>
          </cell>
          <cell r="I11076" t="str">
            <v>s__unclassified_o__Oscillospirales</v>
          </cell>
        </row>
        <row r="11077">
          <cell r="G11077" t="str">
            <v>ASV689</v>
          </cell>
          <cell r="H11077" t="str">
            <v>g__Christensenellaceae_R-7_group</v>
          </cell>
          <cell r="I11077" t="str">
            <v>s__unclassified_g__Christensenellaceae_R-7_group</v>
          </cell>
        </row>
        <row r="11078">
          <cell r="G11078" t="str">
            <v>ASV7716</v>
          </cell>
          <cell r="H11078" t="str">
            <v>g__Eubacterium_oxidoreducens_group</v>
          </cell>
          <cell r="I11078" t="str">
            <v>s__uncultured_bacterium_g__Eubacterium_oxidoreducens_group</v>
          </cell>
        </row>
        <row r="11079">
          <cell r="G11079" t="str">
            <v>ASV16407</v>
          </cell>
          <cell r="H11079" t="str">
            <v>g__Bacteroides</v>
          </cell>
          <cell r="I11079" t="str">
            <v>s__unclassified_g__Bacteroides</v>
          </cell>
        </row>
        <row r="11080">
          <cell r="G11080" t="str">
            <v>ASV10082</v>
          </cell>
          <cell r="H11080" t="str">
            <v>g__Prevotella</v>
          </cell>
          <cell r="I11080" t="str">
            <v>s__unclassified_g__Prevotella</v>
          </cell>
        </row>
        <row r="11081">
          <cell r="G11081" t="str">
            <v>ASV23268</v>
          </cell>
          <cell r="H11081" t="str">
            <v>g__unclassified_p__Firmicutes</v>
          </cell>
          <cell r="I11081" t="str">
            <v>s__unclassified_p__Firmicutes</v>
          </cell>
        </row>
        <row r="11082">
          <cell r="G11082" t="str">
            <v>ASV5831</v>
          </cell>
          <cell r="H11082" t="str">
            <v>g__unclassified_f__Ruminococcaceae</v>
          </cell>
          <cell r="I11082" t="str">
            <v>s__unclassified_f__Ruminococcaceae</v>
          </cell>
        </row>
        <row r="11083">
          <cell r="G11083" t="str">
            <v>ASV15367</v>
          </cell>
          <cell r="H11083" t="str">
            <v>g__norank_f__norank_o__Clostridia_UCG-014</v>
          </cell>
          <cell r="I11083" t="str">
            <v>s__uncultured_bacterium_g__norank_f__norank_o__Clostridia_UCG-014</v>
          </cell>
        </row>
        <row r="11084">
          <cell r="G11084" t="str">
            <v>ASV22090</v>
          </cell>
          <cell r="H11084" t="str">
            <v>g__unclassified_c__Clostridia</v>
          </cell>
          <cell r="I11084" t="str">
            <v>s__unclassified_c__Clostridia</v>
          </cell>
        </row>
        <row r="11085">
          <cell r="G11085" t="str">
            <v>ASV23948</v>
          </cell>
          <cell r="H11085" t="str">
            <v>g__Escherichia-Shigella</v>
          </cell>
          <cell r="I11085" t="str">
            <v>s__unclassified_g__Escherichia-Shigella</v>
          </cell>
        </row>
        <row r="11086">
          <cell r="G11086" t="str">
            <v>ASV20797</v>
          </cell>
          <cell r="H11086" t="str">
            <v>g__Monoglobus</v>
          </cell>
          <cell r="I11086" t="str">
            <v>s__uncultured_bacterium_g__Monoglobus</v>
          </cell>
        </row>
        <row r="11087">
          <cell r="G11087" t="str">
            <v>ASV19536</v>
          </cell>
          <cell r="H11087" t="str">
            <v>g__norank_f__Erysipelotrichaceae</v>
          </cell>
          <cell r="I11087" t="str">
            <v>s__uncultured_Solobacterium_sp.</v>
          </cell>
        </row>
        <row r="11088">
          <cell r="G11088" t="str">
            <v>ASV8995</v>
          </cell>
          <cell r="H11088" t="str">
            <v>g__unclassified_f__Lachnospiraceae</v>
          </cell>
          <cell r="I11088" t="str">
            <v>s__unclassified_f__Lachnospiraceae</v>
          </cell>
        </row>
        <row r="11089">
          <cell r="G11089" t="str">
            <v>ASV9432</v>
          </cell>
          <cell r="H11089" t="str">
            <v>g__unclassified_f__Lachnospiraceae</v>
          </cell>
          <cell r="I11089" t="str">
            <v>s__unclassified_f__Lachnospiraceae</v>
          </cell>
        </row>
        <row r="11090">
          <cell r="G11090" t="str">
            <v>ASV16384</v>
          </cell>
          <cell r="H11090" t="str">
            <v>g__unclassified_f__Ruminococcaceae</v>
          </cell>
          <cell r="I11090" t="str">
            <v>s__unclassified_f__Ruminococcaceae</v>
          </cell>
        </row>
        <row r="11091">
          <cell r="G11091" t="str">
            <v>ASV22252</v>
          </cell>
          <cell r="H11091" t="str">
            <v>g__unclassified_c__Clostridia</v>
          </cell>
          <cell r="I11091" t="str">
            <v>s__unclassified_c__Clostridia</v>
          </cell>
        </row>
        <row r="11092">
          <cell r="G11092" t="str">
            <v>ASV23763</v>
          </cell>
          <cell r="H11092" t="str">
            <v>g__UCG-005</v>
          </cell>
          <cell r="I11092" t="str">
            <v>s__unclassified_g__UCG-005</v>
          </cell>
        </row>
        <row r="11093">
          <cell r="G11093" t="str">
            <v>ASV23246</v>
          </cell>
          <cell r="H11093" t="str">
            <v>g__unclassified_c__Clostridia</v>
          </cell>
          <cell r="I11093" t="str">
            <v>s__unclassified_c__Clostridia</v>
          </cell>
        </row>
        <row r="11094">
          <cell r="G11094" t="str">
            <v>ASV23285</v>
          </cell>
          <cell r="H11094" t="str">
            <v>g__norank_f__Ruminococcaceae</v>
          </cell>
          <cell r="I11094" t="str">
            <v>s__unclassified_g__norank_f__Ruminococcaceae</v>
          </cell>
        </row>
        <row r="11095">
          <cell r="G11095" t="str">
            <v>ASV17490</v>
          </cell>
          <cell r="H11095" t="str">
            <v>g__Parabacteroides</v>
          </cell>
          <cell r="I11095" t="str">
            <v>s__unclassified_g__Parabacteroides</v>
          </cell>
        </row>
        <row r="11096">
          <cell r="G11096" t="str">
            <v>ASV16910</v>
          </cell>
          <cell r="H11096" t="str">
            <v>g__unclassified_c__Clostridia</v>
          </cell>
          <cell r="I11096" t="str">
            <v>s__unclassified_c__Clostridia</v>
          </cell>
        </row>
        <row r="11097">
          <cell r="G11097" t="str">
            <v>ASV18566</v>
          </cell>
          <cell r="H11097" t="str">
            <v>g__unclassified_f__Lachnospiraceae</v>
          </cell>
          <cell r="I11097" t="str">
            <v>s__unclassified_f__Lachnospiraceae</v>
          </cell>
        </row>
        <row r="11098">
          <cell r="G11098" t="str">
            <v>ASV16413</v>
          </cell>
          <cell r="H11098" t="str">
            <v>g__Clostridium_sensu_stricto_1</v>
          </cell>
          <cell r="I11098" t="str">
            <v>s__unclassified_g__Clostridium_sensu_stricto_1</v>
          </cell>
        </row>
        <row r="11099">
          <cell r="G11099" t="str">
            <v>ASV10567</v>
          </cell>
          <cell r="H11099" t="str">
            <v>g__unclassified_o__Oscillospirales</v>
          </cell>
          <cell r="I11099" t="str">
            <v>s__unclassified_o__Oscillospirales</v>
          </cell>
        </row>
        <row r="11100">
          <cell r="G11100" t="str">
            <v>ASV17410</v>
          </cell>
          <cell r="H11100" t="str">
            <v>g__Family_XIII_AD3011_group</v>
          </cell>
          <cell r="I11100" t="str">
            <v>s__unclassified_g__Family_XIII_AD3011_group</v>
          </cell>
        </row>
        <row r="11101">
          <cell r="G11101" t="str">
            <v>ASV17948</v>
          </cell>
          <cell r="H11101" t="str">
            <v>g__unclassified_c__Clostridia</v>
          </cell>
          <cell r="I11101" t="str">
            <v>s__unclassified_c__Clostridia</v>
          </cell>
        </row>
        <row r="11102">
          <cell r="G11102" t="str">
            <v>ASV4847</v>
          </cell>
          <cell r="H11102" t="str">
            <v>g__unclassified_o__Bacteroidales</v>
          </cell>
          <cell r="I11102" t="str">
            <v>s__unclassified_o__Bacteroidales</v>
          </cell>
        </row>
        <row r="11103">
          <cell r="G11103" t="str">
            <v>ASV5847</v>
          </cell>
          <cell r="H11103" t="str">
            <v>g__unclassified_c__Clostridia</v>
          </cell>
          <cell r="I11103" t="str">
            <v>s__unclassified_c__Clostridia</v>
          </cell>
        </row>
        <row r="11104">
          <cell r="G11104" t="str">
            <v>ASV602</v>
          </cell>
          <cell r="H11104" t="str">
            <v>g__Veillonella</v>
          </cell>
          <cell r="I11104" t="str">
            <v>s__unclassified_g__Veillonella</v>
          </cell>
        </row>
        <row r="11105">
          <cell r="G11105" t="str">
            <v>ASV15964</v>
          </cell>
          <cell r="H11105" t="str">
            <v>g__Lachnoclostridium</v>
          </cell>
          <cell r="I11105" t="str">
            <v>s__unclassified_g__Lachnoclostridium</v>
          </cell>
        </row>
        <row r="11106">
          <cell r="G11106" t="str">
            <v>ASV13387</v>
          </cell>
          <cell r="H11106" t="str">
            <v>g__Enterococcus</v>
          </cell>
          <cell r="I11106" t="str">
            <v>s__unclassified_g__Enterococcus</v>
          </cell>
        </row>
        <row r="11107">
          <cell r="G11107" t="str">
            <v>ASV641</v>
          </cell>
          <cell r="H11107" t="str">
            <v>g__Christensenellaceae_R-7_group</v>
          </cell>
          <cell r="I11107" t="str">
            <v>s__unclassified_g__Christensenellaceae_R-7_group</v>
          </cell>
        </row>
        <row r="11108">
          <cell r="G11108" t="str">
            <v>ASV23833</v>
          </cell>
          <cell r="H11108" t="str">
            <v>g__unclassified_f__Lachnospiraceae</v>
          </cell>
          <cell r="I11108" t="str">
            <v>s__unclassified_f__Lachnospiraceae</v>
          </cell>
        </row>
        <row r="11109">
          <cell r="G11109" t="str">
            <v>ASV2741</v>
          </cell>
          <cell r="H11109" t="str">
            <v>g__Brachybacterium</v>
          </cell>
          <cell r="I11109" t="str">
            <v>s__unclassified_g__Brachybacterium</v>
          </cell>
        </row>
        <row r="11110">
          <cell r="G11110" t="str">
            <v>ASV7736</v>
          </cell>
          <cell r="H11110" t="str">
            <v>g__unclassified_p__Firmicutes</v>
          </cell>
          <cell r="I11110" t="str">
            <v>s__unclassified_p__Firmicutes</v>
          </cell>
        </row>
        <row r="11111">
          <cell r="G11111" t="str">
            <v>ASV12728</v>
          </cell>
          <cell r="H11111" t="str">
            <v>g__unclassified_f__Lachnospiraceae</v>
          </cell>
          <cell r="I11111" t="str">
            <v>s__unclassified_f__Lachnospiraceae</v>
          </cell>
        </row>
        <row r="11112">
          <cell r="G11112" t="str">
            <v>ASV22229</v>
          </cell>
          <cell r="H11112" t="str">
            <v>g__unclassified_f__Peptostreptococcaceae</v>
          </cell>
          <cell r="I11112" t="str">
            <v>s__unclassified_f__Peptostreptococcaceae</v>
          </cell>
        </row>
        <row r="11113">
          <cell r="G11113" t="str">
            <v>ASV17994</v>
          </cell>
          <cell r="H11113" t="str">
            <v>g__Enterorhabdus</v>
          </cell>
          <cell r="I11113" t="str">
            <v>s__uncultured_bacterium_g__Enterorhabdus</v>
          </cell>
        </row>
        <row r="11114">
          <cell r="G11114" t="str">
            <v>ASV13797</v>
          </cell>
          <cell r="H11114" t="str">
            <v>g__Enterococcus</v>
          </cell>
          <cell r="I11114" t="str">
            <v>s__unclassified_g__Enterococcus</v>
          </cell>
        </row>
        <row r="11115">
          <cell r="G11115" t="str">
            <v>ASV12715</v>
          </cell>
          <cell r="H11115" t="str">
            <v>g__Bacteroides</v>
          </cell>
          <cell r="I11115" t="str">
            <v>s__Bacteroides_caecigallinarum</v>
          </cell>
        </row>
        <row r="11116">
          <cell r="G11116" t="str">
            <v>ASV5801</v>
          </cell>
          <cell r="H11116" t="str">
            <v>g__unclassified_p__Firmicutes</v>
          </cell>
          <cell r="I11116" t="str">
            <v>s__unclassified_p__Firmicutes</v>
          </cell>
        </row>
        <row r="11117">
          <cell r="G11117" t="str">
            <v>ASV20729</v>
          </cell>
          <cell r="H11117" t="str">
            <v>g__Clostridium_sensu_stricto_1</v>
          </cell>
          <cell r="I11117" t="str">
            <v>s__unclassified_g__Clostridium_sensu_stricto_1</v>
          </cell>
        </row>
        <row r="11118">
          <cell r="G11118" t="str">
            <v>ASV16866</v>
          </cell>
          <cell r="H11118" t="str">
            <v>g__Streptococcus</v>
          </cell>
          <cell r="I11118" t="str">
            <v>s__unclassified_g__Streptococcus</v>
          </cell>
        </row>
        <row r="11119">
          <cell r="G11119" t="str">
            <v>ASV19605</v>
          </cell>
          <cell r="H11119" t="str">
            <v>g__Cloacibacillus</v>
          </cell>
          <cell r="I11119" t="str">
            <v>s__unclassified_g__Cloacibacillus</v>
          </cell>
        </row>
        <row r="11120">
          <cell r="G11120" t="str">
            <v>ASV14181</v>
          </cell>
          <cell r="H11120" t="str">
            <v>g__unclassified_f__Lachnospiraceae</v>
          </cell>
          <cell r="I11120" t="str">
            <v>s__unclassified_f__Lachnospiraceae</v>
          </cell>
        </row>
        <row r="11121">
          <cell r="G11121" t="str">
            <v>ASV5816</v>
          </cell>
          <cell r="H11121" t="str">
            <v>g__unclassified_f__Oscillospiraceae</v>
          </cell>
          <cell r="I11121" t="str">
            <v>s__unclassified_f__Oscillospiraceae</v>
          </cell>
        </row>
        <row r="11122">
          <cell r="G11122" t="str">
            <v>ASV16421</v>
          </cell>
          <cell r="H11122" t="str">
            <v>g__Bacteroides</v>
          </cell>
          <cell r="I11122" t="str">
            <v>s__unclassified_g__Bacteroides</v>
          </cell>
        </row>
        <row r="11123">
          <cell r="G11123" t="str">
            <v>ASV19060</v>
          </cell>
          <cell r="H11123" t="str">
            <v>g__Christensenellaceae_R-7_group</v>
          </cell>
          <cell r="I11123" t="str">
            <v>s__unclassified_g__Christensenellaceae_R-7_group</v>
          </cell>
        </row>
        <row r="11124">
          <cell r="G11124" t="str">
            <v>ASV619</v>
          </cell>
          <cell r="H11124" t="str">
            <v>g__Lactobacillus</v>
          </cell>
          <cell r="I11124" t="str">
            <v>s__unclassified_g__Lactobacillus</v>
          </cell>
        </row>
        <row r="11125">
          <cell r="G11125" t="str">
            <v>ASV20255</v>
          </cell>
          <cell r="H11125" t="str">
            <v>g__Lactobacillus</v>
          </cell>
          <cell r="I11125" t="str">
            <v>s__unclassified_g__Lactobacillus</v>
          </cell>
        </row>
        <row r="11126">
          <cell r="G11126" t="str">
            <v>ASV19485</v>
          </cell>
          <cell r="H11126" t="str">
            <v>g__norank_f__Eubacterium_coprostanoligenes_group</v>
          </cell>
          <cell r="I11126" t="str">
            <v>s__unclassified_g__norank_f__Eubacterium_coprostanoligenes_group</v>
          </cell>
        </row>
        <row r="11127">
          <cell r="G11127" t="str">
            <v>ASV3176</v>
          </cell>
          <cell r="H11127" t="str">
            <v>g__unclassified_k__norank_d__Bacteria</v>
          </cell>
          <cell r="I11127" t="str">
            <v>s__unclassified_k__norank_d__Bacteria</v>
          </cell>
        </row>
        <row r="11128">
          <cell r="G11128" t="str">
            <v>ASV9345</v>
          </cell>
          <cell r="H11128" t="str">
            <v>g__unclassified_f__Oscillospiraceae</v>
          </cell>
          <cell r="I11128" t="str">
            <v>s__unclassified_f__Oscillospiraceae</v>
          </cell>
        </row>
        <row r="11129">
          <cell r="G11129" t="str">
            <v>ASV19502</v>
          </cell>
          <cell r="H11129" t="str">
            <v>g__norank_f__Eubacterium_coprostanoligenes_group</v>
          </cell>
          <cell r="I11129" t="str">
            <v>s__uncultured_bacterium_g__norank_f__Eubacterium_coprostanoligenes_group</v>
          </cell>
        </row>
        <row r="11130">
          <cell r="G11130" t="str">
            <v>ASV22239</v>
          </cell>
          <cell r="H11130" t="str">
            <v>g__Lactobacillus</v>
          </cell>
          <cell r="I11130" t="str">
            <v>s__unclassified_g__Lactobacillus</v>
          </cell>
        </row>
        <row r="11131">
          <cell r="G11131" t="str">
            <v>ASV10015</v>
          </cell>
          <cell r="H11131" t="str">
            <v>g__norank_f__Bacteroidales_RF16_group</v>
          </cell>
          <cell r="I11131" t="str">
            <v>s__unclassified_g__norank_f__Bacteroidales_RF16_group</v>
          </cell>
        </row>
        <row r="11132">
          <cell r="G11132" t="str">
            <v>ASV14226</v>
          </cell>
          <cell r="H11132" t="str">
            <v>g__Lactobacillus</v>
          </cell>
          <cell r="I11132" t="str">
            <v>s__unclassified_g__Lactobacillus</v>
          </cell>
        </row>
        <row r="11133">
          <cell r="G11133" t="str">
            <v>ASV15987</v>
          </cell>
          <cell r="H11133" t="str">
            <v>g__unclassified_f__Lachnospiraceae</v>
          </cell>
          <cell r="I11133" t="str">
            <v>s__unclassified_f__Lachnospiraceae</v>
          </cell>
        </row>
        <row r="11134">
          <cell r="G11134" t="str">
            <v>ASV23175</v>
          </cell>
          <cell r="H11134" t="str">
            <v>g__unclassified_o__Oscillospirales</v>
          </cell>
          <cell r="I11134" t="str">
            <v>s__unclassified_o__Oscillospirales</v>
          </cell>
        </row>
        <row r="11135">
          <cell r="G11135" t="str">
            <v>ASV2745</v>
          </cell>
          <cell r="H11135" t="str">
            <v>g__Veillonella</v>
          </cell>
          <cell r="I11135" t="str">
            <v>s__unclassified_g__Veillonella</v>
          </cell>
        </row>
        <row r="11136">
          <cell r="G11136" t="str">
            <v>ASV4012</v>
          </cell>
          <cell r="H11136" t="str">
            <v>g__Phascolarctobacterium</v>
          </cell>
          <cell r="I11136" t="str">
            <v>s__unclassified_g__Phascolarctobacterium</v>
          </cell>
        </row>
        <row r="11137">
          <cell r="G11137" t="str">
            <v>ASV20786</v>
          </cell>
          <cell r="H11137" t="str">
            <v>g__unclassified_c__Clostridia</v>
          </cell>
          <cell r="I11137" t="str">
            <v>s__unclassified_c__Clostridia</v>
          </cell>
        </row>
        <row r="11138">
          <cell r="G11138" t="str">
            <v>ASV9357</v>
          </cell>
          <cell r="H11138" t="str">
            <v>g__Eubacterium</v>
          </cell>
          <cell r="I11138" t="str">
            <v>s__unclassified_g__Eubacterium</v>
          </cell>
        </row>
        <row r="11139">
          <cell r="G11139" t="str">
            <v>ASV18867</v>
          </cell>
          <cell r="H11139" t="str">
            <v>g__Lactobacillus</v>
          </cell>
          <cell r="I11139" t="str">
            <v>s__unclassified_g__Lactobacillus</v>
          </cell>
        </row>
        <row r="11140">
          <cell r="G11140" t="str">
            <v>ASV12730</v>
          </cell>
          <cell r="H11140" t="str">
            <v>g__unclassified_f__Anaerovoracaceae</v>
          </cell>
          <cell r="I11140" t="str">
            <v>s__unclassified_f__Anaerovoracaceae</v>
          </cell>
        </row>
        <row r="11141">
          <cell r="G11141" t="str">
            <v>ASV1646</v>
          </cell>
          <cell r="H11141" t="str">
            <v>g__norank_f__norank_o__norank_c__norank_p__WPS-2</v>
          </cell>
          <cell r="I11141" t="str">
            <v>s__uncultured_rumen_bacterium_g__norank_f__norank_o__norank_c__norank</v>
          </cell>
        </row>
        <row r="11142">
          <cell r="G11142" t="str">
            <v>ASV10626</v>
          </cell>
          <cell r="H11142" t="str">
            <v>g__unclassified_c__Clostridia</v>
          </cell>
          <cell r="I11142" t="str">
            <v>s__unclassified_c__Clostridia</v>
          </cell>
        </row>
        <row r="11143">
          <cell r="G11143" t="str">
            <v>ASV22235</v>
          </cell>
          <cell r="H11143" t="str">
            <v>g__Colidextribacter</v>
          </cell>
          <cell r="I11143" t="str">
            <v>s__unclassified_g__Colidextribacter</v>
          </cell>
        </row>
        <row r="11144">
          <cell r="G11144" t="str">
            <v>ASV19483</v>
          </cell>
          <cell r="H11144" t="str">
            <v>g__unclassified_f__Lachnospiraceae</v>
          </cell>
          <cell r="I11144" t="str">
            <v>s__unclassified_f__Lachnospiraceae</v>
          </cell>
        </row>
        <row r="11145">
          <cell r="G11145" t="str">
            <v>ASV24157</v>
          </cell>
          <cell r="H11145" t="str">
            <v>g__unclassified_f__Lachnospiraceae</v>
          </cell>
          <cell r="I11145" t="str">
            <v>s__unclassified_f__Lachnospiraceae</v>
          </cell>
        </row>
        <row r="11146">
          <cell r="G11146" t="str">
            <v>ASV20246</v>
          </cell>
          <cell r="H11146" t="str">
            <v>g__Eubacterium_oxidoreducens_group</v>
          </cell>
          <cell r="I11146" t="str">
            <v>s__uncultured_bacterium_g__Eubacterium_oxidoreducens_group</v>
          </cell>
        </row>
        <row r="11147">
          <cell r="G11147" t="str">
            <v>ASV14146</v>
          </cell>
          <cell r="H11147" t="str">
            <v>g__Streptococcus</v>
          </cell>
          <cell r="I11147" t="str">
            <v>s__unclassified_g__Streptococcus</v>
          </cell>
        </row>
        <row r="11148">
          <cell r="G11148" t="str">
            <v>ASV12697</v>
          </cell>
          <cell r="H11148" t="str">
            <v>g__unclassified_c__Clostridia</v>
          </cell>
          <cell r="I11148" t="str">
            <v>s__unclassified_c__Clostridia</v>
          </cell>
        </row>
        <row r="11149">
          <cell r="G11149" t="str">
            <v>ASV4747</v>
          </cell>
          <cell r="H11149" t="str">
            <v>g__norank_f__Erysipelotrichaceae</v>
          </cell>
          <cell r="I11149" t="str">
            <v>s__uncultured_bacterium_g__norank_f__Erysipelotrichaceae</v>
          </cell>
        </row>
        <row r="11150">
          <cell r="G11150" t="str">
            <v>ASV14163</v>
          </cell>
          <cell r="H11150" t="str">
            <v>g__unclassified_c__Clostridia</v>
          </cell>
          <cell r="I11150" t="str">
            <v>s__unclassified_c__Clostridia</v>
          </cell>
        </row>
        <row r="11151">
          <cell r="G11151" t="str">
            <v>ASV13399</v>
          </cell>
          <cell r="H11151" t="str">
            <v>g__norank_f__Oscillospiraceae</v>
          </cell>
          <cell r="I11151" t="str">
            <v>s__unclassified_g__norank_f__Oscillospiraceae</v>
          </cell>
        </row>
        <row r="11152">
          <cell r="G11152" t="str">
            <v>ASV6699</v>
          </cell>
          <cell r="H11152" t="str">
            <v>g__unclassified_f__Lachnospiraceae</v>
          </cell>
          <cell r="I11152" t="str">
            <v>s__unclassified_f__Lachnospiraceae</v>
          </cell>
        </row>
        <row r="11153">
          <cell r="G11153" t="str">
            <v>ASV2191</v>
          </cell>
          <cell r="H11153" t="str">
            <v>g__unclassified_p__Firmicutes</v>
          </cell>
          <cell r="I11153" t="str">
            <v>s__unclassified_p__Firmicutes</v>
          </cell>
        </row>
        <row r="11154">
          <cell r="G11154" t="str">
            <v>ASV10650</v>
          </cell>
          <cell r="H11154" t="str">
            <v>g__Subdoligranulum</v>
          </cell>
          <cell r="I11154" t="str">
            <v>s__uncultured_bacterium_g__Subdoligranulum</v>
          </cell>
        </row>
        <row r="11155">
          <cell r="G11155" t="str">
            <v>ASV7742</v>
          </cell>
          <cell r="H11155" t="str">
            <v>g__unclassified_p__Firmicutes</v>
          </cell>
          <cell r="I11155" t="str">
            <v>s__unclassified_p__Firmicutes</v>
          </cell>
        </row>
        <row r="11156">
          <cell r="G11156" t="str">
            <v>ASV14206</v>
          </cell>
          <cell r="H11156" t="str">
            <v>g__Lactobacillus</v>
          </cell>
          <cell r="I11156" t="str">
            <v>s__unclassified_g__Lactobacillus</v>
          </cell>
        </row>
        <row r="11157">
          <cell r="G11157" t="str">
            <v>ASV16405</v>
          </cell>
          <cell r="H11157" t="str">
            <v>g__Rikenellaceae_RC9_gut_group</v>
          </cell>
          <cell r="I11157" t="str">
            <v>s__uncultured_bacterium_g__Rikenellaceae_RC9_gut_group</v>
          </cell>
        </row>
        <row r="11158">
          <cell r="G11158" t="str">
            <v>ASV7769</v>
          </cell>
          <cell r="H11158" t="str">
            <v>g__unclassified_o__Lactobacillales</v>
          </cell>
          <cell r="I11158" t="str">
            <v>s__unclassified_o__Lactobacillales</v>
          </cell>
        </row>
        <row r="11159">
          <cell r="G11159" t="str">
            <v>ASV14166</v>
          </cell>
          <cell r="H11159" t="str">
            <v>g__unclassified_p__Firmicutes</v>
          </cell>
          <cell r="I11159" t="str">
            <v>s__unclassified_p__Firmicutes</v>
          </cell>
        </row>
        <row r="11160">
          <cell r="G11160" t="str">
            <v>ASV4775</v>
          </cell>
          <cell r="H11160" t="str">
            <v>g__norank_f__Erysipelotrichaceae</v>
          </cell>
          <cell r="I11160" t="str">
            <v>s__uncultured_bacterium_g__norank_f__Erysipelotrichaceae</v>
          </cell>
        </row>
        <row r="11161">
          <cell r="G11161" t="str">
            <v>ASV12720</v>
          </cell>
          <cell r="H11161" t="str">
            <v>g__Family_XIII_AD3011_group</v>
          </cell>
          <cell r="I11161" t="str">
            <v>s__uncultured_bacterium_g__Family_XIII_AD3011_group</v>
          </cell>
        </row>
        <row r="11162">
          <cell r="G11162" t="str">
            <v>ASV18857</v>
          </cell>
          <cell r="H11162" t="str">
            <v>g__unclassified_o__Oscillospirales</v>
          </cell>
          <cell r="I11162" t="str">
            <v>s__unclassified_o__Oscillospirales</v>
          </cell>
        </row>
        <row r="11163">
          <cell r="G11163" t="str">
            <v>ASV7788</v>
          </cell>
          <cell r="H11163" t="str">
            <v>g__norank_f__Oscillospiraceae</v>
          </cell>
          <cell r="I11163" t="str">
            <v>s__unclassified_g__norank_f__Oscillospiraceae</v>
          </cell>
        </row>
        <row r="11164">
          <cell r="G11164" t="str">
            <v>ASV13391</v>
          </cell>
          <cell r="H11164" t="str">
            <v>g__unclassified_c__Clostridia</v>
          </cell>
          <cell r="I11164" t="str">
            <v>s__unclassified_c__Clostridia</v>
          </cell>
        </row>
        <row r="11165">
          <cell r="G11165" t="str">
            <v>ASV722</v>
          </cell>
          <cell r="H11165" t="str">
            <v>g__unclassified_c__Bacilli</v>
          </cell>
          <cell r="I11165" t="str">
            <v>s__unclassified_c__Bacilli</v>
          </cell>
        </row>
        <row r="11166">
          <cell r="G11166" t="str">
            <v>ASV11650</v>
          </cell>
          <cell r="H11166" t="str">
            <v>g__norank_f__norank_o__Clostridia_UCG-014</v>
          </cell>
          <cell r="I11166" t="str">
            <v>s__uncultured_bacterium_g__norank_f__norank_o__Clostridia_UCG-014</v>
          </cell>
        </row>
        <row r="11167">
          <cell r="G11167" t="str">
            <v>ASV6713</v>
          </cell>
          <cell r="H11167" t="str">
            <v>g__Fusobacterium</v>
          </cell>
          <cell r="I11167" t="str">
            <v>s__unclassified_g__Fusobacterium</v>
          </cell>
        </row>
        <row r="11168">
          <cell r="G11168" t="str">
            <v>ASV2211</v>
          </cell>
          <cell r="H11168" t="str">
            <v>g__unclassified_f__Lachnospiraceae</v>
          </cell>
          <cell r="I11168" t="str">
            <v>s__unclassified_f__Lachnospiraceae</v>
          </cell>
        </row>
        <row r="11169">
          <cell r="G11169" t="str">
            <v>ASV1676</v>
          </cell>
          <cell r="H11169" t="str">
            <v>g__unclassified_f__Peptostreptococcaceae</v>
          </cell>
          <cell r="I11169" t="str">
            <v>s__unclassified_f__Peptostreptococcaceae</v>
          </cell>
        </row>
        <row r="11170">
          <cell r="G11170" t="str">
            <v>ASV6679</v>
          </cell>
          <cell r="H11170" t="str">
            <v>g__unclassified_f__Lachnospiraceae</v>
          </cell>
          <cell r="I11170" t="str">
            <v>s__unclassified_f__Lachnospiraceae</v>
          </cell>
        </row>
        <row r="11171">
          <cell r="G11171" t="str">
            <v>ASV8802</v>
          </cell>
          <cell r="H11171" t="str">
            <v>g__Moraxella</v>
          </cell>
          <cell r="I11171" t="str">
            <v>s__unclassified_g__Moraxella</v>
          </cell>
        </row>
        <row r="11172">
          <cell r="G11172" t="str">
            <v>ASV17604</v>
          </cell>
          <cell r="H11172" t="str">
            <v>g__Alloprevotella</v>
          </cell>
          <cell r="I11172" t="str">
            <v>s__Prevotella_sp._canine_oral_taxon_282</v>
          </cell>
        </row>
        <row r="11173">
          <cell r="G11173" t="str">
            <v>ASV2123</v>
          </cell>
          <cell r="H11173" t="str">
            <v>g__Lactobacillus</v>
          </cell>
          <cell r="I11173" t="str">
            <v>s__unclassified_g__Lactobacillus</v>
          </cell>
        </row>
        <row r="11174">
          <cell r="G11174" t="str">
            <v>ASV13423</v>
          </cell>
          <cell r="H11174" t="str">
            <v>g__Lachnoclostridium</v>
          </cell>
          <cell r="I11174" t="str">
            <v>s__unclassified_g__Lachnoclostridium</v>
          </cell>
        </row>
        <row r="11175">
          <cell r="G11175" t="str">
            <v>ASV7693</v>
          </cell>
          <cell r="H11175" t="str">
            <v>g__Lactobacillus</v>
          </cell>
          <cell r="I11175" t="str">
            <v>s__unclassified_g__Lactobacillus</v>
          </cell>
        </row>
        <row r="11176">
          <cell r="G11176" t="str">
            <v>ASV20742</v>
          </cell>
          <cell r="H11176" t="str">
            <v>g__Christensenellaceae_R-7_group</v>
          </cell>
          <cell r="I11176" t="str">
            <v>s__unclassified_g__Christensenellaceae_R-7_group</v>
          </cell>
        </row>
        <row r="11177">
          <cell r="G11177" t="str">
            <v>ASV14237</v>
          </cell>
          <cell r="H11177" t="str">
            <v>g__Dorea</v>
          </cell>
          <cell r="I11177" t="str">
            <v>s__unclassified_g__Dorea</v>
          </cell>
        </row>
        <row r="11178">
          <cell r="G11178" t="str">
            <v>ASV7782</v>
          </cell>
          <cell r="H11178" t="str">
            <v>g__Clostridium_sensu_stricto_1</v>
          </cell>
          <cell r="I11178" t="str">
            <v>s__uncultured_bacterium_g__Clostridium_sensu_stricto_1</v>
          </cell>
        </row>
        <row r="11179">
          <cell r="G11179" t="str">
            <v>ASV10679</v>
          </cell>
          <cell r="H11179" t="str">
            <v>g__unclassified_c__Clostridia</v>
          </cell>
          <cell r="I11179" t="str">
            <v>s__unclassified_c__Clostridia</v>
          </cell>
        </row>
        <row r="11180">
          <cell r="G11180" t="str">
            <v>ASV23957</v>
          </cell>
          <cell r="H11180" t="str">
            <v>g__Veillonella</v>
          </cell>
          <cell r="I11180" t="str">
            <v>s__unclassified_g__Veillonella</v>
          </cell>
        </row>
        <row r="11181">
          <cell r="G11181" t="str">
            <v>ASV3201</v>
          </cell>
          <cell r="H11181" t="str">
            <v>g__Fusobacterium</v>
          </cell>
          <cell r="I11181" t="str">
            <v>s__unclassified_g__Fusobacterium</v>
          </cell>
        </row>
        <row r="11182">
          <cell r="G11182" t="str">
            <v>ASV4832</v>
          </cell>
          <cell r="H11182" t="str">
            <v>g__unclassified_p__Firmicutes</v>
          </cell>
          <cell r="I11182" t="str">
            <v>s__unclassified_p__Firmicutes</v>
          </cell>
        </row>
        <row r="11183">
          <cell r="G11183" t="str">
            <v>ASV15312</v>
          </cell>
          <cell r="H11183" t="str">
            <v>g__norank_f__norank_o__Clostridia_UCG-014</v>
          </cell>
          <cell r="I11183" t="str">
            <v>s__uncultured_bacterium_g__norank_f__norank_o__Clostridia_UCG-014</v>
          </cell>
        </row>
        <row r="11184">
          <cell r="G11184" t="str">
            <v>ASV14246</v>
          </cell>
          <cell r="H11184" t="str">
            <v>g__unclassified_f__Lachnospiraceae</v>
          </cell>
          <cell r="I11184" t="str">
            <v>s__unclassified_f__Lachnospiraceae</v>
          </cell>
        </row>
        <row r="11185">
          <cell r="G11185" t="str">
            <v>ASV7754</v>
          </cell>
          <cell r="H11185" t="str">
            <v>g__norank_f__Erysipelotrichaceae</v>
          </cell>
          <cell r="I11185" t="str">
            <v>s__uncultured_bacterium_g__norank_f__Erysipelotrichaceae</v>
          </cell>
        </row>
        <row r="11186">
          <cell r="G11186" t="str">
            <v>ASV18000</v>
          </cell>
          <cell r="H11186" t="str">
            <v>g__norank_f__Oscillospiraceae</v>
          </cell>
          <cell r="I11186" t="str">
            <v>s__unclassified_g__norank_f__Oscillospiraceae</v>
          </cell>
        </row>
        <row r="11187">
          <cell r="G11187" t="str">
            <v>ASV11647</v>
          </cell>
          <cell r="H11187" t="str">
            <v>g__Rikenellaceae_RC9_gut_group</v>
          </cell>
          <cell r="I11187" t="str">
            <v>s__uncultured_beta_proteobacterium_g__Rikenellaceae_RC9_gut_group</v>
          </cell>
        </row>
        <row r="11188">
          <cell r="G11188" t="str">
            <v>ASV3967</v>
          </cell>
          <cell r="H11188" t="str">
            <v>g__SP3-e08</v>
          </cell>
          <cell r="I11188" t="str">
            <v>s__uncultured_bacterium_g__SP3-e08</v>
          </cell>
        </row>
        <row r="11189">
          <cell r="G11189" t="str">
            <v>ASV16423</v>
          </cell>
          <cell r="H11189" t="str">
            <v>g__Bacteroides</v>
          </cell>
          <cell r="I11189" t="str">
            <v>s__Bacteroides_eggerthii</v>
          </cell>
        </row>
        <row r="11190">
          <cell r="G11190" t="str">
            <v>ASV14259</v>
          </cell>
          <cell r="H11190" t="str">
            <v>g__unclassified_o__Bacteroidales</v>
          </cell>
          <cell r="I11190" t="str">
            <v>s__unclassified_o__Bacteroidales</v>
          </cell>
        </row>
        <row r="11191">
          <cell r="G11191" t="str">
            <v>ASV11645</v>
          </cell>
          <cell r="H11191" t="str">
            <v>g__unclassified_f__Lachnospiraceae</v>
          </cell>
          <cell r="I11191" t="str">
            <v>s__unclassified_f__Lachnospiraceae</v>
          </cell>
        </row>
        <row r="11192">
          <cell r="G11192" t="str">
            <v>ASV11612</v>
          </cell>
          <cell r="H11192" t="str">
            <v>g__unclassified_f__Lachnospiraceae</v>
          </cell>
          <cell r="I11192" t="str">
            <v>s__unclassified_f__Lachnospiraceae</v>
          </cell>
        </row>
        <row r="11193">
          <cell r="G11193" t="str">
            <v>ASV2170</v>
          </cell>
          <cell r="H11193" t="str">
            <v>g__Enterococcus</v>
          </cell>
          <cell r="I11193" t="str">
            <v>s__unclassified_g__Enterococcus</v>
          </cell>
        </row>
        <row r="11194">
          <cell r="G11194" t="str">
            <v>ASV19515</v>
          </cell>
          <cell r="H11194" t="str">
            <v>g__unclassified_c__Bacilli</v>
          </cell>
          <cell r="I11194" t="str">
            <v>s__unclassified_c__Bacilli</v>
          </cell>
        </row>
        <row r="11195">
          <cell r="G11195" t="str">
            <v>ASV14174</v>
          </cell>
          <cell r="H11195" t="str">
            <v>g__unclassified_c__Clostridia</v>
          </cell>
          <cell r="I11195" t="str">
            <v>s__unclassified_c__Clostridia</v>
          </cell>
        </row>
        <row r="11196">
          <cell r="G11196" t="str">
            <v>ASV12685</v>
          </cell>
          <cell r="H11196" t="str">
            <v>g__Rikenellaceae_RC9_gut_group</v>
          </cell>
          <cell r="I11196" t="str">
            <v>s__uncultured_bacterium_g__Rikenellaceae_RC9_gut_group</v>
          </cell>
        </row>
        <row r="11197">
          <cell r="G11197" t="str">
            <v>ASV699</v>
          </cell>
          <cell r="H11197" t="str">
            <v>g__unclassified_c__Clostridia</v>
          </cell>
          <cell r="I11197" t="str">
            <v>s__unclassified_c__Clostridia</v>
          </cell>
        </row>
        <row r="11198">
          <cell r="G11198" t="str">
            <v>ASV5818</v>
          </cell>
          <cell r="H11198" t="str">
            <v>g__Sphaerochaeta</v>
          </cell>
          <cell r="I11198" t="str">
            <v>s__uncultured_bacterium_g__Sphaerochaeta</v>
          </cell>
        </row>
        <row r="11199">
          <cell r="G11199" t="str">
            <v>ASV22186</v>
          </cell>
          <cell r="H11199" t="str">
            <v>g__Escherichia-Shigella</v>
          </cell>
          <cell r="I11199" t="str">
            <v>s__unclassified_g__Escherichia-Shigella</v>
          </cell>
        </row>
        <row r="11200">
          <cell r="G11200" t="str">
            <v>ASV6700</v>
          </cell>
          <cell r="H11200" t="str">
            <v>g__UCG-002</v>
          </cell>
          <cell r="I11200" t="str">
            <v>s__uncultured_bacterium_g__UCG-002</v>
          </cell>
        </row>
        <row r="11201">
          <cell r="G11201" t="str">
            <v>ASV11588</v>
          </cell>
          <cell r="H11201" t="str">
            <v>g__unclassified_o__Bacteroidales</v>
          </cell>
          <cell r="I11201" t="str">
            <v>s__unclassified_o__Bacteroidales</v>
          </cell>
        </row>
        <row r="11202">
          <cell r="G11202" t="str">
            <v>ASV12792</v>
          </cell>
          <cell r="H11202" t="str">
            <v>g__unclassified_c__Clostridia</v>
          </cell>
          <cell r="I11202" t="str">
            <v>s__unclassified_c__Clostridia</v>
          </cell>
        </row>
        <row r="11203">
          <cell r="G11203" t="str">
            <v>ASV1369</v>
          </cell>
          <cell r="H11203" t="str">
            <v>g__norank_f__UCG-010</v>
          </cell>
          <cell r="I11203" t="str">
            <v>s__unclassified_g__norank_f__UCG-010</v>
          </cell>
        </row>
        <row r="11204">
          <cell r="G11204" t="str">
            <v>ASV724</v>
          </cell>
          <cell r="H11204" t="str">
            <v>g__Christensenellaceae_R-7_group</v>
          </cell>
          <cell r="I11204" t="str">
            <v>s__unclassified_g__Christensenellaceae_R-7_group</v>
          </cell>
        </row>
        <row r="11205">
          <cell r="G11205" t="str">
            <v>ASV3478</v>
          </cell>
          <cell r="H11205" t="str">
            <v>g__Lactobacillus</v>
          </cell>
          <cell r="I11205" t="str">
            <v>s__unclassified_g__Lactobacillus</v>
          </cell>
        </row>
        <row r="11206">
          <cell r="G11206" t="str">
            <v>ASV9401</v>
          </cell>
          <cell r="H11206" t="str">
            <v>g__unclassified_c__Clostridia</v>
          </cell>
          <cell r="I11206" t="str">
            <v>s__unclassified_c__Clostridia</v>
          </cell>
        </row>
        <row r="11207">
          <cell r="G11207" t="str">
            <v>ASV3995</v>
          </cell>
          <cell r="H11207" t="str">
            <v>g__unclassified_c__Clostridia</v>
          </cell>
          <cell r="I11207" t="str">
            <v>s__unclassified_c__Clostridia</v>
          </cell>
        </row>
        <row r="11208">
          <cell r="G11208" t="str">
            <v>ASV11537</v>
          </cell>
          <cell r="H11208" t="str">
            <v>g__unclassified_f__Lachnospiraceae</v>
          </cell>
          <cell r="I11208" t="str">
            <v>s__unclassified_f__Lachnospiraceae</v>
          </cell>
        </row>
        <row r="11209">
          <cell r="G11209" t="str">
            <v>ASV14936</v>
          </cell>
          <cell r="H11209" t="str">
            <v>g__Prevotella</v>
          </cell>
          <cell r="I11209" t="str">
            <v>s__unclassified_g__Prevotella</v>
          </cell>
        </row>
        <row r="11210">
          <cell r="G11210" t="str">
            <v>ASV5880</v>
          </cell>
          <cell r="H11210" t="str">
            <v>g__unclassified_o__Peptostreptococcales-Tissierellales</v>
          </cell>
          <cell r="I11210" t="str">
            <v>s__unclassified_o__Peptostreptococcales-Tissierellales</v>
          </cell>
        </row>
        <row r="11211">
          <cell r="G11211" t="str">
            <v>ASV8481</v>
          </cell>
          <cell r="H11211" t="str">
            <v>g__unclassified_k__norank_d__Bacteria</v>
          </cell>
          <cell r="I11211" t="str">
            <v>s__unclassified_k__norank_d__Bacteria</v>
          </cell>
        </row>
        <row r="11212">
          <cell r="G11212" t="str">
            <v>ASV12799</v>
          </cell>
          <cell r="H11212" t="str">
            <v>g__UCG-002</v>
          </cell>
          <cell r="I11212" t="str">
            <v>s__uncultured_bacterium_g__UCG-002</v>
          </cell>
        </row>
        <row r="11213">
          <cell r="G11213" t="str">
            <v>ASV13415</v>
          </cell>
          <cell r="H11213" t="str">
            <v>g__unclassified_f__Lachnospiraceae</v>
          </cell>
          <cell r="I11213" t="str">
            <v>s__unclassified_f__Lachnospiraceae</v>
          </cell>
        </row>
        <row r="11214">
          <cell r="G11214" t="str">
            <v>ASV3187</v>
          </cell>
          <cell r="H11214" t="str">
            <v>g__unclassified_f__Veillonellaceae</v>
          </cell>
          <cell r="I11214" t="str">
            <v>s__unclassified_f__Veillonellaceae</v>
          </cell>
        </row>
        <row r="11215">
          <cell r="G11215" t="str">
            <v>ASV23207</v>
          </cell>
          <cell r="H11215" t="str">
            <v>g__Megasphaera</v>
          </cell>
          <cell r="I11215" t="str">
            <v>s__unclassified_g__Megasphaera</v>
          </cell>
        </row>
        <row r="11216">
          <cell r="G11216" t="str">
            <v>ASV7770</v>
          </cell>
          <cell r="H11216" t="str">
            <v>g__unclassified_f__Lachnospiraceae</v>
          </cell>
          <cell r="I11216" t="str">
            <v>s__unclassified_f__Lachnospiraceae</v>
          </cell>
        </row>
        <row r="11217">
          <cell r="G11217" t="str">
            <v>ASV22116</v>
          </cell>
          <cell r="H11217" t="str">
            <v>g__Eubacterium_oxidoreducens_group</v>
          </cell>
          <cell r="I11217" t="str">
            <v>s__uncultured_bacterium_g__Eubacterium_oxidoreducens_group</v>
          </cell>
        </row>
        <row r="11218">
          <cell r="G11218" t="str">
            <v>ASV627</v>
          </cell>
          <cell r="H11218" t="str">
            <v>g__unclassified_o__Oscillospirales</v>
          </cell>
          <cell r="I11218" t="str">
            <v>s__unclassified_o__Oscillospirales</v>
          </cell>
        </row>
        <row r="11219">
          <cell r="G11219" t="str">
            <v>ASV5792</v>
          </cell>
          <cell r="H11219" t="str">
            <v>g__Desulfovibrio</v>
          </cell>
          <cell r="I11219" t="str">
            <v>s__unclassified_g__Desulfovibrio</v>
          </cell>
        </row>
        <row r="11220">
          <cell r="G11220" t="str">
            <v>ASV23952</v>
          </cell>
          <cell r="H11220" t="str">
            <v>g__unclassified_f__Desulfovibrionaceae</v>
          </cell>
          <cell r="I11220" t="str">
            <v>s__unclassified_f__Desulfovibrionaceae</v>
          </cell>
        </row>
        <row r="11221">
          <cell r="G11221" t="str">
            <v>ASV7768</v>
          </cell>
          <cell r="H11221" t="str">
            <v>g__Lactobacillus</v>
          </cell>
          <cell r="I11221" t="str">
            <v>s__uncultured_bacterium_g__Lactobacillus</v>
          </cell>
        </row>
        <row r="11222">
          <cell r="G11222" t="str">
            <v>ASV2177</v>
          </cell>
          <cell r="H11222" t="str">
            <v>g__Lactobacillus</v>
          </cell>
          <cell r="I11222" t="str">
            <v>s__unclassified_g__Lactobacillus</v>
          </cell>
        </row>
        <row r="11223">
          <cell r="G11223" t="str">
            <v>ASV22114</v>
          </cell>
          <cell r="H11223" t="str">
            <v>g__norank_f__Eubacterium_coprostanoligenes_group</v>
          </cell>
          <cell r="I11223" t="str">
            <v>s__uncultured_bacterium_g__norank_f__Eubacterium_coprostanoligenes_group</v>
          </cell>
        </row>
        <row r="11224">
          <cell r="G11224" t="str">
            <v>ASV11619</v>
          </cell>
          <cell r="H11224" t="str">
            <v>g__unclassified_f__Lachnospiraceae</v>
          </cell>
          <cell r="I11224" t="str">
            <v>s__unclassified_f__Lachnospiraceae</v>
          </cell>
        </row>
        <row r="11225">
          <cell r="G11225" t="str">
            <v>ASV1675</v>
          </cell>
          <cell r="H11225" t="str">
            <v>g__Clostridium_sensu_stricto_1</v>
          </cell>
          <cell r="I11225" t="str">
            <v>s__unclassified_g__Clostridium_sensu_stricto_1</v>
          </cell>
        </row>
        <row r="11226">
          <cell r="G11226" t="str">
            <v>ASV11635</v>
          </cell>
          <cell r="H11226" t="str">
            <v>g__Rikenellaceae_RC9_gut_group</v>
          </cell>
          <cell r="I11226" t="str">
            <v>s__unclassified_g__Rikenellaceae_RC9_gut_group</v>
          </cell>
        </row>
        <row r="11227">
          <cell r="G11227" t="str">
            <v>ASV15379</v>
          </cell>
          <cell r="H11227" t="str">
            <v>g__Lachnospiraceae_NC2004_group</v>
          </cell>
          <cell r="I11227" t="str">
            <v>s__unclassified_g__Lachnospiraceae_NC2004_group</v>
          </cell>
        </row>
        <row r="11228">
          <cell r="G11228" t="str">
            <v>ASV17668</v>
          </cell>
          <cell r="H11228" t="str">
            <v>g__Terrisporobacter</v>
          </cell>
          <cell r="I11228" t="str">
            <v>s__uncultured_bacterium_g__Terrisporobacter</v>
          </cell>
        </row>
        <row r="11229">
          <cell r="G11229" t="str">
            <v>ASV14149</v>
          </cell>
          <cell r="H11229" t="str">
            <v>g__Lactobacillus</v>
          </cell>
          <cell r="I11229" t="str">
            <v>s__unclassified_g__Lactobacillus</v>
          </cell>
        </row>
        <row r="11230">
          <cell r="G11230" t="str">
            <v>ASV19069</v>
          </cell>
          <cell r="H11230" t="str">
            <v>g__Lactobacillus</v>
          </cell>
          <cell r="I11230" t="str">
            <v>s__gut_metagenome_g__Lactobacillus</v>
          </cell>
        </row>
        <row r="11231">
          <cell r="G11231" t="str">
            <v>ASV19538</v>
          </cell>
          <cell r="H11231" t="str">
            <v>g__unclassified_c__Clostridia</v>
          </cell>
          <cell r="I11231" t="str">
            <v>s__unclassified_c__Clostridia</v>
          </cell>
        </row>
        <row r="11232">
          <cell r="G11232" t="str">
            <v>ASV11572</v>
          </cell>
          <cell r="H11232" t="str">
            <v>g__norank_f__Eubacterium_coprostanoligenes_group</v>
          </cell>
          <cell r="I11232" t="str">
            <v>s__unclassified_g__norank_f__Eubacterium_coprostanoligenes_group</v>
          </cell>
        </row>
        <row r="11233">
          <cell r="G11233" t="str">
            <v>ASV5862</v>
          </cell>
          <cell r="H11233" t="str">
            <v>g__norank_f__UCG-011</v>
          </cell>
          <cell r="I11233" t="str">
            <v>s__uncultured_bacterium_g__norank_f__UCG-011</v>
          </cell>
        </row>
        <row r="11234">
          <cell r="G11234" t="str">
            <v>ASV12705</v>
          </cell>
          <cell r="H11234" t="str">
            <v>g__unclassified_c__Clostridia</v>
          </cell>
          <cell r="I11234" t="str">
            <v>s__unclassified_c__Clostridia</v>
          </cell>
        </row>
        <row r="11235">
          <cell r="G11235" t="str">
            <v>ASV10637</v>
          </cell>
          <cell r="H11235" t="str">
            <v>g__norank_f__norank_o__RF39</v>
          </cell>
          <cell r="I11235" t="str">
            <v>s__uncultured_bacterium_g__norank_f__norank_o__RF39</v>
          </cell>
        </row>
        <row r="11236">
          <cell r="G11236" t="str">
            <v>ASV8281</v>
          </cell>
          <cell r="H11236" t="str">
            <v>g__Eubacterium_nodatum_group</v>
          </cell>
          <cell r="I11236" t="str">
            <v>s__unclassified_g__Eubacterium_nodatum_group</v>
          </cell>
        </row>
        <row r="11237">
          <cell r="G11237" t="str">
            <v>ASV9350</v>
          </cell>
          <cell r="H11237" t="str">
            <v>g__Lachnospiraceae_UCG-004</v>
          </cell>
          <cell r="I11237" t="str">
            <v>s__unclassified_g__Lachnospiraceae_UCG-004</v>
          </cell>
        </row>
        <row r="11238">
          <cell r="G11238" t="str">
            <v>ASV5830</v>
          </cell>
          <cell r="H11238" t="str">
            <v>g__unclassified_f__Clostridiaceae</v>
          </cell>
          <cell r="I11238" t="str">
            <v>s__unclassified_f__Clostridiaceae</v>
          </cell>
        </row>
        <row r="11239">
          <cell r="G11239" t="str">
            <v>ASV4793</v>
          </cell>
          <cell r="H11239" t="str">
            <v>g__Ruminococcus</v>
          </cell>
          <cell r="I11239" t="str">
            <v>s__unclassified_g__Ruminococcus</v>
          </cell>
        </row>
        <row r="11240">
          <cell r="G11240" t="str">
            <v>ASV3207</v>
          </cell>
          <cell r="H11240" t="str">
            <v>g__Colidextribacter</v>
          </cell>
          <cell r="I11240" t="str">
            <v>s__unclassified_g__Colidextribacter</v>
          </cell>
        </row>
        <row r="11241">
          <cell r="G11241" t="str">
            <v>ASV2151</v>
          </cell>
          <cell r="H11241" t="str">
            <v>g__unclassified_k__norank_d__Bacteria</v>
          </cell>
          <cell r="I11241" t="str">
            <v>s__unclassified_k__norank_d__Bacteria</v>
          </cell>
        </row>
        <row r="11242">
          <cell r="G11242" t="str">
            <v>ASV11476</v>
          </cell>
          <cell r="H11242" t="str">
            <v>g__norank_f__norank_o__WCHB1-41</v>
          </cell>
          <cell r="I11242" t="str">
            <v>s__uncultured_bacterium_g__norank_f__norank_o__WCHB1-41</v>
          </cell>
        </row>
        <row r="11243">
          <cell r="G11243" t="str">
            <v>ASV24170</v>
          </cell>
          <cell r="H11243" t="str">
            <v>g__unclassified_f__Peptostreptococcaceae</v>
          </cell>
          <cell r="I11243" t="str">
            <v>s__unclassified_f__Peptostreptococcaceae</v>
          </cell>
        </row>
        <row r="11244">
          <cell r="G11244" t="str">
            <v>ASV4841</v>
          </cell>
          <cell r="H11244" t="str">
            <v>g__Corynebacterium</v>
          </cell>
          <cell r="I11244" t="str">
            <v>s__unclassified_g__Corynebacterium</v>
          </cell>
        </row>
        <row r="11245">
          <cell r="G11245" t="str">
            <v>ASV23241</v>
          </cell>
          <cell r="H11245" t="str">
            <v>g__norank_f__UCG-010</v>
          </cell>
          <cell r="I11245" t="str">
            <v>s__uncultured_bacterium_g__norank_f__UCG-010</v>
          </cell>
        </row>
        <row r="11246">
          <cell r="G11246" t="str">
            <v>ASV20805</v>
          </cell>
          <cell r="H11246" t="str">
            <v>g__Enterococcus</v>
          </cell>
          <cell r="I11246" t="str">
            <v>s__unclassified_g__Enterococcus</v>
          </cell>
        </row>
        <row r="11247">
          <cell r="G11247" t="str">
            <v>ASV19537</v>
          </cell>
          <cell r="H11247" t="str">
            <v>g__norank_f__Eubacterium_coprostanoligenes_group</v>
          </cell>
          <cell r="I11247" t="str">
            <v>s__uncultured_bacterium_g__norank_f__Eubacterium_coprostanoligenes_group</v>
          </cell>
        </row>
        <row r="11248">
          <cell r="G11248" t="str">
            <v>ASV11571</v>
          </cell>
          <cell r="H11248" t="str">
            <v>g__unclassified_c__Clostridia</v>
          </cell>
          <cell r="I11248" t="str">
            <v>s__unclassified_c__Clostridia</v>
          </cell>
        </row>
        <row r="11249">
          <cell r="G11249" t="str">
            <v>ASV16417</v>
          </cell>
          <cell r="H11249" t="str">
            <v>g__Treponema</v>
          </cell>
          <cell r="I11249" t="str">
            <v>s__uncultured_bacterium_g__Treponema</v>
          </cell>
        </row>
        <row r="11250">
          <cell r="G11250" t="str">
            <v>ASV4865</v>
          </cell>
          <cell r="H11250" t="str">
            <v>g__Parabacteroides</v>
          </cell>
          <cell r="I11250" t="str">
            <v>s__Porphyromonadaceae_bacterium_DJF_B175</v>
          </cell>
        </row>
        <row r="11251">
          <cell r="G11251" t="str">
            <v>ASV24145</v>
          </cell>
          <cell r="H11251" t="str">
            <v>g__Christensenellaceae_R-7_group</v>
          </cell>
          <cell r="I11251" t="str">
            <v>s__uncultured_spirochete_g__Christensenellaceae_R-7_group</v>
          </cell>
        </row>
        <row r="11252">
          <cell r="G11252" t="str">
            <v>ASV17977</v>
          </cell>
          <cell r="H11252" t="str">
            <v>g__norank_f__Eubacterium_coprostanoligenes_group</v>
          </cell>
          <cell r="I11252" t="str">
            <v>s__unclassified_g__norank_f__Eubacterium_coprostanoligenes_group</v>
          </cell>
        </row>
        <row r="11253">
          <cell r="G11253" t="str">
            <v>ASV7752</v>
          </cell>
          <cell r="H11253" t="str">
            <v>g__Clostridium_sensu_stricto_1</v>
          </cell>
          <cell r="I11253" t="str">
            <v>s__Clostridium_sp._ND2</v>
          </cell>
        </row>
        <row r="11254">
          <cell r="G11254" t="str">
            <v>ASV3978</v>
          </cell>
          <cell r="H11254" t="str">
            <v>g__unclassified_c__Clostridia</v>
          </cell>
          <cell r="I11254" t="str">
            <v>s__unclassified_c__Clostridia</v>
          </cell>
        </row>
        <row r="11255">
          <cell r="G11255" t="str">
            <v>ASV621</v>
          </cell>
          <cell r="H11255" t="str">
            <v>g__unclassified_p__Firmicutes</v>
          </cell>
          <cell r="I11255" t="str">
            <v>s__unclassified_p__Firmicutes</v>
          </cell>
        </row>
        <row r="11256">
          <cell r="G11256" t="str">
            <v>ASV15373</v>
          </cell>
          <cell r="H11256" t="str">
            <v>g__Lactobacillus</v>
          </cell>
          <cell r="I11256" t="str">
            <v>s__unclassified_g__Lactobacillus</v>
          </cell>
        </row>
        <row r="11257">
          <cell r="G11257" t="str">
            <v>ASV3981</v>
          </cell>
          <cell r="H11257" t="str">
            <v>g__unclassified_c__Clostridia</v>
          </cell>
          <cell r="I11257" t="str">
            <v>s__unclassified_c__Clostridia</v>
          </cell>
        </row>
        <row r="11258">
          <cell r="G11258" t="str">
            <v>ASV8285</v>
          </cell>
          <cell r="H11258" t="str">
            <v>g__Lactobacillus</v>
          </cell>
          <cell r="I11258" t="str">
            <v>s__unclassified_g__Lactobacillus</v>
          </cell>
        </row>
        <row r="11259">
          <cell r="G11259" t="str">
            <v>ASV16397</v>
          </cell>
          <cell r="H11259" t="str">
            <v>g__Enterorhabdus</v>
          </cell>
          <cell r="I11259" t="str">
            <v>s__uncultured_bacterium_g__Enterorhabdus</v>
          </cell>
        </row>
        <row r="11260">
          <cell r="G11260" t="str">
            <v>ASV741</v>
          </cell>
          <cell r="H11260" t="str">
            <v>g__unclassified_c__Clostridia</v>
          </cell>
          <cell r="I11260" t="str">
            <v>s__unclassified_c__Clostridia</v>
          </cell>
        </row>
        <row r="11261">
          <cell r="G11261" t="str">
            <v>ASV21600</v>
          </cell>
          <cell r="H11261" t="str">
            <v>g__unclassified_f__Pasteurellaceae</v>
          </cell>
          <cell r="I11261" t="str">
            <v>s__unclassified_f__Pasteurellaceae</v>
          </cell>
        </row>
        <row r="11262">
          <cell r="G11262" t="str">
            <v>ASV17293</v>
          </cell>
          <cell r="H11262" t="str">
            <v>g__Clostridium_sensu_stricto_1</v>
          </cell>
          <cell r="I11262" t="str">
            <v>s__unclassified_g__Clostridium_sensu_stricto_1</v>
          </cell>
        </row>
        <row r="11263">
          <cell r="G11263" t="str">
            <v>ASV11667</v>
          </cell>
          <cell r="H11263" t="str">
            <v>g__Lactobacillus</v>
          </cell>
          <cell r="I11263" t="str">
            <v>s__unclassified_g__Lactobacillus</v>
          </cell>
        </row>
        <row r="11264">
          <cell r="G11264" t="str">
            <v>ASV2133</v>
          </cell>
          <cell r="H11264" t="str">
            <v>g__unclassified_p__Firmicutes</v>
          </cell>
          <cell r="I11264" t="str">
            <v>s__unclassified_p__Firmicutes</v>
          </cell>
        </row>
        <row r="11265">
          <cell r="G11265" t="str">
            <v>ASV647</v>
          </cell>
          <cell r="H11265" t="str">
            <v>g__unclassified_c__Clostridia</v>
          </cell>
          <cell r="I11265" t="str">
            <v>s__unclassified_c__Clostridia</v>
          </cell>
        </row>
        <row r="11266">
          <cell r="G11266" t="str">
            <v>ASV8494</v>
          </cell>
          <cell r="H11266" t="str">
            <v>g__Lactobacillus</v>
          </cell>
          <cell r="I11266" t="str">
            <v>s__unclassified_g__Lactobacillus</v>
          </cell>
        </row>
        <row r="11267">
          <cell r="G11267" t="str">
            <v>ASV7713</v>
          </cell>
          <cell r="H11267" t="str">
            <v>g__Subdoligranulum</v>
          </cell>
          <cell r="I11267" t="str">
            <v>s__uncultured_bacterium_g__Subdoligranulum</v>
          </cell>
        </row>
        <row r="11268">
          <cell r="G11268" t="str">
            <v>ASV5834</v>
          </cell>
          <cell r="H11268" t="str">
            <v>g__Christensenellaceae_R-7_group</v>
          </cell>
          <cell r="I11268" t="str">
            <v>s__unclassified_g__Christensenellaceae_R-7_group</v>
          </cell>
        </row>
        <row r="11269">
          <cell r="G11269" t="str">
            <v>ASV23222</v>
          </cell>
          <cell r="H11269" t="str">
            <v>g__unclassified_c__Clostridia</v>
          </cell>
          <cell r="I11269" t="str">
            <v>s__unclassified_c__Clostridia</v>
          </cell>
        </row>
        <row r="11270">
          <cell r="G11270" t="str">
            <v>ASV9412</v>
          </cell>
          <cell r="H11270" t="str">
            <v>g__Subdoligranulum</v>
          </cell>
          <cell r="I11270" t="str">
            <v>s__unclassified_g__Subdoligranulum</v>
          </cell>
        </row>
        <row r="11271">
          <cell r="G11271" t="str">
            <v>ASV22156</v>
          </cell>
          <cell r="H11271" t="str">
            <v>g__unclassified_p__Firmicutes</v>
          </cell>
          <cell r="I11271" t="str">
            <v>s__unclassified_p__Firmicutes</v>
          </cell>
        </row>
        <row r="11272">
          <cell r="G11272" t="str">
            <v>ASV16378</v>
          </cell>
          <cell r="H11272" t="str">
            <v>g__unclassified_c__Clostridia</v>
          </cell>
          <cell r="I11272" t="str">
            <v>s__unclassified_c__Clostridia</v>
          </cell>
        </row>
        <row r="11273">
          <cell r="G11273" t="str">
            <v>ASV19597</v>
          </cell>
          <cell r="H11273" t="str">
            <v>g__unclassified_f__Lachnospiraceae</v>
          </cell>
          <cell r="I11273" t="str">
            <v>s__unclassified_f__Lachnospiraceae</v>
          </cell>
        </row>
        <row r="11274">
          <cell r="G11274" t="str">
            <v>ASV19503</v>
          </cell>
          <cell r="H11274" t="str">
            <v>g__unclassified_f__Acidaminococcaceae</v>
          </cell>
          <cell r="I11274" t="str">
            <v>s__unclassified_f__Acidaminococcaceae</v>
          </cell>
        </row>
        <row r="11275">
          <cell r="G11275" t="str">
            <v>ASV18561</v>
          </cell>
          <cell r="H11275" t="str">
            <v>g__unclassified_k__norank_d__Bacteria</v>
          </cell>
          <cell r="I11275" t="str">
            <v>s__unclassified_k__norank_d__Bacteria</v>
          </cell>
        </row>
        <row r="11276">
          <cell r="G11276" t="str">
            <v>ASV8992</v>
          </cell>
          <cell r="H11276" t="str">
            <v>g__unclassified_f__Pasteurellaceae</v>
          </cell>
          <cell r="I11276" t="str">
            <v>s__unclassified_f__Pasteurellaceae</v>
          </cell>
        </row>
        <row r="11277">
          <cell r="G11277" t="str">
            <v>ASV19168</v>
          </cell>
          <cell r="H11277" t="str">
            <v>g__unclassified_o__Saccharimonadales</v>
          </cell>
          <cell r="I11277" t="str">
            <v>s__unclassified_o__Saccharimonadales</v>
          </cell>
        </row>
        <row r="11278">
          <cell r="G11278" t="str">
            <v>ASV695</v>
          </cell>
          <cell r="H11278" t="str">
            <v>g__unclassified_o__Oscillospirales</v>
          </cell>
          <cell r="I11278" t="str">
            <v>s__unclassified_o__Oscillospirales</v>
          </cell>
        </row>
        <row r="11279">
          <cell r="G11279" t="str">
            <v>ASV22174</v>
          </cell>
          <cell r="H11279" t="str">
            <v>g__Subdoligranulum</v>
          </cell>
          <cell r="I11279" t="str">
            <v>s__uncultured_bacterium_g__Subdoligranulum</v>
          </cell>
        </row>
        <row r="11280">
          <cell r="G11280" t="str">
            <v>ASV22155</v>
          </cell>
          <cell r="H11280" t="str">
            <v>g__Christensenellaceae_R-7_group</v>
          </cell>
          <cell r="I11280" t="str">
            <v>s__unclassified_g__Christensenellaceae_R-7_group</v>
          </cell>
        </row>
        <row r="11281">
          <cell r="G11281" t="str">
            <v>ASV11051</v>
          </cell>
          <cell r="H11281" t="str">
            <v>g__unclassified_k__norank_d__Bacteria</v>
          </cell>
          <cell r="I11281" t="str">
            <v>s__unclassified_k__norank_d__Bacteria</v>
          </cell>
        </row>
        <row r="11282">
          <cell r="G11282" t="str">
            <v>ASV14143</v>
          </cell>
          <cell r="H11282" t="str">
            <v>g__unclassified_f__Prevotellaceae</v>
          </cell>
          <cell r="I11282" t="str">
            <v>s__unclassified_f__Prevotellaceae</v>
          </cell>
        </row>
        <row r="11283">
          <cell r="G11283" t="str">
            <v>ASV21228</v>
          </cell>
          <cell r="H11283" t="str">
            <v>g__Bacteroides</v>
          </cell>
          <cell r="I11283" t="str">
            <v>s__unclassified_g__Bacteroides</v>
          </cell>
        </row>
        <row r="11284">
          <cell r="G11284" t="str">
            <v>ASV639</v>
          </cell>
          <cell r="H11284" t="str">
            <v>g__unclassified_c__Bacilli</v>
          </cell>
          <cell r="I11284" t="str">
            <v>s__unclassified_c__Bacilli</v>
          </cell>
        </row>
        <row r="11285">
          <cell r="G11285" t="str">
            <v>ASV24171</v>
          </cell>
          <cell r="H11285" t="str">
            <v>g__unclassified_k__norank_d__Bacteria</v>
          </cell>
          <cell r="I11285" t="str">
            <v>s__unclassified_k__norank_d__Bacteria</v>
          </cell>
        </row>
        <row r="11286">
          <cell r="G11286" t="str">
            <v>ASV9435</v>
          </cell>
          <cell r="H11286" t="str">
            <v>g__unclassified_c__Clostridia</v>
          </cell>
          <cell r="I11286" t="str">
            <v>s__unclassified_c__Clostridia</v>
          </cell>
        </row>
        <row r="11287">
          <cell r="G11287" t="str">
            <v>ASV23837</v>
          </cell>
          <cell r="H11287" t="str">
            <v>g__Slackia</v>
          </cell>
          <cell r="I11287" t="str">
            <v>s__unclassified_g__Slackia</v>
          </cell>
        </row>
        <row r="11288">
          <cell r="G11288" t="str">
            <v>ASV5891</v>
          </cell>
          <cell r="H11288" t="str">
            <v>g__unclassified_f__Oscillospiraceae</v>
          </cell>
          <cell r="I11288" t="str">
            <v>s__unclassified_f__Oscillospiraceae</v>
          </cell>
        </row>
        <row r="11289">
          <cell r="G11289" t="str">
            <v>ASV22122</v>
          </cell>
          <cell r="H11289" t="str">
            <v>g__unclassified_p__Firmicutes</v>
          </cell>
          <cell r="I11289" t="str">
            <v>s__unclassified_p__Firmicutes</v>
          </cell>
        </row>
        <row r="11290">
          <cell r="G11290" t="str">
            <v>ASV12783</v>
          </cell>
          <cell r="H11290" t="str">
            <v>g__unclassified_o__Oscillospirales</v>
          </cell>
          <cell r="I11290" t="str">
            <v>s__unclassified_o__Oscillospirales</v>
          </cell>
        </row>
        <row r="11291">
          <cell r="G11291" t="str">
            <v>ASV662</v>
          </cell>
          <cell r="H11291" t="str">
            <v>g__UCG-003</v>
          </cell>
          <cell r="I11291" t="str">
            <v>s__unclassified_g__UCG-003</v>
          </cell>
        </row>
        <row r="11292">
          <cell r="G11292" t="str">
            <v>ASV22225</v>
          </cell>
          <cell r="H11292" t="str">
            <v>g__Subdoligranulum</v>
          </cell>
          <cell r="I11292" t="str">
            <v>s__uncultured_bacterium_g__Subdoligranulum</v>
          </cell>
        </row>
        <row r="11293">
          <cell r="G11293" t="str">
            <v>ASV6674</v>
          </cell>
          <cell r="H11293" t="str">
            <v>g__Streptococcus</v>
          </cell>
          <cell r="I11293" t="str">
            <v>s__unclassified_g__Streptococcus</v>
          </cell>
        </row>
        <row r="11294">
          <cell r="G11294" t="str">
            <v>ASV4830</v>
          </cell>
          <cell r="H11294" t="str">
            <v>g__norank_f__norank_o__Clostridia_UCG-014</v>
          </cell>
          <cell r="I11294" t="str">
            <v>s__uncultured_bacterium_g__norank_f__norank_o__Clostridia_UCG-014</v>
          </cell>
        </row>
        <row r="11295">
          <cell r="G11295" t="str">
            <v>ASV1672</v>
          </cell>
          <cell r="H11295" t="str">
            <v>g__Bacillus</v>
          </cell>
          <cell r="I11295" t="str">
            <v>s__unclassified_g__Bacillus</v>
          </cell>
        </row>
        <row r="11296">
          <cell r="G11296" t="str">
            <v>ASV15361</v>
          </cell>
          <cell r="H11296" t="str">
            <v>g__unclassified_k__norank_d__Bacteria</v>
          </cell>
          <cell r="I11296" t="str">
            <v>s__unclassified_k__norank_d__Bacteria</v>
          </cell>
        </row>
        <row r="11297">
          <cell r="G11297" t="str">
            <v>ASV22128</v>
          </cell>
          <cell r="H11297" t="str">
            <v>g__norank_f__UCG-011</v>
          </cell>
          <cell r="I11297" t="str">
            <v>s__uncultured_bacterium_g__norank_f__UCG-011</v>
          </cell>
        </row>
        <row r="11298">
          <cell r="G11298" t="str">
            <v>ASV5848</v>
          </cell>
          <cell r="H11298" t="str">
            <v>g__Oscillibacter</v>
          </cell>
          <cell r="I11298" t="str">
            <v>s__Oscillibacter_sp._PC13</v>
          </cell>
        </row>
        <row r="11299">
          <cell r="G11299" t="str">
            <v>ASV9346</v>
          </cell>
          <cell r="H11299" t="str">
            <v>g__Clostridium_sensu_stricto_1</v>
          </cell>
          <cell r="I11299" t="str">
            <v>s__unclassified_g__Clostridium_sensu_stricto_1</v>
          </cell>
        </row>
        <row r="11300">
          <cell r="G11300" t="str">
            <v>ASV4778</v>
          </cell>
          <cell r="H11300" t="str">
            <v>g__unclassified_f__Lachnospiraceae</v>
          </cell>
          <cell r="I11300" t="str">
            <v>s__unclassified_f__Lachnospiraceae</v>
          </cell>
        </row>
        <row r="11301">
          <cell r="G11301" t="str">
            <v>ASV7683</v>
          </cell>
          <cell r="H11301" t="str">
            <v>g__unclassified_f__Lachnospiraceae</v>
          </cell>
          <cell r="I11301" t="str">
            <v>s__unclassified_f__Lachnospiraceae</v>
          </cell>
        </row>
        <row r="11302">
          <cell r="G11302" t="str">
            <v>ASV21438</v>
          </cell>
          <cell r="H11302" t="str">
            <v>g__unclassified_p__Firmicutes</v>
          </cell>
          <cell r="I11302" t="str">
            <v>s__unclassified_p__Firmicutes</v>
          </cell>
        </row>
        <row r="11303">
          <cell r="G11303" t="str">
            <v>ASV3184</v>
          </cell>
          <cell r="H11303" t="str">
            <v>g__norank_f__Muribaculaceae</v>
          </cell>
          <cell r="I11303" t="str">
            <v>s__unclassified_g__norank_f__Muribaculaceae</v>
          </cell>
        </row>
        <row r="11304">
          <cell r="G11304" t="str">
            <v>ASV17939</v>
          </cell>
          <cell r="H11304" t="str">
            <v>g__Parabacteroides</v>
          </cell>
          <cell r="I11304" t="str">
            <v>s__unclassified_g__Parabacteroides</v>
          </cell>
        </row>
        <row r="11305">
          <cell r="G11305" t="str">
            <v>ASV19540</v>
          </cell>
          <cell r="H11305" t="str">
            <v>g__unclassified_f__Pasteurellaceae</v>
          </cell>
          <cell r="I11305" t="str">
            <v>s__unclassified_f__Pasteurellaceae</v>
          </cell>
        </row>
        <row r="11306">
          <cell r="G11306" t="str">
            <v>ASV4037</v>
          </cell>
          <cell r="H11306" t="str">
            <v>g__unclassified_f__Oscillospiraceae</v>
          </cell>
          <cell r="I11306" t="str">
            <v>s__unclassified_f__Oscillospiraceae</v>
          </cell>
        </row>
        <row r="11307">
          <cell r="G11307" t="str">
            <v>ASV17482</v>
          </cell>
          <cell r="H11307" t="str">
            <v>g__unclassified_p__Firmicutes</v>
          </cell>
          <cell r="I11307" t="str">
            <v>s__unclassified_p__Firmicutes</v>
          </cell>
        </row>
        <row r="11308">
          <cell r="G11308" t="str">
            <v>ASV14227</v>
          </cell>
          <cell r="H11308" t="str">
            <v>g__norank_f__Muribaculaceae</v>
          </cell>
          <cell r="I11308" t="str">
            <v>s__uncultured_bacterium_g__norank_f__Muribaculaceae</v>
          </cell>
        </row>
        <row r="11309">
          <cell r="G11309" t="str">
            <v>ASV21204</v>
          </cell>
          <cell r="H11309" t="str">
            <v>g__Faecalibacterium</v>
          </cell>
          <cell r="I11309" t="str">
            <v>s__unclassified_g__Faecalibacterium</v>
          </cell>
        </row>
        <row r="11310">
          <cell r="G11310" t="str">
            <v>ASV12763</v>
          </cell>
          <cell r="H11310" t="str">
            <v>g__unclassified_c__Clostridia</v>
          </cell>
          <cell r="I11310" t="str">
            <v>s__unclassified_c__Clostridia</v>
          </cell>
        </row>
        <row r="11311">
          <cell r="G11311" t="str">
            <v>ASV23258</v>
          </cell>
          <cell r="H11311" t="str">
            <v>g__Clostridium_sensu_stricto_1</v>
          </cell>
          <cell r="I11311" t="str">
            <v>s__unclassified_g__Clostridium_sensu_stricto_1</v>
          </cell>
        </row>
        <row r="11312">
          <cell r="G11312" t="str">
            <v>ASV667</v>
          </cell>
          <cell r="H11312" t="str">
            <v>g__unclassified_f__Ruminococcaceae</v>
          </cell>
          <cell r="I11312" t="str">
            <v>s__unclassified_f__Ruminococcaceae</v>
          </cell>
        </row>
        <row r="11313">
          <cell r="G11313" t="str">
            <v>ASV23240</v>
          </cell>
          <cell r="H11313" t="str">
            <v>g__Subdoligranulum</v>
          </cell>
          <cell r="I11313" t="str">
            <v>s__unclassified_g__Subdoligranulum</v>
          </cell>
        </row>
        <row r="11314">
          <cell r="G11314" t="str">
            <v>ASV7180</v>
          </cell>
          <cell r="H11314" t="str">
            <v>g__unclassified_c__Clostridia</v>
          </cell>
          <cell r="I11314" t="str">
            <v>s__unclassified_c__Clostridia</v>
          </cell>
        </row>
        <row r="11315">
          <cell r="G11315" t="str">
            <v>ASV17278</v>
          </cell>
          <cell r="H11315" t="str">
            <v>g__unclassified_o__Lactobacillales</v>
          </cell>
          <cell r="I11315" t="str">
            <v>s__unclassified_o__Lactobacillales</v>
          </cell>
        </row>
        <row r="11316">
          <cell r="G11316" t="str">
            <v>ASV8805</v>
          </cell>
          <cell r="H11316" t="str">
            <v>g__Prevotellaceae_UCG-003</v>
          </cell>
          <cell r="I11316" t="str">
            <v>s__uncultured_bacterium_g__Prevotellaceae_UCG-003</v>
          </cell>
        </row>
        <row r="11317">
          <cell r="G11317" t="str">
            <v>ASV12743</v>
          </cell>
          <cell r="H11317" t="str">
            <v>g__unclassified_f__Lachnospiraceae</v>
          </cell>
          <cell r="I11317" t="str">
            <v>s__unclassified_f__Lachnospiraceae</v>
          </cell>
        </row>
        <row r="11318">
          <cell r="G11318" t="str">
            <v>ASV9399</v>
          </cell>
          <cell r="H11318" t="str">
            <v>g__unclassified_o__Lactobacillales</v>
          </cell>
          <cell r="I11318" t="str">
            <v>s__unclassified_o__Lactobacillales</v>
          </cell>
        </row>
        <row r="11319">
          <cell r="G11319" t="str">
            <v>ASV3648</v>
          </cell>
          <cell r="H11319" t="str">
            <v>g__unclassified_f__Burkholderiaceae</v>
          </cell>
          <cell r="I11319" t="str">
            <v>s__unclassified_f__Burkholderiaceae</v>
          </cell>
        </row>
        <row r="11320">
          <cell r="G11320" t="str">
            <v>ASV4009</v>
          </cell>
          <cell r="H11320" t="str">
            <v>g__Phascolarctobacterium</v>
          </cell>
          <cell r="I11320" t="str">
            <v>s__unclassified_g__Phascolarctobacterium</v>
          </cell>
        </row>
        <row r="11321">
          <cell r="G11321" t="str">
            <v>ASV9426</v>
          </cell>
          <cell r="H11321" t="str">
            <v>g__Campylobacter</v>
          </cell>
          <cell r="I11321" t="str">
            <v>s__Campylobacter_sp._0402694-C0078</v>
          </cell>
        </row>
        <row r="11322">
          <cell r="G11322" t="str">
            <v>ASV19575</v>
          </cell>
          <cell r="H11322" t="str">
            <v>g__unclassified_f__Lachnospiraceae</v>
          </cell>
          <cell r="I11322" t="str">
            <v>s__unclassified_f__Lachnospiraceae</v>
          </cell>
        </row>
        <row r="11323">
          <cell r="G11323" t="str">
            <v>ASV10611</v>
          </cell>
          <cell r="H11323" t="str">
            <v>g__Alloprevotella</v>
          </cell>
          <cell r="I11323" t="str">
            <v>s__uncultured_bacterium_g__Alloprevotella</v>
          </cell>
        </row>
        <row r="11324">
          <cell r="G11324" t="str">
            <v>ASV687</v>
          </cell>
          <cell r="H11324" t="str">
            <v>g__unclassified_k__norank_d__Bacteria</v>
          </cell>
          <cell r="I11324" t="str">
            <v>s__unclassified_k__norank_d__Bacteria</v>
          </cell>
        </row>
        <row r="11325">
          <cell r="G11325" t="str">
            <v>ASV15380</v>
          </cell>
          <cell r="H11325" t="str">
            <v>g__Christensenellaceae_R-7_group</v>
          </cell>
          <cell r="I11325" t="str">
            <v>s__unclassified_g__Christensenellaceae_R-7_group</v>
          </cell>
        </row>
        <row r="11326">
          <cell r="G11326" t="str">
            <v>ASV727</v>
          </cell>
          <cell r="H11326" t="str">
            <v>g__SP3-e08</v>
          </cell>
          <cell r="I11326" t="str">
            <v>s__uncultured_bacterium_g__SP3-e08</v>
          </cell>
        </row>
        <row r="11327">
          <cell r="G11327" t="str">
            <v>ASV15986</v>
          </cell>
          <cell r="H11327" t="str">
            <v>g__Fusobacterium</v>
          </cell>
          <cell r="I11327" t="str">
            <v>s__Bacillus_bogoriensis_ATCC_BAA-922</v>
          </cell>
        </row>
        <row r="11328">
          <cell r="G11328" t="str">
            <v>ASV15375</v>
          </cell>
          <cell r="H11328" t="str">
            <v>g__unclassified_f__Lachnospiraceae</v>
          </cell>
          <cell r="I11328" t="str">
            <v>s__unclassified_f__Lachnospiraceae</v>
          </cell>
        </row>
        <row r="11329">
          <cell r="G11329" t="str">
            <v>ASV701</v>
          </cell>
          <cell r="H11329" t="str">
            <v>g__Bacteroides</v>
          </cell>
          <cell r="I11329" t="str">
            <v>s__unclassified_g__Bacteroides</v>
          </cell>
        </row>
        <row r="11330">
          <cell r="G11330" t="str">
            <v>ASV1661</v>
          </cell>
          <cell r="H11330" t="str">
            <v>g__unclassified_c__Clostridia</v>
          </cell>
          <cell r="I11330" t="str">
            <v>s__unclassified_c__Clostridia</v>
          </cell>
        </row>
        <row r="11331">
          <cell r="G11331" t="str">
            <v>ASV17294</v>
          </cell>
          <cell r="H11331" t="str">
            <v>g__Lactobacillus</v>
          </cell>
          <cell r="I11331" t="str">
            <v>s__unclassified_g__Lactobacillus</v>
          </cell>
        </row>
        <row r="11332">
          <cell r="G11332" t="str">
            <v>ASV9406</v>
          </cell>
          <cell r="H11332" t="str">
            <v>g__unclassified_f__Oscillospiraceae</v>
          </cell>
          <cell r="I11332" t="str">
            <v>s__unclassified_f__Oscillospiraceae</v>
          </cell>
        </row>
        <row r="11333">
          <cell r="G11333" t="str">
            <v>ASV715</v>
          </cell>
          <cell r="H11333" t="str">
            <v>g__unclassified_f__Lachnospiraceae</v>
          </cell>
          <cell r="I11333" t="str">
            <v>s__unclassified_f__Lachnospiraceae</v>
          </cell>
        </row>
        <row r="11334">
          <cell r="G11334" t="str">
            <v>ASV3977</v>
          </cell>
          <cell r="H11334" t="str">
            <v>g__Streptococcus</v>
          </cell>
          <cell r="I11334" t="str">
            <v>s__unclassified_g__Streptococcus</v>
          </cell>
        </row>
        <row r="11335">
          <cell r="G11335" t="str">
            <v>ASV10584</v>
          </cell>
          <cell r="H11335" t="str">
            <v>g__norank_f__norank_o__Clostridia_UCG-014</v>
          </cell>
          <cell r="I11335" t="str">
            <v>s__unclassified_g__norank_f__norank_o__Clostridia_UCG-014</v>
          </cell>
        </row>
        <row r="11336">
          <cell r="G11336" t="str">
            <v>ASV20810</v>
          </cell>
          <cell r="H11336" t="str">
            <v>g__unclassified_c__Clostridia</v>
          </cell>
          <cell r="I11336" t="str">
            <v>s__unclassified_c__Clostridia</v>
          </cell>
        </row>
        <row r="11337">
          <cell r="G11337" t="str">
            <v>ASV5915</v>
          </cell>
          <cell r="H11337" t="str">
            <v>g__unclassified_f__Peptostreptococcaceae</v>
          </cell>
          <cell r="I11337" t="str">
            <v>s__unclassified_f__Peptostreptococcaceae</v>
          </cell>
        </row>
        <row r="11338">
          <cell r="G11338" t="str">
            <v>ASV16427</v>
          </cell>
          <cell r="H11338" t="str">
            <v>g__unclassified_c__Clostridia</v>
          </cell>
          <cell r="I11338" t="str">
            <v>s__unclassified_c__Clostridia</v>
          </cell>
        </row>
        <row r="11339">
          <cell r="G11339" t="str">
            <v>ASV16429</v>
          </cell>
          <cell r="H11339" t="str">
            <v>g__unclassified_c__Clostridia</v>
          </cell>
          <cell r="I11339" t="str">
            <v>s__unclassified_c__Clostridia</v>
          </cell>
        </row>
        <row r="11340">
          <cell r="G11340" t="str">
            <v>ASV16419</v>
          </cell>
          <cell r="H11340" t="str">
            <v>g__unclassified_k__norank_d__Bacteria</v>
          </cell>
          <cell r="I11340" t="str">
            <v>s__unclassified_k__norank_d__Bacteria</v>
          </cell>
        </row>
        <row r="11341">
          <cell r="G11341" t="str">
            <v>ASV16876</v>
          </cell>
          <cell r="H11341" t="str">
            <v>g__Prevotellaceae_NK3B31_group</v>
          </cell>
          <cell r="I11341" t="str">
            <v>s__metagenome_g__Prevotellaceae_NK3B31_group</v>
          </cell>
        </row>
        <row r="11342">
          <cell r="G11342" t="str">
            <v>ASV17950</v>
          </cell>
          <cell r="H11342" t="str">
            <v>g__unclassified_o__Oscillospirales</v>
          </cell>
          <cell r="I11342" t="str">
            <v>s__unclassified_o__Oscillospirales</v>
          </cell>
        </row>
        <row r="11343">
          <cell r="G11343" t="str">
            <v>ASV15956</v>
          </cell>
          <cell r="H11343" t="str">
            <v>g__Howardella</v>
          </cell>
          <cell r="I11343" t="str">
            <v>s__uncultured_bacterium_g__Howardella</v>
          </cell>
        </row>
        <row r="11344">
          <cell r="G11344" t="str">
            <v>ASV14160</v>
          </cell>
          <cell r="H11344" t="str">
            <v>g__unclassified_k__norank_d__Bacteria</v>
          </cell>
          <cell r="I11344" t="str">
            <v>s__unclassified_k__norank_d__Bacteria</v>
          </cell>
        </row>
        <row r="11345">
          <cell r="G11345" t="str">
            <v>ASV23242</v>
          </cell>
          <cell r="H11345" t="str">
            <v>g__unclassified_o__Oscillospirales</v>
          </cell>
          <cell r="I11345" t="str">
            <v>s__unclassified_o__Oscillospirales</v>
          </cell>
        </row>
        <row r="11346">
          <cell r="G11346" t="str">
            <v>ASV17291</v>
          </cell>
          <cell r="H11346" t="str">
            <v>g__Lactobacillus</v>
          </cell>
          <cell r="I11346" t="str">
            <v>s__unclassified_g__Lactobacillus</v>
          </cell>
        </row>
        <row r="11347">
          <cell r="G11347" t="str">
            <v>ASV17189</v>
          </cell>
          <cell r="H11347" t="str">
            <v>g__Acinetobacter</v>
          </cell>
          <cell r="I11347" t="str">
            <v>s__unclassified_g__Acinetobacter</v>
          </cell>
        </row>
        <row r="11348">
          <cell r="G11348" t="str">
            <v>ASV15796</v>
          </cell>
          <cell r="H11348" t="str">
            <v>g__unclassified_f__Lachnospiraceae</v>
          </cell>
          <cell r="I11348" t="str">
            <v>s__unclassified_f__Lachnospiraceae</v>
          </cell>
        </row>
        <row r="11349">
          <cell r="G11349" t="str">
            <v>ASV2163</v>
          </cell>
          <cell r="H11349" t="str">
            <v>g__Christensenellaceae_R-7_group</v>
          </cell>
          <cell r="I11349" t="str">
            <v>s__unclassified_g__Christensenellaceae_R-7_group</v>
          </cell>
        </row>
        <row r="11350">
          <cell r="G11350" t="str">
            <v>ASV2100</v>
          </cell>
          <cell r="H11350" t="str">
            <v>g__unclassified_f__Lachnospiraceae</v>
          </cell>
          <cell r="I11350" t="str">
            <v>s__unclassified_f__Lachnospiraceae</v>
          </cell>
        </row>
        <row r="11351">
          <cell r="G11351" t="str">
            <v>ASV5876</v>
          </cell>
          <cell r="H11351" t="str">
            <v>g__unclassified_f__Prevotellaceae</v>
          </cell>
          <cell r="I11351" t="str">
            <v>s__unclassified_f__Prevotellaceae</v>
          </cell>
        </row>
        <row r="11352">
          <cell r="G11352" t="str">
            <v>ASV17142</v>
          </cell>
          <cell r="H11352" t="str">
            <v>g__Solibacillus</v>
          </cell>
          <cell r="I11352" t="str">
            <v>s__unclassified_g__Solibacillus</v>
          </cell>
        </row>
        <row r="11353">
          <cell r="G11353" t="str">
            <v>ASV13404</v>
          </cell>
          <cell r="H11353" t="str">
            <v>g__Eubacterium_oxidoreducens_group</v>
          </cell>
          <cell r="I11353" t="str">
            <v>s__uncultured_bacterium_g__Eubacterium_oxidoreducens_group</v>
          </cell>
        </row>
        <row r="11354">
          <cell r="G11354" t="str">
            <v>ASV601</v>
          </cell>
          <cell r="H11354" t="str">
            <v>g__unclassified_k__norank_d__Bacteria</v>
          </cell>
          <cell r="I11354" t="str">
            <v>s__unclassified_k__norank_d__Bacteria</v>
          </cell>
        </row>
        <row r="11355">
          <cell r="G11355" t="str">
            <v>ASV14284</v>
          </cell>
          <cell r="H11355" t="str">
            <v>g__unclassified_f__Lachnospiraceae</v>
          </cell>
          <cell r="I11355" t="str">
            <v>s__unclassified_f__Lachnospiraceae</v>
          </cell>
        </row>
        <row r="11356">
          <cell r="G11356" t="str">
            <v>ASV12712</v>
          </cell>
          <cell r="H11356" t="str">
            <v>g__norank_f__Muribaculaceae</v>
          </cell>
          <cell r="I11356" t="str">
            <v>s__uncultured_bacterium_g__norank_f__Muribaculaceae</v>
          </cell>
        </row>
        <row r="11357">
          <cell r="G11357" t="str">
            <v>ASV12692</v>
          </cell>
          <cell r="H11357" t="str">
            <v>g__Corynebacterium</v>
          </cell>
          <cell r="I11357" t="str">
            <v>s__unclassified_g__Corynebacterium</v>
          </cell>
        </row>
        <row r="11358">
          <cell r="G11358" t="str">
            <v>ASV13410</v>
          </cell>
          <cell r="H11358" t="str">
            <v>g__Ruminococcus</v>
          </cell>
          <cell r="I11358" t="str">
            <v>s__uncultured_bacterium_g__Ruminococcus</v>
          </cell>
        </row>
        <row r="11359">
          <cell r="G11359" t="str">
            <v>ASV18581</v>
          </cell>
          <cell r="H11359" t="str">
            <v>g__unclassified_c__Bacilli</v>
          </cell>
          <cell r="I11359" t="str">
            <v>s__unclassified_c__Bacilli</v>
          </cell>
        </row>
        <row r="11360">
          <cell r="G11360" t="str">
            <v>ASV9332</v>
          </cell>
          <cell r="H11360" t="str">
            <v>g__unclassified_c__Bacilli</v>
          </cell>
          <cell r="I11360" t="str">
            <v>s__unclassified_c__Bacilli</v>
          </cell>
        </row>
        <row r="11361">
          <cell r="G11361" t="str">
            <v>ASV14154</v>
          </cell>
          <cell r="H11361" t="str">
            <v>g__unclassified_c__Clostridia</v>
          </cell>
          <cell r="I11361" t="str">
            <v>s__unclassified_c__Clostridia</v>
          </cell>
        </row>
        <row r="11362">
          <cell r="G11362" t="str">
            <v>ASV18008</v>
          </cell>
          <cell r="H11362" t="str">
            <v>g__unclassified_c__Clostridia</v>
          </cell>
          <cell r="I11362" t="str">
            <v>s__unclassified_c__Clostridia</v>
          </cell>
        </row>
        <row r="11363">
          <cell r="G11363" t="str">
            <v>ASV3206</v>
          </cell>
          <cell r="H11363" t="str">
            <v>g__Campylobacter</v>
          </cell>
          <cell r="I11363" t="str">
            <v>s__unclassified_g__Campylobacter</v>
          </cell>
        </row>
        <row r="11364">
          <cell r="G11364" t="str">
            <v>ASV6705</v>
          </cell>
          <cell r="H11364" t="str">
            <v>g__Phascolarctobacterium</v>
          </cell>
          <cell r="I11364" t="str">
            <v>s__Ruminococcus_sp._N15.MGS-57_g__Phascolarctobacterium</v>
          </cell>
        </row>
        <row r="11365">
          <cell r="G11365" t="str">
            <v>ASV23839</v>
          </cell>
          <cell r="H11365" t="str">
            <v>g__Bacillus</v>
          </cell>
          <cell r="I11365" t="str">
            <v>s__Lactobacillus_vaginalis_g__Bacillus</v>
          </cell>
        </row>
        <row r="11366">
          <cell r="G11366" t="str">
            <v>ASV23274</v>
          </cell>
          <cell r="H11366" t="str">
            <v>g__unclassified_f__Lachnospiraceae</v>
          </cell>
          <cell r="I11366" t="str">
            <v>s__unclassified_f__Lachnospiraceae</v>
          </cell>
        </row>
        <row r="11367">
          <cell r="G11367" t="str">
            <v>ASV14159</v>
          </cell>
          <cell r="H11367" t="str">
            <v>g__unclassified_c__Clostridia</v>
          </cell>
          <cell r="I11367" t="str">
            <v>s__unclassified_c__Clostridia</v>
          </cell>
        </row>
        <row r="11368">
          <cell r="G11368" t="str">
            <v>ASV603</v>
          </cell>
          <cell r="H11368" t="str">
            <v>g__unclassified_c__Clostridia</v>
          </cell>
          <cell r="I11368" t="str">
            <v>s__unclassified_c__Clostridia</v>
          </cell>
        </row>
        <row r="11369">
          <cell r="G11369" t="str">
            <v>ASV10675</v>
          </cell>
          <cell r="H11369" t="str">
            <v>g__unclassified_f__Peptostreptococcaceae</v>
          </cell>
          <cell r="I11369" t="str">
            <v>s__unclassified_f__Peptostreptococcaceae</v>
          </cell>
        </row>
        <row r="11370">
          <cell r="G11370" t="str">
            <v>ASV598</v>
          </cell>
          <cell r="H11370" t="str">
            <v>g__unclassified_p__Firmicutes</v>
          </cell>
          <cell r="I11370" t="str">
            <v>s__unclassified_p__Firmicutes</v>
          </cell>
        </row>
        <row r="11371">
          <cell r="G11371" t="str">
            <v>ASV16399</v>
          </cell>
          <cell r="H11371" t="str">
            <v>g__unclassified_f__Ruminococcaceae</v>
          </cell>
          <cell r="I11371" t="str">
            <v>s__unclassified_f__Ruminococcaceae</v>
          </cell>
        </row>
        <row r="11372">
          <cell r="G11372" t="str">
            <v>ASV17288</v>
          </cell>
          <cell r="H11372" t="str">
            <v>g__unclassified_o__Lactobacillales</v>
          </cell>
          <cell r="I11372" t="str">
            <v>s__unclassified_o__Lactobacillales</v>
          </cell>
        </row>
        <row r="11373">
          <cell r="G11373" t="str">
            <v>ASV15335</v>
          </cell>
          <cell r="H11373" t="str">
            <v>g__unclassified_f__Lachnospiraceae</v>
          </cell>
          <cell r="I11373" t="str">
            <v>s__unclassified_f__Lachnospiraceae</v>
          </cell>
        </row>
        <row r="11374">
          <cell r="G11374" t="str">
            <v>ASV20748</v>
          </cell>
          <cell r="H11374" t="str">
            <v>g__unclassified_f__Lachnospiraceae</v>
          </cell>
          <cell r="I11374" t="str">
            <v>s__unclassified_f__Lachnospiraceae</v>
          </cell>
        </row>
        <row r="11375">
          <cell r="G11375" t="str">
            <v>ASV20452</v>
          </cell>
          <cell r="H11375" t="str">
            <v>g__Aerococcus</v>
          </cell>
          <cell r="I11375" t="str">
            <v>s__unclassified_g__Aerococcus</v>
          </cell>
        </row>
        <row r="11376">
          <cell r="G11376" t="str">
            <v>ASV4813</v>
          </cell>
          <cell r="H11376" t="str">
            <v>g__unclassified_f__Peptostreptococcaceae</v>
          </cell>
          <cell r="I11376" t="str">
            <v>s__unclassified_f__Peptostreptococcaceae</v>
          </cell>
        </row>
        <row r="11377">
          <cell r="G11377" t="str">
            <v>ASV15354</v>
          </cell>
          <cell r="H11377" t="str">
            <v>g__unclassified_f__Lachnospiraceae</v>
          </cell>
          <cell r="I11377" t="str">
            <v>s__unclassified_f__Lachnospiraceae</v>
          </cell>
        </row>
        <row r="11378">
          <cell r="G11378" t="str">
            <v>ASV18031</v>
          </cell>
          <cell r="H11378" t="str">
            <v>g__unclassified_c__Clostridia</v>
          </cell>
          <cell r="I11378" t="str">
            <v>s__unclassified_c__Clostridia</v>
          </cell>
        </row>
        <row r="11379">
          <cell r="G11379" t="str">
            <v>ASV7760</v>
          </cell>
          <cell r="H11379" t="str">
            <v>g__Family_XIII_UCG-001</v>
          </cell>
          <cell r="I11379" t="str">
            <v>s__uncultured_bacterium_g__Family_XIII_UCG-001</v>
          </cell>
        </row>
        <row r="11380">
          <cell r="G11380" t="str">
            <v>ASV23192</v>
          </cell>
          <cell r="H11380" t="str">
            <v>g__unclassified_c__Clostridia</v>
          </cell>
          <cell r="I11380" t="str">
            <v>s__unclassified_c__Clostridia</v>
          </cell>
        </row>
        <row r="11381">
          <cell r="G11381" t="str">
            <v>ASV19058</v>
          </cell>
          <cell r="H11381" t="str">
            <v>g__Christensenella</v>
          </cell>
          <cell r="I11381" t="str">
            <v>s__Christensenella_minuta</v>
          </cell>
        </row>
        <row r="11382">
          <cell r="G11382" t="str">
            <v>ASV15315</v>
          </cell>
          <cell r="H11382" t="str">
            <v>g__unclassified_c__Clostridia</v>
          </cell>
          <cell r="I11382" t="str">
            <v>s__unclassified_c__Clostridia</v>
          </cell>
        </row>
        <row r="11383">
          <cell r="G11383" t="str">
            <v>ASV13708</v>
          </cell>
          <cell r="H11383" t="str">
            <v>g__Megasphaera</v>
          </cell>
          <cell r="I11383" t="str">
            <v>s__unclassified_g__Megasphaera</v>
          </cell>
        </row>
        <row r="11384">
          <cell r="G11384" t="str">
            <v>ASV21599</v>
          </cell>
          <cell r="H11384" t="str">
            <v>g__Bacteroides</v>
          </cell>
          <cell r="I11384" t="str">
            <v>s__uncultured_bacterium_g__Bacteroides</v>
          </cell>
        </row>
        <row r="11385">
          <cell r="G11385" t="str">
            <v>ASV22188</v>
          </cell>
          <cell r="H11385" t="str">
            <v>g__unclassified_f__Ruminococcaceae</v>
          </cell>
          <cell r="I11385" t="str">
            <v>s__unclassified_f__Ruminococcaceae</v>
          </cell>
        </row>
        <row r="11386">
          <cell r="G11386" t="str">
            <v>ASV3205</v>
          </cell>
          <cell r="H11386" t="str">
            <v>g__Lactobacillus</v>
          </cell>
          <cell r="I11386" t="str">
            <v>s__unclassified_g__Lactobacillus</v>
          </cell>
        </row>
        <row r="11387">
          <cell r="G11387" t="str">
            <v>ASV3179</v>
          </cell>
          <cell r="H11387" t="str">
            <v>g__Escherichia-Shigella</v>
          </cell>
          <cell r="I11387" t="str">
            <v>s__unclassified_g__Escherichia-Shigella</v>
          </cell>
        </row>
        <row r="11388">
          <cell r="G11388" t="str">
            <v>ASV18856</v>
          </cell>
          <cell r="H11388" t="str">
            <v>g__unclassified_f__Lachnospiraceae</v>
          </cell>
          <cell r="I11388" t="str">
            <v>s__unclassified_f__Lachnospiraceae</v>
          </cell>
        </row>
        <row r="11389">
          <cell r="G11389" t="str">
            <v>ASV4824</v>
          </cell>
          <cell r="H11389" t="str">
            <v>g__unclassified_c__Clostridia</v>
          </cell>
          <cell r="I11389" t="str">
            <v>s__unclassified_c__Clostridia</v>
          </cell>
        </row>
        <row r="11390">
          <cell r="G11390" t="str">
            <v>ASV4749</v>
          </cell>
          <cell r="H11390" t="str">
            <v>g__norank_f__UCG-010</v>
          </cell>
          <cell r="I11390" t="str">
            <v>s__uncultured_bacterium_g__norank_f__UCG-010</v>
          </cell>
        </row>
        <row r="11391">
          <cell r="G11391" t="str">
            <v>ASV15984</v>
          </cell>
          <cell r="H11391" t="str">
            <v>g__unclassified_c__Bacilli</v>
          </cell>
          <cell r="I11391" t="str">
            <v>s__unclassified_c__Bacilli</v>
          </cell>
        </row>
        <row r="11392">
          <cell r="G11392" t="str">
            <v>ASV4823</v>
          </cell>
          <cell r="H11392" t="str">
            <v>g__NK4A214_group</v>
          </cell>
          <cell r="I11392" t="str">
            <v>s__gut_metagenome_g__NK4A214_group</v>
          </cell>
        </row>
        <row r="11393">
          <cell r="G11393" t="str">
            <v>ASV19061</v>
          </cell>
          <cell r="H11393" t="str">
            <v>g__unclassified_f__Muribaculaceae</v>
          </cell>
          <cell r="I11393" t="str">
            <v>s__unclassified_f__Muribaculaceae</v>
          </cell>
        </row>
        <row r="11394">
          <cell r="G11394" t="str">
            <v>ASV20746</v>
          </cell>
          <cell r="H11394" t="str">
            <v>g__norank_f__UCG-011</v>
          </cell>
          <cell r="I11394" t="str">
            <v>s__uncultured_bacterium_g__norank_f__UCG-011</v>
          </cell>
        </row>
        <row r="11395">
          <cell r="G11395" t="str">
            <v>ASV2152</v>
          </cell>
          <cell r="H11395" t="str">
            <v>g__unclassified_f__Lachnospiraceae</v>
          </cell>
          <cell r="I11395" t="str">
            <v>s__unclassified_f__Lachnospiraceae</v>
          </cell>
        </row>
        <row r="11396">
          <cell r="G11396" t="str">
            <v>ASV17194</v>
          </cell>
          <cell r="H11396" t="str">
            <v>g__unclassified_p__Firmicutes</v>
          </cell>
          <cell r="I11396" t="str">
            <v>s__unclassified_p__Firmicutes</v>
          </cell>
        </row>
        <row r="11397">
          <cell r="G11397" t="str">
            <v>ASV8808</v>
          </cell>
          <cell r="H11397" t="str">
            <v>g__norank_f__Eubacterium_coprostanoligenes_group</v>
          </cell>
          <cell r="I11397" t="str">
            <v>s__uncultured_bacterium_g__norank_f__Eubacterium_coprostanoligenes_group</v>
          </cell>
        </row>
        <row r="11398">
          <cell r="G11398" t="str">
            <v>ASV11637</v>
          </cell>
          <cell r="H11398" t="str">
            <v>g__unclassified_c__Clostridia</v>
          </cell>
          <cell r="I11398" t="str">
            <v>s__unclassified_c__Clostridia</v>
          </cell>
        </row>
        <row r="11399">
          <cell r="G11399" t="str">
            <v>ASV5899</v>
          </cell>
          <cell r="H11399" t="str">
            <v>g__Blautia</v>
          </cell>
          <cell r="I11399" t="str">
            <v>s__unclassified_g__Blautia</v>
          </cell>
        </row>
        <row r="11400">
          <cell r="G11400" t="str">
            <v>ASV22182</v>
          </cell>
          <cell r="H11400" t="str">
            <v>g__Sharpea</v>
          </cell>
          <cell r="I11400" t="str">
            <v>s__unclassified_g__Sharpea</v>
          </cell>
        </row>
        <row r="11401">
          <cell r="G11401" t="str">
            <v>ASV16902</v>
          </cell>
          <cell r="H11401" t="str">
            <v>g__unclassified_o__Lactobacillales</v>
          </cell>
          <cell r="I11401" t="str">
            <v>s__unclassified_o__Lactobacillales</v>
          </cell>
        </row>
        <row r="11402">
          <cell r="G11402" t="str">
            <v>ASV8980</v>
          </cell>
          <cell r="H11402" t="str">
            <v>g__Clostridium_sensu_stricto_1</v>
          </cell>
          <cell r="I11402" t="str">
            <v>s__Clostridium_sp._ND2</v>
          </cell>
        </row>
        <row r="11403">
          <cell r="G11403" t="str">
            <v>ASV11526</v>
          </cell>
          <cell r="H11403" t="str">
            <v>g__Lactobacillus</v>
          </cell>
          <cell r="I11403" t="str">
            <v>s__unclassified_g__Lactobacillus</v>
          </cell>
        </row>
        <row r="11404">
          <cell r="G11404" t="str">
            <v>ASV24152</v>
          </cell>
          <cell r="H11404" t="str">
            <v>g__Clostridium_sensu_stricto_1</v>
          </cell>
          <cell r="I11404" t="str">
            <v>s__unclassified_g__Clostridium_sensu_stricto_1</v>
          </cell>
        </row>
        <row r="11405">
          <cell r="G11405" t="str">
            <v>ASV11543</v>
          </cell>
          <cell r="H11405" t="str">
            <v>g__unclassified_f__Lachnospiraceae</v>
          </cell>
          <cell r="I11405" t="str">
            <v>s__unclassified_f__Lachnospiraceae</v>
          </cell>
        </row>
        <row r="11406">
          <cell r="G11406" t="str">
            <v>ASV5810</v>
          </cell>
          <cell r="H11406" t="str">
            <v>g__Turicibacter</v>
          </cell>
          <cell r="I11406" t="str">
            <v>s__unclassified_g__Turicibacter</v>
          </cell>
        </row>
        <row r="11407">
          <cell r="G11407" t="str">
            <v>ASV1666</v>
          </cell>
          <cell r="H11407" t="str">
            <v>g__unclassified_p__Firmicutes</v>
          </cell>
          <cell r="I11407" t="str">
            <v>s__unclassified_p__Firmicutes</v>
          </cell>
        </row>
        <row r="11408">
          <cell r="G11408" t="str">
            <v>ASV15957</v>
          </cell>
          <cell r="H11408" t="str">
            <v>g__unclassified_f__Lachnospiraceae</v>
          </cell>
          <cell r="I11408" t="str">
            <v>s__unclassified_f__Lachnospiraceae</v>
          </cell>
        </row>
        <row r="11409">
          <cell r="G11409" t="str">
            <v>ASV23257</v>
          </cell>
          <cell r="H11409" t="str">
            <v>g__unclassified_f__Oscillospiraceae</v>
          </cell>
          <cell r="I11409" t="str">
            <v>s__unclassified_f__Oscillospiraceae</v>
          </cell>
        </row>
        <row r="11410">
          <cell r="G11410" t="str">
            <v>ASV17605</v>
          </cell>
          <cell r="H11410" t="str">
            <v>g__Lactobacillus</v>
          </cell>
          <cell r="I11410" t="str">
            <v>s__unclassified_g__Lactobacillus</v>
          </cell>
        </row>
        <row r="11411">
          <cell r="G11411" t="str">
            <v>ASV7344</v>
          </cell>
          <cell r="H11411" t="str">
            <v>g__unclassified_c__Bacilli</v>
          </cell>
          <cell r="I11411" t="str">
            <v>s__unclassified_c__Bacilli</v>
          </cell>
        </row>
        <row r="11412">
          <cell r="G11412" t="str">
            <v>ASV9367</v>
          </cell>
          <cell r="H11412" t="str">
            <v>g__unclassified_f__Oscillospiraceae</v>
          </cell>
          <cell r="I11412" t="str">
            <v>s__unclassified_f__Oscillospiraceae</v>
          </cell>
        </row>
        <row r="11413">
          <cell r="G11413" t="str">
            <v>ASV578</v>
          </cell>
          <cell r="H11413" t="str">
            <v>g__Sharpea</v>
          </cell>
          <cell r="I11413" t="str">
            <v>s__unclassified_g__Sharpea</v>
          </cell>
        </row>
        <row r="11414">
          <cell r="G11414" t="str">
            <v>ASV21740</v>
          </cell>
          <cell r="H11414" t="str">
            <v>g__Rubellimicrobium</v>
          </cell>
          <cell r="I11414" t="str">
            <v>s__uncultured_bacterium_g__Rubellimicrobium</v>
          </cell>
        </row>
        <row r="11415">
          <cell r="G11415" t="str">
            <v>ASV9374</v>
          </cell>
          <cell r="H11415" t="str">
            <v>g__Butyricimonas</v>
          </cell>
          <cell r="I11415" t="str">
            <v>s__unclassified_g__Butyricimonas</v>
          </cell>
        </row>
        <row r="11416">
          <cell r="G11416" t="str">
            <v>ASV12764</v>
          </cell>
          <cell r="H11416" t="str">
            <v>g__UCG-005</v>
          </cell>
          <cell r="I11416" t="str">
            <v>s__unclassified_g__UCG-005</v>
          </cell>
        </row>
        <row r="11417">
          <cell r="G11417" t="str">
            <v>ASV3999</v>
          </cell>
          <cell r="H11417" t="str">
            <v>g__Phascolarctobacterium</v>
          </cell>
          <cell r="I11417" t="str">
            <v>s__unclassified_g__Phascolarctobacterium</v>
          </cell>
        </row>
        <row r="11418">
          <cell r="G11418" t="str">
            <v>ASV21217</v>
          </cell>
          <cell r="H11418" t="str">
            <v>g__unclassified_k__norank_d__Bacteria</v>
          </cell>
          <cell r="I11418" t="str">
            <v>s__unclassified_k__norank_d__Bacteria</v>
          </cell>
        </row>
        <row r="11419">
          <cell r="G11419" t="str">
            <v>ASV9347</v>
          </cell>
          <cell r="H11419" t="str">
            <v>g__unclassified_c__Clostridia</v>
          </cell>
          <cell r="I11419" t="str">
            <v>s__unclassified_c__Clostridia</v>
          </cell>
        </row>
        <row r="11420">
          <cell r="G11420" t="str">
            <v>ASV596</v>
          </cell>
          <cell r="H11420" t="str">
            <v>g__unclassified_c__Clostridia</v>
          </cell>
          <cell r="I11420" t="str">
            <v>s__unclassified_c__Clostridia</v>
          </cell>
        </row>
        <row r="11421">
          <cell r="G11421" t="str">
            <v>ASV5892</v>
          </cell>
          <cell r="H11421" t="str">
            <v>g__unclassified_f__Rikenellaceae</v>
          </cell>
          <cell r="I11421" t="str">
            <v>s__unclassified_f__Rikenellaceae</v>
          </cell>
        </row>
        <row r="11422">
          <cell r="G11422" t="str">
            <v>ASV3203</v>
          </cell>
          <cell r="H11422" t="str">
            <v>g__unclassified_c__Clostridia</v>
          </cell>
          <cell r="I11422" t="str">
            <v>s__unclassified_c__Clostridia</v>
          </cell>
        </row>
        <row r="11423">
          <cell r="G11423" t="str">
            <v>ASV7744</v>
          </cell>
          <cell r="H11423" t="str">
            <v>g__unclassified_c__Clostridia</v>
          </cell>
          <cell r="I11423" t="str">
            <v>s__unclassified_c__Clostridia</v>
          </cell>
        </row>
        <row r="11424">
          <cell r="G11424" t="str">
            <v>ASV7696</v>
          </cell>
          <cell r="H11424" t="str">
            <v>g__Escherichia-Shigella</v>
          </cell>
          <cell r="I11424" t="str">
            <v>s__unclassified_g__Escherichia-Shigella</v>
          </cell>
        </row>
        <row r="11425">
          <cell r="G11425" t="str">
            <v>ASV11530</v>
          </cell>
          <cell r="H11425" t="str">
            <v>g__unclassified_k__norank_d__Bacteria</v>
          </cell>
          <cell r="I11425" t="str">
            <v>s__unclassified_k__norank_d__Bacteria</v>
          </cell>
        </row>
        <row r="11426">
          <cell r="G11426" t="str">
            <v>ASV23214</v>
          </cell>
          <cell r="H11426" t="str">
            <v>g__unclassified_c__Clostridia</v>
          </cell>
          <cell r="I11426" t="str">
            <v>s__unclassified_c__Clostridia</v>
          </cell>
        </row>
        <row r="11427">
          <cell r="G11427" t="str">
            <v>ASV2178</v>
          </cell>
          <cell r="H11427" t="str">
            <v>g__Streptococcus</v>
          </cell>
          <cell r="I11427" t="str">
            <v>s__unclassified_g__Streptococcus</v>
          </cell>
        </row>
        <row r="11428">
          <cell r="G11428" t="str">
            <v>ASV17970</v>
          </cell>
          <cell r="H11428" t="str">
            <v>g__unclassified_f__Lachnospiraceae</v>
          </cell>
          <cell r="I11428" t="str">
            <v>s__unclassified_f__Lachnospiraceae</v>
          </cell>
        </row>
        <row r="11429">
          <cell r="G11429" t="str">
            <v>ASV11642</v>
          </cell>
          <cell r="H11429" t="str">
            <v>g__norank_f__Eubacterium_coprostanoligenes_group</v>
          </cell>
          <cell r="I11429" t="str">
            <v>s__unclassified_g__norank_f__Eubacterium_coprostanoligenes_group</v>
          </cell>
        </row>
        <row r="11430">
          <cell r="G11430" t="str">
            <v>ASV15307</v>
          </cell>
          <cell r="H11430" t="str">
            <v>g__Christensenellaceae_R-7_group</v>
          </cell>
          <cell r="I11430" t="str">
            <v>s__uncultured_bacterium_g__Christensenellaceae_R-7_group</v>
          </cell>
        </row>
        <row r="11431">
          <cell r="G11431" t="str">
            <v>ASV10654</v>
          </cell>
          <cell r="H11431" t="str">
            <v>g__unclassified_f__Peptostreptococcaceae</v>
          </cell>
          <cell r="I11431" t="str">
            <v>s__unclassified_f__Peptostreptococcaceae</v>
          </cell>
        </row>
        <row r="11432">
          <cell r="G11432" t="str">
            <v>ASV13803</v>
          </cell>
          <cell r="H11432" t="str">
            <v>g__unclassified_f__Peptostreptococcaceae</v>
          </cell>
          <cell r="I11432" t="str">
            <v>s__unclassified_f__Peptostreptococcaceae</v>
          </cell>
        </row>
        <row r="11433">
          <cell r="G11433" t="str">
            <v>ASV5798</v>
          </cell>
          <cell r="H11433" t="str">
            <v>g__unclassified_c__Clostridia</v>
          </cell>
          <cell r="I11433" t="str">
            <v>s__unclassified_c__Clostridia</v>
          </cell>
        </row>
        <row r="11434">
          <cell r="G11434" t="str">
            <v>ASV10307</v>
          </cell>
          <cell r="H11434" t="str">
            <v>g__Lactobacillus</v>
          </cell>
          <cell r="I11434" t="str">
            <v>s__unclassified_g__Lactobacillus</v>
          </cell>
        </row>
        <row r="11435">
          <cell r="G11435" t="str">
            <v>ASV2117</v>
          </cell>
          <cell r="H11435" t="str">
            <v>g__unclassified_p__Firmicutes</v>
          </cell>
          <cell r="I11435" t="str">
            <v>s__unclassified_p__Firmicutes</v>
          </cell>
        </row>
        <row r="11436">
          <cell r="G11436" t="str">
            <v>ASV19493</v>
          </cell>
          <cell r="H11436" t="str">
            <v>g__unclassified_f__Lachnospiraceae</v>
          </cell>
          <cell r="I11436" t="str">
            <v>s__unclassified_f__Lachnospiraceae</v>
          </cell>
        </row>
        <row r="11437">
          <cell r="G11437" t="str">
            <v>ASV16416</v>
          </cell>
          <cell r="H11437" t="str">
            <v>g__unclassified_c__Clostridia</v>
          </cell>
          <cell r="I11437" t="str">
            <v>s__unclassified_c__Clostridia</v>
          </cell>
        </row>
        <row r="11438">
          <cell r="G11438" t="str">
            <v>ASV3194</v>
          </cell>
          <cell r="H11438" t="str">
            <v>g__unclassified_c__Clostridia</v>
          </cell>
          <cell r="I11438" t="str">
            <v>s__unclassified_c__Clostridia</v>
          </cell>
        </row>
        <row r="11439">
          <cell r="G11439" t="str">
            <v>ASV9392</v>
          </cell>
          <cell r="H11439" t="str">
            <v>g__unclassified_c__Clostridia</v>
          </cell>
          <cell r="I11439" t="str">
            <v>s__unclassified_c__Clostridia</v>
          </cell>
        </row>
        <row r="11440">
          <cell r="G11440" t="str">
            <v>ASV11469</v>
          </cell>
          <cell r="H11440" t="str">
            <v>g__Monoglobus</v>
          </cell>
          <cell r="I11440" t="str">
            <v>s__uncultured_organism_g__Monoglobus</v>
          </cell>
        </row>
        <row r="11441">
          <cell r="G11441" t="str">
            <v>ASV18015</v>
          </cell>
          <cell r="H11441" t="str">
            <v>g__unclassified_c__Clostridia</v>
          </cell>
          <cell r="I11441" t="str">
            <v>s__unclassified_c__Clostridia</v>
          </cell>
        </row>
        <row r="11442">
          <cell r="G11442" t="str">
            <v>ASV8482</v>
          </cell>
          <cell r="H11442" t="str">
            <v>g__unclassified_f__Veillonellaceae</v>
          </cell>
          <cell r="I11442" t="str">
            <v>s__unclassified_f__Veillonellaceae</v>
          </cell>
        </row>
        <row r="11443">
          <cell r="G11443" t="str">
            <v>ASV16402</v>
          </cell>
          <cell r="H11443" t="str">
            <v>g__norank_f__Muribaculaceae</v>
          </cell>
          <cell r="I11443" t="str">
            <v>s__uncultured_bacterium_g__norank_f__Muribaculaceae</v>
          </cell>
        </row>
        <row r="11444">
          <cell r="G11444" t="str">
            <v>ASV19545</v>
          </cell>
          <cell r="H11444" t="str">
            <v>g__Lactobacillus</v>
          </cell>
          <cell r="I11444" t="str">
            <v>s__unclassified_g__Lactobacillus</v>
          </cell>
        </row>
        <row r="11445">
          <cell r="G11445" t="str">
            <v>ASV9433</v>
          </cell>
          <cell r="H11445" t="str">
            <v>g__unclassified_c__Clostridia</v>
          </cell>
          <cell r="I11445" t="str">
            <v>s__unclassified_c__Clostridia</v>
          </cell>
        </row>
        <row r="11446">
          <cell r="G11446" t="str">
            <v>ASV22924</v>
          </cell>
          <cell r="H11446" t="str">
            <v>g__Streptococcus</v>
          </cell>
          <cell r="I11446" t="str">
            <v>s__unclassified_g__Streptococcus</v>
          </cell>
        </row>
        <row r="11447">
          <cell r="G11447" t="str">
            <v>ASV22212</v>
          </cell>
          <cell r="H11447" t="str">
            <v>g__unclassified_f__Lachnospiraceae</v>
          </cell>
          <cell r="I11447" t="str">
            <v>s__unclassified_f__Lachnospiraceae</v>
          </cell>
        </row>
        <row r="11448">
          <cell r="G11448" t="str">
            <v>ASV14169</v>
          </cell>
          <cell r="H11448" t="str">
            <v>g__unclassified_k__norank_d__Bacteria</v>
          </cell>
          <cell r="I11448" t="str">
            <v>s__unclassified_k__norank_d__Bacteria</v>
          </cell>
        </row>
        <row r="11449">
          <cell r="G11449" t="str">
            <v>ASV16776</v>
          </cell>
          <cell r="H11449" t="str">
            <v>g__Devosia</v>
          </cell>
          <cell r="I11449" t="str">
            <v>s__unclassified_g__Devosia</v>
          </cell>
        </row>
        <row r="11450">
          <cell r="G11450" t="str">
            <v>ASV3476</v>
          </cell>
          <cell r="H11450" t="str">
            <v>g__Veillonella</v>
          </cell>
          <cell r="I11450" t="str">
            <v>s__unclassified_g__Veillonella</v>
          </cell>
        </row>
        <row r="11451">
          <cell r="G11451" t="str">
            <v>ASV6697</v>
          </cell>
          <cell r="H11451" t="str">
            <v>g__Escherichia-Shigella</v>
          </cell>
          <cell r="I11451" t="str">
            <v>s__unclassified_g__Escherichia-Shigella</v>
          </cell>
        </row>
        <row r="11452">
          <cell r="G11452" t="str">
            <v>ASV23760</v>
          </cell>
          <cell r="H11452" t="str">
            <v>g__Neisseria</v>
          </cell>
          <cell r="I11452" t="str">
            <v>s__unclassified_g__Neisseria</v>
          </cell>
        </row>
        <row r="11453">
          <cell r="G11453" t="str">
            <v>ASV15396</v>
          </cell>
          <cell r="H11453" t="str">
            <v>g__Bacteroides</v>
          </cell>
          <cell r="I11453" t="str">
            <v>s__unclassified_g__Bacteroides</v>
          </cell>
        </row>
        <row r="11454">
          <cell r="G11454" t="str">
            <v>ASV7707</v>
          </cell>
          <cell r="H11454" t="str">
            <v>g__Streptococcus</v>
          </cell>
          <cell r="I11454" t="str">
            <v>s__unclassified_g__Streptococcus</v>
          </cell>
        </row>
        <row r="11455">
          <cell r="G11455" t="str">
            <v>ASV20753</v>
          </cell>
          <cell r="H11455" t="str">
            <v>g__UCG-005</v>
          </cell>
          <cell r="I11455" t="str">
            <v>s__uncultured_bacterium_g__UCG-005</v>
          </cell>
        </row>
        <row r="11456">
          <cell r="G11456" t="str">
            <v>ASV615</v>
          </cell>
          <cell r="H11456" t="str">
            <v>g__norank_f__Muribaculaceae</v>
          </cell>
          <cell r="I11456" t="str">
            <v>s__uncultured_Porphyromonadaceae_bacterium_g__norank_f__Muribaculaceae</v>
          </cell>
        </row>
        <row r="11457">
          <cell r="G11457" t="str">
            <v>ASV3180</v>
          </cell>
          <cell r="H11457" t="str">
            <v>g__unclassified_k__norank_d__Bacteria</v>
          </cell>
          <cell r="I11457" t="str">
            <v>s__unclassified_k__norank_d__Bacteria</v>
          </cell>
        </row>
        <row r="11458">
          <cell r="G11458" t="str">
            <v>ASV16408</v>
          </cell>
          <cell r="H11458" t="str">
            <v>g__Parabacteroides</v>
          </cell>
          <cell r="I11458" t="str">
            <v>s__unclassified_g__Parabacteroides</v>
          </cell>
        </row>
        <row r="11459">
          <cell r="G11459" t="str">
            <v>ASV2913</v>
          </cell>
          <cell r="H11459" t="str">
            <v>g__unclassified_f__Lachnospiraceae</v>
          </cell>
          <cell r="I11459" t="str">
            <v>s__unclassified_f__Lachnospiraceae</v>
          </cell>
        </row>
        <row r="11460">
          <cell r="G11460" t="str">
            <v>ASV7723</v>
          </cell>
          <cell r="H11460" t="str">
            <v>g__Lactobacillus</v>
          </cell>
          <cell r="I11460" t="str">
            <v>s__unclassified_g__Lactobacillus</v>
          </cell>
        </row>
        <row r="11461">
          <cell r="G11461" t="str">
            <v>ASV7177</v>
          </cell>
          <cell r="H11461" t="str">
            <v>g__Cellulosilyticum</v>
          </cell>
          <cell r="I11461" t="str">
            <v>s__uncultured_Clostridia_bacterium_g__Cellulosilyticum</v>
          </cell>
        </row>
        <row r="11462">
          <cell r="G11462" t="str">
            <v>ASV10573</v>
          </cell>
          <cell r="H11462" t="str">
            <v>g__Eubacterium_nodatum_group</v>
          </cell>
          <cell r="I11462" t="str">
            <v>s__uncultured_bacterium_g__Eubacterium_nodatum_group</v>
          </cell>
        </row>
        <row r="11463">
          <cell r="G11463" t="str">
            <v>ASV7780</v>
          </cell>
          <cell r="H11463" t="str">
            <v>g__unclassified_f__Lachnospiraceae</v>
          </cell>
          <cell r="I11463" t="str">
            <v>s__unclassified_f__Lachnospiraceae</v>
          </cell>
        </row>
        <row r="11464">
          <cell r="G11464" t="str">
            <v>ASV608</v>
          </cell>
          <cell r="H11464" t="str">
            <v>g__Prevotella</v>
          </cell>
          <cell r="I11464" t="str">
            <v>s__unclassified_g__Prevotella</v>
          </cell>
        </row>
        <row r="11465">
          <cell r="G11465" t="str">
            <v>ASV17202</v>
          </cell>
          <cell r="H11465" t="str">
            <v>g__Lactobacillus</v>
          </cell>
          <cell r="I11465" t="str">
            <v>s__uncultured_bacterium_g__Lactobacillus</v>
          </cell>
        </row>
        <row r="11466">
          <cell r="G11466" t="str">
            <v>ASV23275</v>
          </cell>
          <cell r="H11466" t="str">
            <v>g__norank_f__Eubacterium_coprostanoligenes_group</v>
          </cell>
          <cell r="I11466" t="str">
            <v>s__uncultured_bacterium_g__norank_f__Eubacterium_coprostanoligenes_group</v>
          </cell>
        </row>
        <row r="11467">
          <cell r="G11467" t="str">
            <v>ASV18582</v>
          </cell>
          <cell r="H11467" t="str">
            <v>g__unclassified_c__Clostridia</v>
          </cell>
          <cell r="I11467" t="str">
            <v>s__unclassified_c__Clostridia</v>
          </cell>
        </row>
        <row r="11468">
          <cell r="G11468" t="str">
            <v>ASV14242</v>
          </cell>
          <cell r="H11468" t="str">
            <v>g__unclassified_o__Oscillospirales</v>
          </cell>
          <cell r="I11468" t="str">
            <v>s__unclassified_o__Oscillospirales</v>
          </cell>
        </row>
        <row r="11469">
          <cell r="G11469" t="str">
            <v>ASV5860</v>
          </cell>
          <cell r="H11469" t="str">
            <v>g__norank_f__Erysipelotrichaceae</v>
          </cell>
          <cell r="I11469" t="str">
            <v>s__uncultured_bacterium_g__norank_f__Erysipelotrichaceae</v>
          </cell>
        </row>
        <row r="11470">
          <cell r="G11470" t="str">
            <v>ASV23210</v>
          </cell>
          <cell r="H11470" t="str">
            <v>g__unclassified_p__Firmicutes</v>
          </cell>
          <cell r="I11470" t="str">
            <v>s__unclassified_p__Firmicutes</v>
          </cell>
        </row>
        <row r="11471">
          <cell r="G11471" t="str">
            <v>ASV5906</v>
          </cell>
          <cell r="H11471" t="str">
            <v>g__norank_f__UCG-011</v>
          </cell>
          <cell r="I11471" t="str">
            <v>s__uncultured_bacterium_g__norank_f__UCG-011</v>
          </cell>
        </row>
        <row r="11472">
          <cell r="G11472" t="str">
            <v>ASV11504</v>
          </cell>
          <cell r="H11472" t="str">
            <v>g__UCG-005</v>
          </cell>
          <cell r="I11472" t="str">
            <v>s__unclassified_g__UCG-005</v>
          </cell>
        </row>
        <row r="11473">
          <cell r="G11473" t="str">
            <v>ASV11606</v>
          </cell>
          <cell r="H11473" t="str">
            <v>g__Succiniclasticum</v>
          </cell>
          <cell r="I11473" t="str">
            <v>s__unclassified_g__Succiniclasticum</v>
          </cell>
        </row>
        <row r="11474">
          <cell r="G11474" t="str">
            <v>ASV11050</v>
          </cell>
          <cell r="H11474" t="str">
            <v>g__Clostridium_sensu_stricto_1</v>
          </cell>
          <cell r="I11474" t="str">
            <v>s__unclassified_g__Clostridium_sensu_stricto_1</v>
          </cell>
        </row>
        <row r="11475">
          <cell r="G11475" t="str">
            <v>ASV14275</v>
          </cell>
          <cell r="H11475" t="str">
            <v>g__unclassified_p__Firmicutes</v>
          </cell>
          <cell r="I11475" t="str">
            <v>s__unclassified_p__Firmicutes</v>
          </cell>
        </row>
        <row r="11476">
          <cell r="G11476" t="str">
            <v>ASV5898</v>
          </cell>
          <cell r="H11476" t="str">
            <v>g__norank_f__Ruminococcaceae</v>
          </cell>
          <cell r="I11476" t="str">
            <v>s__uncultured_bacterium_g__norank_f__Ruminococcaceae</v>
          </cell>
        </row>
        <row r="11477">
          <cell r="G11477" t="str">
            <v>ASV11578</v>
          </cell>
          <cell r="H11477" t="str">
            <v>g__Lachnospiraceae_XPB1014_group</v>
          </cell>
          <cell r="I11477" t="str">
            <v>s__uncultured_bacterium_g__Lachnospiraceae_XPB1014_group</v>
          </cell>
        </row>
        <row r="11478">
          <cell r="G11478" t="str">
            <v>ASV11531</v>
          </cell>
          <cell r="H11478" t="str">
            <v>g__unclassified_f__Lachnospiraceae</v>
          </cell>
          <cell r="I11478" t="str">
            <v>s__unclassified_f__Lachnospiraceae</v>
          </cell>
        </row>
        <row r="11479">
          <cell r="G11479" t="str">
            <v>ASV21602</v>
          </cell>
          <cell r="H11479" t="str">
            <v>g__Lactobacillus</v>
          </cell>
          <cell r="I11479" t="str">
            <v>s__unclassified_g__Lactobacillus</v>
          </cell>
        </row>
        <row r="11480">
          <cell r="G11480" t="str">
            <v>ASV16881</v>
          </cell>
          <cell r="H11480" t="str">
            <v>g__Alloprevotella</v>
          </cell>
          <cell r="I11480" t="str">
            <v>s__unclassified_g__Alloprevotella</v>
          </cell>
        </row>
        <row r="11481">
          <cell r="G11481" t="str">
            <v>ASV23193</v>
          </cell>
          <cell r="H11481" t="str">
            <v>g__Eubacterium_oxidoreducens_group</v>
          </cell>
          <cell r="I11481" t="str">
            <v>s__uncultured_bacterium_g__Eubacterium_oxidoreducens_group</v>
          </cell>
        </row>
        <row r="11482">
          <cell r="G11482" t="str">
            <v>ASV7785</v>
          </cell>
          <cell r="H11482" t="str">
            <v>g__Peptococcus</v>
          </cell>
          <cell r="I11482" t="str">
            <v>s__uncultured_bacterium_g__Peptococcus</v>
          </cell>
        </row>
        <row r="11483">
          <cell r="G11483" t="str">
            <v>ASV6972</v>
          </cell>
          <cell r="H11483" t="str">
            <v>g__Alistipes</v>
          </cell>
          <cell r="I11483" t="str">
            <v>s__Alistipes_sp._N15.MGS-157</v>
          </cell>
        </row>
        <row r="11484">
          <cell r="G11484" t="str">
            <v>ASV4833</v>
          </cell>
          <cell r="H11484" t="str">
            <v>g__unclassified_c__Bacilli</v>
          </cell>
          <cell r="I11484" t="str">
            <v>s__unclassified_c__Bacilli</v>
          </cell>
        </row>
        <row r="11485">
          <cell r="G11485" t="str">
            <v>ASV18590</v>
          </cell>
          <cell r="H11485" t="str">
            <v>g__unclassified_f__Lachnospiraceae</v>
          </cell>
          <cell r="I11485" t="str">
            <v>s__unclassified_f__Lachnospiraceae</v>
          </cell>
        </row>
        <row r="11486">
          <cell r="G11486" t="str">
            <v>ASV9422</v>
          </cell>
          <cell r="H11486" t="str">
            <v>g__unclassified_c__Clostridia</v>
          </cell>
          <cell r="I11486" t="str">
            <v>s__unclassified_c__Clostridia</v>
          </cell>
        </row>
        <row r="11487">
          <cell r="G11487" t="str">
            <v>ASV11501</v>
          </cell>
          <cell r="H11487" t="str">
            <v>g__unclassified_c__Clostridia</v>
          </cell>
          <cell r="I11487" t="str">
            <v>s__unclassified_c__Clostridia</v>
          </cell>
        </row>
        <row r="11488">
          <cell r="G11488" t="str">
            <v>ASV5828</v>
          </cell>
          <cell r="H11488" t="str">
            <v>g__unclassified_c__Clostridia</v>
          </cell>
          <cell r="I11488" t="str">
            <v>s__unclassified_c__Clostridia</v>
          </cell>
        </row>
        <row r="11489">
          <cell r="G11489" t="str">
            <v>ASV11628</v>
          </cell>
          <cell r="H11489" t="str">
            <v>g__Acidaminococcus</v>
          </cell>
          <cell r="I11489" t="str">
            <v>s__unclassified_g__Acidaminococcus</v>
          </cell>
        </row>
        <row r="11490">
          <cell r="G11490" t="str">
            <v>ASV10664</v>
          </cell>
          <cell r="H11490" t="str">
            <v>g__Phascolarctobacterium</v>
          </cell>
          <cell r="I11490" t="str">
            <v>s__uncultured_bacterium_g__Phascolarctobacterium</v>
          </cell>
        </row>
        <row r="11491">
          <cell r="G11491" t="str">
            <v>ASV3192</v>
          </cell>
          <cell r="H11491" t="str">
            <v>g__unclassified_f__Lachnospiraceae</v>
          </cell>
          <cell r="I11491" t="str">
            <v>s__unclassified_f__Lachnospiraceae</v>
          </cell>
        </row>
        <row r="11492">
          <cell r="G11492" t="str">
            <v>ASV10627</v>
          </cell>
          <cell r="H11492" t="str">
            <v>g__Escherichia-Shigella</v>
          </cell>
          <cell r="I11492" t="str">
            <v>s__unclassified_g__Escherichia-Shigella</v>
          </cell>
        </row>
        <row r="11493">
          <cell r="G11493" t="str">
            <v>ASV22968</v>
          </cell>
          <cell r="H11493" t="str">
            <v>g__Lactobacillus</v>
          </cell>
          <cell r="I11493" t="str">
            <v>s__unclassified_g__Lactobacillus</v>
          </cell>
        </row>
        <row r="11494">
          <cell r="G11494" t="str">
            <v>ASV23259</v>
          </cell>
          <cell r="H11494" t="str">
            <v>g__unclassified_c__Clostridia</v>
          </cell>
          <cell r="I11494" t="str">
            <v>s__unclassified_c__Clostridia</v>
          </cell>
        </row>
        <row r="11495">
          <cell r="G11495" t="str">
            <v>ASV19595</v>
          </cell>
          <cell r="H11495" t="str">
            <v>g__Lactobacillus</v>
          </cell>
          <cell r="I11495" t="str">
            <v>s__unclassified_g__Lactobacillus</v>
          </cell>
        </row>
        <row r="11496">
          <cell r="G11496" t="str">
            <v>ASV12797</v>
          </cell>
          <cell r="H11496" t="str">
            <v>g__Collinsella</v>
          </cell>
          <cell r="I11496" t="str">
            <v>s__Collinsella_provencensis</v>
          </cell>
        </row>
        <row r="11497">
          <cell r="G11497" t="str">
            <v>ASV10572</v>
          </cell>
          <cell r="H11497" t="str">
            <v>g__unclassified_c__Clostridia</v>
          </cell>
          <cell r="I11497" t="str">
            <v>s__unclassified_c__Clostridia</v>
          </cell>
        </row>
        <row r="11498">
          <cell r="G11498" t="str">
            <v>ASV6652</v>
          </cell>
          <cell r="H11498" t="str">
            <v>g__unclassified_k__norank_d__Bacteria</v>
          </cell>
          <cell r="I11498" t="str">
            <v>s__unclassified_k__norank_d__Bacteria</v>
          </cell>
        </row>
        <row r="11499">
          <cell r="G11499" t="str">
            <v>ASV10646</v>
          </cell>
          <cell r="H11499" t="str">
            <v>g__norank_f__Eubacterium_coprostanoligenes_group</v>
          </cell>
          <cell r="I11499" t="str">
            <v>s__uncultured_bacterium_g__norank_f__Eubacterium_coprostanoligenes_group</v>
          </cell>
        </row>
        <row r="11500">
          <cell r="G11500" t="str">
            <v>ASV23959</v>
          </cell>
          <cell r="H11500" t="str">
            <v>g__Megasphaera</v>
          </cell>
          <cell r="I11500" t="str">
            <v>s__unclassified_g__Megasphaera</v>
          </cell>
        </row>
        <row r="11501">
          <cell r="G11501" t="str">
            <v>ASV14278</v>
          </cell>
          <cell r="H11501" t="str">
            <v>g__norank_f__UCG-011</v>
          </cell>
          <cell r="I11501" t="str">
            <v>s__uncultured_bacterium_g__norank_f__UCG-011</v>
          </cell>
        </row>
        <row r="11502">
          <cell r="G11502" t="str">
            <v>ASV2752</v>
          </cell>
          <cell r="H11502" t="str">
            <v>g__Veillonella</v>
          </cell>
          <cell r="I11502" t="str">
            <v>s__unclassified_g__Veillonella</v>
          </cell>
        </row>
        <row r="11503">
          <cell r="G11503" t="str">
            <v>ASV2141</v>
          </cell>
          <cell r="H11503" t="str">
            <v>g__Family_XIII_AD3011_group</v>
          </cell>
          <cell r="I11503" t="str">
            <v>s__unclassified_g__Family_XIII_AD3011_group</v>
          </cell>
        </row>
        <row r="11504">
          <cell r="G11504" t="str">
            <v>ASV20443</v>
          </cell>
          <cell r="H11504" t="str">
            <v>g__Edaphobaculum</v>
          </cell>
          <cell r="I11504" t="str">
            <v>s__uncultured_Bacteroidetes_bacterium_g__Edaphobaculum</v>
          </cell>
        </row>
        <row r="11505">
          <cell r="G11505" t="str">
            <v>ASV8710</v>
          </cell>
          <cell r="H11505" t="str">
            <v>g__Streptococcus</v>
          </cell>
          <cell r="I11505" t="str">
            <v>s__unclassified_g__Streptococcus</v>
          </cell>
        </row>
        <row r="11506">
          <cell r="G11506" t="str">
            <v>ASV11603</v>
          </cell>
          <cell r="H11506" t="str">
            <v>g__norank_f__Oscillospiraceae</v>
          </cell>
          <cell r="I11506" t="str">
            <v>s__unclassified_g__norank_f__Oscillospiraceae</v>
          </cell>
        </row>
        <row r="11507">
          <cell r="G11507" t="str">
            <v>ASV20735</v>
          </cell>
          <cell r="H11507" t="str">
            <v>g__unclassified_f__Lachnospiraceae</v>
          </cell>
          <cell r="I11507" t="str">
            <v>s__unclassified_f__Lachnospiraceae</v>
          </cell>
        </row>
        <row r="11508">
          <cell r="G11508" t="str">
            <v>ASV10620</v>
          </cell>
          <cell r="H11508" t="str">
            <v>g__unclassified_f__Lachnospiraceae</v>
          </cell>
          <cell r="I11508" t="str">
            <v>s__unclassified_f__Lachnospiraceae</v>
          </cell>
        </row>
        <row r="11509">
          <cell r="G11509" t="str">
            <v>ASV20763</v>
          </cell>
          <cell r="H11509" t="str">
            <v>g__unclassified_f__Peptostreptococcaceae</v>
          </cell>
          <cell r="I11509" t="str">
            <v>s__unclassified_f__Peptostreptococcaceae</v>
          </cell>
        </row>
        <row r="11510">
          <cell r="G11510" t="str">
            <v>ASV10619</v>
          </cell>
          <cell r="H11510" t="str">
            <v>g__Christensenellaceae_R-7_group</v>
          </cell>
          <cell r="I11510" t="str">
            <v>s__uncultured_bacterium_g__Christensenellaceae_R-7_group</v>
          </cell>
        </row>
        <row r="11511">
          <cell r="G11511" t="str">
            <v>ASV4856</v>
          </cell>
          <cell r="H11511" t="str">
            <v>g__Subdoligranulum</v>
          </cell>
          <cell r="I11511" t="str">
            <v>s__uncultured_bacterium_g__Subdoligranulum</v>
          </cell>
        </row>
        <row r="11512">
          <cell r="G11512" t="str">
            <v>ASV592</v>
          </cell>
          <cell r="H11512" t="str">
            <v>g__unclassified_c__Clostridia</v>
          </cell>
          <cell r="I11512" t="str">
            <v>s__unclassified_c__Clostridia</v>
          </cell>
        </row>
        <row r="11513">
          <cell r="G11513" t="str">
            <v>ASV4822</v>
          </cell>
          <cell r="H11513" t="str">
            <v>g__unclassified_f__Peptostreptococcaceae</v>
          </cell>
          <cell r="I11513" t="str">
            <v>s__unclassified_f__Peptostreptococcaceae</v>
          </cell>
        </row>
        <row r="11514">
          <cell r="G11514" t="str">
            <v>ASV739</v>
          </cell>
          <cell r="H11514" t="str">
            <v>g__norank_f__Muribaculaceae</v>
          </cell>
          <cell r="I11514" t="str">
            <v>s__unclassified_g__norank_f__Muribaculaceae</v>
          </cell>
        </row>
        <row r="11515">
          <cell r="G11515" t="str">
            <v>ASV11548</v>
          </cell>
          <cell r="H11515" t="str">
            <v>g__Lactobacillus</v>
          </cell>
          <cell r="I11515" t="str">
            <v>s__unclassified_g__Lactobacillus</v>
          </cell>
        </row>
        <row r="11516">
          <cell r="G11516" t="str">
            <v>ASV17992</v>
          </cell>
          <cell r="H11516" t="str">
            <v>g__Parabacteroides</v>
          </cell>
          <cell r="I11516" t="str">
            <v>s__Porphyromonadaceae_bacterium_DJF_B175</v>
          </cell>
        </row>
        <row r="11517">
          <cell r="G11517" t="str">
            <v>ASV14222</v>
          </cell>
          <cell r="H11517" t="str">
            <v>g__Ruminococcus</v>
          </cell>
          <cell r="I11517" t="str">
            <v>s__uncultured_bacterium_g__Ruminococcus</v>
          </cell>
        </row>
        <row r="11518">
          <cell r="G11518" t="str">
            <v>ASV2108</v>
          </cell>
          <cell r="H11518" t="str">
            <v>g__Prevotellaceae_NK3B31_group</v>
          </cell>
          <cell r="I11518" t="str">
            <v>s__uncultured_bacterium_g__Prevotellaceae_NK3B31_group</v>
          </cell>
        </row>
        <row r="11519">
          <cell r="G11519" t="str">
            <v>ASV1651</v>
          </cell>
          <cell r="H11519" t="str">
            <v>g__norank_f__Muribaculaceae</v>
          </cell>
          <cell r="I11519" t="str">
            <v>s__uncultured_bacterium_g__norank_f__Muribaculaceae</v>
          </cell>
        </row>
        <row r="11520">
          <cell r="G11520" t="str">
            <v>ASV5882</v>
          </cell>
          <cell r="H11520" t="str">
            <v>g__unclassified_f__Oscillospiraceae</v>
          </cell>
          <cell r="I11520" t="str">
            <v>s__unclassified_f__Oscillospiraceae</v>
          </cell>
        </row>
        <row r="11521">
          <cell r="G11521" t="str">
            <v>ASV17602</v>
          </cell>
          <cell r="H11521" t="str">
            <v>g__unclassified_k__norank_d__Bacteria</v>
          </cell>
          <cell r="I11521" t="str">
            <v>s__unclassified_k__norank_d__Bacteria</v>
          </cell>
        </row>
        <row r="11522">
          <cell r="G11522" t="str">
            <v>ASV11481</v>
          </cell>
          <cell r="H11522" t="str">
            <v>g__Prevotellaceae_UCG-001</v>
          </cell>
          <cell r="I11522" t="str">
            <v>s__uncultured_bacterium_g__Prevotellaceae_UCG-001</v>
          </cell>
        </row>
        <row r="11523">
          <cell r="G11523" t="str">
            <v>ASV2746</v>
          </cell>
          <cell r="H11523" t="str">
            <v>g__unclassified_f__Lachnospiraceae</v>
          </cell>
          <cell r="I11523" t="str">
            <v>s__unclassified_f__Lachnospiraceae</v>
          </cell>
        </row>
        <row r="11524">
          <cell r="G11524" t="str">
            <v>ASV4031</v>
          </cell>
          <cell r="H11524" t="str">
            <v>g__Christensenellaceae_R-7_group</v>
          </cell>
          <cell r="I11524" t="str">
            <v>s__uncultured_spirochete_g__Christensenellaceae_R-7_group</v>
          </cell>
        </row>
        <row r="11525">
          <cell r="G11525" t="str">
            <v>ASV20766</v>
          </cell>
          <cell r="H11525" t="str">
            <v>g__unclassified_c__Clostridia</v>
          </cell>
          <cell r="I11525" t="str">
            <v>s__unclassified_c__Clostridia</v>
          </cell>
        </row>
        <row r="11526">
          <cell r="G11526" t="str">
            <v>ASV11524</v>
          </cell>
          <cell r="H11526" t="str">
            <v>g__unclassified_f__Ruminococcaceae</v>
          </cell>
          <cell r="I11526" t="str">
            <v>s__unclassified_f__Ruminococcaceae</v>
          </cell>
        </row>
        <row r="11527">
          <cell r="G11527" t="str">
            <v>ASV15362</v>
          </cell>
          <cell r="H11527" t="str">
            <v>g__Enterococcus</v>
          </cell>
          <cell r="I11527" t="str">
            <v>s__unclassified_g__Enterococcus</v>
          </cell>
        </row>
        <row r="11528">
          <cell r="G11528" t="str">
            <v>ASV3992</v>
          </cell>
          <cell r="H11528" t="str">
            <v>g__Fusobacterium</v>
          </cell>
          <cell r="I11528" t="str">
            <v>s__Bacillus_bogoriensis_ATCC_BAA-922</v>
          </cell>
        </row>
        <row r="11529">
          <cell r="G11529" t="str">
            <v>ASV22227</v>
          </cell>
          <cell r="H11529" t="str">
            <v>g__unclassified_f__Lachnospiraceae</v>
          </cell>
          <cell r="I11529" t="str">
            <v>s__unclassified_f__Lachnospiraceae</v>
          </cell>
        </row>
        <row r="11530">
          <cell r="G11530" t="str">
            <v>ASV17667</v>
          </cell>
          <cell r="H11530" t="str">
            <v>g__Lactobacillus</v>
          </cell>
          <cell r="I11530" t="str">
            <v>s__unclassified_g__Lactobacillus</v>
          </cell>
        </row>
        <row r="11531">
          <cell r="G11531" t="str">
            <v>ASV11594</v>
          </cell>
          <cell r="H11531" t="str">
            <v>g__Sharpea</v>
          </cell>
          <cell r="I11531" t="str">
            <v>s__unclassified_g__Sharpea</v>
          </cell>
        </row>
        <row r="11532">
          <cell r="G11532" t="str">
            <v>ASV9363</v>
          </cell>
          <cell r="H11532" t="str">
            <v>g__unclassified_c__Clostridia</v>
          </cell>
          <cell r="I11532" t="str">
            <v>s__unclassified_c__Clostridia</v>
          </cell>
        </row>
        <row r="11533">
          <cell r="G11533" t="str">
            <v>ASV23946</v>
          </cell>
          <cell r="H11533" t="str">
            <v>g__Veillonella</v>
          </cell>
          <cell r="I11533" t="str">
            <v>s__unclassified_g__Veillonella</v>
          </cell>
        </row>
        <row r="11534">
          <cell r="G11534" t="str">
            <v>ASV697</v>
          </cell>
          <cell r="H11534" t="str">
            <v>g__norank_f__Muribaculaceae</v>
          </cell>
          <cell r="I11534" t="str">
            <v>s__uncultured_Porphyromonadaceae_bacterium_g__norank_f__Muribaculaceae</v>
          </cell>
        </row>
        <row r="11535">
          <cell r="G11535" t="str">
            <v>ASV8993</v>
          </cell>
          <cell r="H11535" t="str">
            <v>g__Porphyromonas</v>
          </cell>
          <cell r="I11535" t="str">
            <v>s__unclassified_g__Porphyromonas</v>
          </cell>
        </row>
        <row r="11536">
          <cell r="G11536" t="str">
            <v>ASV5811</v>
          </cell>
          <cell r="H11536" t="str">
            <v>g__unclassified_k__norank_d__Bacteria</v>
          </cell>
          <cell r="I11536" t="str">
            <v>s__unclassified_k__norank_d__Bacteria</v>
          </cell>
        </row>
        <row r="11537">
          <cell r="G11537" t="str">
            <v>ASV9395</v>
          </cell>
          <cell r="H11537" t="str">
            <v>g__unclassified_o__Oscillospirales</v>
          </cell>
          <cell r="I11537" t="str">
            <v>s__unclassified_o__Oscillospirales</v>
          </cell>
        </row>
        <row r="11538">
          <cell r="G11538" t="str">
            <v>ASV696</v>
          </cell>
          <cell r="H11538" t="str">
            <v>g__unclassified_f__Oscillospiraceae</v>
          </cell>
          <cell r="I11538" t="str">
            <v>s__unclassified_f__Oscillospiraceae</v>
          </cell>
        </row>
        <row r="11539">
          <cell r="G11539" t="str">
            <v>ASV14241</v>
          </cell>
          <cell r="H11539" t="str">
            <v>g__Lachnospiraceae_UCG-004</v>
          </cell>
          <cell r="I11539" t="str">
            <v>s__uncultured_bacterium_g__Lachnospiraceae_UCG-004</v>
          </cell>
        </row>
        <row r="11540">
          <cell r="G11540" t="str">
            <v>ASV19179</v>
          </cell>
          <cell r="H11540" t="str">
            <v>g__Cellulosilyticum</v>
          </cell>
          <cell r="I11540" t="str">
            <v>s__uncultured_bacterium_g__Cellulosilyticum</v>
          </cell>
        </row>
        <row r="11541">
          <cell r="G11541" t="str">
            <v>ASV19495</v>
          </cell>
          <cell r="H11541" t="str">
            <v>g__Christensenellaceae_R-7_group</v>
          </cell>
          <cell r="I11541" t="str">
            <v>s__unclassified_g__Christensenellaceae_R-7_group</v>
          </cell>
        </row>
        <row r="11542">
          <cell r="G11542" t="str">
            <v>ASV16916</v>
          </cell>
          <cell r="H11542" t="str">
            <v>g__unclassified_c__Bacilli</v>
          </cell>
          <cell r="I11542" t="str">
            <v>s__unclassified_c__Bacilli</v>
          </cell>
        </row>
        <row r="11543">
          <cell r="G11543" t="str">
            <v>ASV3646</v>
          </cell>
          <cell r="H11543" t="str">
            <v>g__Holdemanella</v>
          </cell>
          <cell r="I11543" t="str">
            <v>s__uncultured_bacterium_g__Holdemanella</v>
          </cell>
        </row>
        <row r="11544">
          <cell r="G11544" t="str">
            <v>ASV18022</v>
          </cell>
          <cell r="H11544" t="str">
            <v>g__unclassified_f__Christensenellaceae</v>
          </cell>
          <cell r="I11544" t="str">
            <v>s__unclassified_f__Christensenellaceae</v>
          </cell>
        </row>
        <row r="11545">
          <cell r="G11545" t="str">
            <v>ASV22231</v>
          </cell>
          <cell r="H11545" t="str">
            <v>g__unclassified_c__Clostridia</v>
          </cell>
          <cell r="I11545" t="str">
            <v>s__unclassified_c__Clostridia</v>
          </cell>
        </row>
        <row r="11546">
          <cell r="G11546" t="str">
            <v>ASV11653</v>
          </cell>
          <cell r="H11546" t="str">
            <v>g__Terrisporobacter</v>
          </cell>
          <cell r="I11546" t="str">
            <v>s__unclassified_g__Terrisporobacter</v>
          </cell>
        </row>
        <row r="11547">
          <cell r="G11547" t="str">
            <v>ASV22148</v>
          </cell>
          <cell r="H11547" t="str">
            <v>g__Lachnospiraceae_NC2004_group</v>
          </cell>
          <cell r="I11547" t="str">
            <v>s__uncultured_bacterium_g__Lachnospiraceae_NC2004_group</v>
          </cell>
        </row>
        <row r="11548">
          <cell r="G11548" t="str">
            <v>ASV23195</v>
          </cell>
          <cell r="H11548" t="str">
            <v>g__Bacteroides</v>
          </cell>
          <cell r="I11548" t="str">
            <v>s__unclassified_g__Bacteroides</v>
          </cell>
        </row>
        <row r="11549">
          <cell r="G11549" t="str">
            <v>ASV17974</v>
          </cell>
          <cell r="H11549" t="str">
            <v>g__unclassified_c__Clostridia</v>
          </cell>
          <cell r="I11549" t="str">
            <v>s__unclassified_c__Clostridia</v>
          </cell>
        </row>
        <row r="11550">
          <cell r="G11550" t="str">
            <v>ASV20707</v>
          </cell>
          <cell r="H11550" t="str">
            <v>g__unclassified_f__Peptostreptococcaceae</v>
          </cell>
          <cell r="I11550" t="str">
            <v>s__unclassified_f__Peptostreptococcaceae</v>
          </cell>
        </row>
        <row r="11551">
          <cell r="G11551" t="str">
            <v>ASV19567</v>
          </cell>
          <cell r="H11551" t="str">
            <v>g__unclassified_f__Lachnospiraceae</v>
          </cell>
          <cell r="I11551" t="str">
            <v>s__unclassified_f__Lachnospiraceae</v>
          </cell>
        </row>
        <row r="11552">
          <cell r="G11552" t="str">
            <v>ASV22136</v>
          </cell>
          <cell r="H11552" t="str">
            <v>g__unclassified_f__Lachnospiraceae</v>
          </cell>
          <cell r="I11552" t="str">
            <v>s__unclassified_f__Lachnospiraceae</v>
          </cell>
        </row>
        <row r="11553">
          <cell r="G11553" t="str">
            <v>ASV16885</v>
          </cell>
          <cell r="H11553" t="str">
            <v>g__unclassified_f__Lachnospiraceae</v>
          </cell>
          <cell r="I11553" t="str">
            <v>s__unclassified_f__Lachnospiraceae</v>
          </cell>
        </row>
        <row r="11554">
          <cell r="G11554" t="str">
            <v>ASV17983</v>
          </cell>
          <cell r="H11554" t="str">
            <v>g__norank_f__Ruminococcaceae</v>
          </cell>
          <cell r="I11554" t="str">
            <v>s__unclassified_g__norank_f__Ruminococcaceae</v>
          </cell>
        </row>
        <row r="11555">
          <cell r="G11555" t="str">
            <v>ASV20769</v>
          </cell>
          <cell r="H11555" t="str">
            <v>g__unclassified_c__Clostridia</v>
          </cell>
          <cell r="I11555" t="str">
            <v>s__unclassified_c__Clostridia</v>
          </cell>
        </row>
        <row r="11556">
          <cell r="G11556" t="str">
            <v>ASV12747</v>
          </cell>
          <cell r="H11556" t="str">
            <v>g__Christensenellaceae_R-7_group</v>
          </cell>
          <cell r="I11556" t="str">
            <v>s__unclassified_g__Christensenellaceae_R-7_group</v>
          </cell>
        </row>
        <row r="11557">
          <cell r="G11557" t="str">
            <v>ASV14152</v>
          </cell>
          <cell r="H11557" t="str">
            <v>g__Streptococcus</v>
          </cell>
          <cell r="I11557" t="str">
            <v>s__unclassified_g__Streptococcus</v>
          </cell>
        </row>
        <row r="11558">
          <cell r="G11558" t="str">
            <v>ASV4765</v>
          </cell>
          <cell r="H11558" t="str">
            <v>g__norank_f__Eubacterium_coprostanoligenes_group</v>
          </cell>
          <cell r="I11558" t="str">
            <v>s__unclassified_g__norank_f__Eubacterium_coprostanoligenes_group</v>
          </cell>
        </row>
        <row r="11559">
          <cell r="G11559" t="str">
            <v>ASV16878</v>
          </cell>
          <cell r="H11559" t="str">
            <v>g__unclassified_f__Lachnospiraceae</v>
          </cell>
          <cell r="I11559" t="str">
            <v>s__unclassified_f__Lachnospiraceae</v>
          </cell>
        </row>
        <row r="11560">
          <cell r="G11560" t="str">
            <v>ASV16428</v>
          </cell>
          <cell r="H11560" t="str">
            <v>g__unclassified_k__norank_d__Bacteria</v>
          </cell>
          <cell r="I11560" t="str">
            <v>s__unclassified_k__norank_d__Bacteria</v>
          </cell>
        </row>
        <row r="11561">
          <cell r="G11561" t="str">
            <v>ASV3472</v>
          </cell>
          <cell r="H11561" t="str">
            <v>g__Lactobacillus</v>
          </cell>
          <cell r="I11561" t="str">
            <v>s__unclassified_g__Lactobacillus</v>
          </cell>
        </row>
        <row r="11562">
          <cell r="G11562" t="str">
            <v>ASV10658</v>
          </cell>
          <cell r="H11562" t="str">
            <v>g__unclassified_f__Oscillospiraceae</v>
          </cell>
          <cell r="I11562" t="str">
            <v>s__unclassified_f__Oscillospiraceae</v>
          </cell>
        </row>
        <row r="11563">
          <cell r="G11563" t="str">
            <v>ASV9880</v>
          </cell>
          <cell r="H11563" t="str">
            <v>g__Psychrobacter</v>
          </cell>
          <cell r="I11563" t="str">
            <v>s__unclassified_g__Psychrobacter</v>
          </cell>
        </row>
        <row r="11564">
          <cell r="G11564" t="str">
            <v>ASV12781</v>
          </cell>
          <cell r="H11564" t="str">
            <v>g__Escherichia-Shigella</v>
          </cell>
          <cell r="I11564" t="str">
            <v>s__unclassified_g__Escherichia-Shigella</v>
          </cell>
        </row>
        <row r="11565">
          <cell r="G11565" t="str">
            <v>ASV14273</v>
          </cell>
          <cell r="H11565" t="str">
            <v>g__unclassified_c__Clostridia</v>
          </cell>
          <cell r="I11565" t="str">
            <v>s__unclassified_c__Clostridia</v>
          </cell>
        </row>
        <row r="11566">
          <cell r="G11566" t="str">
            <v>ASV11631</v>
          </cell>
          <cell r="H11566" t="str">
            <v>g__UCG-005</v>
          </cell>
          <cell r="I11566" t="str">
            <v>s__uncultured_bacterium_g__UCG-005</v>
          </cell>
        </row>
        <row r="11567">
          <cell r="G11567" t="str">
            <v>ASV13427</v>
          </cell>
          <cell r="H11567" t="str">
            <v>g__Lactobacillus</v>
          </cell>
          <cell r="I11567" t="str">
            <v>s__unclassified_g__Lactobacillus</v>
          </cell>
        </row>
        <row r="11568">
          <cell r="G11568" t="str">
            <v>ASV9323</v>
          </cell>
          <cell r="H11568" t="str">
            <v>g__unclassified_o__Bacteroidales</v>
          </cell>
          <cell r="I11568" t="str">
            <v>s__unclassified_o__Bacteroidales</v>
          </cell>
        </row>
        <row r="11569">
          <cell r="G11569" t="str">
            <v>ASV7756</v>
          </cell>
          <cell r="H11569" t="str">
            <v>g__norank_f__Ruminococcaceae</v>
          </cell>
          <cell r="I11569" t="str">
            <v>s__unclassified_g__norank_f__Ruminococcaceae</v>
          </cell>
        </row>
        <row r="11570">
          <cell r="G11570" t="str">
            <v>ASV10022</v>
          </cell>
          <cell r="H11570" t="str">
            <v>g__UCG-004</v>
          </cell>
          <cell r="I11570" t="str">
            <v>s__uncultured_bacterium_g__UCG-004</v>
          </cell>
        </row>
        <row r="11571">
          <cell r="G11571" t="str">
            <v>ASV15969</v>
          </cell>
          <cell r="H11571" t="str">
            <v>g__Streptococcus</v>
          </cell>
          <cell r="I11571" t="str">
            <v>s__unclassified_g__Streptococcus</v>
          </cell>
        </row>
        <row r="11572">
          <cell r="G11572" t="str">
            <v>ASV12801</v>
          </cell>
          <cell r="H11572" t="str">
            <v>g__unclassified_f__Peptostreptococcaceae</v>
          </cell>
          <cell r="I11572" t="str">
            <v>s__unclassified_f__Peptostreptococcaceae</v>
          </cell>
        </row>
        <row r="11573">
          <cell r="G11573" t="str">
            <v>ASV13713</v>
          </cell>
          <cell r="H11573" t="str">
            <v>g__unclassified_f__Selenomonadaceae</v>
          </cell>
          <cell r="I11573" t="str">
            <v>s__unclassified_f__Selenomonadaceae</v>
          </cell>
        </row>
        <row r="11574">
          <cell r="G11574" t="str">
            <v>ASV17997</v>
          </cell>
          <cell r="H11574" t="str">
            <v>g__unclassified_f__Ruminococcaceae</v>
          </cell>
          <cell r="I11574" t="str">
            <v>s__unclassified_f__Ruminococcaceae</v>
          </cell>
        </row>
        <row r="11575">
          <cell r="G11575" t="str">
            <v>ASV20777</v>
          </cell>
          <cell r="H11575" t="str">
            <v>g__unclassified_f__Lachnospiraceae</v>
          </cell>
          <cell r="I11575" t="str">
            <v>s__unclassified_f__Lachnospiraceae</v>
          </cell>
        </row>
        <row r="11576">
          <cell r="G11576" t="str">
            <v>ASV707</v>
          </cell>
          <cell r="H11576" t="str">
            <v>g__unclassified_f__Oscillospiraceae</v>
          </cell>
          <cell r="I11576" t="str">
            <v>s__unclassified_f__Oscillospiraceae</v>
          </cell>
        </row>
        <row r="11577">
          <cell r="G11577" t="str">
            <v>ASV11623</v>
          </cell>
          <cell r="H11577" t="str">
            <v>g__Clostridium_sensu_stricto_1</v>
          </cell>
          <cell r="I11577" t="str">
            <v>s__uncultured_bacterium_g__Clostridium_sensu_stricto_1</v>
          </cell>
        </row>
        <row r="11578">
          <cell r="G11578" t="str">
            <v>ASV4789</v>
          </cell>
          <cell r="H11578" t="str">
            <v>g__Christensenellaceae_R-7_group</v>
          </cell>
          <cell r="I11578" t="str">
            <v>s__unclassified_g__Christensenellaceae_R-7_group</v>
          </cell>
        </row>
        <row r="11579">
          <cell r="G11579" t="str">
            <v>ASV17409</v>
          </cell>
          <cell r="H11579" t="str">
            <v>g__Proteocatella</v>
          </cell>
          <cell r="I11579" t="str">
            <v>s__unclassified_g__Proteocatella</v>
          </cell>
        </row>
        <row r="11580">
          <cell r="G11580" t="str">
            <v>ASV7779</v>
          </cell>
          <cell r="H11580" t="str">
            <v>g__unclassified_c__Clostridia</v>
          </cell>
          <cell r="I11580" t="str">
            <v>s__unclassified_c__Clostridia</v>
          </cell>
        </row>
        <row r="11581">
          <cell r="G11581" t="str">
            <v>ASV10649</v>
          </cell>
          <cell r="H11581" t="str">
            <v>g__unclassified_p__Firmicutes</v>
          </cell>
          <cell r="I11581" t="str">
            <v>s__unclassified_p__Firmicutes</v>
          </cell>
        </row>
        <row r="11582">
          <cell r="G11582" t="str">
            <v>ASV1659</v>
          </cell>
          <cell r="H11582" t="str">
            <v>g__Escherichia-Shigella</v>
          </cell>
          <cell r="I11582" t="str">
            <v>s__unclassified_g__Escherichia-Shigella</v>
          </cell>
        </row>
        <row r="11583">
          <cell r="G11583" t="str">
            <v>ASV17969</v>
          </cell>
          <cell r="H11583" t="str">
            <v>g__Christensenellaceae_R-7_group</v>
          </cell>
          <cell r="I11583" t="str">
            <v>s__unclassified_g__Christensenellaceae_R-7_group</v>
          </cell>
        </row>
        <row r="11584">
          <cell r="G11584" t="str">
            <v>ASV666</v>
          </cell>
          <cell r="H11584" t="str">
            <v>g__unclassified_o__Oscillospirales</v>
          </cell>
          <cell r="I11584" t="str">
            <v>s__unclassified_o__Oscillospirales</v>
          </cell>
        </row>
        <row r="11585">
          <cell r="G11585" t="str">
            <v>ASV10624</v>
          </cell>
          <cell r="H11585" t="str">
            <v>g__unclassified_f__Prevotellaceae</v>
          </cell>
          <cell r="I11585" t="str">
            <v>s__unclassified_f__Prevotellaceae</v>
          </cell>
        </row>
        <row r="11586">
          <cell r="G11586" t="str">
            <v>ASV16912</v>
          </cell>
          <cell r="H11586" t="str">
            <v>g__unclassified_p__Firmicutes</v>
          </cell>
          <cell r="I11586" t="str">
            <v>s__unclassified_p__Firmicutes</v>
          </cell>
        </row>
        <row r="11587">
          <cell r="G11587" t="str">
            <v>ASV4872</v>
          </cell>
          <cell r="H11587" t="str">
            <v>g__unclassified_o__Oscillospirales</v>
          </cell>
          <cell r="I11587" t="str">
            <v>s__unclassified_o__Oscillospirales</v>
          </cell>
        </row>
        <row r="11588">
          <cell r="G11588" t="str">
            <v>ASV11666</v>
          </cell>
          <cell r="H11588" t="str">
            <v>g__norank_f__Muribaculaceae</v>
          </cell>
          <cell r="I11588" t="str">
            <v>s__uncultured_bacterium_g__norank_f__Muribaculaceae</v>
          </cell>
        </row>
        <row r="11589">
          <cell r="G11589" t="str">
            <v>ASV3182</v>
          </cell>
          <cell r="H11589" t="str">
            <v>g__unclassified_f__Oscillospiraceae</v>
          </cell>
          <cell r="I11589" t="str">
            <v>s__unclassified_f__Oscillospiraceae</v>
          </cell>
        </row>
        <row r="11590">
          <cell r="G11590" t="str">
            <v>ASV7065</v>
          </cell>
          <cell r="H11590" t="str">
            <v>g__unclassified_o__Lactobacillales</v>
          </cell>
          <cell r="I11590" t="str">
            <v>s__unclassified_o__Lactobacillales</v>
          </cell>
        </row>
        <row r="11591">
          <cell r="G11591" t="str">
            <v>ASV11533</v>
          </cell>
          <cell r="H11591" t="str">
            <v>g__Succiniclasticum</v>
          </cell>
          <cell r="I11591" t="str">
            <v>s__unclassified_g__Succiniclasticum</v>
          </cell>
        </row>
        <row r="11592">
          <cell r="G11592" t="str">
            <v>ASV11507</v>
          </cell>
          <cell r="H11592" t="str">
            <v>g__unclassified_c__Clostridia</v>
          </cell>
          <cell r="I11592" t="str">
            <v>s__unclassified_c__Clostridia</v>
          </cell>
        </row>
        <row r="11593">
          <cell r="G11593" t="str">
            <v>ASV15364</v>
          </cell>
          <cell r="H11593" t="str">
            <v>g__unclassified_f__Lachnospiraceae</v>
          </cell>
          <cell r="I11593" t="str">
            <v>s__unclassified_f__Lachnospiraceae</v>
          </cell>
        </row>
        <row r="11594">
          <cell r="G11594" t="str">
            <v>ASV751</v>
          </cell>
          <cell r="H11594" t="str">
            <v>g__unclassified_f__Lachnospiraceae</v>
          </cell>
          <cell r="I11594" t="str">
            <v>s__unclassified_f__Lachnospiraceae</v>
          </cell>
        </row>
        <row r="11595">
          <cell r="G11595" t="str">
            <v>ASV4805</v>
          </cell>
          <cell r="H11595" t="str">
            <v>g__norank_f__Muribaculaceae</v>
          </cell>
          <cell r="I11595" t="str">
            <v>s__uncultured_bacterium_g__norank_f__Muribaculaceae</v>
          </cell>
        </row>
        <row r="11596">
          <cell r="G11596" t="str">
            <v>ASV4763</v>
          </cell>
          <cell r="H11596" t="str">
            <v>g__unclassified_o__Bacteroidales</v>
          </cell>
          <cell r="I11596" t="str">
            <v>s__unclassified_o__Bacteroidales</v>
          </cell>
        </row>
        <row r="11597">
          <cell r="G11597" t="str">
            <v>ASV4836</v>
          </cell>
          <cell r="H11597" t="str">
            <v>g__Lactobacillus</v>
          </cell>
          <cell r="I11597" t="str">
            <v>s__unclassified_g__Lactobacillus</v>
          </cell>
        </row>
        <row r="11598">
          <cell r="G11598" t="str">
            <v>ASV10304</v>
          </cell>
          <cell r="H11598" t="str">
            <v>g__unclassified_c__Clostridia</v>
          </cell>
          <cell r="I11598" t="str">
            <v>s__unclassified_c__Clostridia</v>
          </cell>
        </row>
        <row r="11599">
          <cell r="G11599" t="str">
            <v>ASV19180</v>
          </cell>
          <cell r="H11599" t="str">
            <v>g__unclassified_f__Rhizobiaceae</v>
          </cell>
          <cell r="I11599" t="str">
            <v>s__unclassified_f__Rhizobiaceae</v>
          </cell>
        </row>
        <row r="11600">
          <cell r="G11600" t="str">
            <v>ASV4821</v>
          </cell>
          <cell r="H11600" t="str">
            <v>g__Ruminococcus</v>
          </cell>
          <cell r="I11600" t="str">
            <v>s__unclassified_g__Ruminococcus</v>
          </cell>
        </row>
        <row r="11601">
          <cell r="G11601" t="str">
            <v>ASV22256</v>
          </cell>
          <cell r="H11601" t="str">
            <v>g__unclassified_c__Clostridia</v>
          </cell>
          <cell r="I11601" t="str">
            <v>s__unclassified_c__Clostridia</v>
          </cell>
        </row>
        <row r="11602">
          <cell r="G11602" t="str">
            <v>ASV11534</v>
          </cell>
          <cell r="H11602" t="str">
            <v>g__unclassified_o__Oscillospirales</v>
          </cell>
          <cell r="I11602" t="str">
            <v>s__unclassified_o__Oscillospirales</v>
          </cell>
        </row>
        <row r="11603">
          <cell r="G11603" t="str">
            <v>ASV3960</v>
          </cell>
          <cell r="H11603" t="str">
            <v>g__Anaerococcus</v>
          </cell>
          <cell r="I11603" t="str">
            <v>s__unclassified_g__Anaerococcus</v>
          </cell>
        </row>
        <row r="11604">
          <cell r="G11604" t="str">
            <v>ASV5903</v>
          </cell>
          <cell r="H11604" t="str">
            <v>g__unclassified_f__Lachnospiraceae</v>
          </cell>
          <cell r="I11604" t="str">
            <v>s__unclassified_f__Lachnospiraceae</v>
          </cell>
        </row>
        <row r="11605">
          <cell r="G11605" t="str">
            <v>ASV18919</v>
          </cell>
          <cell r="H11605" t="str">
            <v>g__Bacteroides</v>
          </cell>
          <cell r="I11605" t="str">
            <v>s__unclassified_g__Bacteroides</v>
          </cell>
        </row>
        <row r="11606">
          <cell r="G11606" t="str">
            <v>ASV16453</v>
          </cell>
          <cell r="H11606" t="str">
            <v>g__unclassified_c__Clostridia</v>
          </cell>
          <cell r="I11606" t="str">
            <v>s__unclassified_c__Clostridia</v>
          </cell>
        </row>
        <row r="11607">
          <cell r="G11607" t="str">
            <v>ASV13449</v>
          </cell>
          <cell r="H11607" t="str">
            <v>g__unclassified_c__Bacilli</v>
          </cell>
          <cell r="I11607" t="str">
            <v>s__unclassified_c__Bacilli</v>
          </cell>
        </row>
        <row r="11608">
          <cell r="G11608" t="str">
            <v>ASV19661</v>
          </cell>
          <cell r="H11608" t="str">
            <v>g__unclassified_c__Clostridia</v>
          </cell>
          <cell r="I11608" t="str">
            <v>s__unclassified_c__Clostridia</v>
          </cell>
        </row>
        <row r="11609">
          <cell r="G11609" t="str">
            <v>ASV18222</v>
          </cell>
          <cell r="H11609" t="str">
            <v>g__unclassified_p__Firmicutes</v>
          </cell>
          <cell r="I11609" t="str">
            <v>s__unclassified_p__Firmicutes</v>
          </cell>
        </row>
        <row r="11610">
          <cell r="G11610" t="str">
            <v>ASV13433</v>
          </cell>
          <cell r="H11610" t="str">
            <v>g__norank_f__norank_o__RF39</v>
          </cell>
          <cell r="I11610" t="str">
            <v>s__uncultured_bacterium_g__norank_f__norank_o__RF39</v>
          </cell>
        </row>
        <row r="11611">
          <cell r="G11611" t="str">
            <v>ASV17309</v>
          </cell>
          <cell r="H11611" t="str">
            <v>g__Streptococcus</v>
          </cell>
          <cell r="I11611" t="str">
            <v>s__unclassified_g__Streptococcus</v>
          </cell>
        </row>
        <row r="11612">
          <cell r="G11612" t="str">
            <v>ASV23466</v>
          </cell>
          <cell r="H11612" t="str">
            <v>g__Tuzzerella</v>
          </cell>
          <cell r="I11612" t="str">
            <v>s__unclassified_g__Tuzzerella</v>
          </cell>
        </row>
        <row r="11613">
          <cell r="G11613" t="str">
            <v>ASV20923</v>
          </cell>
          <cell r="H11613" t="str">
            <v>g__unclassified_f__Oscillospiraceae</v>
          </cell>
          <cell r="I11613" t="str">
            <v>s__unclassified_f__Oscillospiraceae</v>
          </cell>
        </row>
        <row r="11614">
          <cell r="G11614" t="str">
            <v>ASV14516</v>
          </cell>
          <cell r="H11614" t="str">
            <v>g__unclassified_k__norank_d__Bacteria</v>
          </cell>
          <cell r="I11614" t="str">
            <v>s__unclassified_k__norank_d__Bacteria</v>
          </cell>
        </row>
        <row r="11615">
          <cell r="G11615" t="str">
            <v>ASV5010</v>
          </cell>
          <cell r="H11615" t="str">
            <v>g__unclassified_p__Firmicutes</v>
          </cell>
          <cell r="I11615" t="str">
            <v>s__unclassified_p__Firmicutes</v>
          </cell>
        </row>
        <row r="11616">
          <cell r="G11616" t="str">
            <v>ASV24225</v>
          </cell>
          <cell r="H11616" t="str">
            <v>g__Lachnospiraceae_NC2004_group</v>
          </cell>
          <cell r="I11616" t="str">
            <v>s__uncultured_bacterium_g__Lachnospiraceae_NC2004_group</v>
          </cell>
        </row>
        <row r="11617">
          <cell r="G11617" t="str">
            <v>ASV18045</v>
          </cell>
          <cell r="H11617" t="str">
            <v>g__Rikenellaceae_RC9_gut_group</v>
          </cell>
          <cell r="I11617" t="str">
            <v>s__uncultured_bacterium_g__Rikenellaceae_RC9_gut_group</v>
          </cell>
        </row>
        <row r="11618">
          <cell r="G11618" t="str">
            <v>ASV12017</v>
          </cell>
          <cell r="H11618" t="str">
            <v>g__unclassified_p__Firmicutes</v>
          </cell>
          <cell r="I11618" t="str">
            <v>s__unclassified_p__Firmicutes</v>
          </cell>
        </row>
        <row r="11619">
          <cell r="G11619" t="str">
            <v>ASV23321</v>
          </cell>
          <cell r="H11619" t="str">
            <v>g__Holdemanella</v>
          </cell>
          <cell r="I11619" t="str">
            <v>s__uncultured_bacterium_g__Holdemanella</v>
          </cell>
        </row>
        <row r="11620">
          <cell r="G11620" t="str">
            <v>ASV2218</v>
          </cell>
          <cell r="H11620" t="str">
            <v>g__unclassified_f__Propionibacteriaceae</v>
          </cell>
          <cell r="I11620" t="str">
            <v>s__unclassified_f__Propionibacteriaceae</v>
          </cell>
        </row>
        <row r="11621">
          <cell r="G11621" t="str">
            <v>ASV23777</v>
          </cell>
          <cell r="H11621" t="str">
            <v>g__Delftia</v>
          </cell>
          <cell r="I11621" t="str">
            <v>s__unclassified_g__Delftia</v>
          </cell>
        </row>
        <row r="11622">
          <cell r="G11622" t="str">
            <v>ASV19818</v>
          </cell>
          <cell r="H11622" t="str">
            <v>g__norank_f__Eubacterium_coprostanoligenes_group</v>
          </cell>
          <cell r="I11622" t="str">
            <v>s__unclassified_g__norank_f__Eubacterium_coprostanoligenes_group</v>
          </cell>
        </row>
        <row r="11623">
          <cell r="G11623" t="str">
            <v>ASV6038</v>
          </cell>
          <cell r="H11623" t="str">
            <v>g__Clostridium_sensu_stricto_1</v>
          </cell>
          <cell r="I11623" t="str">
            <v>s__unclassified_g__Clostridium_sensu_stricto_1</v>
          </cell>
        </row>
        <row r="11624">
          <cell r="G11624" t="str">
            <v>ASV5968</v>
          </cell>
          <cell r="H11624" t="str">
            <v>g__unclassified_c__Clostridia</v>
          </cell>
          <cell r="I11624" t="str">
            <v>s__unclassified_c__Clostridia</v>
          </cell>
        </row>
        <row r="11625">
          <cell r="G11625" t="str">
            <v>ASV14365</v>
          </cell>
          <cell r="H11625" t="str">
            <v>g__unclassified_f__Lachnospiraceae</v>
          </cell>
          <cell r="I11625" t="str">
            <v>s__unclassified_f__Lachnospiraceae</v>
          </cell>
        </row>
        <row r="11626">
          <cell r="G11626" t="str">
            <v>ASV862</v>
          </cell>
          <cell r="H11626" t="str">
            <v>g__Lactobacillus</v>
          </cell>
          <cell r="I11626" t="str">
            <v>s__unclassified_g__Lactobacillus</v>
          </cell>
        </row>
        <row r="11627">
          <cell r="G11627" t="str">
            <v>ASV5985</v>
          </cell>
          <cell r="H11627" t="str">
            <v>g__unclassified_o__Oscillospirales</v>
          </cell>
          <cell r="I11627" t="str">
            <v>s__unclassified_o__Oscillospirales</v>
          </cell>
        </row>
        <row r="11628">
          <cell r="G11628" t="str">
            <v>ASV21479</v>
          </cell>
          <cell r="H11628" t="str">
            <v>g__unclassified_f__Lachnospiraceae</v>
          </cell>
          <cell r="I11628" t="str">
            <v>s__unclassified_f__Lachnospiraceae</v>
          </cell>
        </row>
        <row r="11629">
          <cell r="G11629" t="str">
            <v>ASV1738</v>
          </cell>
          <cell r="H11629" t="str">
            <v>g__Lactobacillus</v>
          </cell>
          <cell r="I11629" t="str">
            <v>s__unclassified_g__Lactobacillus</v>
          </cell>
        </row>
        <row r="11630">
          <cell r="G11630" t="str">
            <v>ASV13463</v>
          </cell>
          <cell r="H11630" t="str">
            <v>g__Streptococcus</v>
          </cell>
          <cell r="I11630" t="str">
            <v>s__unclassified_g__Streptococcus</v>
          </cell>
        </row>
        <row r="11631">
          <cell r="G11631" t="str">
            <v>ASV841</v>
          </cell>
          <cell r="H11631" t="str">
            <v>g__unclassified_f__Lachnospiraceae</v>
          </cell>
          <cell r="I11631" t="str">
            <v>s__unclassified_f__Lachnospiraceae</v>
          </cell>
        </row>
        <row r="11632">
          <cell r="G11632" t="str">
            <v>ASV10683</v>
          </cell>
          <cell r="H11632" t="str">
            <v>g__unclassified_o__Oscillospirales</v>
          </cell>
          <cell r="I11632" t="str">
            <v>s__unclassified_o__Oscillospirales</v>
          </cell>
        </row>
        <row r="11633">
          <cell r="G11633" t="str">
            <v>ASV14359</v>
          </cell>
          <cell r="H11633" t="str">
            <v>g__Escherichia-Shigella</v>
          </cell>
          <cell r="I11633" t="str">
            <v>s__unclassified_g__Escherichia-Shigella</v>
          </cell>
        </row>
        <row r="11634">
          <cell r="G11634" t="str">
            <v>ASV4090</v>
          </cell>
          <cell r="H11634" t="str">
            <v>g__Cloacibacillus</v>
          </cell>
          <cell r="I11634" t="str">
            <v>s__unclassified_g__Cloacibacillus</v>
          </cell>
        </row>
        <row r="11635">
          <cell r="G11635" t="str">
            <v>ASV11987</v>
          </cell>
          <cell r="H11635" t="str">
            <v>g__Prevotella</v>
          </cell>
          <cell r="I11635" t="str">
            <v>s__unclassified_g__Prevotella</v>
          </cell>
        </row>
        <row r="11636">
          <cell r="G11636" t="str">
            <v>ASV19090</v>
          </cell>
          <cell r="H11636" t="str">
            <v>g__unclassified_f__Lachnospiraceae</v>
          </cell>
          <cell r="I11636" t="str">
            <v>s__unclassified_f__Lachnospiraceae</v>
          </cell>
        </row>
        <row r="11637">
          <cell r="G11637" t="str">
            <v>ASV16976</v>
          </cell>
          <cell r="H11637" t="str">
            <v>g__Phascolarctobacterium</v>
          </cell>
          <cell r="I11637" t="str">
            <v>s__uncultured_bacterium_g__Phascolarctobacterium</v>
          </cell>
        </row>
        <row r="11638">
          <cell r="G11638" t="str">
            <v>ASV23378</v>
          </cell>
          <cell r="H11638" t="str">
            <v>g__Rikenellaceae_RC9_gut_group</v>
          </cell>
          <cell r="I11638" t="str">
            <v>s__uncultured_beta_proteobacterium_g__Rikenellaceae_RC9_gut_group</v>
          </cell>
        </row>
        <row r="11639">
          <cell r="G11639" t="str">
            <v>ASV8718</v>
          </cell>
          <cell r="H11639" t="str">
            <v>g__unclassified_f__Anaerovoracaceae</v>
          </cell>
          <cell r="I11639" t="str">
            <v>s__unclassified_f__Anaerovoracaceae</v>
          </cell>
        </row>
        <row r="11640">
          <cell r="G11640" t="str">
            <v>ASV16512</v>
          </cell>
          <cell r="H11640" t="str">
            <v>g__Prevotellaceae_UCG-001</v>
          </cell>
          <cell r="I11640" t="str">
            <v>s__uncultured_bacterium_g__Prevotellaceae_UCG-001</v>
          </cell>
        </row>
        <row r="11641">
          <cell r="G11641" t="str">
            <v>ASV19842</v>
          </cell>
          <cell r="H11641" t="str">
            <v>g__unclassified_f__Lachnospiraceae</v>
          </cell>
          <cell r="I11641" t="str">
            <v>s__unclassified_f__Lachnospiraceae</v>
          </cell>
        </row>
        <row r="11642">
          <cell r="G11642" t="str">
            <v>ASV23415</v>
          </cell>
          <cell r="H11642" t="str">
            <v>g__Cloacibacillus</v>
          </cell>
          <cell r="I11642" t="str">
            <v>s__unclassified_g__Cloacibacillus</v>
          </cell>
        </row>
        <row r="11643">
          <cell r="G11643" t="str">
            <v>ASV18223</v>
          </cell>
          <cell r="H11643" t="str">
            <v>g__unclassified_o__Coriobacteriales</v>
          </cell>
          <cell r="I11643" t="str">
            <v>s__unclassified_o__Coriobacteriales</v>
          </cell>
        </row>
        <row r="11644">
          <cell r="G11644" t="str">
            <v>ASV16438</v>
          </cell>
          <cell r="H11644" t="str">
            <v>g__unclassified_k__norank_d__Bacteria</v>
          </cell>
          <cell r="I11644" t="str">
            <v>s__unclassified_k__norank_d__Bacteria</v>
          </cell>
        </row>
        <row r="11645">
          <cell r="G11645" t="str">
            <v>ASV19642</v>
          </cell>
          <cell r="H11645" t="str">
            <v>g__unclassified_o__Oscillospirales</v>
          </cell>
          <cell r="I11645" t="str">
            <v>s__unclassified_o__Oscillospirales</v>
          </cell>
        </row>
        <row r="11646">
          <cell r="G11646" t="str">
            <v>ASV19675</v>
          </cell>
          <cell r="H11646" t="str">
            <v>g__unclassified_c__Clostridia</v>
          </cell>
          <cell r="I11646" t="str">
            <v>s__unclassified_c__Clostridia</v>
          </cell>
        </row>
        <row r="11647">
          <cell r="G11647" t="str">
            <v>ASV4153</v>
          </cell>
          <cell r="H11647" t="str">
            <v>g__unclassified_o__Oscillospirales</v>
          </cell>
          <cell r="I11647" t="str">
            <v>s__unclassified_o__Oscillospirales</v>
          </cell>
        </row>
        <row r="11648">
          <cell r="G11648" t="str">
            <v>ASV10817</v>
          </cell>
          <cell r="H11648" t="str">
            <v>g__unclassified_c__Clostridia</v>
          </cell>
          <cell r="I11648" t="str">
            <v>s__unclassified_c__Clostridia</v>
          </cell>
        </row>
        <row r="11649">
          <cell r="G11649" t="str">
            <v>ASV9574</v>
          </cell>
          <cell r="H11649" t="str">
            <v>g__unclassified_o__Oscillospirales</v>
          </cell>
          <cell r="I11649" t="str">
            <v>s__unclassified_o__Oscillospirales</v>
          </cell>
        </row>
        <row r="11650">
          <cell r="G11650" t="str">
            <v>ASV12901</v>
          </cell>
          <cell r="H11650" t="str">
            <v>g__unclassified_c__Clostridia</v>
          </cell>
          <cell r="I11650" t="str">
            <v>s__unclassified_c__Clostridia</v>
          </cell>
        </row>
        <row r="11651">
          <cell r="G11651" t="str">
            <v>ASV2775</v>
          </cell>
          <cell r="H11651" t="str">
            <v>g__Fusobacterium</v>
          </cell>
          <cell r="I11651" t="str">
            <v>s__unclassified_g__Fusobacterium</v>
          </cell>
        </row>
        <row r="11652">
          <cell r="G11652" t="str">
            <v>ASV18054</v>
          </cell>
          <cell r="H11652" t="str">
            <v>g__Christensenellaceae_R-7_group</v>
          </cell>
          <cell r="I11652" t="str">
            <v>s__unclassified_g__Christensenellaceae_R-7_group</v>
          </cell>
        </row>
        <row r="11653">
          <cell r="G11653" t="str">
            <v>ASV12973</v>
          </cell>
          <cell r="H11653" t="str">
            <v>g__unclassified_f__Peptostreptococcaceae</v>
          </cell>
          <cell r="I11653" t="str">
            <v>s__unclassified_f__Peptostreptococcaceae</v>
          </cell>
        </row>
        <row r="11654">
          <cell r="G11654" t="str">
            <v>ASV19852</v>
          </cell>
          <cell r="H11654" t="str">
            <v>g__unclassified_c__Clostridia</v>
          </cell>
          <cell r="I11654" t="str">
            <v>s__unclassified_c__Clostridia</v>
          </cell>
        </row>
        <row r="11655">
          <cell r="G11655" t="str">
            <v>ASV22431</v>
          </cell>
          <cell r="H11655" t="str">
            <v>g__unclassified_f__Lachnospiraceae</v>
          </cell>
          <cell r="I11655" t="str">
            <v>s__unclassified_f__Lachnospiraceae</v>
          </cell>
        </row>
        <row r="11656">
          <cell r="G11656" t="str">
            <v>ASV839</v>
          </cell>
          <cell r="H11656" t="str">
            <v>g__unclassified_f__Lachnospiraceae</v>
          </cell>
          <cell r="I11656" t="str">
            <v>s__unclassified_f__Lachnospiraceae</v>
          </cell>
        </row>
        <row r="11657">
          <cell r="G11657" t="str">
            <v>ASV13442</v>
          </cell>
          <cell r="H11657" t="str">
            <v>g__norank_f__UCG-010</v>
          </cell>
          <cell r="I11657" t="str">
            <v>s__uncultured_bacterium_g__norank_f__UCG-010</v>
          </cell>
        </row>
        <row r="11658">
          <cell r="G11658" t="str">
            <v>ASV19655</v>
          </cell>
          <cell r="H11658" t="str">
            <v>g__unclassified_c__Clostridia</v>
          </cell>
          <cell r="I11658" t="str">
            <v>s__unclassified_c__Clostridia</v>
          </cell>
        </row>
        <row r="11659">
          <cell r="G11659" t="str">
            <v>ASV23776</v>
          </cell>
          <cell r="H11659" t="str">
            <v>g__unclassified_f__Lachnospiraceae</v>
          </cell>
          <cell r="I11659" t="str">
            <v>s__unclassified_f__Lachnospiraceae</v>
          </cell>
        </row>
        <row r="11660">
          <cell r="G11660" t="str">
            <v>ASV16060</v>
          </cell>
          <cell r="H11660" t="str">
            <v>g__unclassified_f__Lachnospiraceae</v>
          </cell>
          <cell r="I11660" t="str">
            <v>s__unclassified_f__Lachnospiraceae</v>
          </cell>
        </row>
        <row r="11661">
          <cell r="G11661" t="str">
            <v>ASV20857</v>
          </cell>
          <cell r="H11661" t="str">
            <v>g__unclassified_f__Lachnospiraceae</v>
          </cell>
          <cell r="I11661" t="str">
            <v>s__unclassified_f__Lachnospiraceae</v>
          </cell>
        </row>
        <row r="11662">
          <cell r="G11662" t="str">
            <v>ASV23996</v>
          </cell>
          <cell r="H11662" t="str">
            <v>g__Mitsuokella</v>
          </cell>
          <cell r="I11662" t="str">
            <v>s__unclassified_g__Mitsuokella</v>
          </cell>
        </row>
        <row r="11663">
          <cell r="G11663" t="str">
            <v>ASV14358</v>
          </cell>
          <cell r="H11663" t="str">
            <v>g__Lactobacillus</v>
          </cell>
          <cell r="I11663" t="str">
            <v>s__unclassified_g__Lactobacillus</v>
          </cell>
        </row>
        <row r="11664">
          <cell r="G11664" t="str">
            <v>ASV18618</v>
          </cell>
          <cell r="H11664" t="str">
            <v>g__Lactobacillus</v>
          </cell>
          <cell r="I11664" t="str">
            <v>s__unclassified_g__Lactobacillus</v>
          </cell>
        </row>
        <row r="11665">
          <cell r="G11665" t="str">
            <v>ASV776</v>
          </cell>
          <cell r="H11665" t="str">
            <v>g__unclassified_c__Clostridia</v>
          </cell>
          <cell r="I11665" t="str">
            <v>s__unclassified_c__Clostridia</v>
          </cell>
        </row>
        <row r="11666">
          <cell r="G11666" t="str">
            <v>ASV5959</v>
          </cell>
          <cell r="H11666" t="str">
            <v>g__unclassified_f__Lachnospiraceae</v>
          </cell>
          <cell r="I11666" t="str">
            <v>s__unclassified_f__Lachnospiraceae</v>
          </cell>
        </row>
        <row r="11667">
          <cell r="G11667" t="str">
            <v>ASV13445</v>
          </cell>
          <cell r="H11667" t="str">
            <v>g__unclassified_f__Lachnospiraceae</v>
          </cell>
          <cell r="I11667" t="str">
            <v>s__unclassified_f__Lachnospiraceae</v>
          </cell>
        </row>
        <row r="11668">
          <cell r="G11668" t="str">
            <v>ASV2357</v>
          </cell>
          <cell r="H11668" t="str">
            <v>g__unclassified_f__Lachnospiraceae</v>
          </cell>
          <cell r="I11668" t="str">
            <v>s__unclassified_f__Lachnospiraceae</v>
          </cell>
        </row>
        <row r="11669">
          <cell r="G11669" t="str">
            <v>ASV7829</v>
          </cell>
          <cell r="H11669" t="str">
            <v>g__unclassified_c__Clostridia</v>
          </cell>
          <cell r="I11669" t="str">
            <v>s__unclassified_c__Clostridia</v>
          </cell>
        </row>
        <row r="11670">
          <cell r="G11670" t="str">
            <v>ASV3227</v>
          </cell>
          <cell r="H11670" t="str">
            <v>g__unclassified_c__Bacilli</v>
          </cell>
          <cell r="I11670" t="str">
            <v>s__unclassified_c__Bacilli</v>
          </cell>
        </row>
        <row r="11671">
          <cell r="G11671" t="str">
            <v>ASV23847</v>
          </cell>
          <cell r="H11671" t="str">
            <v>g__Lactobacillus</v>
          </cell>
          <cell r="I11671" t="str">
            <v>s__unclassified_g__Lactobacillus</v>
          </cell>
        </row>
        <row r="11672">
          <cell r="G11672" t="str">
            <v>ASV10733</v>
          </cell>
          <cell r="H11672" t="str">
            <v>g__Parabacteroides</v>
          </cell>
          <cell r="I11672" t="str">
            <v>s__uncultured_bacterium_g__Parabacteroides</v>
          </cell>
        </row>
        <row r="11673">
          <cell r="G11673" t="str">
            <v>ASV10823</v>
          </cell>
          <cell r="H11673" t="str">
            <v>g__unclassified_c__Bacilli</v>
          </cell>
          <cell r="I11673" t="str">
            <v>s__unclassified_c__Bacilli</v>
          </cell>
        </row>
        <row r="11674">
          <cell r="G11674" t="str">
            <v>ASV22420</v>
          </cell>
          <cell r="H11674" t="str">
            <v>g__unclassified_c__Clostridia</v>
          </cell>
          <cell r="I11674" t="str">
            <v>s__unclassified_c__Clostridia</v>
          </cell>
        </row>
        <row r="11675">
          <cell r="G11675" t="str">
            <v>ASV16487</v>
          </cell>
          <cell r="H11675" t="str">
            <v>g__Treponema</v>
          </cell>
          <cell r="I11675" t="str">
            <v>s__unclassified_g__Treponema</v>
          </cell>
        </row>
        <row r="11676">
          <cell r="G11676" t="str">
            <v>ASV11853</v>
          </cell>
          <cell r="H11676" t="str">
            <v>g__Oscillibacter</v>
          </cell>
          <cell r="I11676" t="str">
            <v>s__unclassified_g__Oscillibacter</v>
          </cell>
        </row>
        <row r="11677">
          <cell r="G11677" t="str">
            <v>ASV11703</v>
          </cell>
          <cell r="H11677" t="str">
            <v>g__Phascolarctobacterium</v>
          </cell>
          <cell r="I11677" t="str">
            <v>s__uncultured_bacterium_g__Phascolarctobacterium</v>
          </cell>
        </row>
        <row r="11678">
          <cell r="G11678" t="str">
            <v>ASV17220</v>
          </cell>
          <cell r="H11678" t="str">
            <v>g__unclassified_f__Peptostreptococcaceae</v>
          </cell>
          <cell r="I11678" t="str">
            <v>s__unclassified_f__Peptostreptococcaceae</v>
          </cell>
        </row>
        <row r="11679">
          <cell r="G11679" t="str">
            <v>ASV14483</v>
          </cell>
          <cell r="H11679" t="str">
            <v>g__unclassified_f__Enterobacteriaceae</v>
          </cell>
          <cell r="I11679" t="str">
            <v>s__unclassified_f__Enterobacteriaceae</v>
          </cell>
        </row>
        <row r="11680">
          <cell r="G11680" t="str">
            <v>ASV915</v>
          </cell>
          <cell r="H11680" t="str">
            <v>g__unclassified_f__Oscillospiraceae</v>
          </cell>
          <cell r="I11680" t="str">
            <v>s__unclassified_f__Oscillospiraceae</v>
          </cell>
        </row>
        <row r="11681">
          <cell r="G11681" t="str">
            <v>ASV15418</v>
          </cell>
          <cell r="H11681" t="str">
            <v>g__unclassified_k__norank_d__Bacteria</v>
          </cell>
          <cell r="I11681" t="str">
            <v>s__unclassified_k__norank_d__Bacteria</v>
          </cell>
        </row>
        <row r="11682">
          <cell r="G11682" t="str">
            <v>ASV24207</v>
          </cell>
          <cell r="H11682" t="str">
            <v>g__Cloacibacillus</v>
          </cell>
          <cell r="I11682" t="str">
            <v>s__unclassified_g__Cloacibacillus</v>
          </cell>
        </row>
        <row r="11683">
          <cell r="G11683" t="str">
            <v>ASV998</v>
          </cell>
          <cell r="H11683" t="str">
            <v>g__norank_f__Eubacterium_coprostanoligenes_group</v>
          </cell>
          <cell r="I11683" t="str">
            <v>s__uncultured_bacterium_g__norank_f__Eubacterium_coprostanoligenes_group</v>
          </cell>
        </row>
        <row r="11684">
          <cell r="G11684" t="str">
            <v>ASV13484</v>
          </cell>
          <cell r="H11684" t="str">
            <v>g__unclassified_c__Clostridia</v>
          </cell>
          <cell r="I11684" t="str">
            <v>s__unclassified_c__Clostridia</v>
          </cell>
        </row>
        <row r="11685">
          <cell r="G11685" t="str">
            <v>ASV12922</v>
          </cell>
          <cell r="H11685" t="str">
            <v>g__unclassified_f__Peptostreptococcaceae</v>
          </cell>
          <cell r="I11685" t="str">
            <v>s__unclassified_f__Peptostreptococcaceae</v>
          </cell>
        </row>
        <row r="11686">
          <cell r="G11686" t="str">
            <v>ASV817</v>
          </cell>
          <cell r="H11686" t="str">
            <v>g__Streptococcus</v>
          </cell>
          <cell r="I11686" t="str">
            <v>s__unclassified_g__Streptococcus</v>
          </cell>
        </row>
        <row r="11687">
          <cell r="G11687" t="str">
            <v>ASV11777</v>
          </cell>
          <cell r="H11687" t="str">
            <v>g__unclassified_o__Peptostreptococcales-Tissierellales</v>
          </cell>
          <cell r="I11687" t="str">
            <v>s__unclassified_o__Peptostreptococcales-Tissierellales</v>
          </cell>
        </row>
        <row r="11688">
          <cell r="G11688" t="str">
            <v>ASV7365</v>
          </cell>
          <cell r="H11688" t="str">
            <v>g__Lactobacillus</v>
          </cell>
          <cell r="I11688" t="str">
            <v>s__unclassified_g__Lactobacillus</v>
          </cell>
        </row>
        <row r="11689">
          <cell r="G11689" t="str">
            <v>ASV4197</v>
          </cell>
          <cell r="H11689" t="str">
            <v>g__Cloacibacillus</v>
          </cell>
          <cell r="I11689" t="str">
            <v>s__unclassified_g__Cloacibacillus</v>
          </cell>
        </row>
        <row r="11690">
          <cell r="G11690" t="str">
            <v>ASV7840</v>
          </cell>
          <cell r="H11690" t="str">
            <v>g__unclassified_c__Bacilli</v>
          </cell>
          <cell r="I11690" t="str">
            <v>s__unclassified_c__Bacilli</v>
          </cell>
        </row>
        <row r="11691">
          <cell r="G11691" t="str">
            <v>ASV11900</v>
          </cell>
          <cell r="H11691" t="str">
            <v>g__Colidextribacter</v>
          </cell>
          <cell r="I11691" t="str">
            <v>s__unclassified_g__Colidextribacter</v>
          </cell>
        </row>
        <row r="11692">
          <cell r="G11692" t="str">
            <v>ASV11708</v>
          </cell>
          <cell r="H11692" t="str">
            <v>g__norank_f__norank_o__Clostridia_UCG-014</v>
          </cell>
          <cell r="I11692" t="str">
            <v>s__uncultured_bacterium_g__norank_f__norank_o__Clostridia_UCG-014</v>
          </cell>
        </row>
        <row r="11693">
          <cell r="G11693" t="str">
            <v>ASV24190</v>
          </cell>
          <cell r="H11693" t="str">
            <v>g__Enterococcus</v>
          </cell>
          <cell r="I11693" t="str">
            <v>s__unclassified_g__Enterococcus</v>
          </cell>
        </row>
        <row r="11694">
          <cell r="G11694" t="str">
            <v>ASV13806</v>
          </cell>
          <cell r="H11694" t="str">
            <v>g__unclassified_p__Firmicutes</v>
          </cell>
          <cell r="I11694" t="str">
            <v>s__unclassified_p__Firmicutes</v>
          </cell>
        </row>
        <row r="11695">
          <cell r="G11695" t="str">
            <v>ASV22347</v>
          </cell>
          <cell r="H11695" t="str">
            <v>g__Clostridium_sensu_stricto_6</v>
          </cell>
          <cell r="I11695" t="str">
            <v>s__unclassified_g__Clostridium_sensu_stricto_6</v>
          </cell>
        </row>
        <row r="11696">
          <cell r="G11696" t="str">
            <v>ASV14409</v>
          </cell>
          <cell r="H11696" t="str">
            <v>g__unclassified_f__Lachnospiraceae</v>
          </cell>
          <cell r="I11696" t="str">
            <v>s__unclassified_f__Lachnospiraceae</v>
          </cell>
        </row>
        <row r="11697">
          <cell r="G11697" t="str">
            <v>ASV11696</v>
          </cell>
          <cell r="H11697" t="str">
            <v>g__Prevotellaceae_UCG-001</v>
          </cell>
          <cell r="I11697" t="str">
            <v>s__uncultured_bacterium_g__Prevotellaceae_UCG-001</v>
          </cell>
        </row>
        <row r="11698">
          <cell r="G11698" t="str">
            <v>ASV16041</v>
          </cell>
          <cell r="H11698" t="str">
            <v>g__Actinobacillus</v>
          </cell>
          <cell r="I11698" t="str">
            <v>s__Actinobacillus_porcinus</v>
          </cell>
        </row>
        <row r="11699">
          <cell r="G11699" t="str">
            <v>ASV6097</v>
          </cell>
          <cell r="H11699" t="str">
            <v>g__unclassified_c__Clostridia</v>
          </cell>
          <cell r="I11699" t="str">
            <v>s__unclassified_c__Clostridia</v>
          </cell>
        </row>
        <row r="11700">
          <cell r="G11700" t="str">
            <v>ASV6118</v>
          </cell>
          <cell r="H11700" t="str">
            <v>g__Terrisporobacter</v>
          </cell>
          <cell r="I11700" t="str">
            <v>s__unclassified_g__Terrisporobacter</v>
          </cell>
        </row>
        <row r="11701">
          <cell r="G11701" t="str">
            <v>ASV24203</v>
          </cell>
          <cell r="H11701" t="str">
            <v>g__norank_f__Atopobiaceae</v>
          </cell>
          <cell r="I11701" t="str">
            <v>s__uncultured_bacterium_g__norank_f__Atopobiaceae</v>
          </cell>
        </row>
        <row r="11702">
          <cell r="G11702" t="str">
            <v>ASV14423</v>
          </cell>
          <cell r="H11702" t="str">
            <v>g__norank_f__Muribaculaceae</v>
          </cell>
          <cell r="I11702" t="str">
            <v>s__uncultured_bacterium_g__norank_f__Muribaculaceae</v>
          </cell>
        </row>
        <row r="11703">
          <cell r="G11703" t="str">
            <v>ASV22298</v>
          </cell>
          <cell r="H11703" t="str">
            <v>g__unclassified_c__Clostridia</v>
          </cell>
          <cell r="I11703" t="str">
            <v>s__unclassified_c__Clostridia</v>
          </cell>
        </row>
        <row r="11704">
          <cell r="G11704" t="str">
            <v>ASV17506</v>
          </cell>
          <cell r="H11704" t="str">
            <v>g__unclassified_k__norank_d__Bacteria</v>
          </cell>
          <cell r="I11704" t="str">
            <v>s__unclassified_k__norank_d__Bacteria</v>
          </cell>
        </row>
        <row r="11705">
          <cell r="G11705" t="str">
            <v>ASV6068</v>
          </cell>
          <cell r="H11705" t="str">
            <v>g__unclassified_o__Oscillospirales</v>
          </cell>
          <cell r="I11705" t="str">
            <v>s__unclassified_o__Oscillospirales</v>
          </cell>
        </row>
        <row r="11706">
          <cell r="G11706" t="str">
            <v>ASV15495</v>
          </cell>
          <cell r="H11706" t="str">
            <v>g__norank_f__Oscillospiraceae</v>
          </cell>
          <cell r="I11706" t="str">
            <v>s__uncultured_bacterium_g__norank_f__Oscillospiraceae</v>
          </cell>
        </row>
        <row r="11707">
          <cell r="G11707" t="str">
            <v>ASV12826</v>
          </cell>
          <cell r="H11707" t="str">
            <v>g__unclassified_f__Peptostreptococcaceae</v>
          </cell>
          <cell r="I11707" t="str">
            <v>s__unclassified_f__Peptostreptococcaceae</v>
          </cell>
        </row>
        <row r="11708">
          <cell r="G11708" t="str">
            <v>ASV9463</v>
          </cell>
          <cell r="H11708" t="str">
            <v>g__unclassified_f__Lachnospiraceae</v>
          </cell>
          <cell r="I11708" t="str">
            <v>s__unclassified_f__Lachnospiraceae</v>
          </cell>
        </row>
        <row r="11709">
          <cell r="G11709" t="str">
            <v>ASV15507</v>
          </cell>
          <cell r="H11709" t="str">
            <v>g__unclassified_p__Firmicutes</v>
          </cell>
          <cell r="I11709" t="str">
            <v>s__unclassified_p__Firmicutes</v>
          </cell>
        </row>
        <row r="11710">
          <cell r="G11710" t="str">
            <v>ASV21237</v>
          </cell>
          <cell r="H11710" t="str">
            <v>g__Ruminococcus</v>
          </cell>
          <cell r="I11710" t="str">
            <v>s__uncultured_bacterium_g__Ruminococcus</v>
          </cell>
        </row>
        <row r="11711">
          <cell r="G11711" t="str">
            <v>ASV14386</v>
          </cell>
          <cell r="H11711" t="str">
            <v>g__unclassified_f__Lachnospiraceae</v>
          </cell>
          <cell r="I11711" t="str">
            <v>s__unclassified_f__Lachnospiraceae</v>
          </cell>
        </row>
        <row r="11712">
          <cell r="G11712" t="str">
            <v>ASV22494</v>
          </cell>
          <cell r="H11712" t="str">
            <v>g__unclassified_f__Lachnospiraceae</v>
          </cell>
          <cell r="I11712" t="str">
            <v>s__unclassified_f__Lachnospiraceae</v>
          </cell>
        </row>
        <row r="11713">
          <cell r="G11713" t="str">
            <v>ASV22327</v>
          </cell>
          <cell r="H11713" t="str">
            <v>g__norank_f__Eubacterium_coprostanoligenes_group</v>
          </cell>
          <cell r="I11713" t="str">
            <v>s__uncultured_bacterium_g__norank_f__Eubacterium_coprostanoligenes_group</v>
          </cell>
        </row>
        <row r="11714">
          <cell r="G11714" t="str">
            <v>ASV10689</v>
          </cell>
          <cell r="H11714" t="str">
            <v>g__unclassified_p__Firmicutes</v>
          </cell>
          <cell r="I11714" t="str">
            <v>s__unclassified_p__Firmicutes</v>
          </cell>
        </row>
        <row r="11715">
          <cell r="G11715" t="str">
            <v>ASV9569</v>
          </cell>
          <cell r="H11715" t="str">
            <v>g__Mitsuokella</v>
          </cell>
          <cell r="I11715" t="str">
            <v>s__unclassified_g__Mitsuokella</v>
          </cell>
        </row>
        <row r="11716">
          <cell r="G11716" t="str">
            <v>ASV13514</v>
          </cell>
          <cell r="H11716" t="str">
            <v>g__Enterococcus</v>
          </cell>
          <cell r="I11716" t="str">
            <v>s__unclassified_g__Enterococcus</v>
          </cell>
        </row>
        <row r="11717">
          <cell r="G11717" t="str">
            <v>ASV20854</v>
          </cell>
          <cell r="H11717" t="str">
            <v>g__unclassified_c__Clostridia</v>
          </cell>
          <cell r="I11717" t="str">
            <v>s__unclassified_c__Clostridia</v>
          </cell>
        </row>
        <row r="11718">
          <cell r="G11718" t="str">
            <v>ASV18101</v>
          </cell>
          <cell r="H11718" t="str">
            <v>g__unclassified_f__Christensenellaceae</v>
          </cell>
          <cell r="I11718" t="str">
            <v>s__unclassified_f__Christensenellaceae</v>
          </cell>
        </row>
        <row r="11719">
          <cell r="G11719" t="str">
            <v>ASV23439</v>
          </cell>
          <cell r="H11719" t="str">
            <v>g__unclassified_c__Clostridia</v>
          </cell>
          <cell r="I11719" t="str">
            <v>s__unclassified_c__Clostridia</v>
          </cell>
        </row>
        <row r="11720">
          <cell r="G11720" t="str">
            <v>ASV13807</v>
          </cell>
          <cell r="H11720" t="str">
            <v>g__Peptococcus</v>
          </cell>
          <cell r="I11720" t="str">
            <v>s__unclassified_g__Peptococcus</v>
          </cell>
        </row>
        <row r="11721">
          <cell r="G11721" t="str">
            <v>ASV4921</v>
          </cell>
          <cell r="H11721" t="str">
            <v>g__unclassified_c__Clostridia</v>
          </cell>
          <cell r="I11721" t="str">
            <v>s__unclassified_c__Clostridia</v>
          </cell>
        </row>
        <row r="11722">
          <cell r="G11722" t="str">
            <v>ASV20885</v>
          </cell>
          <cell r="H11722" t="str">
            <v>g__unclassified_c__Clostridia</v>
          </cell>
          <cell r="I11722" t="str">
            <v>s__unclassified_c__Clostridia</v>
          </cell>
        </row>
        <row r="11723">
          <cell r="G11723" t="str">
            <v>ASV4107</v>
          </cell>
          <cell r="H11723" t="str">
            <v>g__Sharpea</v>
          </cell>
          <cell r="I11723" t="str">
            <v>s__unclassified_g__Sharpea</v>
          </cell>
        </row>
        <row r="11724">
          <cell r="G11724" t="str">
            <v>ASV14518</v>
          </cell>
          <cell r="H11724" t="str">
            <v>g__norank_f__Oscillospiraceae</v>
          </cell>
          <cell r="I11724" t="str">
            <v>s__unclassified_g__norank_f__Oscillospiraceae</v>
          </cell>
        </row>
        <row r="11725">
          <cell r="G11725" t="str">
            <v>ASV5029</v>
          </cell>
          <cell r="H11725" t="str">
            <v>g__unclassified_f__Peptostreptococcaceae</v>
          </cell>
          <cell r="I11725" t="str">
            <v>s__unclassified_f__Peptostreptococcaceae</v>
          </cell>
        </row>
        <row r="11726">
          <cell r="G11726" t="str">
            <v>ASV16037</v>
          </cell>
          <cell r="H11726" t="str">
            <v>g__unclassified_p__Firmicutes</v>
          </cell>
          <cell r="I11726" t="str">
            <v>s__unclassified_p__Firmicutes</v>
          </cell>
        </row>
        <row r="11727">
          <cell r="G11727" t="str">
            <v>ASV10814</v>
          </cell>
          <cell r="H11727" t="str">
            <v>g__unclassified_c__Clostridia</v>
          </cell>
          <cell r="I11727" t="str">
            <v>s__unclassified_c__Clostridia</v>
          </cell>
        </row>
        <row r="11728">
          <cell r="G11728" t="str">
            <v>ASV15509</v>
          </cell>
          <cell r="H11728" t="str">
            <v>g__unclassified_f__Peptostreptococcaceae</v>
          </cell>
          <cell r="I11728" t="str">
            <v>s__unclassified_f__Peptostreptococcaceae</v>
          </cell>
        </row>
        <row r="11729">
          <cell r="G11729" t="str">
            <v>ASV11859</v>
          </cell>
          <cell r="H11729" t="str">
            <v>g__unclassified_c__Clostridia</v>
          </cell>
          <cell r="I11729" t="str">
            <v>s__unclassified_c__Clostridia</v>
          </cell>
        </row>
        <row r="11730">
          <cell r="G11730" t="str">
            <v>ASV18077</v>
          </cell>
          <cell r="H11730" t="str">
            <v>g__norank_f__Eubacterium_coprostanoligenes_group</v>
          </cell>
          <cell r="I11730" t="str">
            <v>s__uncultured_bacterium_g__norank_f__Eubacterium_coprostanoligenes_group</v>
          </cell>
        </row>
        <row r="11731">
          <cell r="G11731" t="str">
            <v>ASV7828</v>
          </cell>
          <cell r="H11731" t="str">
            <v>g__unclassified_k__norank_d__Bacteria</v>
          </cell>
          <cell r="I11731" t="str">
            <v>s__unclassified_k__norank_d__Bacteria</v>
          </cell>
        </row>
        <row r="11732">
          <cell r="G11732" t="str">
            <v>ASV10691</v>
          </cell>
          <cell r="H11732" t="str">
            <v>g__unclassified_o__Peptostreptococcales-Tissierellales</v>
          </cell>
          <cell r="I11732" t="str">
            <v>s__unclassified_o__Peptostreptococcales-Tissierellales</v>
          </cell>
        </row>
        <row r="11733">
          <cell r="G11733" t="str">
            <v>ASV4189</v>
          </cell>
          <cell r="H11733" t="str">
            <v>g__Bacteroides</v>
          </cell>
          <cell r="I11733" t="str">
            <v>s__unclassified_g__Bacteroides</v>
          </cell>
        </row>
        <row r="11734">
          <cell r="G11734" t="str">
            <v>ASV4097</v>
          </cell>
          <cell r="H11734" t="str">
            <v>g__unclassified_o__Oscillospirales</v>
          </cell>
          <cell r="I11734" t="str">
            <v>s__unclassified_o__Oscillospirales</v>
          </cell>
        </row>
        <row r="11735">
          <cell r="G11735" t="str">
            <v>ASV7199</v>
          </cell>
          <cell r="H11735" t="str">
            <v>g__unclassified_f__Rhizobiaceae</v>
          </cell>
          <cell r="I11735" t="str">
            <v>s__unclassified_f__Rhizobiaceae</v>
          </cell>
        </row>
        <row r="11736">
          <cell r="G11736" t="str">
            <v>ASV5971</v>
          </cell>
          <cell r="H11736" t="str">
            <v>g__unclassified_c__Clostridia</v>
          </cell>
          <cell r="I11736" t="str">
            <v>s__unclassified_c__Clostridia</v>
          </cell>
        </row>
        <row r="11737">
          <cell r="G11737" t="str">
            <v>ASV16523</v>
          </cell>
          <cell r="H11737" t="str">
            <v>g__norank_f__Muribaculaceae</v>
          </cell>
          <cell r="I11737" t="str">
            <v>s__uncultured_bacterium_g__norank_f__Muribaculaceae</v>
          </cell>
        </row>
        <row r="11738">
          <cell r="G11738" t="str">
            <v>ASV19766</v>
          </cell>
          <cell r="H11738" t="str">
            <v>g__norank_f__Eggerthellaceae</v>
          </cell>
          <cell r="I11738" t="str">
            <v>s__uncultured_bacterium_g__norank_f__Eggerthellaceae</v>
          </cell>
        </row>
        <row r="11739">
          <cell r="G11739" t="str">
            <v>ASV23477</v>
          </cell>
          <cell r="H11739" t="str">
            <v>g__Bifidobacterium</v>
          </cell>
          <cell r="I11739" t="str">
            <v>s__unclassified_g__Bifidobacterium</v>
          </cell>
        </row>
        <row r="11740">
          <cell r="G11740" t="str">
            <v>ASV10218</v>
          </cell>
          <cell r="H11740" t="str">
            <v>g__unclassified_f__Lachnospiraceae</v>
          </cell>
          <cell r="I11740" t="str">
            <v>s__unclassified_f__Lachnospiraceae</v>
          </cell>
        </row>
        <row r="11741">
          <cell r="G11741" t="str">
            <v>ASV7914</v>
          </cell>
          <cell r="H11741" t="str">
            <v>g__unclassified_c__Bacilli</v>
          </cell>
          <cell r="I11741" t="str">
            <v>s__unclassified_c__Bacilli</v>
          </cell>
        </row>
        <row r="11742">
          <cell r="G11742" t="str">
            <v>ASV23450</v>
          </cell>
          <cell r="H11742" t="str">
            <v>g__unclassified_c__Bacilli</v>
          </cell>
          <cell r="I11742" t="str">
            <v>s__unclassified_c__Bacilli</v>
          </cell>
        </row>
        <row r="11743">
          <cell r="G11743" t="str">
            <v>ASV7836</v>
          </cell>
          <cell r="H11743" t="str">
            <v>g__unclassified_c__Clostridia</v>
          </cell>
          <cell r="I11743" t="str">
            <v>s__unclassified_c__Clostridia</v>
          </cell>
        </row>
        <row r="11744">
          <cell r="G11744" t="str">
            <v>ASV14468</v>
          </cell>
          <cell r="H11744" t="str">
            <v>g__Peptoniphilus</v>
          </cell>
          <cell r="I11744" t="str">
            <v>s__unclassified_g__Peptoniphilus</v>
          </cell>
        </row>
        <row r="11745">
          <cell r="G11745" t="str">
            <v>ASV16782</v>
          </cell>
          <cell r="H11745" t="str">
            <v>g__Kocuria</v>
          </cell>
          <cell r="I11745" t="str">
            <v>s__unclassified_g__Kocuria</v>
          </cell>
        </row>
        <row r="11746">
          <cell r="G11746" t="str">
            <v>ASV4129</v>
          </cell>
          <cell r="H11746" t="str">
            <v>g__unclassified_c__Clostridia</v>
          </cell>
          <cell r="I11746" t="str">
            <v>s__unclassified_c__Clostridia</v>
          </cell>
        </row>
        <row r="11747">
          <cell r="G11747" t="str">
            <v>ASV9479</v>
          </cell>
          <cell r="H11747" t="str">
            <v>g__unclassified_c__Clostridia</v>
          </cell>
          <cell r="I11747" t="str">
            <v>s__unclassified_c__Clostridia</v>
          </cell>
        </row>
        <row r="11748">
          <cell r="G11748" t="str">
            <v>ASV8338</v>
          </cell>
          <cell r="H11748" t="str">
            <v>g__norank_f__norank_o__Clostridia_UCG-014</v>
          </cell>
          <cell r="I11748" t="str">
            <v>s__Clostridiales_bacterium_canine_oral_taxon_100</v>
          </cell>
        </row>
        <row r="11749">
          <cell r="G11749" t="str">
            <v>ASV10801</v>
          </cell>
          <cell r="H11749" t="str">
            <v>g__Romboutsia</v>
          </cell>
          <cell r="I11749" t="str">
            <v>s__unclassified_g__Romboutsia</v>
          </cell>
        </row>
        <row r="11750">
          <cell r="G11750" t="str">
            <v>ASV6008</v>
          </cell>
          <cell r="H11750" t="str">
            <v>g__unclassified_f__Lachnospiraceae</v>
          </cell>
          <cell r="I11750" t="str">
            <v>s__unclassified_f__Lachnospiraceae</v>
          </cell>
        </row>
        <row r="11751">
          <cell r="G11751" t="str">
            <v>ASV6730</v>
          </cell>
          <cell r="H11751" t="str">
            <v>g__unclassified_p__Firmicutes</v>
          </cell>
          <cell r="I11751" t="str">
            <v>s__unclassified_p__Firmicutes</v>
          </cell>
        </row>
        <row r="11752">
          <cell r="G11752" t="str">
            <v>ASV23375</v>
          </cell>
          <cell r="H11752" t="str">
            <v>g__Bifidobacterium</v>
          </cell>
          <cell r="I11752" t="str">
            <v>s__unclassified_g__Bifidobacterium</v>
          </cell>
        </row>
        <row r="11753">
          <cell r="G11753" t="str">
            <v>ASV4963</v>
          </cell>
          <cell r="H11753" t="str">
            <v>g__Christensenellaceae_R-7_group</v>
          </cell>
          <cell r="I11753" t="str">
            <v>s__unclassified_g__Christensenellaceae_R-7_group</v>
          </cell>
        </row>
        <row r="11754">
          <cell r="G11754" t="str">
            <v>ASV5960</v>
          </cell>
          <cell r="H11754" t="str">
            <v>g__unclassified_c__Clostridia</v>
          </cell>
          <cell r="I11754" t="str">
            <v>s__unclassified_c__Clostridia</v>
          </cell>
        </row>
        <row r="11755">
          <cell r="G11755" t="str">
            <v>ASV14505</v>
          </cell>
          <cell r="H11755" t="str">
            <v>g__unclassified_f__Oscillospiraceae</v>
          </cell>
          <cell r="I11755" t="str">
            <v>s__unclassified_f__Oscillospiraceae</v>
          </cell>
        </row>
        <row r="11756">
          <cell r="G11756" t="str">
            <v>ASV10089</v>
          </cell>
          <cell r="H11756" t="str">
            <v>g__Eubacterium_nodatum_group</v>
          </cell>
          <cell r="I11756" t="str">
            <v>s__Eubacterium_pyruvativorans</v>
          </cell>
        </row>
        <row r="11757">
          <cell r="G11757" t="str">
            <v>ASV19864</v>
          </cell>
          <cell r="H11757" t="str">
            <v>g__unclassified_c__Clostridia</v>
          </cell>
          <cell r="I11757" t="str">
            <v>s__unclassified_c__Clostridia</v>
          </cell>
        </row>
        <row r="11758">
          <cell r="G11758" t="str">
            <v>ASV11949</v>
          </cell>
          <cell r="H11758" t="str">
            <v>g__Escherichia-Shigella</v>
          </cell>
          <cell r="I11758" t="str">
            <v>s__unclassified_g__Escherichia-Shigella</v>
          </cell>
        </row>
        <row r="11759">
          <cell r="G11759" t="str">
            <v>ASV4177</v>
          </cell>
          <cell r="H11759" t="str">
            <v>g__Bilophila</v>
          </cell>
          <cell r="I11759" t="str">
            <v>s__uncultured_delta_proteobacterium_g__Bilophila</v>
          </cell>
        </row>
        <row r="11760">
          <cell r="G11760" t="str">
            <v>ASV5039</v>
          </cell>
          <cell r="H11760" t="str">
            <v>g__Turicibacter</v>
          </cell>
          <cell r="I11760" t="str">
            <v>s__unclassified_g__Turicibacter</v>
          </cell>
        </row>
        <row r="11761">
          <cell r="G11761" t="str">
            <v>ASV15489</v>
          </cell>
          <cell r="H11761" t="str">
            <v>g__unclassified_f__Lachnospiraceae</v>
          </cell>
          <cell r="I11761" t="str">
            <v>s__unclassified_f__Lachnospiraceae</v>
          </cell>
        </row>
        <row r="11762">
          <cell r="G11762" t="str">
            <v>ASV23992</v>
          </cell>
          <cell r="H11762" t="str">
            <v>g__Lactobacillus</v>
          </cell>
          <cell r="I11762" t="str">
            <v>s__unclassified_g__Lactobacillus</v>
          </cell>
        </row>
        <row r="11763">
          <cell r="G11763" t="str">
            <v>ASV14308</v>
          </cell>
          <cell r="H11763" t="str">
            <v>g__unclassified_k__norank_d__Bacteria</v>
          </cell>
          <cell r="I11763" t="str">
            <v>s__unclassified_k__norank_d__Bacteria</v>
          </cell>
        </row>
        <row r="11764">
          <cell r="G11764" t="str">
            <v>ASV2337</v>
          </cell>
          <cell r="H11764" t="str">
            <v>g__Christensenellaceae_R-7_group</v>
          </cell>
          <cell r="I11764" t="str">
            <v>s__unclassified_g__Christensenellaceae_R-7_group</v>
          </cell>
        </row>
        <row r="11765">
          <cell r="G11765" t="str">
            <v>ASV13823</v>
          </cell>
          <cell r="H11765" t="str">
            <v>g__Enterococcus</v>
          </cell>
          <cell r="I11765" t="str">
            <v>s__unclassified_g__Enterococcus</v>
          </cell>
        </row>
        <row r="11766">
          <cell r="G11766" t="str">
            <v>ASV22260</v>
          </cell>
          <cell r="H11766" t="str">
            <v>g__Parabacteroides</v>
          </cell>
          <cell r="I11766" t="str">
            <v>s__Porphyromonadaceae_bacterium_DJF_B175</v>
          </cell>
        </row>
        <row r="11767">
          <cell r="G11767" t="str">
            <v>ASV18199</v>
          </cell>
          <cell r="H11767" t="str">
            <v>g__unclassified_k__norank_d__Bacteria</v>
          </cell>
          <cell r="I11767" t="str">
            <v>s__unclassified_k__norank_d__Bacteria</v>
          </cell>
        </row>
        <row r="11768">
          <cell r="G11768" t="str">
            <v>ASV15436</v>
          </cell>
          <cell r="H11768" t="str">
            <v>g__Christensenellaceae_R-7_group</v>
          </cell>
          <cell r="I11768" t="str">
            <v>s__unclassified_g__Christensenellaceae_R-7_group</v>
          </cell>
        </row>
        <row r="11769">
          <cell r="G11769" t="str">
            <v>ASV5096</v>
          </cell>
          <cell r="H11769" t="str">
            <v>g__unclassified_c__Clostridia</v>
          </cell>
          <cell r="I11769" t="str">
            <v>s__unclassified_c__Clostridia</v>
          </cell>
        </row>
        <row r="11770">
          <cell r="G11770" t="str">
            <v>ASV864</v>
          </cell>
          <cell r="H11770" t="str">
            <v>g__unclassified_c__Clostridia</v>
          </cell>
          <cell r="I11770" t="str">
            <v>s__unclassified_c__Clostridia</v>
          </cell>
        </row>
        <row r="11771">
          <cell r="G11771" t="str">
            <v>ASV11821</v>
          </cell>
          <cell r="H11771" t="str">
            <v>g__Rikenellaceae_RC9_gut_group</v>
          </cell>
          <cell r="I11771" t="str">
            <v>s__uncultured_bacterium_g__Rikenellaceae_RC9_gut_group</v>
          </cell>
        </row>
        <row r="11772">
          <cell r="G11772" t="str">
            <v>ASV22279</v>
          </cell>
          <cell r="H11772" t="str">
            <v>g__unclassified_c__Clostridia</v>
          </cell>
          <cell r="I11772" t="str">
            <v>s__unclassified_c__Clostridia</v>
          </cell>
        </row>
        <row r="11773">
          <cell r="G11773" t="str">
            <v>ASV16033</v>
          </cell>
          <cell r="H11773" t="str">
            <v>g__unclassified_o__Veillonellales-Selenomonadales</v>
          </cell>
          <cell r="I11773" t="str">
            <v>s__unclassified_o__Veillonellales-Selenomonadales</v>
          </cell>
        </row>
        <row r="11774">
          <cell r="G11774" t="str">
            <v>ASV14512</v>
          </cell>
          <cell r="H11774" t="str">
            <v>g__Clostridium_sensu_stricto_1</v>
          </cell>
          <cell r="I11774" t="str">
            <v>s__uncultured_bacterium_g__Clostridium_sensu_stricto_1</v>
          </cell>
        </row>
        <row r="11775">
          <cell r="G11775" t="str">
            <v>ASV22293</v>
          </cell>
          <cell r="H11775" t="str">
            <v>g__Enterococcus</v>
          </cell>
          <cell r="I11775" t="str">
            <v>s__unclassified_g__Enterococcus</v>
          </cell>
        </row>
        <row r="11776">
          <cell r="G11776" t="str">
            <v>ASV19823</v>
          </cell>
          <cell r="H11776" t="str">
            <v>g__unclassified_c__Clostridia</v>
          </cell>
          <cell r="I11776" t="str">
            <v>s__unclassified_c__Clostridia</v>
          </cell>
        </row>
        <row r="11777">
          <cell r="G11777" t="str">
            <v>ASV15430</v>
          </cell>
          <cell r="H11777" t="str">
            <v>g__unclassified_c__Clostridia</v>
          </cell>
          <cell r="I11777" t="str">
            <v>s__unclassified_c__Clostridia</v>
          </cell>
        </row>
        <row r="11778">
          <cell r="G11778" t="str">
            <v>ASV11886</v>
          </cell>
          <cell r="H11778" t="str">
            <v>g__unclassified_f__Enterobacteriaceae</v>
          </cell>
          <cell r="I11778" t="str">
            <v>s__unclassified_f__Enterobacteriaceae</v>
          </cell>
        </row>
        <row r="11779">
          <cell r="G11779" t="str">
            <v>ASV17215</v>
          </cell>
          <cell r="H11779" t="str">
            <v>g__unclassified_f__Peptostreptococcaceae</v>
          </cell>
          <cell r="I11779" t="str">
            <v>s__unclassified_f__Peptostreptococcaceae</v>
          </cell>
        </row>
        <row r="11780">
          <cell r="G11780" t="str">
            <v>ASV5954</v>
          </cell>
          <cell r="H11780" t="str">
            <v>g__unclassified_f__Clostridiaceae</v>
          </cell>
          <cell r="I11780" t="str">
            <v>s__unclassified_f__Clostridiaceae</v>
          </cell>
        </row>
        <row r="11781">
          <cell r="G11781" t="str">
            <v>ASV10314</v>
          </cell>
          <cell r="H11781" t="str">
            <v>g__Holdemanella</v>
          </cell>
          <cell r="I11781" t="str">
            <v>s__uncultured_bacterium_g__Holdemanella</v>
          </cell>
        </row>
        <row r="11782">
          <cell r="G11782" t="str">
            <v>ASV23334</v>
          </cell>
          <cell r="H11782" t="str">
            <v>g__norank_f__UCG-010</v>
          </cell>
          <cell r="I11782" t="str">
            <v>s__uncultured_bacterium_g__norank_f__UCG-010</v>
          </cell>
        </row>
        <row r="11783">
          <cell r="G11783" t="str">
            <v>ASV11830</v>
          </cell>
          <cell r="H11783" t="str">
            <v>g__unclassified_c__Clostridia</v>
          </cell>
          <cell r="I11783" t="str">
            <v>s__unclassified_c__Clostridia</v>
          </cell>
        </row>
        <row r="11784">
          <cell r="G11784" t="str">
            <v>ASV9516</v>
          </cell>
          <cell r="H11784" t="str">
            <v>g__NK4A214_group</v>
          </cell>
          <cell r="I11784" t="str">
            <v>s__unclassified_g__NK4A214_group</v>
          </cell>
        </row>
        <row r="11785">
          <cell r="G11785" t="str">
            <v>ASV12884</v>
          </cell>
          <cell r="H11785" t="str">
            <v>g__unclassified_o__Peptostreptococcales-Tissierellales</v>
          </cell>
          <cell r="I11785" t="str">
            <v>s__unclassified_o__Peptostreptococcales-Tissierellales</v>
          </cell>
        </row>
        <row r="11786">
          <cell r="G11786" t="str">
            <v>ASV7070</v>
          </cell>
          <cell r="H11786" t="str">
            <v>g__unclassified_c__Clostridia</v>
          </cell>
          <cell r="I11786" t="str">
            <v>s__unclassified_c__Clostridia</v>
          </cell>
        </row>
        <row r="11787">
          <cell r="G11787" t="str">
            <v>ASV19717</v>
          </cell>
          <cell r="H11787" t="str">
            <v>g__norank_f__Prevotellaceae</v>
          </cell>
          <cell r="I11787" t="str">
            <v>s__unclassified_g__norank_f__Prevotellaceae</v>
          </cell>
        </row>
        <row r="11788">
          <cell r="G11788" t="str">
            <v>ASV23475</v>
          </cell>
          <cell r="H11788" t="str">
            <v>g__Christensenellaceae_R-7_group</v>
          </cell>
          <cell r="I11788" t="str">
            <v>s__unclassified_g__Christensenellaceae_R-7_group</v>
          </cell>
        </row>
        <row r="11789">
          <cell r="G11789" t="str">
            <v>ASV8836</v>
          </cell>
          <cell r="H11789" t="str">
            <v>g__Family_XIII_AD3011_group</v>
          </cell>
          <cell r="I11789" t="str">
            <v>s__uncultured_bacterium_g__Family_XIII_AD3011_group</v>
          </cell>
        </row>
        <row r="11790">
          <cell r="G11790" t="str">
            <v>ASV23386</v>
          </cell>
          <cell r="H11790" t="str">
            <v>g__unclassified_k__norank_d__Bacteria</v>
          </cell>
          <cell r="I11790" t="str">
            <v>s__unclassified_k__norank_d__Bacteria</v>
          </cell>
        </row>
        <row r="11791">
          <cell r="G11791" t="str">
            <v>ASV22395</v>
          </cell>
          <cell r="H11791" t="str">
            <v>g__unclassified_c__Clostridia</v>
          </cell>
          <cell r="I11791" t="str">
            <v>s__unclassified_c__Clostridia</v>
          </cell>
        </row>
        <row r="11792">
          <cell r="G11792" t="str">
            <v>ASV9563</v>
          </cell>
          <cell r="H11792" t="str">
            <v>g__unclassified_f__Lachnospiraceae</v>
          </cell>
          <cell r="I11792" t="str">
            <v>s__unclassified_f__Lachnospiraceae</v>
          </cell>
        </row>
        <row r="11793">
          <cell r="G11793" t="str">
            <v>ASV18921</v>
          </cell>
          <cell r="H11793" t="str">
            <v>g__Campylobacter</v>
          </cell>
          <cell r="I11793" t="str">
            <v>s__unclassified_g__Campylobacter</v>
          </cell>
        </row>
        <row r="11794">
          <cell r="G11794" t="str">
            <v>ASV15815</v>
          </cell>
          <cell r="H11794" t="str">
            <v>g__unclassified_c__Bacilli</v>
          </cell>
          <cell r="I11794" t="str">
            <v>s__unclassified_c__Bacilli</v>
          </cell>
        </row>
        <row r="11795">
          <cell r="G11795" t="str">
            <v>ASV12955</v>
          </cell>
          <cell r="H11795" t="str">
            <v>g__unclassified_p__Firmicutes</v>
          </cell>
          <cell r="I11795" t="str">
            <v>s__unclassified_p__Firmicutes</v>
          </cell>
        </row>
        <row r="11796">
          <cell r="G11796" t="str">
            <v>ASV10799</v>
          </cell>
          <cell r="H11796" t="str">
            <v>g__unclassified_c__Clostridia</v>
          </cell>
          <cell r="I11796" t="str">
            <v>s__unclassified_c__Clostridia</v>
          </cell>
        </row>
        <row r="11797">
          <cell r="G11797" t="str">
            <v>ASV3260</v>
          </cell>
          <cell r="H11797" t="str">
            <v>g__Colidextribacter</v>
          </cell>
          <cell r="I11797" t="str">
            <v>s__unclassified_g__Colidextribacter</v>
          </cell>
        </row>
        <row r="11798">
          <cell r="G11798" t="str">
            <v>ASV12953</v>
          </cell>
          <cell r="H11798" t="str">
            <v>g__unclassified_f__Lachnospiraceae</v>
          </cell>
          <cell r="I11798" t="str">
            <v>s__unclassified_f__Lachnospiraceae</v>
          </cell>
        </row>
        <row r="11799">
          <cell r="G11799" t="str">
            <v>ASV18649</v>
          </cell>
          <cell r="H11799" t="str">
            <v>g__Lactobacillus</v>
          </cell>
          <cell r="I11799" t="str">
            <v>s__unclassified_g__Lactobacillus</v>
          </cell>
        </row>
        <row r="11800">
          <cell r="G11800" t="str">
            <v>ASV18609</v>
          </cell>
          <cell r="H11800" t="str">
            <v>g__unclassified_c__Clostridia</v>
          </cell>
          <cell r="I11800" t="str">
            <v>s__unclassified_c__Clostridia</v>
          </cell>
        </row>
        <row r="11801">
          <cell r="G11801" t="str">
            <v>ASV16556</v>
          </cell>
          <cell r="H11801" t="str">
            <v>g__unclassified_c__Clostridia</v>
          </cell>
          <cell r="I11801" t="str">
            <v>s__unclassified_c__Clostridia</v>
          </cell>
        </row>
        <row r="11802">
          <cell r="G11802" t="str">
            <v>ASV9040</v>
          </cell>
          <cell r="H11802" t="str">
            <v>g__unclassified_c__Bacilli</v>
          </cell>
          <cell r="I11802" t="str">
            <v>s__unclassified_c__Bacilli</v>
          </cell>
        </row>
        <row r="11803">
          <cell r="G11803" t="str">
            <v>ASV7072</v>
          </cell>
          <cell r="H11803" t="str">
            <v>g__Lactobacillus</v>
          </cell>
          <cell r="I11803" t="str">
            <v>s__unclassified_g__Lactobacillus</v>
          </cell>
        </row>
        <row r="11804">
          <cell r="G11804" t="str">
            <v>ASV7913</v>
          </cell>
          <cell r="H11804" t="str">
            <v>g__Subdoligranulum</v>
          </cell>
          <cell r="I11804" t="str">
            <v>s__unclassified_g__Subdoligranulum</v>
          </cell>
        </row>
        <row r="11805">
          <cell r="G11805" t="str">
            <v>ASV11835</v>
          </cell>
          <cell r="H11805" t="str">
            <v>g__unclassified_p__Firmicutes</v>
          </cell>
          <cell r="I11805" t="str">
            <v>s__unclassified_p__Firmicutes</v>
          </cell>
        </row>
        <row r="11806">
          <cell r="G11806" t="str">
            <v>ASV22489</v>
          </cell>
          <cell r="H11806" t="str">
            <v>g__unclassified_f__Oscillospiraceae</v>
          </cell>
          <cell r="I11806" t="str">
            <v>s__unclassified_f__Oscillospiraceae</v>
          </cell>
        </row>
        <row r="11807">
          <cell r="G11807" t="str">
            <v>ASV2350</v>
          </cell>
          <cell r="H11807" t="str">
            <v>g__unclassified_c__Clostridia</v>
          </cell>
          <cell r="I11807" t="str">
            <v>s__unclassified_c__Clostridia</v>
          </cell>
        </row>
        <row r="11808">
          <cell r="G11808" t="str">
            <v>ASV952</v>
          </cell>
          <cell r="H11808" t="str">
            <v>g__unclassified_p__Firmicutes</v>
          </cell>
          <cell r="I11808" t="str">
            <v>s__unclassified_p__Firmicutes</v>
          </cell>
        </row>
        <row r="11809">
          <cell r="G11809" t="str">
            <v>ASV5027</v>
          </cell>
          <cell r="H11809" t="str">
            <v>g__unclassified_o__Oscillospirales</v>
          </cell>
          <cell r="I11809" t="str">
            <v>s__unclassified_o__Oscillospirales</v>
          </cell>
        </row>
        <row r="11810">
          <cell r="G11810" t="str">
            <v>ASV11715</v>
          </cell>
          <cell r="H11810" t="str">
            <v>g__unclassified_f__Prevotellaceae</v>
          </cell>
          <cell r="I11810" t="str">
            <v>s__unclassified_f__Prevotellaceae</v>
          </cell>
        </row>
        <row r="11811">
          <cell r="G11811" t="str">
            <v>ASV3033</v>
          </cell>
          <cell r="H11811" t="str">
            <v>g__norank_f__norank_o__Chloroplast</v>
          </cell>
          <cell r="I11811" t="str">
            <v>s__unclassified_g__norank_f__norank_o__Chloroplast</v>
          </cell>
        </row>
        <row r="11812">
          <cell r="G11812" t="str">
            <v>ASV18115</v>
          </cell>
          <cell r="H11812" t="str">
            <v>g__unclassified_o__Oscillospirales</v>
          </cell>
          <cell r="I11812" t="str">
            <v>s__unclassified_o__Oscillospirales</v>
          </cell>
        </row>
        <row r="11813">
          <cell r="G11813" t="str">
            <v>ASV23364</v>
          </cell>
          <cell r="H11813" t="str">
            <v>g__unclassified_f__Peptostreptococcaceae</v>
          </cell>
          <cell r="I11813" t="str">
            <v>s__unclassified_f__Peptostreptococcaceae</v>
          </cell>
        </row>
        <row r="11814">
          <cell r="G11814" t="str">
            <v>ASV7093</v>
          </cell>
          <cell r="H11814" t="str">
            <v>g__unclassified_f__Oscillospiraceae</v>
          </cell>
          <cell r="I11814" t="str">
            <v>s__unclassified_f__Oscillospiraceae</v>
          </cell>
        </row>
        <row r="11815">
          <cell r="G11815" t="str">
            <v>ASV21252</v>
          </cell>
          <cell r="H11815" t="str">
            <v>g__Butyricicoccus</v>
          </cell>
          <cell r="I11815" t="str">
            <v>s__unclassified_g__Butyricicoccus</v>
          </cell>
        </row>
        <row r="11816">
          <cell r="G11816" t="str">
            <v>ASV9005</v>
          </cell>
          <cell r="H11816" t="str">
            <v>g__unclassified_f__Lachnospiraceae</v>
          </cell>
          <cell r="I11816" t="str">
            <v>s__unclassified_f__Lachnospiraceae</v>
          </cell>
        </row>
        <row r="11817">
          <cell r="G11817" t="str">
            <v>ASV18604</v>
          </cell>
          <cell r="H11817" t="str">
            <v>g__unclassified_f__Lachnospiraceae</v>
          </cell>
          <cell r="I11817" t="str">
            <v>s__unclassified_f__Lachnospiraceae</v>
          </cell>
        </row>
        <row r="11818">
          <cell r="G11818" t="str">
            <v>ASV14561</v>
          </cell>
          <cell r="H11818" t="str">
            <v>g__unclassified_f__Peptostreptococcaceae</v>
          </cell>
          <cell r="I11818" t="str">
            <v>s__unclassified_f__Peptostreptococcaceae</v>
          </cell>
        </row>
        <row r="11819">
          <cell r="G11819" t="str">
            <v>ASV15553</v>
          </cell>
          <cell r="H11819" t="str">
            <v>g__Ruminococcus</v>
          </cell>
          <cell r="I11819" t="str">
            <v>s__unclassified_g__Ruminococcus</v>
          </cell>
        </row>
        <row r="11820">
          <cell r="G11820" t="str">
            <v>ASV23431</v>
          </cell>
          <cell r="H11820" t="str">
            <v>g__Rikenellaceae_RC9_gut_group</v>
          </cell>
          <cell r="I11820" t="str">
            <v>s__uncultured_bacterium_g__Rikenellaceae_RC9_gut_group</v>
          </cell>
        </row>
        <row r="11821">
          <cell r="G11821" t="str">
            <v>ASV6740</v>
          </cell>
          <cell r="H11821" t="str">
            <v>g__Streptococcus</v>
          </cell>
          <cell r="I11821" t="str">
            <v>s__unclassified_g__Streptococcus</v>
          </cell>
        </row>
        <row r="11822">
          <cell r="G11822" t="str">
            <v>ASV22484</v>
          </cell>
          <cell r="H11822" t="str">
            <v>g__unclassified_c__Clostridia</v>
          </cell>
          <cell r="I11822" t="str">
            <v>s__unclassified_c__Clostridia</v>
          </cell>
        </row>
        <row r="11823">
          <cell r="G11823" t="str">
            <v>ASV11683</v>
          </cell>
          <cell r="H11823" t="str">
            <v>g__unclassified_f__Ruminococcaceae</v>
          </cell>
          <cell r="I11823" t="str">
            <v>s__unclassified_f__Ruminococcaceae</v>
          </cell>
        </row>
        <row r="11824">
          <cell r="G11824" t="str">
            <v>ASV1077</v>
          </cell>
          <cell r="H11824" t="str">
            <v>g__Holdemanella</v>
          </cell>
          <cell r="I11824" t="str">
            <v>s__unclassified_g__Holdemanella</v>
          </cell>
        </row>
        <row r="11825">
          <cell r="G11825" t="str">
            <v>ASV19750</v>
          </cell>
          <cell r="H11825" t="str">
            <v>g__norank_f__Eubacterium_coprostanoligenes_group</v>
          </cell>
          <cell r="I11825" t="str">
            <v>s__unclassified_g__norank_f__Eubacterium_coprostanoligenes_group</v>
          </cell>
        </row>
        <row r="11826">
          <cell r="G11826" t="str">
            <v>ASV19696</v>
          </cell>
          <cell r="H11826" t="str">
            <v>g__Megasphaera</v>
          </cell>
          <cell r="I11826" t="str">
            <v>s__unclassified_g__Megasphaera</v>
          </cell>
        </row>
        <row r="11827">
          <cell r="G11827" t="str">
            <v>ASV19656</v>
          </cell>
          <cell r="H11827" t="str">
            <v>g__norank_f__Muribaculaceae</v>
          </cell>
          <cell r="I11827" t="str">
            <v>s__uncultured_bacterium_g__norank_f__Muribaculaceae</v>
          </cell>
        </row>
        <row r="11828">
          <cell r="G11828" t="str">
            <v>ASV3217</v>
          </cell>
          <cell r="H11828" t="str">
            <v>g__unclassified_f__Lachnospiraceae</v>
          </cell>
          <cell r="I11828" t="str">
            <v>s__unclassified_f__Lachnospiraceae</v>
          </cell>
        </row>
        <row r="11829">
          <cell r="G11829" t="str">
            <v>ASV20897</v>
          </cell>
          <cell r="H11829" t="str">
            <v>g__Lactobacillus</v>
          </cell>
          <cell r="I11829" t="str">
            <v>s__unclassified_g__Lactobacillus</v>
          </cell>
        </row>
        <row r="11830">
          <cell r="G11830" t="str">
            <v>ASV16455</v>
          </cell>
          <cell r="H11830" t="str">
            <v>g__unclassified_f__Prevotellaceae</v>
          </cell>
          <cell r="I11830" t="str">
            <v>s__unclassified_f__Prevotellaceae</v>
          </cell>
        </row>
        <row r="11831">
          <cell r="G11831" t="str">
            <v>ASV2260</v>
          </cell>
          <cell r="H11831" t="str">
            <v>g__Lactobacillus</v>
          </cell>
          <cell r="I11831" t="str">
            <v>s__unclassified_g__Lactobacillus</v>
          </cell>
        </row>
        <row r="11832">
          <cell r="G11832" t="str">
            <v>ASV18937</v>
          </cell>
          <cell r="H11832" t="str">
            <v>g__Fusobacterium</v>
          </cell>
          <cell r="I11832" t="str">
            <v>s__unclassified_g__Fusobacterium</v>
          </cell>
        </row>
        <row r="11833">
          <cell r="G11833" t="str">
            <v>ASV16981</v>
          </cell>
          <cell r="H11833" t="str">
            <v>g__unclassified_c__Bacilli</v>
          </cell>
          <cell r="I11833" t="str">
            <v>s__unclassified_c__Bacilli</v>
          </cell>
        </row>
        <row r="11834">
          <cell r="G11834" t="str">
            <v>ASV19853</v>
          </cell>
          <cell r="H11834" t="str">
            <v>g__unclassified_f__Lachnospiraceae</v>
          </cell>
          <cell r="I11834" t="str">
            <v>s__unclassified_f__Lachnospiraceae</v>
          </cell>
        </row>
        <row r="11835">
          <cell r="G11835" t="str">
            <v>ASV22406</v>
          </cell>
          <cell r="H11835" t="str">
            <v>g__unclassified_c__Clostridia</v>
          </cell>
          <cell r="I11835" t="str">
            <v>s__unclassified_c__Clostridia</v>
          </cell>
        </row>
        <row r="11836">
          <cell r="G11836" t="str">
            <v>ASV14482</v>
          </cell>
          <cell r="H11836" t="str">
            <v>g__Cloacibacillus</v>
          </cell>
          <cell r="I11836" t="str">
            <v>s__unclassified_g__Cloacibacillus</v>
          </cell>
        </row>
        <row r="11837">
          <cell r="G11837" t="str">
            <v>ASV4885</v>
          </cell>
          <cell r="H11837" t="str">
            <v>g__Lactobacillus</v>
          </cell>
          <cell r="I11837" t="str">
            <v>s__Lactobacillus_sp._KLDS_1.0716</v>
          </cell>
        </row>
        <row r="11838">
          <cell r="G11838" t="str">
            <v>ASV7887</v>
          </cell>
          <cell r="H11838" t="str">
            <v>g__Enterococcus</v>
          </cell>
          <cell r="I11838" t="str">
            <v>s__unclassified_g__Enterococcus</v>
          </cell>
        </row>
        <row r="11839">
          <cell r="G11839" t="str">
            <v>ASV11978</v>
          </cell>
          <cell r="H11839" t="str">
            <v>g__unclassified_f__Lachnospiraceae</v>
          </cell>
          <cell r="I11839" t="str">
            <v>s__unclassified_f__Lachnospiraceae</v>
          </cell>
        </row>
        <row r="11840">
          <cell r="G11840" t="str">
            <v>ASV19092</v>
          </cell>
          <cell r="H11840" t="str">
            <v>g__unclassified_o__Lactobacillales</v>
          </cell>
          <cell r="I11840" t="str">
            <v>s__unclassified_o__Lactobacillales</v>
          </cell>
        </row>
        <row r="11841">
          <cell r="G11841" t="str">
            <v>ASV22291</v>
          </cell>
          <cell r="H11841" t="str">
            <v>g__unclassified_c__Clostridia</v>
          </cell>
          <cell r="I11841" t="str">
            <v>s__unclassified_c__Clostridia</v>
          </cell>
        </row>
        <row r="11842">
          <cell r="G11842" t="str">
            <v>ASV11065</v>
          </cell>
          <cell r="H11842" t="str">
            <v>g__Clostridium_sensu_stricto_1</v>
          </cell>
          <cell r="I11842" t="str">
            <v>s__unclassified_g__Clostridium_sensu_stricto_1</v>
          </cell>
        </row>
        <row r="11843">
          <cell r="G11843" t="str">
            <v>ASV21617</v>
          </cell>
          <cell r="H11843" t="str">
            <v>g__unclassified_f__Veillonellaceae</v>
          </cell>
          <cell r="I11843" t="str">
            <v>s__unclassified_f__Veillonellaceae</v>
          </cell>
        </row>
        <row r="11844">
          <cell r="G11844" t="str">
            <v>ASV6828</v>
          </cell>
          <cell r="H11844" t="str">
            <v>g__Fusobacterium</v>
          </cell>
          <cell r="I11844" t="str">
            <v>s__unclassified_g__Fusobacterium</v>
          </cell>
        </row>
        <row r="11845">
          <cell r="G11845" t="str">
            <v>ASV1704</v>
          </cell>
          <cell r="H11845" t="str">
            <v>g__Eubacterium</v>
          </cell>
          <cell r="I11845" t="str">
            <v>s__unclassified_g__Eubacterium</v>
          </cell>
        </row>
        <row r="11846">
          <cell r="G11846" t="str">
            <v>ASV23982</v>
          </cell>
          <cell r="H11846" t="str">
            <v>g__Anaerotruncus</v>
          </cell>
          <cell r="I11846" t="str">
            <v>s__unclassified_g__Anaerotruncus</v>
          </cell>
        </row>
        <row r="11847">
          <cell r="G11847" t="str">
            <v>ASV2289</v>
          </cell>
          <cell r="H11847" t="str">
            <v>g__unclassified_f__Lachnospiraceae</v>
          </cell>
          <cell r="I11847" t="str">
            <v>s__unclassified_f__Lachnospiraceae</v>
          </cell>
        </row>
        <row r="11848">
          <cell r="G11848" t="str">
            <v>ASV20908</v>
          </cell>
          <cell r="H11848" t="str">
            <v>g__norank_f__Christensenellaceae</v>
          </cell>
          <cell r="I11848" t="str">
            <v>s__uncultured_bacterium_g__norank_f__Christensenellaceae</v>
          </cell>
        </row>
        <row r="11849">
          <cell r="G11849" t="str">
            <v>ASV2225</v>
          </cell>
          <cell r="H11849" t="str">
            <v>g__unclassified_c__Clostridia</v>
          </cell>
          <cell r="I11849" t="str">
            <v>s__unclassified_c__Clostridia</v>
          </cell>
        </row>
        <row r="11850">
          <cell r="G11850" t="str">
            <v>ASV19751</v>
          </cell>
          <cell r="H11850" t="str">
            <v>g__Lactobacillus</v>
          </cell>
          <cell r="I11850" t="str">
            <v>s__unclassified_g__Lactobacillus</v>
          </cell>
        </row>
        <row r="11851">
          <cell r="G11851" t="str">
            <v>ASV14369</v>
          </cell>
          <cell r="H11851" t="str">
            <v>g__unclassified_f__Lachnospiraceae</v>
          </cell>
          <cell r="I11851" t="str">
            <v>s__unclassified_f__Lachnospiraceae</v>
          </cell>
        </row>
        <row r="11852">
          <cell r="G11852" t="str">
            <v>ASV23311</v>
          </cell>
          <cell r="H11852" t="str">
            <v>g__unclassified_c__Bacilli</v>
          </cell>
          <cell r="I11852" t="str">
            <v>s__unclassified_c__Bacilli</v>
          </cell>
        </row>
        <row r="11853">
          <cell r="G11853" t="str">
            <v>ASV4074</v>
          </cell>
          <cell r="H11853" t="str">
            <v>g__unclassified_p__Firmicutes</v>
          </cell>
          <cell r="I11853" t="str">
            <v>s__unclassified_p__Firmicutes</v>
          </cell>
        </row>
        <row r="11854">
          <cell r="G11854" t="str">
            <v>ASV5941</v>
          </cell>
          <cell r="H11854" t="str">
            <v>g__UCG-004</v>
          </cell>
          <cell r="I11854" t="str">
            <v>s__uncultured_bacterium_g__UCG-004</v>
          </cell>
        </row>
        <row r="11855">
          <cell r="G11855" t="str">
            <v>ASV820</v>
          </cell>
          <cell r="H11855" t="str">
            <v>g__unclassified_p__Firmicutes</v>
          </cell>
          <cell r="I11855" t="str">
            <v>s__unclassified_p__Firmicutes</v>
          </cell>
        </row>
        <row r="11856">
          <cell r="G11856" t="str">
            <v>ASV4985</v>
          </cell>
          <cell r="H11856" t="str">
            <v>g__Christensenellaceae_R-7_group</v>
          </cell>
          <cell r="I11856" t="str">
            <v>s__unclassified_g__Christensenellaceae_R-7_group</v>
          </cell>
        </row>
        <row r="11857">
          <cell r="G11857" t="str">
            <v>ASV15455</v>
          </cell>
          <cell r="H11857" t="str">
            <v>g__norank_f__Eggerthellaceae</v>
          </cell>
          <cell r="I11857" t="str">
            <v>s__unclassified_g__norank_f__Eggerthellaceae</v>
          </cell>
        </row>
        <row r="11858">
          <cell r="G11858" t="str">
            <v>ASV4187</v>
          </cell>
          <cell r="H11858" t="str">
            <v>g__Parasutterella</v>
          </cell>
          <cell r="I11858" t="str">
            <v>s__unclassified_g__Parasutterella</v>
          </cell>
        </row>
        <row r="11859">
          <cell r="G11859" t="str">
            <v>ASV4977</v>
          </cell>
          <cell r="H11859" t="str">
            <v>g__unclassified_f__Peptostreptococcaceae</v>
          </cell>
          <cell r="I11859" t="str">
            <v>s__unclassified_f__Peptostreptococcaceae</v>
          </cell>
        </row>
        <row r="11860">
          <cell r="G11860" t="str">
            <v>ASV17498</v>
          </cell>
          <cell r="H11860" t="str">
            <v>g__Streptococcus</v>
          </cell>
          <cell r="I11860" t="str">
            <v>s__unclassified_g__Streptococcus</v>
          </cell>
        </row>
        <row r="11861">
          <cell r="G11861" t="str">
            <v>ASV23357</v>
          </cell>
          <cell r="H11861" t="str">
            <v>g__Bacteroides</v>
          </cell>
          <cell r="I11861" t="str">
            <v>s__uncultured_bacterium_g__Bacteroides</v>
          </cell>
        </row>
        <row r="11862">
          <cell r="G11862" t="str">
            <v>ASV4975</v>
          </cell>
          <cell r="H11862" t="str">
            <v>g__Lactobacillus</v>
          </cell>
          <cell r="I11862" t="str">
            <v>s__unclassified_g__Lactobacillus</v>
          </cell>
        </row>
        <row r="11863">
          <cell r="G11863" t="str">
            <v>ASV16472</v>
          </cell>
          <cell r="H11863" t="str">
            <v>g__UCG-002</v>
          </cell>
          <cell r="I11863" t="str">
            <v>s__uncultured_bacterium_g__UCG-002</v>
          </cell>
        </row>
        <row r="11864">
          <cell r="G11864" t="str">
            <v>ASV23430</v>
          </cell>
          <cell r="H11864" t="str">
            <v>g__unclassified_f__Lachnospiraceae</v>
          </cell>
          <cell r="I11864" t="str">
            <v>s__unclassified_f__Lachnospiraceae</v>
          </cell>
        </row>
        <row r="11865">
          <cell r="G11865" t="str">
            <v>ASV12823</v>
          </cell>
          <cell r="H11865" t="str">
            <v>g__Enterorhabdus</v>
          </cell>
          <cell r="I11865" t="str">
            <v>s__uncultured_bacterium_g__Enterorhabdus</v>
          </cell>
        </row>
        <row r="11866">
          <cell r="G11866" t="str">
            <v>ASV4108</v>
          </cell>
          <cell r="H11866" t="str">
            <v>g__unclassified_c__Clostridia</v>
          </cell>
          <cell r="I11866" t="str">
            <v>s__unclassified_c__Clostridia</v>
          </cell>
        </row>
        <row r="11867">
          <cell r="G11867" t="str">
            <v>ASV16951</v>
          </cell>
          <cell r="H11867" t="str">
            <v>g__Parabacteroides</v>
          </cell>
          <cell r="I11867" t="str">
            <v>s__Porphyromonadaceae_bacterium_DJF_B175</v>
          </cell>
        </row>
        <row r="11868">
          <cell r="G11868" t="str">
            <v>ASV4933</v>
          </cell>
          <cell r="H11868" t="str">
            <v>g__Lactobacillus</v>
          </cell>
          <cell r="I11868" t="str">
            <v>s__unclassified_g__Lactobacillus</v>
          </cell>
        </row>
        <row r="11869">
          <cell r="G11869" t="str">
            <v>ASV2261</v>
          </cell>
          <cell r="H11869" t="str">
            <v>g__unclassified_f__Lachnospiraceae</v>
          </cell>
          <cell r="I11869" t="str">
            <v>s__unclassified_f__Lachnospiraceae</v>
          </cell>
        </row>
        <row r="11870">
          <cell r="G11870" t="str">
            <v>ASV6737</v>
          </cell>
          <cell r="H11870" t="str">
            <v>g__Christensenellaceae_R-7_group</v>
          </cell>
          <cell r="I11870" t="str">
            <v>s__unclassified_g__Christensenellaceae_R-7_group</v>
          </cell>
        </row>
        <row r="11871">
          <cell r="G11871" t="str">
            <v>ASV10221</v>
          </cell>
          <cell r="H11871" t="str">
            <v>g__unclassified_f__Lachnospiraceae</v>
          </cell>
          <cell r="I11871" t="str">
            <v>s__unclassified_f__Lachnospiraceae</v>
          </cell>
        </row>
        <row r="11872">
          <cell r="G11872" t="str">
            <v>ASV21476</v>
          </cell>
          <cell r="H11872" t="str">
            <v>g__Lactobacillus</v>
          </cell>
          <cell r="I11872" t="str">
            <v>s__unclassified_g__Lactobacillus</v>
          </cell>
        </row>
        <row r="11873">
          <cell r="G11873" t="str">
            <v>ASV16021</v>
          </cell>
          <cell r="H11873" t="str">
            <v>g__Fusobacterium</v>
          </cell>
          <cell r="I11873" t="str">
            <v>s__unclassified_g__Fusobacterium</v>
          </cell>
        </row>
        <row r="11874">
          <cell r="G11874" t="str">
            <v>ASV18219</v>
          </cell>
          <cell r="H11874" t="str">
            <v>g__Phascolarctobacterium</v>
          </cell>
          <cell r="I11874" t="str">
            <v>s__Ruminococcus_sp._N15.MGS-57_g__Phascolarctobacterium</v>
          </cell>
        </row>
        <row r="11875">
          <cell r="G11875" t="str">
            <v>ASV22368</v>
          </cell>
          <cell r="H11875" t="str">
            <v>g__unclassified_c__Clostridia</v>
          </cell>
          <cell r="I11875" t="str">
            <v>s__unclassified_c__Clostridia</v>
          </cell>
        </row>
        <row r="11876">
          <cell r="G11876" t="str">
            <v>ASV7086</v>
          </cell>
          <cell r="H11876" t="str">
            <v>g__norank_f__Muribaculaceae</v>
          </cell>
          <cell r="I11876" t="str">
            <v>s__unclassified_g__norank_f__Muribaculaceae</v>
          </cell>
        </row>
        <row r="11877">
          <cell r="G11877" t="str">
            <v>ASV16955</v>
          </cell>
          <cell r="H11877" t="str">
            <v>g__norank_f__UCG-011</v>
          </cell>
          <cell r="I11877" t="str">
            <v>s__uncultured_bacterium_g__norank_f__UCG-011</v>
          </cell>
        </row>
        <row r="11878">
          <cell r="G11878" t="str">
            <v>ASV14517</v>
          </cell>
          <cell r="H11878" t="str">
            <v>g__unclassified_c__Clostridia</v>
          </cell>
          <cell r="I11878" t="str">
            <v>s__unclassified_c__Clostridia</v>
          </cell>
        </row>
        <row r="11879">
          <cell r="G11879" t="str">
            <v>ASV15471</v>
          </cell>
          <cell r="H11879" t="str">
            <v>g__Christensenellaceae_R-7_group</v>
          </cell>
          <cell r="I11879" t="str">
            <v>s__unclassified_g__Christensenellaceae_R-7_group</v>
          </cell>
        </row>
        <row r="11880">
          <cell r="G11880" t="str">
            <v>ASV4199</v>
          </cell>
          <cell r="H11880" t="str">
            <v>g__unclassified_k__norank_d__Bacteria</v>
          </cell>
          <cell r="I11880" t="str">
            <v>s__unclassified_k__norank_d__Bacteria</v>
          </cell>
        </row>
        <row r="11881">
          <cell r="G11881" t="str">
            <v>ASV6768</v>
          </cell>
          <cell r="H11881" t="str">
            <v>g__unclassified_p__Firmicutes</v>
          </cell>
          <cell r="I11881" t="str">
            <v>s__unclassified_p__Firmicutes</v>
          </cell>
        </row>
        <row r="11882">
          <cell r="G11882" t="str">
            <v>ASV19777</v>
          </cell>
          <cell r="H11882" t="str">
            <v>g__norank_f__Eubacterium_coprostanoligenes_group</v>
          </cell>
          <cell r="I11882" t="str">
            <v>s__uncultured_bacterium_g__norank_f__Eubacterium_coprostanoligenes_group</v>
          </cell>
        </row>
        <row r="11883">
          <cell r="G11883" t="str">
            <v>ASV22413</v>
          </cell>
          <cell r="H11883" t="str">
            <v>g__unclassified_f__Anaerovoracaceae</v>
          </cell>
          <cell r="I11883" t="str">
            <v>s__unclassified_f__Anaerovoracaceae</v>
          </cell>
        </row>
        <row r="11884">
          <cell r="G11884" t="str">
            <v>ASV21239</v>
          </cell>
          <cell r="H11884" t="str">
            <v>g__unclassified_k__norank_d__Bacteria</v>
          </cell>
          <cell r="I11884" t="str">
            <v>s__unclassified_k__norank_d__Bacteria</v>
          </cell>
        </row>
        <row r="11885">
          <cell r="G11885" t="str">
            <v>ASV794</v>
          </cell>
          <cell r="H11885" t="str">
            <v>g__unclassified_c__Clostridia</v>
          </cell>
          <cell r="I11885" t="str">
            <v>s__unclassified_c__Clostridia</v>
          </cell>
        </row>
        <row r="11886">
          <cell r="G11886" t="str">
            <v>ASV3238</v>
          </cell>
          <cell r="H11886" t="str">
            <v>g__unclassified_c__Gammaproteobacteria</v>
          </cell>
          <cell r="I11886" t="str">
            <v>s__unclassified_c__Gammaproteobacteria</v>
          </cell>
        </row>
        <row r="11887">
          <cell r="G11887" t="str">
            <v>ASV3675</v>
          </cell>
          <cell r="H11887" t="str">
            <v>g__Lachnoclostridium</v>
          </cell>
          <cell r="I11887" t="str">
            <v>s__Clostridium_aldenense</v>
          </cell>
        </row>
        <row r="11888">
          <cell r="G11888" t="str">
            <v>ASV4161</v>
          </cell>
          <cell r="H11888" t="str">
            <v>g__unclassified_f__Oscillospiraceae</v>
          </cell>
          <cell r="I11888" t="str">
            <v>s__unclassified_f__Oscillospiraceae</v>
          </cell>
        </row>
        <row r="11889">
          <cell r="G11889" t="str">
            <v>ASV23986</v>
          </cell>
          <cell r="H11889" t="str">
            <v>g__unclassified_p__Firmicutes</v>
          </cell>
          <cell r="I11889" t="str">
            <v>s__unclassified_p__Firmicutes</v>
          </cell>
        </row>
        <row r="11890">
          <cell r="G11890" t="str">
            <v>ASV9552</v>
          </cell>
          <cell r="H11890" t="str">
            <v>g__unclassified_c__Bacilli</v>
          </cell>
          <cell r="I11890" t="str">
            <v>s__unclassified_c__Bacilli</v>
          </cell>
        </row>
        <row r="11891">
          <cell r="G11891" t="str">
            <v>ASV19721</v>
          </cell>
          <cell r="H11891" t="str">
            <v>g__unclassified_c__Clostridia</v>
          </cell>
          <cell r="I11891" t="str">
            <v>s__unclassified_c__Clostridia</v>
          </cell>
        </row>
        <row r="11892">
          <cell r="G11892" t="str">
            <v>ASV18630</v>
          </cell>
          <cell r="H11892" t="str">
            <v>g__Phascolarctobacterium</v>
          </cell>
          <cell r="I11892" t="str">
            <v>s__unclassified_g__Phascolarctobacterium</v>
          </cell>
        </row>
        <row r="11893">
          <cell r="G11893" t="str">
            <v>ASV21289</v>
          </cell>
          <cell r="H11893" t="str">
            <v>g__unclassified_c__Clostridia</v>
          </cell>
          <cell r="I11893" t="str">
            <v>s__unclassified_c__Clostridia</v>
          </cell>
        </row>
        <row r="11894">
          <cell r="G11894" t="str">
            <v>ASV23393</v>
          </cell>
          <cell r="H11894" t="str">
            <v>g__unclassified_f__Oscillospiraceae</v>
          </cell>
          <cell r="I11894" t="str">
            <v>s__unclassified_f__Oscillospiraceae</v>
          </cell>
        </row>
        <row r="11895">
          <cell r="G11895" t="str">
            <v>ASV21645</v>
          </cell>
          <cell r="H11895" t="str">
            <v>g__unclassified_p__Firmicutes</v>
          </cell>
          <cell r="I11895" t="str">
            <v>s__unclassified_p__Firmicutes</v>
          </cell>
        </row>
        <row r="11896">
          <cell r="G11896" t="str">
            <v>ASV9534</v>
          </cell>
          <cell r="H11896" t="str">
            <v>g__unclassified_f__Lachnospiraceae</v>
          </cell>
          <cell r="I11896" t="str">
            <v>s__unclassified_f__Lachnospiraceae</v>
          </cell>
        </row>
        <row r="11897">
          <cell r="G11897" t="str">
            <v>ASV15473</v>
          </cell>
          <cell r="H11897" t="str">
            <v>g__Christensenellaceae_R-7_group</v>
          </cell>
          <cell r="I11897" t="str">
            <v>s__unclassified_g__Christensenellaceae_R-7_group</v>
          </cell>
        </row>
        <row r="11898">
          <cell r="G11898" t="str">
            <v>ASV1732</v>
          </cell>
          <cell r="H11898" t="str">
            <v>g__unclassified_f__Prevotellaceae</v>
          </cell>
          <cell r="I11898" t="str">
            <v>s__unclassified_f__Prevotellaceae</v>
          </cell>
        </row>
        <row r="11899">
          <cell r="G11899" t="str">
            <v>ASV1696</v>
          </cell>
          <cell r="H11899" t="str">
            <v>g__norank_f__norank_o__Clostridia_UCG-014</v>
          </cell>
          <cell r="I11899" t="str">
            <v>s__unclassified_g__norank_f__norank_o__Clostridia_UCG-014</v>
          </cell>
        </row>
        <row r="11900">
          <cell r="G11900" t="str">
            <v>ASV946</v>
          </cell>
          <cell r="H11900" t="str">
            <v>g__GCA-900066575</v>
          </cell>
          <cell r="I11900" t="str">
            <v>s__uncultured_bacterium_g__GCA-900066575</v>
          </cell>
        </row>
        <row r="11901">
          <cell r="G11901" t="str">
            <v>ASV6808</v>
          </cell>
          <cell r="H11901" t="str">
            <v>g__unclassified_c__Clostridia</v>
          </cell>
          <cell r="I11901" t="str">
            <v>s__unclassified_c__Clostridia</v>
          </cell>
        </row>
        <row r="11902">
          <cell r="G11902" t="str">
            <v>ASV9599</v>
          </cell>
          <cell r="H11902" t="str">
            <v>g__unclassified_f__Lachnospiraceae</v>
          </cell>
          <cell r="I11902" t="str">
            <v>s__unclassified_f__Lachnospiraceae</v>
          </cell>
        </row>
        <row r="11903">
          <cell r="G11903" t="str">
            <v>ASV8845</v>
          </cell>
          <cell r="H11903" t="str">
            <v>g__Phascolarctobacterium</v>
          </cell>
          <cell r="I11903" t="str">
            <v>s__uncultured_bacterium_g__Phascolarctobacterium</v>
          </cell>
        </row>
        <row r="11904">
          <cell r="G11904" t="str">
            <v>ASV24000</v>
          </cell>
          <cell r="H11904" t="str">
            <v>g__unclassified_c__Bacilli</v>
          </cell>
          <cell r="I11904" t="str">
            <v>s__unclassified_c__Bacilli</v>
          </cell>
        </row>
        <row r="11905">
          <cell r="G11905" t="str">
            <v>ASV23768</v>
          </cell>
          <cell r="H11905" t="str">
            <v>g__norank_f__Saccharimonadaceae</v>
          </cell>
          <cell r="I11905" t="str">
            <v>s__TM7_bacterium_human_oral_taxon_HOT-869</v>
          </cell>
        </row>
        <row r="11906">
          <cell r="G11906" t="str">
            <v>ASV21622</v>
          </cell>
          <cell r="H11906" t="str">
            <v>g__unclassified_f__Veillonellaceae</v>
          </cell>
          <cell r="I11906" t="str">
            <v>s__unclassified_f__Veillonellaceae</v>
          </cell>
        </row>
        <row r="11907">
          <cell r="G11907" t="str">
            <v>ASV23318</v>
          </cell>
          <cell r="H11907" t="str">
            <v>g__unclassified_f__Clostridiaceae</v>
          </cell>
          <cell r="I11907" t="str">
            <v>s__unclassified_f__Clostridiaceae</v>
          </cell>
        </row>
        <row r="11908">
          <cell r="G11908" t="str">
            <v>ASV18234</v>
          </cell>
          <cell r="H11908" t="str">
            <v>g__unclassified_f__Christensenellaceae</v>
          </cell>
          <cell r="I11908" t="str">
            <v>s__unclassified_f__Christensenellaceae</v>
          </cell>
        </row>
        <row r="11909">
          <cell r="G11909" t="str">
            <v>ASV24181</v>
          </cell>
          <cell r="H11909" t="str">
            <v>g__unclassified_p__Firmicutes</v>
          </cell>
          <cell r="I11909" t="str">
            <v>s__unclassified_p__Firmicutes</v>
          </cell>
        </row>
        <row r="11910">
          <cell r="G11910" t="str">
            <v>ASV18125</v>
          </cell>
          <cell r="H11910" t="str">
            <v>g__unclassified_c__Clostridia</v>
          </cell>
          <cell r="I11910" t="str">
            <v>s__unclassified_c__Clostridia</v>
          </cell>
        </row>
        <row r="11911">
          <cell r="G11911" t="str">
            <v>ASV6839</v>
          </cell>
          <cell r="H11911" t="str">
            <v>g__XBB1006</v>
          </cell>
          <cell r="I11911" t="str">
            <v>s__Lachnospiraceae_bacterium_XBB1006</v>
          </cell>
        </row>
        <row r="11912">
          <cell r="G11912" t="str">
            <v>ASV9488</v>
          </cell>
          <cell r="H11912" t="str">
            <v>g__unclassified_f__Lachnospiraceae</v>
          </cell>
          <cell r="I11912" t="str">
            <v>s__unclassified_f__Lachnospiraceae</v>
          </cell>
        </row>
        <row r="11913">
          <cell r="G11913" t="str">
            <v>ASV21648</v>
          </cell>
          <cell r="H11913" t="str">
            <v>g__Bacteroides</v>
          </cell>
          <cell r="I11913" t="str">
            <v>s__unclassified_g__Bacteroides</v>
          </cell>
        </row>
        <row r="11914">
          <cell r="G11914" t="str">
            <v>ASV6834</v>
          </cell>
          <cell r="H11914" t="str">
            <v>g__unclassified_f__Peptostreptococcaceae</v>
          </cell>
          <cell r="I11914" t="str">
            <v>s__unclassified_f__Peptostreptococcaceae</v>
          </cell>
        </row>
        <row r="11915">
          <cell r="G11915" t="str">
            <v>ASV24231</v>
          </cell>
          <cell r="H11915" t="str">
            <v>g__norank_f__norank_o__Clostridia_UCG-014</v>
          </cell>
          <cell r="I11915" t="str">
            <v>s__unclassified_g__norank_f__norank_o__Clostridia_UCG-014</v>
          </cell>
        </row>
        <row r="11916">
          <cell r="G11916" t="str">
            <v>ASV4939</v>
          </cell>
          <cell r="H11916" t="str">
            <v>g__Eubacterium_oxidoreducens_group</v>
          </cell>
          <cell r="I11916" t="str">
            <v>s__uncultured_bacterium_g__Eubacterium_oxidoreducens_group</v>
          </cell>
        </row>
        <row r="11917">
          <cell r="G11917" t="str">
            <v>ASV19788</v>
          </cell>
          <cell r="H11917" t="str">
            <v>g__unclassified_c__Clostridia</v>
          </cell>
          <cell r="I11917" t="str">
            <v>s__unclassified_c__Clostridia</v>
          </cell>
        </row>
        <row r="11918">
          <cell r="G11918" t="str">
            <v>ASV11975</v>
          </cell>
          <cell r="H11918" t="str">
            <v>g__norank_f__Eubacterium_coprostanoligenes_group</v>
          </cell>
          <cell r="I11918" t="str">
            <v>s__uncultured_bacterium_g__norank_f__Eubacterium_coprostanoligenes_group</v>
          </cell>
        </row>
        <row r="11919">
          <cell r="G11919" t="str">
            <v>ASV6005</v>
          </cell>
          <cell r="H11919" t="str">
            <v>g__Escherichia-Shigella</v>
          </cell>
          <cell r="I11919" t="str">
            <v>s__unclassified_g__Escherichia-Shigella</v>
          </cell>
        </row>
        <row r="11920">
          <cell r="G11920" t="str">
            <v>ASV20285</v>
          </cell>
          <cell r="H11920" t="str">
            <v>g__Alistipes</v>
          </cell>
          <cell r="I11920" t="str">
            <v>s__unclassified_g__Alistipes</v>
          </cell>
        </row>
        <row r="11921">
          <cell r="G11921" t="str">
            <v>ASV18106</v>
          </cell>
          <cell r="H11921" t="str">
            <v>g__unclassified_f__Lachnospiraceae</v>
          </cell>
          <cell r="I11921" t="str">
            <v>s__unclassified_f__Lachnospiraceae</v>
          </cell>
        </row>
        <row r="11922">
          <cell r="G11922" t="str">
            <v>ASV10029</v>
          </cell>
          <cell r="H11922" t="str">
            <v>g__unclassified_o__Bacteroidales</v>
          </cell>
          <cell r="I11922" t="str">
            <v>s__unclassified_o__Bacteroidales</v>
          </cell>
        </row>
        <row r="11923">
          <cell r="G11923" t="str">
            <v>ASV4072</v>
          </cell>
          <cell r="H11923" t="str">
            <v>g__unclassified_f__Synergistaceae</v>
          </cell>
          <cell r="I11923" t="str">
            <v>s__unclassified_f__Synergistaceae</v>
          </cell>
        </row>
        <row r="11924">
          <cell r="G11924" t="str">
            <v>ASV781</v>
          </cell>
          <cell r="H11924" t="str">
            <v>g__unclassified_k__norank_d__Bacteria</v>
          </cell>
          <cell r="I11924" t="str">
            <v>s__unclassified_k__norank_d__Bacteria</v>
          </cell>
        </row>
        <row r="11925">
          <cell r="G11925" t="str">
            <v>ASV4141</v>
          </cell>
          <cell r="H11925" t="str">
            <v>g__Rikenellaceae_RC9_gut_group</v>
          </cell>
          <cell r="I11925" t="str">
            <v>s__uncultured_bacterium_g__Rikenellaceae_RC9_gut_group</v>
          </cell>
        </row>
        <row r="11926">
          <cell r="G11926" t="str">
            <v>ASV2259</v>
          </cell>
          <cell r="H11926" t="str">
            <v>g__unclassified_c__Clostridia</v>
          </cell>
          <cell r="I11926" t="str">
            <v>s__unclassified_c__Clostridia</v>
          </cell>
        </row>
        <row r="11927">
          <cell r="G11927" t="str">
            <v>ASV17226</v>
          </cell>
          <cell r="H11927" t="str">
            <v>g__unclassified_f__Peptostreptococcaceae</v>
          </cell>
          <cell r="I11927" t="str">
            <v>s__unclassified_f__Peptostreptococcaceae</v>
          </cell>
        </row>
        <row r="11928">
          <cell r="G11928" t="str">
            <v>ASV10090</v>
          </cell>
          <cell r="H11928" t="str">
            <v>g__Lactobacillus</v>
          </cell>
          <cell r="I11928" t="str">
            <v>s__unclassified_g__Lactobacillus</v>
          </cell>
        </row>
        <row r="11929">
          <cell r="G11929" t="str">
            <v>ASV8365</v>
          </cell>
          <cell r="H11929" t="str">
            <v>g__Streptococcus</v>
          </cell>
          <cell r="I11929" t="str">
            <v>s__unclassified_g__Streptococcus</v>
          </cell>
        </row>
        <row r="11930">
          <cell r="G11930" t="str">
            <v>ASV20469</v>
          </cell>
          <cell r="H11930" t="str">
            <v>g__Corynebacterium</v>
          </cell>
          <cell r="I11930" t="str">
            <v>s__unclassified_g__Corynebacterium</v>
          </cell>
        </row>
        <row r="11931">
          <cell r="G11931" t="str">
            <v>ASV14457</v>
          </cell>
          <cell r="H11931" t="str">
            <v>g__unclassified_c__Clostridia</v>
          </cell>
          <cell r="I11931" t="str">
            <v>s__unclassified_c__Clostridia</v>
          </cell>
        </row>
        <row r="11932">
          <cell r="G11932" t="str">
            <v>ASV11920</v>
          </cell>
          <cell r="H11932" t="str">
            <v>g__Candidatus_Soleaferrea</v>
          </cell>
          <cell r="I11932" t="str">
            <v>s__uncultured_bacterium_g__Candidatus_Soleaferrea</v>
          </cell>
        </row>
        <row r="11933">
          <cell r="G11933" t="str">
            <v>ASV12816</v>
          </cell>
          <cell r="H11933" t="str">
            <v>g__unclassified_f__Oscillospiraceae</v>
          </cell>
          <cell r="I11933" t="str">
            <v>s__unclassified_f__Oscillospiraceae</v>
          </cell>
        </row>
        <row r="11934">
          <cell r="G11934" t="str">
            <v>ASV6774</v>
          </cell>
          <cell r="H11934" t="str">
            <v>g__Streptococcus</v>
          </cell>
          <cell r="I11934" t="str">
            <v>s__unclassified_g__Streptococcus</v>
          </cell>
        </row>
        <row r="11935">
          <cell r="G11935" t="str">
            <v>ASV12896</v>
          </cell>
          <cell r="H11935" t="str">
            <v>g__Streptococcus</v>
          </cell>
          <cell r="I11935" t="str">
            <v>s__unclassified_g__Streptococcus</v>
          </cell>
        </row>
        <row r="11936">
          <cell r="G11936" t="str">
            <v>ASV17216</v>
          </cell>
          <cell r="H11936" t="str">
            <v>g__Lactobacillus</v>
          </cell>
          <cell r="I11936" t="str">
            <v>s__unclassified_g__Lactobacillus</v>
          </cell>
        </row>
        <row r="11937">
          <cell r="G11937" t="str">
            <v>ASV18597</v>
          </cell>
          <cell r="H11937" t="str">
            <v>g__unclassified_k__norank_d__Bacteria</v>
          </cell>
          <cell r="I11937" t="str">
            <v>s__unclassified_k__norank_d__Bacteria</v>
          </cell>
        </row>
        <row r="11938">
          <cell r="G11938" t="str">
            <v>ASV15091</v>
          </cell>
          <cell r="H11938" t="str">
            <v>g__Brevundimonas</v>
          </cell>
          <cell r="I11938" t="str">
            <v>s__unclassified_g__Brevundimonas</v>
          </cell>
        </row>
        <row r="11939">
          <cell r="G11939" t="str">
            <v>ASV4899</v>
          </cell>
          <cell r="H11939" t="str">
            <v>g__unclassified_k__norank_d__Bacteria</v>
          </cell>
          <cell r="I11939" t="str">
            <v>s__unclassified_k__norank_d__Bacteria</v>
          </cell>
        </row>
        <row r="11940">
          <cell r="G11940" t="str">
            <v>ASV6773</v>
          </cell>
          <cell r="H11940" t="str">
            <v>g__Escherichia-Shigella</v>
          </cell>
          <cell r="I11940" t="str">
            <v>s__unclassified_g__Escherichia-Shigella</v>
          </cell>
        </row>
        <row r="11941">
          <cell r="G11941" t="str">
            <v>ASV11817</v>
          </cell>
          <cell r="H11941" t="str">
            <v>g__unclassified_c__Clostridia</v>
          </cell>
          <cell r="I11941" t="str">
            <v>s__unclassified_c__Clostridia</v>
          </cell>
        </row>
        <row r="11942">
          <cell r="G11942" t="str">
            <v>ASV23769</v>
          </cell>
          <cell r="H11942" t="str">
            <v>g__Roseburia</v>
          </cell>
          <cell r="I11942" t="str">
            <v>s__Lachnospiraceae_bacterium_feline_oral_taxon_021</v>
          </cell>
        </row>
        <row r="11943">
          <cell r="G11943" t="str">
            <v>ASV16987</v>
          </cell>
          <cell r="H11943" t="str">
            <v>g__unclassified_f__Oscillospiraceae</v>
          </cell>
          <cell r="I11943" t="str">
            <v>s__unclassified_f__Oscillospiraceae</v>
          </cell>
        </row>
        <row r="11944">
          <cell r="G11944" t="str">
            <v>ASV18655</v>
          </cell>
          <cell r="H11944" t="str">
            <v>g__Lactobacillus</v>
          </cell>
          <cell r="I11944" t="str">
            <v>s__unclassified_g__Lactobacillus</v>
          </cell>
        </row>
        <row r="11945">
          <cell r="G11945" t="str">
            <v>ASV11724</v>
          </cell>
          <cell r="H11945" t="str">
            <v>g__Prevotella</v>
          </cell>
          <cell r="I11945" t="str">
            <v>s__unclassified_g__Prevotella</v>
          </cell>
        </row>
        <row r="11946">
          <cell r="G11946" t="str">
            <v>ASV6777</v>
          </cell>
          <cell r="H11946" t="str">
            <v>g__Collinsella</v>
          </cell>
          <cell r="I11946" t="str">
            <v>s__unclassified_g__Collinsella</v>
          </cell>
        </row>
        <row r="11947">
          <cell r="G11947" t="str">
            <v>ASV17311</v>
          </cell>
          <cell r="H11947" t="str">
            <v>g__unclassified_c__Clostridia</v>
          </cell>
          <cell r="I11947" t="str">
            <v>s__unclassified_c__Clostridia</v>
          </cell>
        </row>
        <row r="11948">
          <cell r="G11948" t="str">
            <v>ASV13476</v>
          </cell>
          <cell r="H11948" t="str">
            <v>g__Lactobacillus</v>
          </cell>
          <cell r="I11948" t="str">
            <v>s__unclassified_g__Lactobacillus</v>
          </cell>
        </row>
        <row r="11949">
          <cell r="G11949" t="str">
            <v>ASV6023</v>
          </cell>
          <cell r="H11949" t="str">
            <v>g__unclassified_c__Clostridia</v>
          </cell>
          <cell r="I11949" t="str">
            <v>s__unclassified_c__Clostridia</v>
          </cell>
        </row>
        <row r="11950">
          <cell r="G11950" t="str">
            <v>ASV14446</v>
          </cell>
          <cell r="H11950" t="str">
            <v>g__unclassified_f__Lachnospiraceae</v>
          </cell>
          <cell r="I11950" t="str">
            <v>s__unclassified_f__Lachnospiraceae</v>
          </cell>
        </row>
        <row r="11951">
          <cell r="G11951" t="str">
            <v>ASV16054</v>
          </cell>
          <cell r="H11951" t="str">
            <v>g__unclassified_f__Lachnospiraceae</v>
          </cell>
          <cell r="I11951" t="str">
            <v>s__unclassified_f__Lachnospiraceae</v>
          </cell>
        </row>
        <row r="11952">
          <cell r="G11952" t="str">
            <v>ASV4193</v>
          </cell>
          <cell r="H11952" t="str">
            <v>g__unclassified_o__Oscillospirales</v>
          </cell>
          <cell r="I11952" t="str">
            <v>s__unclassified_o__Oscillospirales</v>
          </cell>
        </row>
        <row r="11953">
          <cell r="G11953" t="str">
            <v>ASV7916</v>
          </cell>
          <cell r="H11953" t="str">
            <v>g__Lactobacillus</v>
          </cell>
          <cell r="I11953" t="str">
            <v>s__unclassified_g__Lactobacillus</v>
          </cell>
        </row>
        <row r="11954">
          <cell r="G11954" t="str">
            <v>ASV10309</v>
          </cell>
          <cell r="H11954" t="str">
            <v>g__unclassified_k__norank_d__Bacteria</v>
          </cell>
          <cell r="I11954" t="str">
            <v>s__unclassified_k__norank_d__Bacteria</v>
          </cell>
        </row>
        <row r="11955">
          <cell r="G11955" t="str">
            <v>ASV11694</v>
          </cell>
          <cell r="H11955" t="str">
            <v>g__unclassified_f__Lachnospiraceae</v>
          </cell>
          <cell r="I11955" t="str">
            <v>s__unclassified_f__Lachnospiraceae</v>
          </cell>
        </row>
        <row r="11956">
          <cell r="G11956" t="str">
            <v>ASV20917</v>
          </cell>
          <cell r="H11956" t="str">
            <v>g__unclassified_f__Lachnospiraceae</v>
          </cell>
          <cell r="I11956" t="str">
            <v>s__unclassified_f__Lachnospiraceae</v>
          </cell>
        </row>
        <row r="11957">
          <cell r="G11957" t="str">
            <v>ASV4182</v>
          </cell>
          <cell r="H11957" t="str">
            <v>g__Escherichia-Shigella</v>
          </cell>
          <cell r="I11957" t="str">
            <v>s__unclassified_g__Escherichia-Shigella</v>
          </cell>
        </row>
        <row r="11958">
          <cell r="G11958" t="str">
            <v>ASV4068</v>
          </cell>
          <cell r="H11958" t="str">
            <v>g__unclassified_f__Lachnospiraceae</v>
          </cell>
          <cell r="I11958" t="str">
            <v>s__unclassified_f__Lachnospiraceae</v>
          </cell>
        </row>
        <row r="11959">
          <cell r="G11959" t="str">
            <v>ASV18065</v>
          </cell>
          <cell r="H11959" t="str">
            <v>g__norank_f__Christensenellaceae</v>
          </cell>
          <cell r="I11959" t="str">
            <v>s__uncultured_rumen_bacterium_g__norank_f__Christensenellaceae</v>
          </cell>
        </row>
        <row r="11960">
          <cell r="G11960" t="str">
            <v>ASV21749</v>
          </cell>
          <cell r="H11960" t="str">
            <v>g__unclassified_f__Sphingomonadaceae</v>
          </cell>
          <cell r="I11960" t="str">
            <v>s__unclassified_f__Sphingomonadaceae</v>
          </cell>
        </row>
        <row r="11961">
          <cell r="G11961" t="str">
            <v>ASV24254</v>
          </cell>
          <cell r="H11961" t="str">
            <v>g__unclassified_c__Bacilli</v>
          </cell>
          <cell r="I11961" t="str">
            <v>s__unclassified_c__Bacilli</v>
          </cell>
        </row>
        <row r="11962">
          <cell r="G11962" t="str">
            <v>ASV5953</v>
          </cell>
          <cell r="H11962" t="str">
            <v>g__unclassified_c__Bacteroidia</v>
          </cell>
          <cell r="I11962" t="str">
            <v>s__unclassified_c__Bacteroidia</v>
          </cell>
        </row>
        <row r="11963">
          <cell r="G11963" t="str">
            <v>ASV4883</v>
          </cell>
          <cell r="H11963" t="str">
            <v>g__Eubacterium_oxidoreducens_group</v>
          </cell>
          <cell r="I11963" t="str">
            <v>s__uncultured_bacterium_g__Eubacterium_oxidoreducens_group</v>
          </cell>
        </row>
        <row r="11964">
          <cell r="G11964" t="str">
            <v>ASV14539</v>
          </cell>
          <cell r="H11964" t="str">
            <v>g__Clostridium_sensu_stricto_1</v>
          </cell>
          <cell r="I11964" t="str">
            <v>s__unclassified_g__Clostridium_sensu_stricto_1</v>
          </cell>
        </row>
        <row r="11965">
          <cell r="G11965" t="str">
            <v>ASV14347</v>
          </cell>
          <cell r="H11965" t="str">
            <v>g__unclassified_c__Clostridia</v>
          </cell>
          <cell r="I11965" t="str">
            <v>s__unclassified_c__Clostridia</v>
          </cell>
        </row>
        <row r="11966">
          <cell r="G11966" t="str">
            <v>ASV14353</v>
          </cell>
          <cell r="H11966" t="str">
            <v>g__unclassified_f__Lachnospiraceae</v>
          </cell>
          <cell r="I11966" t="str">
            <v>s__unclassified_f__Lachnospiraceae</v>
          </cell>
        </row>
        <row r="11967">
          <cell r="G11967" t="str">
            <v>ASV1087</v>
          </cell>
          <cell r="H11967" t="str">
            <v>g__Eubacterium_oxidoreducens_group</v>
          </cell>
          <cell r="I11967" t="str">
            <v>s__uncultured_bacterium_g__Eubacterium_oxidoreducens_group</v>
          </cell>
        </row>
        <row r="11968">
          <cell r="G11968" t="str">
            <v>ASV21616</v>
          </cell>
          <cell r="H11968" t="str">
            <v>g__unclassified_c__Negativicutes</v>
          </cell>
          <cell r="I11968" t="str">
            <v>s__unclassified_c__Negativicutes</v>
          </cell>
        </row>
        <row r="11969">
          <cell r="G11969" t="str">
            <v>ASV4904</v>
          </cell>
          <cell r="H11969" t="str">
            <v>g__unclassified_f__Ruminococcaceae</v>
          </cell>
          <cell r="I11969" t="str">
            <v>s__unclassified_f__Ruminococcaceae</v>
          </cell>
        </row>
        <row r="11970">
          <cell r="G11970" t="str">
            <v>ASV16043</v>
          </cell>
          <cell r="H11970" t="str">
            <v>g__unclassified_f__Lachnospiraceae</v>
          </cell>
          <cell r="I11970" t="str">
            <v>s__unclassified_f__Lachnospiraceae</v>
          </cell>
        </row>
        <row r="11971">
          <cell r="G11971" t="str">
            <v>ASV6085</v>
          </cell>
          <cell r="H11971" t="str">
            <v>g__unclassified_o__Oscillospirales</v>
          </cell>
          <cell r="I11971" t="str">
            <v>s__unclassified_o__Oscillospirales</v>
          </cell>
        </row>
        <row r="11972">
          <cell r="G11972" t="str">
            <v>ASV19693</v>
          </cell>
          <cell r="H11972" t="str">
            <v>g__unclassified_f__Oscillospiraceae</v>
          </cell>
          <cell r="I11972" t="str">
            <v>s__unclassified_f__Oscillospiraceae</v>
          </cell>
        </row>
        <row r="11973">
          <cell r="G11973" t="str">
            <v>ASV2243</v>
          </cell>
          <cell r="H11973" t="str">
            <v>g__norank_f__UCG-011</v>
          </cell>
          <cell r="I11973" t="str">
            <v>s__uncultured_bacterium_g__norank_f__UCG-011</v>
          </cell>
        </row>
        <row r="11974">
          <cell r="G11974" t="str">
            <v>ASV6001</v>
          </cell>
          <cell r="H11974" t="str">
            <v>g__Eubacterium_oxidoreducens_group</v>
          </cell>
          <cell r="I11974" t="str">
            <v>s__uncultured_bacterium_g__Eubacterium_oxidoreducens_group</v>
          </cell>
        </row>
        <row r="11975">
          <cell r="G11975" t="str">
            <v>ASV14481</v>
          </cell>
          <cell r="H11975" t="str">
            <v>g__unclassified_k__norank_d__Bacteria</v>
          </cell>
          <cell r="I11975" t="str">
            <v>s__unclassified_k__norank_d__Bacteria</v>
          </cell>
        </row>
        <row r="11976">
          <cell r="G11976" t="str">
            <v>ASV807</v>
          </cell>
          <cell r="H11976" t="str">
            <v>g__norank_f__Eubacterium_coprostanoligenes_group</v>
          </cell>
          <cell r="I11976" t="str">
            <v>s__unclassified_g__norank_f__Eubacterium_coprostanoligenes_group</v>
          </cell>
        </row>
        <row r="11977">
          <cell r="G11977" t="str">
            <v>ASV14378</v>
          </cell>
          <cell r="H11977" t="str">
            <v>g__unclassified_o__Oscillospirales</v>
          </cell>
          <cell r="I11977" t="str">
            <v>s__unclassified_o__Oscillospirales</v>
          </cell>
        </row>
        <row r="11978">
          <cell r="G11978" t="str">
            <v>ASV16943</v>
          </cell>
          <cell r="H11978" t="str">
            <v>g__unclassified_f__Lachnospiraceae</v>
          </cell>
          <cell r="I11978" t="str">
            <v>s__unclassified_f__Lachnospiraceae</v>
          </cell>
        </row>
        <row r="11979">
          <cell r="G11979" t="str">
            <v>ASV13446</v>
          </cell>
          <cell r="H11979" t="str">
            <v>g__unclassified_p__Firmicutes</v>
          </cell>
          <cell r="I11979" t="str">
            <v>s__unclassified_p__Firmicutes</v>
          </cell>
        </row>
        <row r="11980">
          <cell r="G11980" t="str">
            <v>ASV9567</v>
          </cell>
          <cell r="H11980" t="str">
            <v>g__unclassified_p__Firmicutes</v>
          </cell>
          <cell r="I11980" t="str">
            <v>s__unclassified_p__Firmicutes</v>
          </cell>
        </row>
        <row r="11981">
          <cell r="G11981" t="str">
            <v>ASV11923</v>
          </cell>
          <cell r="H11981" t="str">
            <v>g__norank_f__Eubacterium_coprostanoligenes_group</v>
          </cell>
          <cell r="I11981" t="str">
            <v>s__uncultured_bacterium_g__norank_f__Eubacterium_coprostanoligenes_group</v>
          </cell>
        </row>
        <row r="11982">
          <cell r="G11982" t="str">
            <v>ASV2304</v>
          </cell>
          <cell r="H11982" t="str">
            <v>g__Clostridium_sensu_stricto_1</v>
          </cell>
          <cell r="I11982" t="str">
            <v>s__unclassified_g__Clostridium_sensu_stricto_1</v>
          </cell>
        </row>
        <row r="11983">
          <cell r="G11983" t="str">
            <v>ASV9027</v>
          </cell>
          <cell r="H11983" t="str">
            <v>g__unclassified_p__Firmicutes</v>
          </cell>
          <cell r="I11983" t="str">
            <v>s__unclassified_p__Firmicutes</v>
          </cell>
        </row>
        <row r="11984">
          <cell r="G11984" t="str">
            <v>ASV22972</v>
          </cell>
          <cell r="H11984" t="str">
            <v>g__unclassified_f__Selenomonadaceae</v>
          </cell>
          <cell r="I11984" t="str">
            <v>s__unclassified_f__Selenomonadaceae</v>
          </cell>
        </row>
        <row r="11985">
          <cell r="G11985" t="str">
            <v>ASV9483</v>
          </cell>
          <cell r="H11985" t="str">
            <v>g__Eubacterium_nodatum_group</v>
          </cell>
          <cell r="I11985" t="str">
            <v>s__unclassified_g__Eubacterium_nodatum_group</v>
          </cell>
        </row>
        <row r="11986">
          <cell r="G11986" t="str">
            <v>ASV5079</v>
          </cell>
          <cell r="H11986" t="str">
            <v>g__Turicibacter</v>
          </cell>
          <cell r="I11986" t="str">
            <v>s__unclassified_g__Turicibacter</v>
          </cell>
        </row>
        <row r="11987">
          <cell r="G11987" t="str">
            <v>ASV8822</v>
          </cell>
          <cell r="H11987" t="str">
            <v>g__Staphylococcus</v>
          </cell>
          <cell r="I11987" t="str">
            <v>s__unclassified_g__Staphylococcus</v>
          </cell>
        </row>
        <row r="11988">
          <cell r="G11988" t="str">
            <v>ASV16057</v>
          </cell>
          <cell r="H11988" t="str">
            <v>g__Veillonella</v>
          </cell>
          <cell r="I11988" t="str">
            <v>s__unclassified_g__Veillonella</v>
          </cell>
        </row>
        <row r="11989">
          <cell r="G11989" t="str">
            <v>ASV18617</v>
          </cell>
          <cell r="H11989" t="str">
            <v>g__Mogibacterium</v>
          </cell>
          <cell r="I11989" t="str">
            <v>s__uncultured_Enterococcus_sp._g__Mogibacterium</v>
          </cell>
        </row>
        <row r="11990">
          <cell r="G11990" t="str">
            <v>ASV19616</v>
          </cell>
          <cell r="H11990" t="str">
            <v>g__unclassified_f__Spirochaetaceae</v>
          </cell>
          <cell r="I11990" t="str">
            <v>s__unclassified_f__Spirochaetaceae</v>
          </cell>
        </row>
        <row r="11991">
          <cell r="G11991" t="str">
            <v>ASV8821</v>
          </cell>
          <cell r="H11991" t="str">
            <v>g__Streptococcus</v>
          </cell>
          <cell r="I11991" t="str">
            <v>s__unclassified_g__Streptococcus</v>
          </cell>
        </row>
        <row r="11992">
          <cell r="G11992" t="str">
            <v>ASV21483</v>
          </cell>
          <cell r="H11992" t="str">
            <v>g__unclassified_p__Firmicutes</v>
          </cell>
          <cell r="I11992" t="str">
            <v>s__unclassified_p__Firmicutes</v>
          </cell>
        </row>
        <row r="11993">
          <cell r="G11993" t="str">
            <v>ASV9492</v>
          </cell>
          <cell r="H11993" t="str">
            <v>g__unclassified_p__Firmicutes</v>
          </cell>
          <cell r="I11993" t="str">
            <v>s__unclassified_p__Firmicutes</v>
          </cell>
        </row>
        <row r="11994">
          <cell r="G11994" t="str">
            <v>ASV12016</v>
          </cell>
          <cell r="H11994" t="str">
            <v>g__Eubacterium_oxidoreducens_group</v>
          </cell>
          <cell r="I11994" t="str">
            <v>s__uncultured_bacterium_g__Eubacterium_oxidoreducens_group</v>
          </cell>
        </row>
        <row r="11995">
          <cell r="G11995" t="str">
            <v>ASV1074</v>
          </cell>
          <cell r="H11995" t="str">
            <v>g__unclassified_f__Lachnospiraceae</v>
          </cell>
          <cell r="I11995" t="str">
            <v>s__unclassified_f__Lachnospiraceae</v>
          </cell>
        </row>
        <row r="11996">
          <cell r="G11996" t="str">
            <v>ASV10052</v>
          </cell>
          <cell r="H11996" t="str">
            <v>g__Sphaerochaeta</v>
          </cell>
          <cell r="I11996" t="str">
            <v>s__uncultured_bacterium_g__Sphaerochaeta</v>
          </cell>
        </row>
        <row r="11997">
          <cell r="G11997" t="str">
            <v>ASV9436</v>
          </cell>
          <cell r="H11997" t="str">
            <v>g__norank_f__norank_o__Chloroplast</v>
          </cell>
          <cell r="I11997" t="str">
            <v>s__unclassified_g__norank_f__norank_o__Chloroplast</v>
          </cell>
        </row>
        <row r="11998">
          <cell r="G11998" t="str">
            <v>ASV19749</v>
          </cell>
          <cell r="H11998" t="str">
            <v>g__unclassified_f__Lachnospiraceae</v>
          </cell>
          <cell r="I11998" t="str">
            <v>s__unclassified_f__Lachnospiraceae</v>
          </cell>
        </row>
        <row r="11999">
          <cell r="G11999" t="str">
            <v>ASV7968</v>
          </cell>
          <cell r="H11999" t="str">
            <v>g__unclassified_c__Clostridia</v>
          </cell>
          <cell r="I11999" t="str">
            <v>s__unclassified_c__Clostridia</v>
          </cell>
        </row>
        <row r="12000">
          <cell r="G12000" t="str">
            <v>ASV8360</v>
          </cell>
          <cell r="H12000" t="str">
            <v>g__Peptostreptococcus</v>
          </cell>
          <cell r="I12000" t="str">
            <v>s__unclassified_g__Peptostreptococcus</v>
          </cell>
        </row>
        <row r="12001">
          <cell r="G12001" t="str">
            <v>ASV6818</v>
          </cell>
          <cell r="H12001" t="str">
            <v>g__unclassified_k__norank_d__Bacteria</v>
          </cell>
          <cell r="I12001" t="str">
            <v>s__unclassified_k__norank_d__Bacteria</v>
          </cell>
        </row>
        <row r="12002">
          <cell r="G12002" t="str">
            <v>ASV10735</v>
          </cell>
          <cell r="H12002" t="str">
            <v>g__unclassified_f__Peptostreptococcaceae</v>
          </cell>
          <cell r="I12002" t="str">
            <v>s__unclassified_f__Peptostreptococcaceae</v>
          </cell>
        </row>
        <row r="12003">
          <cell r="G12003" t="str">
            <v>ASV22324</v>
          </cell>
          <cell r="H12003" t="str">
            <v>g__unclassified_c__Bacilli</v>
          </cell>
          <cell r="I12003" t="str">
            <v>s__unclassified_c__Bacilli</v>
          </cell>
        </row>
        <row r="12004">
          <cell r="G12004" t="str">
            <v>ASV2362</v>
          </cell>
          <cell r="H12004" t="str">
            <v>g__Enterococcus</v>
          </cell>
          <cell r="I12004" t="str">
            <v>s__unclassified_g__Enterococcus</v>
          </cell>
        </row>
        <row r="12005">
          <cell r="G12005" t="str">
            <v>ASV23977</v>
          </cell>
          <cell r="H12005" t="str">
            <v>g__unclassified_c__Bacilli</v>
          </cell>
          <cell r="I12005" t="str">
            <v>s__unclassified_c__Bacilli</v>
          </cell>
        </row>
        <row r="12006">
          <cell r="G12006" t="str">
            <v>ASV19840</v>
          </cell>
          <cell r="H12006" t="str">
            <v>g__unclassified_c__Clostridia</v>
          </cell>
          <cell r="I12006" t="str">
            <v>s__unclassified_c__Clostridia</v>
          </cell>
        </row>
        <row r="12007">
          <cell r="G12007" t="str">
            <v>ASV12960</v>
          </cell>
          <cell r="H12007" t="str">
            <v>g__Oscillibacter</v>
          </cell>
          <cell r="I12007" t="str">
            <v>s__unclassified_g__Oscillibacter</v>
          </cell>
        </row>
        <row r="12008">
          <cell r="G12008" t="str">
            <v>ASV5004</v>
          </cell>
          <cell r="H12008" t="str">
            <v>g__unclassified_f__Prevotellaceae</v>
          </cell>
          <cell r="I12008" t="str">
            <v>s__unclassified_f__Prevotellaceae</v>
          </cell>
        </row>
        <row r="12009">
          <cell r="G12009" t="str">
            <v>ASV7957</v>
          </cell>
          <cell r="H12009" t="str">
            <v>g__unclassified_f__Lachnospiraceae</v>
          </cell>
          <cell r="I12009" t="str">
            <v>s__unclassified_f__Lachnospiraceae</v>
          </cell>
        </row>
        <row r="12010">
          <cell r="G12010" t="str">
            <v>ASV23363</v>
          </cell>
          <cell r="H12010" t="str">
            <v>g__unclassified_c__Clostridia</v>
          </cell>
          <cell r="I12010" t="str">
            <v>s__unclassified_c__Clostridia</v>
          </cell>
        </row>
        <row r="12011">
          <cell r="G12011" t="str">
            <v>ASV6739</v>
          </cell>
          <cell r="H12011" t="str">
            <v>g__unclassified_p__Firmicutes</v>
          </cell>
          <cell r="I12011" t="str">
            <v>s__unclassified_p__Firmicutes</v>
          </cell>
        </row>
        <row r="12012">
          <cell r="G12012" t="str">
            <v>ASV22318</v>
          </cell>
          <cell r="H12012" t="str">
            <v>g__norank_f__Erysipelotrichaceae</v>
          </cell>
          <cell r="I12012" t="str">
            <v>s__uncultured_bacterium_g__norank_f__Erysipelotrichaceae</v>
          </cell>
        </row>
        <row r="12013">
          <cell r="G12013" t="str">
            <v>ASV14387</v>
          </cell>
          <cell r="H12013" t="str">
            <v>g__unclassified_o__Oscillospirales</v>
          </cell>
          <cell r="I12013" t="str">
            <v>s__unclassified_o__Oscillospirales</v>
          </cell>
        </row>
        <row r="12014">
          <cell r="G12014" t="str">
            <v>ASV19634</v>
          </cell>
          <cell r="H12014" t="str">
            <v>g__unclassified_f__Ruminococcaceae</v>
          </cell>
          <cell r="I12014" t="str">
            <v>s__unclassified_f__Ruminococcaceae</v>
          </cell>
        </row>
        <row r="12015">
          <cell r="G12015" t="str">
            <v>ASV5105</v>
          </cell>
          <cell r="H12015" t="str">
            <v>g__Lachnospiraceae_NC2004_group</v>
          </cell>
          <cell r="I12015" t="str">
            <v>s__unclassified_g__Lachnospiraceae_NC2004_group</v>
          </cell>
        </row>
        <row r="12016">
          <cell r="G12016" t="str">
            <v>ASV8506</v>
          </cell>
          <cell r="H12016" t="str">
            <v>g__unclassified_f__Prevotellaceae</v>
          </cell>
          <cell r="I12016" t="str">
            <v>s__unclassified_f__Prevotellaceae</v>
          </cell>
        </row>
        <row r="12017">
          <cell r="G12017" t="str">
            <v>ASV12951</v>
          </cell>
          <cell r="H12017" t="str">
            <v>g__unclassified_f__Lachnospiraceae</v>
          </cell>
          <cell r="I12017" t="str">
            <v>s__unclassified_f__Lachnospiraceae</v>
          </cell>
        </row>
        <row r="12018">
          <cell r="G12018" t="str">
            <v>ASV4881</v>
          </cell>
          <cell r="H12018" t="str">
            <v>g__unclassified_c__Clostridia</v>
          </cell>
          <cell r="I12018" t="str">
            <v>s__unclassified_c__Clostridia</v>
          </cell>
        </row>
        <row r="12019">
          <cell r="G12019" t="str">
            <v>ASV4965</v>
          </cell>
          <cell r="H12019" t="str">
            <v>g__norank_f__Peptostreptococcaceae</v>
          </cell>
          <cell r="I12019" t="str">
            <v>s__uncultured_bacterium_g__norank_f__Peptostreptococcaceae</v>
          </cell>
        </row>
        <row r="12020">
          <cell r="G12020" t="str">
            <v>ASV22509</v>
          </cell>
          <cell r="H12020" t="str">
            <v>g__norank_f__Erysipelotrichaceae</v>
          </cell>
          <cell r="I12020" t="str">
            <v>s__uncultured_bacterium_g__norank_f__Erysipelotrichaceae</v>
          </cell>
        </row>
        <row r="12021">
          <cell r="G12021" t="str">
            <v>ASV4049</v>
          </cell>
          <cell r="H12021" t="str">
            <v>g__unclassified_f__Prevotellaceae</v>
          </cell>
          <cell r="I12021" t="str">
            <v>s__unclassified_f__Prevotellaceae</v>
          </cell>
        </row>
        <row r="12022">
          <cell r="G12022" t="str">
            <v>ASV8297</v>
          </cell>
          <cell r="H12022" t="str">
            <v>g__Lactobacillus</v>
          </cell>
          <cell r="I12022" t="str">
            <v>s__unclassified_g__Lactobacillus</v>
          </cell>
        </row>
        <row r="12023">
          <cell r="G12023" t="str">
            <v>ASV20933</v>
          </cell>
          <cell r="H12023" t="str">
            <v>g__unclassified_c__Clostridia</v>
          </cell>
          <cell r="I12023" t="str">
            <v>s__unclassified_c__Clostridia</v>
          </cell>
        </row>
        <row r="12024">
          <cell r="G12024" t="str">
            <v>ASV10722</v>
          </cell>
          <cell r="H12024" t="str">
            <v>g__Lactobacillus</v>
          </cell>
          <cell r="I12024" t="str">
            <v>s__unclassified_g__Lactobacillus</v>
          </cell>
        </row>
        <row r="12025">
          <cell r="G12025" t="str">
            <v>ASV7910</v>
          </cell>
          <cell r="H12025" t="str">
            <v>g__unclassified_k__norank_d__Bacteria</v>
          </cell>
          <cell r="I12025" t="str">
            <v>s__unclassified_k__norank_d__Bacteria</v>
          </cell>
        </row>
        <row r="12026">
          <cell r="G12026" t="str">
            <v>ASV16065</v>
          </cell>
          <cell r="H12026" t="str">
            <v>g__unclassified_f__Lachnospiraceae</v>
          </cell>
          <cell r="I12026" t="str">
            <v>s__unclassified_f__Lachnospiraceae</v>
          </cell>
        </row>
        <row r="12027">
          <cell r="G12027" t="str">
            <v>ASV3516</v>
          </cell>
          <cell r="H12027" t="str">
            <v>g__Clostridium_sensu_stricto_1</v>
          </cell>
          <cell r="I12027" t="str">
            <v>s__unclassified_g__Clostridium_sensu_stricto_1</v>
          </cell>
        </row>
        <row r="12028">
          <cell r="G12028" t="str">
            <v>ASV1057</v>
          </cell>
          <cell r="H12028" t="str">
            <v>g__unclassified_f__Oscillospiraceae</v>
          </cell>
          <cell r="I12028" t="str">
            <v>s__unclassified_f__Oscillospiraceae</v>
          </cell>
        </row>
        <row r="12029">
          <cell r="G12029" t="str">
            <v>ASV19730</v>
          </cell>
          <cell r="H12029" t="str">
            <v>g__unclassified_c__Bacilli</v>
          </cell>
          <cell r="I12029" t="str">
            <v>s__unclassified_c__Bacilli</v>
          </cell>
        </row>
        <row r="12030">
          <cell r="G12030" t="str">
            <v>ASV5986</v>
          </cell>
          <cell r="H12030" t="str">
            <v>g__UBA1819</v>
          </cell>
          <cell r="I12030" t="str">
            <v>s__unclassified_g__UBA1819</v>
          </cell>
        </row>
        <row r="12031">
          <cell r="G12031" t="str">
            <v>ASV8292</v>
          </cell>
          <cell r="H12031" t="str">
            <v>g__Brevundimonas</v>
          </cell>
          <cell r="I12031" t="str">
            <v>s__unclassified_g__Brevundimonas</v>
          </cell>
        </row>
        <row r="12032">
          <cell r="G12032" t="str">
            <v>ASV4991</v>
          </cell>
          <cell r="H12032" t="str">
            <v>g__unclassified_f__Lachnospiraceae</v>
          </cell>
          <cell r="I12032" t="str">
            <v>s__unclassified_f__Lachnospiraceae</v>
          </cell>
        </row>
        <row r="12033">
          <cell r="G12033" t="str">
            <v>ASV7201</v>
          </cell>
          <cell r="H12033" t="str">
            <v>g__unclassified_f__Lachnospiraceae</v>
          </cell>
          <cell r="I12033" t="str">
            <v>s__unclassified_f__Lachnospiraceae</v>
          </cell>
        </row>
        <row r="12034">
          <cell r="G12034" t="str">
            <v>ASV11970</v>
          </cell>
          <cell r="H12034" t="str">
            <v>g__unclassified_f__Lachnospiraceae</v>
          </cell>
          <cell r="I12034" t="str">
            <v>s__unclassified_f__Lachnospiraceae</v>
          </cell>
        </row>
        <row r="12035">
          <cell r="G12035" t="str">
            <v>ASV17210</v>
          </cell>
          <cell r="H12035" t="str">
            <v>g__Lactobacillus</v>
          </cell>
          <cell r="I12035" t="str">
            <v>s__unclassified_g__Lactobacillus</v>
          </cell>
        </row>
        <row r="12036">
          <cell r="G12036" t="str">
            <v>ASV4984</v>
          </cell>
          <cell r="H12036" t="str">
            <v>g__unclassified_c__Clostridia</v>
          </cell>
          <cell r="I12036" t="str">
            <v>s__unclassified_c__Clostridia</v>
          </cell>
        </row>
        <row r="12037">
          <cell r="G12037" t="str">
            <v>ASV23968</v>
          </cell>
          <cell r="H12037" t="str">
            <v>g__unclassified_c__Bacilli</v>
          </cell>
          <cell r="I12037" t="str">
            <v>s__unclassified_c__Bacilli</v>
          </cell>
        </row>
        <row r="12038">
          <cell r="G12038" t="str">
            <v>ASV16473</v>
          </cell>
          <cell r="H12038" t="str">
            <v>g__Clostridium_sensu_stricto_1</v>
          </cell>
          <cell r="I12038" t="str">
            <v>s__unclassified_g__Clostridium_sensu_stricto_1</v>
          </cell>
        </row>
        <row r="12039">
          <cell r="G12039" t="str">
            <v>ASV20864</v>
          </cell>
          <cell r="H12039" t="str">
            <v>g__unclassified_k__norank_d__Bacteria</v>
          </cell>
          <cell r="I12039" t="str">
            <v>s__unclassified_k__norank_d__Bacteria</v>
          </cell>
        </row>
        <row r="12040">
          <cell r="G12040" t="str">
            <v>ASV17615</v>
          </cell>
          <cell r="H12040" t="str">
            <v>g__norank_f__Muribaculaceae</v>
          </cell>
          <cell r="I12040" t="str">
            <v>s__uncultured_Porphyromonadaceae_bacterium_g__norank_f__Muribaculaceae</v>
          </cell>
        </row>
        <row r="12041">
          <cell r="G12041" t="str">
            <v>ASV10093</v>
          </cell>
          <cell r="H12041" t="str">
            <v>g__Clostridium_sensu_stricto_1</v>
          </cell>
          <cell r="I12041" t="str">
            <v>s__unclassified_g__Clostridium_sensu_stricto_1</v>
          </cell>
        </row>
        <row r="12042">
          <cell r="G12042" t="str">
            <v>ASV16461</v>
          </cell>
          <cell r="H12042" t="str">
            <v>g__unclassified_k__norank_d__Bacteria</v>
          </cell>
          <cell r="I12042" t="str">
            <v>s__unclassified_k__norank_d__Bacteria</v>
          </cell>
        </row>
        <row r="12043">
          <cell r="G12043" t="str">
            <v>ASV11789</v>
          </cell>
          <cell r="H12043" t="str">
            <v>g__unclassified_f__Prevotellaceae</v>
          </cell>
          <cell r="I12043" t="str">
            <v>s__unclassified_f__Prevotellaceae</v>
          </cell>
        </row>
        <row r="12044">
          <cell r="G12044" t="str">
            <v>ASV7871</v>
          </cell>
          <cell r="H12044" t="str">
            <v>g__Lactobacillus</v>
          </cell>
          <cell r="I12044" t="str">
            <v>s__unclassified_g__Lactobacillus</v>
          </cell>
        </row>
        <row r="12045">
          <cell r="G12045" t="str">
            <v>ASV16988</v>
          </cell>
          <cell r="H12045" t="str">
            <v>g__Lactobacillus</v>
          </cell>
          <cell r="I12045" t="str">
            <v>s__unclassified_g__Lactobacillus</v>
          </cell>
        </row>
        <row r="12046">
          <cell r="G12046" t="str">
            <v>ASV16485</v>
          </cell>
          <cell r="H12046" t="str">
            <v>g__UCG-002</v>
          </cell>
          <cell r="I12046" t="str">
            <v>s__unclassified_g__UCG-002</v>
          </cell>
        </row>
        <row r="12047">
          <cell r="G12047" t="str">
            <v>ASV18121</v>
          </cell>
          <cell r="H12047" t="str">
            <v>g__unclassified_c__Clostridia</v>
          </cell>
          <cell r="I12047" t="str">
            <v>s__unclassified_c__Clostridia</v>
          </cell>
        </row>
        <row r="12048">
          <cell r="G12048" t="str">
            <v>ASV1743</v>
          </cell>
          <cell r="H12048" t="str">
            <v>g__Clostridium_sensu_stricto_1</v>
          </cell>
          <cell r="I12048" t="str">
            <v>s__unclassified_g__Clostridium_sensu_stricto_1</v>
          </cell>
        </row>
        <row r="12049">
          <cell r="G12049" t="str">
            <v>ASV12870</v>
          </cell>
          <cell r="H12049" t="str">
            <v>g__norank_f__norank_o__RF39</v>
          </cell>
          <cell r="I12049" t="str">
            <v>s__uncultured_bacterium_g__norank_f__norank_o__RF39</v>
          </cell>
        </row>
        <row r="12050">
          <cell r="G12050" t="str">
            <v>ASV22505</v>
          </cell>
          <cell r="H12050" t="str">
            <v>g__unclassified_f__Ruminococcaceae</v>
          </cell>
          <cell r="I12050" t="str">
            <v>s__unclassified_f__Ruminococcaceae</v>
          </cell>
        </row>
        <row r="12051">
          <cell r="G12051" t="str">
            <v>ASV11722</v>
          </cell>
          <cell r="H12051" t="str">
            <v>g__unclassified_f__Ruminococcaceae</v>
          </cell>
          <cell r="I12051" t="str">
            <v>s__unclassified_f__Ruminococcaceae</v>
          </cell>
        </row>
        <row r="12052">
          <cell r="G12052" t="str">
            <v>ASV4925</v>
          </cell>
          <cell r="H12052" t="str">
            <v>g__unclassified_o__Oscillospirales</v>
          </cell>
          <cell r="I12052" t="str">
            <v>s__unclassified_o__Oscillospirales</v>
          </cell>
        </row>
        <row r="12053">
          <cell r="G12053" t="str">
            <v>ASV11880</v>
          </cell>
          <cell r="H12053" t="str">
            <v>g__unclassified_c__Clostridia</v>
          </cell>
          <cell r="I12053" t="str">
            <v>s__unclassified_c__Clostridia</v>
          </cell>
        </row>
        <row r="12054">
          <cell r="G12054" t="str">
            <v>ASV16971</v>
          </cell>
          <cell r="H12054" t="str">
            <v>g__unclassified_o__Oscillospirales</v>
          </cell>
          <cell r="I12054" t="str">
            <v>s__unclassified_o__Oscillospirales</v>
          </cell>
        </row>
        <row r="12055">
          <cell r="G12055" t="str">
            <v>ASV14507</v>
          </cell>
          <cell r="H12055" t="str">
            <v>g__unclassified_c__Clostridia</v>
          </cell>
          <cell r="I12055" t="str">
            <v>s__unclassified_c__Clostridia</v>
          </cell>
        </row>
        <row r="12056">
          <cell r="G12056" t="str">
            <v>ASV19688</v>
          </cell>
          <cell r="H12056" t="str">
            <v>g__unclassified_c__Clostridia</v>
          </cell>
          <cell r="I12056" t="str">
            <v>s__unclassified_c__Clostridia</v>
          </cell>
        </row>
        <row r="12057">
          <cell r="G12057" t="str">
            <v>ASV22481</v>
          </cell>
          <cell r="H12057" t="str">
            <v>g__unclassified_f__Lachnospiraceae</v>
          </cell>
          <cell r="I12057" t="str">
            <v>s__unclassified_f__Lachnospiraceae</v>
          </cell>
        </row>
        <row r="12058">
          <cell r="G12058" t="str">
            <v>ASV7834</v>
          </cell>
          <cell r="H12058" t="str">
            <v>g__unclassified_c__Clostridia</v>
          </cell>
          <cell r="I12058" t="str">
            <v>s__unclassified_c__Clostridia</v>
          </cell>
        </row>
        <row r="12059">
          <cell r="G12059" t="str">
            <v>ASV19077</v>
          </cell>
          <cell r="H12059" t="str">
            <v>g__unclassified_f__Lachnospiraceae</v>
          </cell>
          <cell r="I12059" t="str">
            <v>s__unclassified_f__Lachnospiraceae</v>
          </cell>
        </row>
        <row r="12060">
          <cell r="G12060" t="str">
            <v>ASV14380</v>
          </cell>
          <cell r="H12060" t="str">
            <v>g__unclassified_f__Micrococcaceae</v>
          </cell>
          <cell r="I12060" t="str">
            <v>s__unclassified_f__Micrococcaceae</v>
          </cell>
        </row>
        <row r="12061">
          <cell r="G12061" t="str">
            <v>ASV22373</v>
          </cell>
          <cell r="H12061" t="str">
            <v>g__unclassified_c__Clostridia</v>
          </cell>
          <cell r="I12061" t="str">
            <v>s__unclassified_c__Clostridia</v>
          </cell>
        </row>
        <row r="12062">
          <cell r="G12062" t="str">
            <v>ASV818</v>
          </cell>
          <cell r="H12062" t="str">
            <v>g__unclassified_o__Oscillospirales</v>
          </cell>
          <cell r="I12062" t="str">
            <v>s__unclassified_o__Oscillospirales</v>
          </cell>
        </row>
        <row r="12063">
          <cell r="G12063" t="str">
            <v>ASV4879</v>
          </cell>
          <cell r="H12063" t="str">
            <v>g__unclassified_k__norank_d__Bacteria</v>
          </cell>
          <cell r="I12063" t="str">
            <v>s__unclassified_k__norank_d__Bacteria</v>
          </cell>
        </row>
        <row r="12064">
          <cell r="G12064" t="str">
            <v>ASV3506</v>
          </cell>
          <cell r="H12064" t="str">
            <v>g__unclassified_c__Bacilli</v>
          </cell>
          <cell r="I12064" t="str">
            <v>s__unclassified_c__Bacilli</v>
          </cell>
        </row>
        <row r="12065">
          <cell r="G12065" t="str">
            <v>ASV1026</v>
          </cell>
          <cell r="H12065" t="str">
            <v>g__Lactobacillus</v>
          </cell>
          <cell r="I12065" t="str">
            <v>s__unclassified_g__Lactobacillus</v>
          </cell>
        </row>
        <row r="12066">
          <cell r="G12066" t="str">
            <v>ASV14430</v>
          </cell>
          <cell r="H12066" t="str">
            <v>g__unclassified_c__Clostridia</v>
          </cell>
          <cell r="I12066" t="str">
            <v>s__unclassified_c__Clostridia</v>
          </cell>
        </row>
        <row r="12067">
          <cell r="G12067" t="str">
            <v>ASV15525</v>
          </cell>
          <cell r="H12067" t="str">
            <v>g__unclassified_o__Oscillospirales</v>
          </cell>
          <cell r="I12067" t="str">
            <v>s__unclassified_o__Oscillospirales</v>
          </cell>
        </row>
        <row r="12068">
          <cell r="G12068" t="str">
            <v>ASV9026</v>
          </cell>
          <cell r="H12068" t="str">
            <v>g__unclassified_f__Pasteurellaceae</v>
          </cell>
          <cell r="I12068" t="str">
            <v>s__unclassified_f__Pasteurellaceae</v>
          </cell>
        </row>
        <row r="12069">
          <cell r="G12069" t="str">
            <v>ASV20824</v>
          </cell>
          <cell r="H12069" t="str">
            <v>g__unclassified_o__Oscillospirales</v>
          </cell>
          <cell r="I12069" t="str">
            <v>s__unclassified_o__Oscillospirales</v>
          </cell>
        </row>
        <row r="12070">
          <cell r="G12070" t="str">
            <v>ASV9041</v>
          </cell>
          <cell r="H12070" t="str">
            <v>g__Streptococcus</v>
          </cell>
          <cell r="I12070" t="str">
            <v>s__unclassified_g__Streptococcus</v>
          </cell>
        </row>
        <row r="12071">
          <cell r="G12071" t="str">
            <v>ASV19664</v>
          </cell>
          <cell r="H12071" t="str">
            <v>g__unclassified_p__Firmicutes</v>
          </cell>
          <cell r="I12071" t="str">
            <v>s__unclassified_p__Firmicutes</v>
          </cell>
        </row>
        <row r="12072">
          <cell r="G12072" t="str">
            <v>ASV2358</v>
          </cell>
          <cell r="H12072" t="str">
            <v>g__unclassified_c__Clostridia</v>
          </cell>
          <cell r="I12072" t="str">
            <v>s__unclassified_c__Clostridia</v>
          </cell>
        </row>
        <row r="12073">
          <cell r="G12073" t="str">
            <v>ASV4936</v>
          </cell>
          <cell r="H12073" t="str">
            <v>g__unclassified_f__Lachnospiraceae</v>
          </cell>
          <cell r="I12073" t="str">
            <v>s__unclassified_f__Lachnospiraceae</v>
          </cell>
        </row>
        <row r="12074">
          <cell r="G12074" t="str">
            <v>ASV19636</v>
          </cell>
          <cell r="H12074" t="str">
            <v>g__unclassified_f__Lachnospiraceae</v>
          </cell>
          <cell r="I12074" t="str">
            <v>s__unclassified_f__Lachnospiraceae</v>
          </cell>
        </row>
        <row r="12075">
          <cell r="G12075" t="str">
            <v>ASV22370</v>
          </cell>
          <cell r="H12075" t="str">
            <v>g__unclassified_p__Firmicutes</v>
          </cell>
          <cell r="I12075" t="str">
            <v>s__unclassified_p__Firmicutes</v>
          </cell>
        </row>
        <row r="12076">
          <cell r="G12076" t="str">
            <v>ASV24390</v>
          </cell>
          <cell r="H12076" t="str">
            <v>g__Olsenella</v>
          </cell>
          <cell r="I12076" t="str">
            <v>s__unclassified_g__Olsenella</v>
          </cell>
        </row>
        <row r="12077">
          <cell r="G12077" t="str">
            <v>ASV13821</v>
          </cell>
          <cell r="H12077" t="str">
            <v>g__Actinomyces</v>
          </cell>
          <cell r="I12077" t="str">
            <v>s__Actinomyces_howellii</v>
          </cell>
        </row>
        <row r="12078">
          <cell r="G12078" t="str">
            <v>ASV9549</v>
          </cell>
          <cell r="H12078" t="str">
            <v>g__unclassified_c__Clostridia</v>
          </cell>
          <cell r="I12078" t="str">
            <v>s__unclassified_c__Clostridia</v>
          </cell>
        </row>
        <row r="12079">
          <cell r="G12079" t="str">
            <v>ASV10778</v>
          </cell>
          <cell r="H12079" t="str">
            <v>g__unclassified_f__Clostridiaceae</v>
          </cell>
          <cell r="I12079" t="str">
            <v>s__unclassified_f__Clostridiaceae</v>
          </cell>
        </row>
        <row r="12080">
          <cell r="G12080" t="str">
            <v>ASV19801</v>
          </cell>
          <cell r="H12080" t="str">
            <v>g__unclassified_f__Lachnospiraceae</v>
          </cell>
          <cell r="I12080" t="str">
            <v>s__unclassified_f__Lachnospiraceae</v>
          </cell>
        </row>
        <row r="12081">
          <cell r="G12081" t="str">
            <v>ASV19705</v>
          </cell>
          <cell r="H12081" t="str">
            <v>g__Acetitomaculum</v>
          </cell>
          <cell r="I12081" t="str">
            <v>s__unclassified_g__Acetitomaculum</v>
          </cell>
        </row>
        <row r="12082">
          <cell r="G12082" t="str">
            <v>ASV10323</v>
          </cell>
          <cell r="H12082" t="str">
            <v>g__unclassified_k__norank_d__Bacteria</v>
          </cell>
          <cell r="I12082" t="str">
            <v>s__unclassified_k__norank_d__Bacteria</v>
          </cell>
        </row>
        <row r="12083">
          <cell r="G12083" t="str">
            <v>ASV3667</v>
          </cell>
          <cell r="H12083" t="str">
            <v>g__Acetitomaculum</v>
          </cell>
          <cell r="I12083" t="str">
            <v>s__Lachnospiraceae_bacterium_canine_oral_taxon_099</v>
          </cell>
        </row>
        <row r="12084">
          <cell r="G12084" t="str">
            <v>ASV2323</v>
          </cell>
          <cell r="H12084" t="str">
            <v>g__Turicibacter</v>
          </cell>
          <cell r="I12084" t="str">
            <v>s__uncultured_bacterium_g__Turicibacter</v>
          </cell>
        </row>
        <row r="12085">
          <cell r="G12085" t="str">
            <v>ASV12806</v>
          </cell>
          <cell r="H12085" t="str">
            <v>g__norank_f__norank_o__WCHB1-41</v>
          </cell>
          <cell r="I12085" t="str">
            <v>s__uncultured_bacterium_g__norank_f__norank_o__WCHB1-41</v>
          </cell>
        </row>
        <row r="12086">
          <cell r="G12086" t="str">
            <v>ASV12858</v>
          </cell>
          <cell r="H12086" t="str">
            <v>g__unclassified_c__Clostridia</v>
          </cell>
          <cell r="I12086" t="str">
            <v>s__unclassified_c__Clostridia</v>
          </cell>
        </row>
        <row r="12087">
          <cell r="G12087" t="str">
            <v>ASV17221</v>
          </cell>
          <cell r="H12087" t="str">
            <v>g__Lactobacillus</v>
          </cell>
          <cell r="I12087" t="str">
            <v>s__unclassified_g__Lactobacillus</v>
          </cell>
        </row>
        <row r="12088">
          <cell r="G12088" t="str">
            <v>ASV16062</v>
          </cell>
          <cell r="H12088" t="str">
            <v>g__Lactobacillus</v>
          </cell>
          <cell r="I12088" t="str">
            <v>s__unclassified_g__Lactobacillus</v>
          </cell>
        </row>
        <row r="12089">
          <cell r="G12089" t="str">
            <v>ASV1079</v>
          </cell>
          <cell r="H12089" t="str">
            <v>g__norank_f__Oscillospiraceae</v>
          </cell>
          <cell r="I12089" t="str">
            <v>s__unclassified_g__norank_f__Oscillospiraceae</v>
          </cell>
        </row>
        <row r="12090">
          <cell r="G12090" t="str">
            <v>ASV21474</v>
          </cell>
          <cell r="H12090" t="str">
            <v>g__unclassified_f__Veillonellaceae</v>
          </cell>
          <cell r="I12090" t="str">
            <v>s__unclassified_f__Veillonellaceae</v>
          </cell>
        </row>
        <row r="12091">
          <cell r="G12091" t="str">
            <v>ASV2371</v>
          </cell>
          <cell r="H12091" t="str">
            <v>g__unclassified_f__Peptostreptococcaceae</v>
          </cell>
          <cell r="I12091" t="str">
            <v>s__unclassified_f__Peptostreptococcaceae</v>
          </cell>
        </row>
        <row r="12092">
          <cell r="G12092" t="str">
            <v>ASV18069</v>
          </cell>
          <cell r="H12092" t="str">
            <v>g__unclassified_c__Clostridia</v>
          </cell>
          <cell r="I12092" t="str">
            <v>s__unclassified_c__Clostridia</v>
          </cell>
        </row>
        <row r="12093">
          <cell r="G12093" t="str">
            <v>ASV12005</v>
          </cell>
          <cell r="H12093" t="str">
            <v>g__norank_f__Selenomonadaceae</v>
          </cell>
          <cell r="I12093" t="str">
            <v>s__unclassified_g__norank_f__Selenomonadaceae</v>
          </cell>
        </row>
        <row r="12094">
          <cell r="G12094" t="str">
            <v>ASV11959</v>
          </cell>
          <cell r="H12094" t="str">
            <v>g__norank_f__p-2534-18B5_gut_group</v>
          </cell>
          <cell r="I12094" t="str">
            <v>s__uncultured_bacterium_g__norank_f__p-2534-18B5_gut_group</v>
          </cell>
        </row>
        <row r="12095">
          <cell r="G12095" t="str">
            <v>ASV6792</v>
          </cell>
          <cell r="H12095" t="str">
            <v>g__Ruminococcus</v>
          </cell>
          <cell r="I12095" t="str">
            <v>s__unclassified_g__Ruminococcus</v>
          </cell>
        </row>
        <row r="12096">
          <cell r="G12096" t="str">
            <v>ASV3252</v>
          </cell>
          <cell r="H12096" t="str">
            <v>g__Fusicatenibacter</v>
          </cell>
          <cell r="I12096" t="str">
            <v>s__unclassified_g__Fusicatenibacter</v>
          </cell>
        </row>
        <row r="12097">
          <cell r="G12097" t="str">
            <v>ASV7069</v>
          </cell>
          <cell r="H12097" t="str">
            <v>g__unclassified_o__Burkholderiales</v>
          </cell>
          <cell r="I12097" t="str">
            <v>s__unclassified_o__Burkholderiales</v>
          </cell>
        </row>
        <row r="12098">
          <cell r="G12098" t="str">
            <v>ASV22461</v>
          </cell>
          <cell r="H12098" t="str">
            <v>g__unclassified_f__Lachnospiraceae</v>
          </cell>
          <cell r="I12098" t="str">
            <v>s__unclassified_f__Lachnospiraceae</v>
          </cell>
        </row>
        <row r="12099">
          <cell r="G12099" t="str">
            <v>ASV23462</v>
          </cell>
          <cell r="H12099" t="str">
            <v>g__unclassified_c__Clostridia</v>
          </cell>
          <cell r="I12099" t="str">
            <v>s__unclassified_c__Clostridia</v>
          </cell>
        </row>
        <row r="12100">
          <cell r="G12100" t="str">
            <v>ASV10097</v>
          </cell>
          <cell r="H12100" t="str">
            <v>g__Campylobacter</v>
          </cell>
          <cell r="I12100" t="str">
            <v>s__unclassified_g__Campylobacter</v>
          </cell>
        </row>
        <row r="12101">
          <cell r="G12101" t="str">
            <v>ASV4120</v>
          </cell>
          <cell r="H12101" t="str">
            <v>g__Lactobacillus</v>
          </cell>
          <cell r="I12101" t="str">
            <v>s__unclassified_g__Lactobacillus</v>
          </cell>
        </row>
        <row r="12102">
          <cell r="G12102" t="str">
            <v>ASV23989</v>
          </cell>
          <cell r="H12102" t="str">
            <v>g__Lactobacillus</v>
          </cell>
          <cell r="I12102" t="str">
            <v>s__unclassified_g__Lactobacillus</v>
          </cell>
        </row>
        <row r="12103">
          <cell r="G12103" t="str">
            <v>ASV13486</v>
          </cell>
          <cell r="H12103" t="str">
            <v>g__Faecalicoccus</v>
          </cell>
          <cell r="I12103" t="str">
            <v>s__unclassified_g__Faecalicoccus</v>
          </cell>
        </row>
        <row r="12104">
          <cell r="G12104" t="str">
            <v>ASV11872</v>
          </cell>
          <cell r="H12104" t="str">
            <v>g__Succiniclasticum</v>
          </cell>
          <cell r="I12104" t="str">
            <v>s__unclassified_g__Succiniclasticum</v>
          </cell>
        </row>
        <row r="12105">
          <cell r="G12105" t="str">
            <v>ASV23327</v>
          </cell>
          <cell r="H12105" t="str">
            <v>g__unclassified_c__Clostridia</v>
          </cell>
          <cell r="I12105" t="str">
            <v>s__unclassified_c__Clostridia</v>
          </cell>
        </row>
        <row r="12106">
          <cell r="G12106" t="str">
            <v>ASV10724</v>
          </cell>
          <cell r="H12106" t="str">
            <v>g__unclassified_c__Clostridia</v>
          </cell>
          <cell r="I12106" t="str">
            <v>s__unclassified_c__Clostridia</v>
          </cell>
        </row>
        <row r="12107">
          <cell r="G12107" t="str">
            <v>ASV10808</v>
          </cell>
          <cell r="H12107" t="str">
            <v>g__unclassified_f__Oscillospiraceae</v>
          </cell>
          <cell r="I12107" t="str">
            <v>s__unclassified_f__Oscillospiraceae</v>
          </cell>
        </row>
        <row r="12108">
          <cell r="G12108" t="str">
            <v>ASV2375</v>
          </cell>
          <cell r="H12108" t="str">
            <v>g__CHKCI001</v>
          </cell>
          <cell r="I12108" t="str">
            <v>s__uncultured_bacterium_g__CHKCI001</v>
          </cell>
        </row>
        <row r="12109">
          <cell r="G12109" t="str">
            <v>ASV5984</v>
          </cell>
          <cell r="H12109" t="str">
            <v>g__unclassified_f__Anaerovoracaceae</v>
          </cell>
          <cell r="I12109" t="str">
            <v>s__unclassified_f__Anaerovoracaceae</v>
          </cell>
        </row>
        <row r="12110">
          <cell r="G12110" t="str">
            <v>ASV9455</v>
          </cell>
          <cell r="H12110" t="str">
            <v>g__norank_f__Muribaculaceae</v>
          </cell>
          <cell r="I12110" t="str">
            <v>s__uncultured_bacterium_g__norank_f__Muribaculaceae</v>
          </cell>
        </row>
        <row r="12111">
          <cell r="G12111" t="str">
            <v>ASV9884</v>
          </cell>
          <cell r="H12111" t="str">
            <v>g__unclassified_p__Firmicutes</v>
          </cell>
          <cell r="I12111" t="str">
            <v>s__unclassified_p__Firmicutes</v>
          </cell>
        </row>
        <row r="12112">
          <cell r="G12112" t="str">
            <v>ASV19849</v>
          </cell>
          <cell r="H12112" t="str">
            <v>g__norank_f__Muribaculaceae</v>
          </cell>
          <cell r="I12112" t="str">
            <v>s__uncultured_bacterium_g__norank_f__Muribaculaceae</v>
          </cell>
        </row>
        <row r="12113">
          <cell r="G12113" t="str">
            <v>ASV8819</v>
          </cell>
          <cell r="H12113" t="str">
            <v>g__unclassified_o__Oscillospirales</v>
          </cell>
          <cell r="I12113" t="str">
            <v>s__unclassified_o__Oscillospirales</v>
          </cell>
        </row>
        <row r="12114">
          <cell r="G12114" t="str">
            <v>ASV11809</v>
          </cell>
          <cell r="H12114" t="str">
            <v>g__Prevotella</v>
          </cell>
          <cell r="I12114" t="str">
            <v>s__unclassified_g__Prevotella</v>
          </cell>
        </row>
        <row r="12115">
          <cell r="G12115" t="str">
            <v>ASV867</v>
          </cell>
          <cell r="H12115" t="str">
            <v>g__unclassified_p__Firmicutes</v>
          </cell>
          <cell r="I12115" t="str">
            <v>s__unclassified_p__Firmicutes</v>
          </cell>
        </row>
        <row r="12116">
          <cell r="G12116" t="str">
            <v>ASV14447</v>
          </cell>
          <cell r="H12116" t="str">
            <v>g__unclassified_o__Oscillospirales</v>
          </cell>
          <cell r="I12116" t="str">
            <v>s__unclassified_o__Oscillospirales</v>
          </cell>
        </row>
        <row r="12117">
          <cell r="G12117" t="str">
            <v>ASV20877</v>
          </cell>
          <cell r="H12117" t="str">
            <v>g__Ruminococcus</v>
          </cell>
          <cell r="I12117" t="str">
            <v>s__unclassified_g__Ruminococcus</v>
          </cell>
        </row>
        <row r="12118">
          <cell r="G12118" t="str">
            <v>ASV18141</v>
          </cell>
          <cell r="H12118" t="str">
            <v>g__Collinsella</v>
          </cell>
          <cell r="I12118" t="str">
            <v>s__unclassified_g__Collinsella</v>
          </cell>
        </row>
        <row r="12119">
          <cell r="G12119" t="str">
            <v>ASV9891</v>
          </cell>
          <cell r="H12119" t="str">
            <v>g__Clostridium_sensu_stricto_1</v>
          </cell>
          <cell r="I12119" t="str">
            <v>s__uncultured_bacterium_g__Clostridium_sensu_stricto_1</v>
          </cell>
        </row>
        <row r="12120">
          <cell r="G12120" t="str">
            <v>ASV10809</v>
          </cell>
          <cell r="H12120" t="str">
            <v>g__unclassified_c__Clostridia</v>
          </cell>
          <cell r="I12120" t="str">
            <v>s__unclassified_c__Clostridia</v>
          </cell>
        </row>
        <row r="12121">
          <cell r="G12121" t="str">
            <v>ASV22477</v>
          </cell>
          <cell r="H12121" t="str">
            <v>g__unclassified_f__Lachnospiraceae</v>
          </cell>
          <cell r="I12121" t="str">
            <v>s__unclassified_f__Lachnospiraceae</v>
          </cell>
        </row>
        <row r="12122">
          <cell r="G12122" t="str">
            <v>ASV949</v>
          </cell>
          <cell r="H12122" t="str">
            <v>g__unclassified_c__Clostridia</v>
          </cell>
          <cell r="I12122" t="str">
            <v>s__unclassified_c__Clostridia</v>
          </cell>
        </row>
        <row r="12123">
          <cell r="G12123" t="str">
            <v>ASV18238</v>
          </cell>
          <cell r="H12123" t="str">
            <v>g__unclassified_f__Lachnospiraceae</v>
          </cell>
          <cell r="I12123" t="str">
            <v>s__unclassified_f__Lachnospiraceae</v>
          </cell>
        </row>
        <row r="12124">
          <cell r="G12124" t="str">
            <v>ASV7886</v>
          </cell>
          <cell r="H12124" t="str">
            <v>g__Lactobacillus</v>
          </cell>
          <cell r="I12124" t="str">
            <v>s__unclassified_g__Lactobacillus</v>
          </cell>
        </row>
        <row r="12125">
          <cell r="G12125" t="str">
            <v>ASV10832</v>
          </cell>
          <cell r="H12125" t="str">
            <v>g__Terrisporobacter</v>
          </cell>
          <cell r="I12125" t="str">
            <v>s__unclassified_g__Terrisporobacter</v>
          </cell>
        </row>
        <row r="12126">
          <cell r="G12126" t="str">
            <v>ASV21276</v>
          </cell>
          <cell r="H12126" t="str">
            <v>g__Escherichia-Shigella</v>
          </cell>
          <cell r="I12126" t="str">
            <v>s__unclassified_g__Escherichia-Shigella</v>
          </cell>
        </row>
        <row r="12127">
          <cell r="G12127" t="str">
            <v>ASV23292</v>
          </cell>
          <cell r="H12127" t="str">
            <v>g__Holdemanella</v>
          </cell>
          <cell r="I12127" t="str">
            <v>s__unclassified_g__Holdemanella</v>
          </cell>
        </row>
        <row r="12128">
          <cell r="G12128" t="str">
            <v>ASV8852</v>
          </cell>
          <cell r="H12128" t="str">
            <v>g__Christensenellaceae_R-7_group</v>
          </cell>
          <cell r="I12128" t="str">
            <v>s__uncultured_prokaryote_g__Christensenellaceae_R-7_group</v>
          </cell>
        </row>
        <row r="12129">
          <cell r="G12129" t="str">
            <v>ASV23371</v>
          </cell>
          <cell r="H12129" t="str">
            <v>g__norank_f__Muribaculaceae</v>
          </cell>
          <cell r="I12129" t="str">
            <v>s__uncultured_bacterium_g__norank_f__Muribaculaceae</v>
          </cell>
        </row>
        <row r="12130">
          <cell r="G12130" t="str">
            <v>ASV1722</v>
          </cell>
          <cell r="H12130" t="str">
            <v>g__unclassified_f__Oscillospiraceae</v>
          </cell>
          <cell r="I12130" t="str">
            <v>s__unclassified_f__Oscillospiraceae</v>
          </cell>
        </row>
        <row r="12131">
          <cell r="G12131" t="str">
            <v>ASV20479</v>
          </cell>
          <cell r="H12131" t="str">
            <v>g__Comamonas</v>
          </cell>
          <cell r="I12131" t="str">
            <v>s__unclassified_g__Comamonas</v>
          </cell>
        </row>
        <row r="12132">
          <cell r="G12132" t="str">
            <v>ASV16017</v>
          </cell>
          <cell r="H12132" t="str">
            <v>g__Howardella</v>
          </cell>
          <cell r="I12132" t="str">
            <v>s__uncultured_bacterium_g__Howardella</v>
          </cell>
        </row>
        <row r="12133">
          <cell r="G12133" t="str">
            <v>ASV19857</v>
          </cell>
          <cell r="H12133" t="str">
            <v>g__unclassified_f__Ruminococcaceae</v>
          </cell>
          <cell r="I12133" t="str">
            <v>s__unclassified_f__Ruminococcaceae</v>
          </cell>
        </row>
        <row r="12134">
          <cell r="G12134" t="str">
            <v>ASV16972</v>
          </cell>
          <cell r="H12134" t="str">
            <v>g__Lactobacillus</v>
          </cell>
          <cell r="I12134" t="str">
            <v>s__unclassified_g__Lactobacillus</v>
          </cell>
        </row>
        <row r="12135">
          <cell r="G12135" t="str">
            <v>ASV16001</v>
          </cell>
          <cell r="H12135" t="str">
            <v>g__Bacteroides</v>
          </cell>
          <cell r="I12135" t="str">
            <v>s__unclassified_g__Bacteroides</v>
          </cell>
        </row>
        <row r="12136">
          <cell r="G12136" t="str">
            <v>ASV5050</v>
          </cell>
          <cell r="H12136" t="str">
            <v>g__unclassified_o__Oscillospirales</v>
          </cell>
          <cell r="I12136" t="str">
            <v>s__unclassified_o__Oscillospirales</v>
          </cell>
        </row>
        <row r="12137">
          <cell r="G12137" t="str">
            <v>ASV19671</v>
          </cell>
          <cell r="H12137" t="str">
            <v>g__Enterococcus</v>
          </cell>
          <cell r="I12137" t="str">
            <v>s__unclassified_g__Enterococcus</v>
          </cell>
        </row>
        <row r="12138">
          <cell r="G12138" t="str">
            <v>ASV4093</v>
          </cell>
          <cell r="H12138" t="str">
            <v>g__Collinsella</v>
          </cell>
          <cell r="I12138" t="str">
            <v>s__unclassified_g__Collinsella</v>
          </cell>
        </row>
        <row r="12139">
          <cell r="G12139" t="str">
            <v>ASV13533</v>
          </cell>
          <cell r="H12139" t="str">
            <v>g__Lachnospiraceae_FCS020_group</v>
          </cell>
          <cell r="I12139" t="str">
            <v>s__uncultured_prokaryote_g__Lachnospiraceae_FCS020_group</v>
          </cell>
        </row>
        <row r="12140">
          <cell r="G12140" t="str">
            <v>ASV20863</v>
          </cell>
          <cell r="H12140" t="str">
            <v>g__unclassified_f__Ruminococcaceae</v>
          </cell>
          <cell r="I12140" t="str">
            <v>s__unclassified_f__Ruminococcaceae</v>
          </cell>
        </row>
        <row r="12141">
          <cell r="G12141" t="str">
            <v>ASV15523</v>
          </cell>
          <cell r="H12141" t="str">
            <v>g__unclassified_c__Clostridia</v>
          </cell>
          <cell r="I12141" t="str">
            <v>s__unclassified_c__Clostridia</v>
          </cell>
        </row>
        <row r="12142">
          <cell r="G12142" t="str">
            <v>ASV11992</v>
          </cell>
          <cell r="H12142" t="str">
            <v>g__unclassified_f__Lachnospiraceae</v>
          </cell>
          <cell r="I12142" t="str">
            <v>s__unclassified_f__Lachnospiraceae</v>
          </cell>
        </row>
        <row r="12143">
          <cell r="G12143" t="str">
            <v>ASV6015</v>
          </cell>
          <cell r="H12143" t="str">
            <v>g__Monoglobus</v>
          </cell>
          <cell r="I12143" t="str">
            <v>s__uncultured_bacterium_g__Monoglobus</v>
          </cell>
        </row>
        <row r="12144">
          <cell r="G12144" t="str">
            <v>ASV11981</v>
          </cell>
          <cell r="H12144" t="str">
            <v>g__unclassified_c__Clostridia</v>
          </cell>
          <cell r="I12144" t="str">
            <v>s__unclassified_c__Clostridia</v>
          </cell>
        </row>
        <row r="12145">
          <cell r="G12145" t="str">
            <v>ASV12866</v>
          </cell>
          <cell r="H12145" t="str">
            <v>g__Bacillus</v>
          </cell>
          <cell r="I12145" t="str">
            <v>s__Lactobacillus_vaginalis_g__Bacillus</v>
          </cell>
        </row>
        <row r="12146">
          <cell r="G12146" t="str">
            <v>ASV22927</v>
          </cell>
          <cell r="H12146" t="str">
            <v>g__Arthrobacter</v>
          </cell>
          <cell r="I12146" t="str">
            <v>s__unclassified_g__Arthrobacter</v>
          </cell>
        </row>
        <row r="12147">
          <cell r="G12147" t="str">
            <v>ASV1737</v>
          </cell>
          <cell r="H12147" t="str">
            <v>g__Lactobacillus</v>
          </cell>
          <cell r="I12147" t="str">
            <v>s__unclassified_g__Lactobacillus</v>
          </cell>
        </row>
        <row r="12148">
          <cell r="G12148" t="str">
            <v>ASV14366</v>
          </cell>
          <cell r="H12148" t="str">
            <v>g__UCG-004</v>
          </cell>
          <cell r="I12148" t="str">
            <v>s__uncultured_bacterium_g__UCG-004</v>
          </cell>
        </row>
        <row r="12149">
          <cell r="G12149" t="str">
            <v>ASV19789</v>
          </cell>
          <cell r="H12149" t="str">
            <v>g__unclassified_f__Lachnospiraceae</v>
          </cell>
          <cell r="I12149" t="str">
            <v>s__unclassified_f__Lachnospiraceae</v>
          </cell>
        </row>
        <row r="12150">
          <cell r="G12150" t="str">
            <v>ASV3257</v>
          </cell>
          <cell r="H12150" t="str">
            <v>g__Bacteroides</v>
          </cell>
          <cell r="I12150" t="str">
            <v>s__uncultured_bacterium_g__Bacteroides</v>
          </cell>
        </row>
        <row r="12151">
          <cell r="G12151" t="str">
            <v>ASV9860</v>
          </cell>
          <cell r="H12151" t="str">
            <v>g__Eubacterium_nodatum_group</v>
          </cell>
          <cell r="I12151" t="str">
            <v>s__unclassified_g__Eubacterium_nodatum_group</v>
          </cell>
        </row>
        <row r="12152">
          <cell r="G12152" t="str">
            <v>ASV16496</v>
          </cell>
          <cell r="H12152" t="str">
            <v>g__Paludicola</v>
          </cell>
          <cell r="I12152" t="str">
            <v>s__metagenome_g__Paludicola</v>
          </cell>
        </row>
        <row r="12153">
          <cell r="G12153" t="str">
            <v>ASV20476</v>
          </cell>
          <cell r="H12153" t="str">
            <v>g__Acinetobacter</v>
          </cell>
          <cell r="I12153" t="str">
            <v>s__unclassified_g__Acinetobacter</v>
          </cell>
        </row>
        <row r="12154">
          <cell r="G12154" t="str">
            <v>ASV10713</v>
          </cell>
          <cell r="H12154" t="str">
            <v>g__unclassified_f__Oscillospiraceae</v>
          </cell>
          <cell r="I12154" t="str">
            <v>s__unclassified_f__Oscillospiraceae</v>
          </cell>
        </row>
        <row r="12155">
          <cell r="G12155" t="str">
            <v>ASV18135</v>
          </cell>
          <cell r="H12155" t="str">
            <v>g__Ruminococcus</v>
          </cell>
          <cell r="I12155" t="str">
            <v>s__uncultured_bacterium_g__Ruminococcus</v>
          </cell>
        </row>
        <row r="12156">
          <cell r="G12156" t="str">
            <v>ASV18611</v>
          </cell>
          <cell r="H12156" t="str">
            <v>g__unclassified_c__Clostridia</v>
          </cell>
          <cell r="I12156" t="str">
            <v>s__unclassified_c__Clostridia</v>
          </cell>
        </row>
        <row r="12157">
          <cell r="G12157" t="str">
            <v>ASV22418</v>
          </cell>
          <cell r="H12157" t="str">
            <v>g__unclassified_c__Clostridia</v>
          </cell>
          <cell r="I12157" t="str">
            <v>s__unclassified_c__Clostridia</v>
          </cell>
        </row>
        <row r="12158">
          <cell r="G12158" t="str">
            <v>ASV13530</v>
          </cell>
          <cell r="H12158" t="str">
            <v>g__unclassified_f__Lachnospiraceae</v>
          </cell>
          <cell r="I12158" t="str">
            <v>s__unclassified_f__Lachnospiraceae</v>
          </cell>
        </row>
        <row r="12159">
          <cell r="G12159" t="str">
            <v>ASV24216</v>
          </cell>
          <cell r="H12159" t="str">
            <v>g__unclassified_f__Lachnospiraceae</v>
          </cell>
          <cell r="I12159" t="str">
            <v>s__unclassified_f__Lachnospiraceae</v>
          </cell>
        </row>
        <row r="12160">
          <cell r="G12160" t="str">
            <v>ASV912</v>
          </cell>
          <cell r="H12160" t="str">
            <v>g__unclassified_f__Oscillospiraceae</v>
          </cell>
          <cell r="I12160" t="str">
            <v>s__unclassified_f__Oscillospiraceae</v>
          </cell>
        </row>
        <row r="12161">
          <cell r="G12161" t="str">
            <v>ASV4932</v>
          </cell>
          <cell r="H12161" t="str">
            <v>g__unclassified_k__norank_d__Bacteria</v>
          </cell>
          <cell r="I12161" t="str">
            <v>s__unclassified_k__norank_d__Bacteria</v>
          </cell>
        </row>
        <row r="12162">
          <cell r="G12162" t="str">
            <v>ASV14466</v>
          </cell>
          <cell r="H12162" t="str">
            <v>g__unclassified_f__Lachnospiraceae</v>
          </cell>
          <cell r="I12162" t="str">
            <v>s__unclassified_f__Lachnospiraceae</v>
          </cell>
        </row>
        <row r="12163">
          <cell r="G12163" t="str">
            <v>ASV23442</v>
          </cell>
          <cell r="H12163" t="str">
            <v>g__Christensenellaceae_R-7_group</v>
          </cell>
          <cell r="I12163" t="str">
            <v>s__uncultured_spirochete_g__Christensenellaceae_R-7_group</v>
          </cell>
        </row>
        <row r="12164">
          <cell r="G12164" t="str">
            <v>ASV4076</v>
          </cell>
          <cell r="H12164" t="str">
            <v>g__Peptococcus</v>
          </cell>
          <cell r="I12164" t="str">
            <v>s__uncultured_bacterium_g__Peptococcus</v>
          </cell>
        </row>
        <row r="12165">
          <cell r="G12165" t="str">
            <v>ASV10757</v>
          </cell>
          <cell r="H12165" t="str">
            <v>g__Eubacterium_oxidoreducens_group</v>
          </cell>
          <cell r="I12165" t="str">
            <v>s__uncultured_bacterium_g__Eubacterium_oxidoreducens_group</v>
          </cell>
        </row>
        <row r="12166">
          <cell r="G12166" t="str">
            <v>ASV17426</v>
          </cell>
          <cell r="H12166" t="str">
            <v>g__unclassified_c__Bacilli</v>
          </cell>
          <cell r="I12166" t="str">
            <v>s__unclassified_c__Bacilli</v>
          </cell>
        </row>
        <row r="12167">
          <cell r="G12167" t="str">
            <v>ASV12825</v>
          </cell>
          <cell r="H12167" t="str">
            <v>g__Ruminococcus</v>
          </cell>
          <cell r="I12167" t="str">
            <v>s__unclassified_g__Ruminococcus</v>
          </cell>
        </row>
        <row r="12168">
          <cell r="G12168" t="str">
            <v>ASV5940</v>
          </cell>
          <cell r="H12168" t="str">
            <v>g__Desulfovibrio</v>
          </cell>
          <cell r="I12168" t="str">
            <v>s__unclassified_g__Desulfovibrio</v>
          </cell>
        </row>
        <row r="12169">
          <cell r="G12169" t="str">
            <v>ASV21242</v>
          </cell>
          <cell r="H12169" t="str">
            <v>g__unclassified_f__Lachnospiraceae</v>
          </cell>
          <cell r="I12169" t="str">
            <v>s__unclassified_f__Lachnospiraceae</v>
          </cell>
        </row>
        <row r="12170">
          <cell r="G12170" t="str">
            <v>ASV1044</v>
          </cell>
          <cell r="H12170" t="str">
            <v>g__unclassified_f__Oscillospiraceae</v>
          </cell>
          <cell r="I12170" t="str">
            <v>s__unclassified_f__Oscillospiraceae</v>
          </cell>
        </row>
        <row r="12171">
          <cell r="G12171" t="str">
            <v>ASV22478</v>
          </cell>
          <cell r="H12171" t="str">
            <v>g__Peptococcus</v>
          </cell>
          <cell r="I12171" t="str">
            <v>s__uncultured_bacterium_g__Peptococcus</v>
          </cell>
        </row>
        <row r="12172">
          <cell r="G12172" t="str">
            <v>ASV12006</v>
          </cell>
          <cell r="H12172" t="str">
            <v>g__Sharpea</v>
          </cell>
          <cell r="I12172" t="str">
            <v>s__unclassified_g__Sharpea</v>
          </cell>
        </row>
        <row r="12173">
          <cell r="G12173" t="str">
            <v>ASV17207</v>
          </cell>
          <cell r="H12173" t="str">
            <v>g__Lactobacillus</v>
          </cell>
          <cell r="I12173" t="str">
            <v>s__unclassified_g__Lactobacillus</v>
          </cell>
        </row>
        <row r="12174">
          <cell r="G12174" t="str">
            <v>ASV10023</v>
          </cell>
          <cell r="H12174" t="str">
            <v>g__norank_f__Victivallaceae</v>
          </cell>
          <cell r="I12174" t="str">
            <v>s__uncultured_bacterium_g__norank_f__Victivallaceae</v>
          </cell>
        </row>
        <row r="12175">
          <cell r="G12175" t="str">
            <v>ASV16489</v>
          </cell>
          <cell r="H12175" t="str">
            <v>g__unclassified_f__Prevotellaceae</v>
          </cell>
          <cell r="I12175" t="str">
            <v>s__unclassified_f__Prevotellaceae</v>
          </cell>
        </row>
        <row r="12176">
          <cell r="G12176" t="str">
            <v>ASV21495</v>
          </cell>
          <cell r="H12176" t="str">
            <v>g__unclassified_f__Prevotellaceae</v>
          </cell>
          <cell r="I12176" t="str">
            <v>s__unclassified_f__Prevotellaceae</v>
          </cell>
        </row>
        <row r="12177">
          <cell r="G12177" t="str">
            <v>ASV19638</v>
          </cell>
          <cell r="H12177" t="str">
            <v>g__Eubacterium_oxidoreducens_group</v>
          </cell>
          <cell r="I12177" t="str">
            <v>s__uncultured_bacterium_g__Eubacterium_oxidoreducens_group</v>
          </cell>
        </row>
        <row r="12178">
          <cell r="G12178" t="str">
            <v>ASV16540</v>
          </cell>
          <cell r="H12178" t="str">
            <v>g__Ruminococcus</v>
          </cell>
          <cell r="I12178" t="str">
            <v>s__unclassified_g__Ruminococcus</v>
          </cell>
        </row>
        <row r="12179">
          <cell r="G12179" t="str">
            <v>ASV23459</v>
          </cell>
          <cell r="H12179" t="str">
            <v>g__unclassified_c__Clostridia</v>
          </cell>
          <cell r="I12179" t="str">
            <v>s__unclassified_c__Clostridia</v>
          </cell>
        </row>
        <row r="12180">
          <cell r="G12180" t="str">
            <v>ASV23410</v>
          </cell>
          <cell r="H12180" t="str">
            <v>g__Escherichia-Shigella</v>
          </cell>
          <cell r="I12180" t="str">
            <v>s__unclassified_g__Escherichia-Shigella</v>
          </cell>
        </row>
        <row r="12181">
          <cell r="G12181" t="str">
            <v>ASV14302</v>
          </cell>
          <cell r="H12181" t="str">
            <v>g__unclassified_f__Lachnospiraceae</v>
          </cell>
          <cell r="I12181" t="str">
            <v>s__unclassified_f__Lachnospiraceae</v>
          </cell>
        </row>
        <row r="12182">
          <cell r="G12182" t="str">
            <v>ASV21489</v>
          </cell>
          <cell r="H12182" t="str">
            <v>g__unclassified_f__Lachnospiraceae</v>
          </cell>
          <cell r="I12182" t="str">
            <v>s__unclassified_f__Lachnospiraceae</v>
          </cell>
        </row>
        <row r="12183">
          <cell r="G12183" t="str">
            <v>ASV14343</v>
          </cell>
          <cell r="H12183" t="str">
            <v>g__unclassified_c__Clostridia</v>
          </cell>
          <cell r="I12183" t="str">
            <v>s__unclassified_c__Clostridia</v>
          </cell>
        </row>
        <row r="12184">
          <cell r="G12184" t="str">
            <v>ASV4892</v>
          </cell>
          <cell r="H12184" t="str">
            <v>g__unclassified_k__norank_d__Bacteria</v>
          </cell>
          <cell r="I12184" t="str">
            <v>s__unclassified_k__norank_d__Bacteria</v>
          </cell>
        </row>
        <row r="12185">
          <cell r="G12185" t="str">
            <v>ASV14497</v>
          </cell>
          <cell r="H12185" t="str">
            <v>g__Alloprevotella</v>
          </cell>
          <cell r="I12185" t="str">
            <v>s__uncultured_bacterium_g__Alloprevotella</v>
          </cell>
        </row>
        <row r="12186">
          <cell r="G12186" t="str">
            <v>ASV14502</v>
          </cell>
          <cell r="H12186" t="str">
            <v>g__UCG-002</v>
          </cell>
          <cell r="I12186" t="str">
            <v>s__unclassified_g__UCG-002</v>
          </cell>
        </row>
        <row r="12187">
          <cell r="G12187" t="str">
            <v>ASV9595</v>
          </cell>
          <cell r="H12187" t="str">
            <v>g__unclassified_o__Oscillospirales</v>
          </cell>
          <cell r="I12187" t="str">
            <v>s__unclassified_o__Oscillospirales</v>
          </cell>
        </row>
        <row r="12188">
          <cell r="G12188" t="str">
            <v>ASV17147</v>
          </cell>
          <cell r="H12188" t="str">
            <v>g__unclassified_k__norank_d__Bacteria</v>
          </cell>
          <cell r="I12188" t="str">
            <v>s__unclassified_k__norank_d__Bacteria</v>
          </cell>
        </row>
        <row r="12189">
          <cell r="G12189" t="str">
            <v>ASV23971</v>
          </cell>
          <cell r="H12189" t="str">
            <v>g__Lactobacillus</v>
          </cell>
          <cell r="I12189" t="str">
            <v>s__unclassified_g__Lactobacillus</v>
          </cell>
        </row>
        <row r="12190">
          <cell r="G12190" t="str">
            <v>ASV15482</v>
          </cell>
          <cell r="H12190" t="str">
            <v>g__unclassified_c__Clostridia</v>
          </cell>
          <cell r="I12190" t="str">
            <v>s__unclassified_c__Clostridia</v>
          </cell>
        </row>
        <row r="12191">
          <cell r="G12191" t="str">
            <v>ASV10830</v>
          </cell>
          <cell r="H12191" t="str">
            <v>g__unclassified_c__Clostridia</v>
          </cell>
          <cell r="I12191" t="str">
            <v>s__unclassified_c__Clostridia</v>
          </cell>
        </row>
        <row r="12192">
          <cell r="G12192" t="str">
            <v>ASV6123</v>
          </cell>
          <cell r="H12192" t="str">
            <v>g__Blautia</v>
          </cell>
          <cell r="I12192" t="str">
            <v>s__unclassified_g__Blautia</v>
          </cell>
        </row>
        <row r="12193">
          <cell r="G12193" t="str">
            <v>ASV2249</v>
          </cell>
          <cell r="H12193" t="str">
            <v>g__unclassified_c__Clostridia</v>
          </cell>
          <cell r="I12193" t="str">
            <v>s__unclassified_c__Clostridia</v>
          </cell>
        </row>
        <row r="12194">
          <cell r="G12194" t="str">
            <v>ASV7294</v>
          </cell>
          <cell r="H12194" t="str">
            <v>g__Cellvibrio</v>
          </cell>
          <cell r="I12194" t="str">
            <v>s__unclassified_g__Cellvibrio</v>
          </cell>
        </row>
        <row r="12195">
          <cell r="G12195" t="str">
            <v>ASV5122</v>
          </cell>
          <cell r="H12195" t="str">
            <v>g__Clostridium_sensu_stricto_1</v>
          </cell>
          <cell r="I12195" t="str">
            <v>s__unclassified_g__Clostridium_sensu_stricto_1</v>
          </cell>
        </row>
        <row r="12196">
          <cell r="G12196" t="str">
            <v>ASV10322</v>
          </cell>
          <cell r="H12196" t="str">
            <v>g__unclassified_p__Firmicutes</v>
          </cell>
          <cell r="I12196" t="str">
            <v>s__unclassified_p__Firmicutes</v>
          </cell>
        </row>
        <row r="12197">
          <cell r="G12197" t="str">
            <v>ASV17493</v>
          </cell>
          <cell r="H12197" t="str">
            <v>g__Lactobacillus</v>
          </cell>
          <cell r="I12197" t="str">
            <v>s__unclassified_g__Lactobacillus</v>
          </cell>
        </row>
        <row r="12198">
          <cell r="G12198" t="str">
            <v>ASV19786</v>
          </cell>
          <cell r="H12198" t="str">
            <v>g__norank_f__UCG-011</v>
          </cell>
          <cell r="I12198" t="str">
            <v>s__uncultured_bacterium_g__norank_f__UCG-011</v>
          </cell>
        </row>
        <row r="12199">
          <cell r="G12199" t="str">
            <v>ASV20896</v>
          </cell>
          <cell r="H12199" t="str">
            <v>g__unclassified_f__Lachnospiraceae</v>
          </cell>
          <cell r="I12199" t="str">
            <v>s__unclassified_f__Lachnospiraceae</v>
          </cell>
        </row>
        <row r="12200">
          <cell r="G12200" t="str">
            <v>ASV909</v>
          </cell>
          <cell r="H12200" t="str">
            <v>g__Lactobacillus</v>
          </cell>
          <cell r="I12200" t="str">
            <v>s__unclassified_g__Lactobacillus</v>
          </cell>
        </row>
        <row r="12201">
          <cell r="G12201" t="str">
            <v>ASV18944</v>
          </cell>
          <cell r="H12201" t="str">
            <v>g__unclassified_f__Lachnospiraceae</v>
          </cell>
          <cell r="I12201" t="str">
            <v>s__unclassified_f__Lachnospiraceae</v>
          </cell>
        </row>
        <row r="12202">
          <cell r="G12202" t="str">
            <v>ASV8851</v>
          </cell>
          <cell r="H12202" t="str">
            <v>g__Streptococcus</v>
          </cell>
          <cell r="I12202" t="str">
            <v>s__unclassified_g__Streptococcus</v>
          </cell>
        </row>
        <row r="12203">
          <cell r="G12203" t="str">
            <v>ASV15512</v>
          </cell>
          <cell r="H12203" t="str">
            <v>g__unclassified_c__Clostridia</v>
          </cell>
          <cell r="I12203" t="str">
            <v>s__unclassified_c__Clostridia</v>
          </cell>
        </row>
        <row r="12204">
          <cell r="G12204" t="str">
            <v>ASV4171</v>
          </cell>
          <cell r="H12204" t="str">
            <v>g__unclassified_c__Clostridia</v>
          </cell>
          <cell r="I12204" t="str">
            <v>s__unclassified_c__Clostridia</v>
          </cell>
        </row>
        <row r="12205">
          <cell r="G12205" t="str">
            <v>ASV10827</v>
          </cell>
          <cell r="H12205" t="str">
            <v>g__unclassified_p__Firmicutes</v>
          </cell>
          <cell r="I12205" t="str">
            <v>s__unclassified_p__Firmicutes</v>
          </cell>
        </row>
        <row r="12206">
          <cell r="G12206" t="str">
            <v>ASV11913</v>
          </cell>
          <cell r="H12206" t="str">
            <v>g__unclassified_f__Ruminococcaceae</v>
          </cell>
          <cell r="I12206" t="str">
            <v>s__unclassified_f__Ruminococcaceae</v>
          </cell>
        </row>
        <row r="12207">
          <cell r="G12207" t="str">
            <v>ASV2932</v>
          </cell>
          <cell r="H12207" t="str">
            <v>g__Arcanobacterium</v>
          </cell>
          <cell r="I12207" t="str">
            <v>s__unclassified_g__Arcanobacterium</v>
          </cell>
        </row>
        <row r="12208">
          <cell r="G12208" t="str">
            <v>ASV19825</v>
          </cell>
          <cell r="H12208" t="str">
            <v>g__Lactobacillus</v>
          </cell>
          <cell r="I12208" t="str">
            <v>s__unclassified_g__Lactobacillus</v>
          </cell>
        </row>
        <row r="12209">
          <cell r="G12209" t="str">
            <v>ASV19807</v>
          </cell>
          <cell r="H12209" t="str">
            <v>g__Mogibacterium</v>
          </cell>
          <cell r="I12209" t="str">
            <v>s__uncultured_bacterium_g__Mogibacterium</v>
          </cell>
        </row>
        <row r="12210">
          <cell r="G12210" t="str">
            <v>ASV20259</v>
          </cell>
          <cell r="H12210" t="str">
            <v>g__unclassified_c__Clostridia</v>
          </cell>
          <cell r="I12210" t="str">
            <v>s__unclassified_c__Clostridia</v>
          </cell>
        </row>
        <row r="12211">
          <cell r="G12211" t="str">
            <v>ASV14541</v>
          </cell>
          <cell r="H12211" t="str">
            <v>g__UCG-005</v>
          </cell>
          <cell r="I12211" t="str">
            <v>s__unclassified_g__UCG-005</v>
          </cell>
        </row>
        <row r="12212">
          <cell r="G12212" t="str">
            <v>ASV16482</v>
          </cell>
          <cell r="H12212" t="str">
            <v>g__norank_f__norank_o__Clostridia_vadinBB60_group</v>
          </cell>
          <cell r="I12212" t="str">
            <v>s__uncultured_bacterium_g__norank_f__norank_o__Clostridia_vadinBB60_group</v>
          </cell>
        </row>
        <row r="12213">
          <cell r="G12213" t="str">
            <v>ASV10736</v>
          </cell>
          <cell r="H12213" t="str">
            <v>g__unclassified_c__Clostridia</v>
          </cell>
          <cell r="I12213" t="str">
            <v>s__unclassified_c__Clostridia</v>
          </cell>
        </row>
        <row r="12214">
          <cell r="G12214" t="str">
            <v>ASV3683</v>
          </cell>
          <cell r="H12214" t="str">
            <v>g__Lactobacillus</v>
          </cell>
          <cell r="I12214" t="str">
            <v>s__unclassified_g__Lactobacillus</v>
          </cell>
        </row>
        <row r="12215">
          <cell r="G12215" t="str">
            <v>ASV4981</v>
          </cell>
          <cell r="H12215" t="str">
            <v>g__unclassified_f__Lachnospiraceae</v>
          </cell>
          <cell r="I12215" t="str">
            <v>s__unclassified_f__Lachnospiraceae</v>
          </cell>
        </row>
        <row r="12216">
          <cell r="G12216" t="str">
            <v>ASV18188</v>
          </cell>
          <cell r="H12216" t="str">
            <v>g__Collinsella</v>
          </cell>
          <cell r="I12216" t="str">
            <v>s__unclassified_g__Collinsella</v>
          </cell>
        </row>
        <row r="12217">
          <cell r="G12217" t="str">
            <v>ASV1015</v>
          </cell>
          <cell r="H12217" t="str">
            <v>g__unclassified_c__Clostridia</v>
          </cell>
          <cell r="I12217" t="str">
            <v>s__unclassified_c__Clostridia</v>
          </cell>
        </row>
        <row r="12218">
          <cell r="G12218" t="str">
            <v>ASV15516</v>
          </cell>
          <cell r="H12218" t="str">
            <v>g__unclassified_c__Clostridia</v>
          </cell>
          <cell r="I12218" t="str">
            <v>s__unclassified_c__Clostridia</v>
          </cell>
        </row>
        <row r="12219">
          <cell r="G12219" t="str">
            <v>ASV5066</v>
          </cell>
          <cell r="H12219" t="str">
            <v>g__unclassified_f__Clostridiaceae</v>
          </cell>
          <cell r="I12219" t="str">
            <v>s__unclassified_f__Clostridiaceae</v>
          </cell>
        </row>
        <row r="12220">
          <cell r="G12220" t="str">
            <v>ASV18073</v>
          </cell>
          <cell r="H12220" t="str">
            <v>g__unclassified_k__norank_d__Bacteria</v>
          </cell>
          <cell r="I12220" t="str">
            <v>s__unclassified_k__norank_d__Bacteria</v>
          </cell>
        </row>
        <row r="12221">
          <cell r="G12221" t="str">
            <v>ASV14324</v>
          </cell>
          <cell r="H12221" t="str">
            <v>g__unclassified_c__Clostridia</v>
          </cell>
          <cell r="I12221" t="str">
            <v>s__unclassified_c__Clostridia</v>
          </cell>
        </row>
        <row r="12222">
          <cell r="G12222" t="str">
            <v>ASV4088</v>
          </cell>
          <cell r="H12222" t="str">
            <v>g__unclassified_p__Firmicutes</v>
          </cell>
          <cell r="I12222" t="str">
            <v>s__unclassified_p__Firmicutes</v>
          </cell>
        </row>
        <row r="12223">
          <cell r="G12223" t="str">
            <v>ASV16454</v>
          </cell>
          <cell r="H12223" t="str">
            <v>g__unclassified_c__Clostridia</v>
          </cell>
          <cell r="I12223" t="str">
            <v>s__unclassified_c__Clostridia</v>
          </cell>
        </row>
        <row r="12224">
          <cell r="G12224" t="str">
            <v>ASV22263</v>
          </cell>
          <cell r="H12224" t="str">
            <v>g__norank_f__norank_o__RF39</v>
          </cell>
          <cell r="I12224" t="str">
            <v>s__uncultured_bacterium_g__norank_f__norank_o__RF39</v>
          </cell>
        </row>
        <row r="12225">
          <cell r="G12225" t="str">
            <v>ASV2322</v>
          </cell>
          <cell r="H12225" t="str">
            <v>g__unclassified_c__Bacilli</v>
          </cell>
          <cell r="I12225" t="str">
            <v>s__unclassified_c__Bacilli</v>
          </cell>
        </row>
        <row r="12226">
          <cell r="G12226" t="str">
            <v>ASV2369</v>
          </cell>
          <cell r="H12226" t="str">
            <v>g__unclassified_f__Lachnospiraceae</v>
          </cell>
          <cell r="I12226" t="str">
            <v>s__unclassified_f__Lachnospiraceae</v>
          </cell>
        </row>
        <row r="12227">
          <cell r="G12227" t="str">
            <v>ASV18183</v>
          </cell>
          <cell r="H12227" t="str">
            <v>g__unclassified_c__Clostridia</v>
          </cell>
          <cell r="I12227" t="str">
            <v>s__unclassified_c__Clostridia</v>
          </cell>
        </row>
        <row r="12228">
          <cell r="G12228" t="str">
            <v>ASV22312</v>
          </cell>
          <cell r="H12228" t="str">
            <v>g__norank_f__Ruminococcaceae</v>
          </cell>
          <cell r="I12228" t="str">
            <v>s__Ruminococcaceae_bacterium_Marseille-P3738</v>
          </cell>
        </row>
        <row r="12229">
          <cell r="G12229" t="str">
            <v>ASV12898</v>
          </cell>
          <cell r="H12229" t="str">
            <v>g__unclassified_c__Clostridia</v>
          </cell>
          <cell r="I12229" t="str">
            <v>s__unclassified_c__Clostridia</v>
          </cell>
        </row>
        <row r="12230">
          <cell r="G12230" t="str">
            <v>ASV7193</v>
          </cell>
          <cell r="H12230" t="str">
            <v>g__Erysipelothrix</v>
          </cell>
          <cell r="I12230" t="str">
            <v>s__unclassified_g__Erysipelothrix</v>
          </cell>
        </row>
        <row r="12231">
          <cell r="G12231" t="str">
            <v>ASV23474</v>
          </cell>
          <cell r="H12231" t="str">
            <v>g__unclassified_f__Peptostreptococcaceae</v>
          </cell>
          <cell r="I12231" t="str">
            <v>s__unclassified_f__Peptostreptococcaceae</v>
          </cell>
        </row>
        <row r="12232">
          <cell r="G12232" t="str">
            <v>ASV12966</v>
          </cell>
          <cell r="H12232" t="str">
            <v>g__norank_f__Eubacterium_coprostanoligenes_group</v>
          </cell>
          <cell r="I12232" t="str">
            <v>s__unclassified_g__norank_f__Eubacterium_coprostanoligenes_group</v>
          </cell>
        </row>
        <row r="12233">
          <cell r="G12233" t="str">
            <v>ASV2343</v>
          </cell>
          <cell r="H12233" t="str">
            <v>g__Christensenellaceae_R-7_group</v>
          </cell>
          <cell r="I12233" t="str">
            <v>s__unclassified_g__Christensenellaceae_R-7_group</v>
          </cell>
        </row>
        <row r="12234">
          <cell r="G12234" t="str">
            <v>ASV19819</v>
          </cell>
          <cell r="H12234" t="str">
            <v>g__Subdoligranulum</v>
          </cell>
          <cell r="I12234" t="str">
            <v>s__unclassified_g__Subdoligranulum</v>
          </cell>
        </row>
        <row r="12235">
          <cell r="G12235" t="str">
            <v>ASV11701</v>
          </cell>
          <cell r="H12235" t="str">
            <v>g__unclassified_c__Clostridia</v>
          </cell>
          <cell r="I12235" t="str">
            <v>s__unclassified_c__Clostridia</v>
          </cell>
        </row>
        <row r="12236">
          <cell r="G12236" t="str">
            <v>ASV16990</v>
          </cell>
          <cell r="H12236" t="str">
            <v>g__unclassified_p__Firmicutes</v>
          </cell>
          <cell r="I12236" t="str">
            <v>s__unclassified_p__Firmicutes</v>
          </cell>
        </row>
        <row r="12237">
          <cell r="G12237" t="str">
            <v>ASV7097</v>
          </cell>
          <cell r="H12237" t="str">
            <v>g__Butyricicoccus</v>
          </cell>
          <cell r="I12237" t="str">
            <v>s__unclassified_g__Butyricicoccus</v>
          </cell>
        </row>
        <row r="12238">
          <cell r="G12238" t="str">
            <v>ASV21244</v>
          </cell>
          <cell r="H12238" t="str">
            <v>g__unclassified_o__Oscillospirales</v>
          </cell>
          <cell r="I12238" t="str">
            <v>s__unclassified_o__Oscillospirales</v>
          </cell>
        </row>
        <row r="12239">
          <cell r="G12239" t="str">
            <v>ASV7078</v>
          </cell>
          <cell r="H12239" t="str">
            <v>g__Streptococcus</v>
          </cell>
          <cell r="I12239" t="str">
            <v>s__unclassified_g__Streptococcus</v>
          </cell>
        </row>
        <row r="12240">
          <cell r="G12240" t="str">
            <v>ASV14451</v>
          </cell>
          <cell r="H12240" t="str">
            <v>g__Ruminococcus</v>
          </cell>
          <cell r="I12240" t="str">
            <v>s__unclassified_g__Ruminococcus</v>
          </cell>
        </row>
        <row r="12241">
          <cell r="G12241" t="str">
            <v>ASV24173</v>
          </cell>
          <cell r="H12241" t="str">
            <v>g__unclassified_f__Peptostreptococcaceae</v>
          </cell>
          <cell r="I12241" t="str">
            <v>s__unclassified_f__Peptostreptococcaceae</v>
          </cell>
        </row>
        <row r="12242">
          <cell r="G12242" t="str">
            <v>ASV1692</v>
          </cell>
          <cell r="H12242" t="str">
            <v>g__unclassified_f__Oscillospiraceae</v>
          </cell>
          <cell r="I12242" t="str">
            <v>s__unclassified_f__Oscillospiraceae</v>
          </cell>
        </row>
        <row r="12243">
          <cell r="G12243" t="str">
            <v>ASV14467</v>
          </cell>
          <cell r="H12243" t="str">
            <v>g__Coprococcus</v>
          </cell>
          <cell r="I12243" t="str">
            <v>s__unclassified_g__Coprococcus</v>
          </cell>
        </row>
        <row r="12244">
          <cell r="G12244" t="str">
            <v>ASV16450</v>
          </cell>
          <cell r="H12244" t="str">
            <v>g__Rikenellaceae_RC9_gut_group</v>
          </cell>
          <cell r="I12244" t="str">
            <v>s__uncultured_bacterium_g__Rikenellaceae_RC9_gut_group</v>
          </cell>
        </row>
        <row r="12245">
          <cell r="G12245" t="str">
            <v>ASV11935</v>
          </cell>
          <cell r="H12245" t="str">
            <v>g__unclassified_o__Bacteroidales</v>
          </cell>
          <cell r="I12245" t="str">
            <v>s__unclassified_o__Bacteroidales</v>
          </cell>
        </row>
        <row r="12246">
          <cell r="G12246" t="str">
            <v>ASV16543</v>
          </cell>
          <cell r="H12246" t="str">
            <v>g__Rikenellaceae_RC9_gut_group</v>
          </cell>
          <cell r="I12246" t="str">
            <v>s__uncultured_bacterium_g__Rikenellaceae_RC9_gut_group</v>
          </cell>
        </row>
        <row r="12247">
          <cell r="G12247" t="str">
            <v>ASV20915</v>
          </cell>
          <cell r="H12247" t="str">
            <v>g__unclassified_c__Clostridia</v>
          </cell>
          <cell r="I12247" t="str">
            <v>s__unclassified_c__Clostridia</v>
          </cell>
        </row>
        <row r="12248">
          <cell r="G12248" t="str">
            <v>ASV20288</v>
          </cell>
          <cell r="H12248" t="str">
            <v>g__unclassified_f__Lachnospiraceae</v>
          </cell>
          <cell r="I12248" t="str">
            <v>s__unclassified_f__Lachnospiraceae</v>
          </cell>
        </row>
        <row r="12249">
          <cell r="G12249" t="str">
            <v>ASV4200</v>
          </cell>
          <cell r="H12249" t="str">
            <v>g__Cloacibacillus</v>
          </cell>
          <cell r="I12249" t="str">
            <v>s__unclassified_g__Cloacibacillus</v>
          </cell>
        </row>
        <row r="12250">
          <cell r="G12250" t="str">
            <v>ASV11831</v>
          </cell>
          <cell r="H12250" t="str">
            <v>g__Prevotella</v>
          </cell>
          <cell r="I12250" t="str">
            <v>s__unclassified_g__Prevotella</v>
          </cell>
        </row>
        <row r="12251">
          <cell r="G12251" t="str">
            <v>ASV16944</v>
          </cell>
          <cell r="H12251" t="str">
            <v>g__unclassified_o__Oscillospirales</v>
          </cell>
          <cell r="I12251" t="str">
            <v>s__unclassified_o__Oscillospirales</v>
          </cell>
        </row>
        <row r="12252">
          <cell r="G12252" t="str">
            <v>ASV5052</v>
          </cell>
          <cell r="H12252" t="str">
            <v>g__unclassified_f__Oscillospiraceae</v>
          </cell>
          <cell r="I12252" t="str">
            <v>s__unclassified_f__Oscillospiraceae</v>
          </cell>
        </row>
        <row r="12253">
          <cell r="G12253" t="str">
            <v>ASV6775</v>
          </cell>
          <cell r="H12253" t="str">
            <v>g__unclassified_f__Peptostreptococcaceae</v>
          </cell>
          <cell r="I12253" t="str">
            <v>s__unclassified_f__Peptostreptococcaceae</v>
          </cell>
        </row>
        <row r="12254">
          <cell r="G12254" t="str">
            <v>ASV23298</v>
          </cell>
          <cell r="H12254" t="str">
            <v>g__unclassified_o__Bacteroidales</v>
          </cell>
          <cell r="I12254" t="str">
            <v>s__unclassified_o__Bacteroidales</v>
          </cell>
        </row>
        <row r="12255">
          <cell r="G12255" t="str">
            <v>ASV17501</v>
          </cell>
          <cell r="H12255" t="str">
            <v>g__Eubacterium_oxidoreducens_group</v>
          </cell>
          <cell r="I12255" t="str">
            <v>s__uncultured_bacterium_g__Eubacterium_oxidoreducens_group</v>
          </cell>
        </row>
        <row r="12256">
          <cell r="G12256" t="str">
            <v>ASV20279</v>
          </cell>
          <cell r="H12256" t="str">
            <v>g__unclassified_p__Firmicutes</v>
          </cell>
          <cell r="I12256" t="str">
            <v>s__unclassified_p__Firmicutes</v>
          </cell>
        </row>
        <row r="12257">
          <cell r="G12257" t="str">
            <v>ASV22379</v>
          </cell>
          <cell r="H12257" t="str">
            <v>g__unclassified_f__Lachnospiraceae</v>
          </cell>
          <cell r="I12257" t="str">
            <v>s__unclassified_f__Lachnospiraceae</v>
          </cell>
        </row>
        <row r="12258">
          <cell r="G12258" t="str">
            <v>ASV23984</v>
          </cell>
          <cell r="H12258" t="str">
            <v>g__unclassified_o__Lactobacillales</v>
          </cell>
          <cell r="I12258" t="str">
            <v>s__unclassified_o__Lactobacillales</v>
          </cell>
        </row>
        <row r="12259">
          <cell r="G12259" t="str">
            <v>ASV2383</v>
          </cell>
          <cell r="H12259" t="str">
            <v>g__Enterococcus</v>
          </cell>
          <cell r="I12259" t="str">
            <v>s__unclassified_g__Enterococcus</v>
          </cell>
        </row>
        <row r="12260">
          <cell r="G12260" t="str">
            <v>ASV7071</v>
          </cell>
          <cell r="H12260" t="str">
            <v>g__unclassified_k__norank_d__Bacteria</v>
          </cell>
          <cell r="I12260" t="str">
            <v>s__unclassified_k__norank_d__Bacteria</v>
          </cell>
        </row>
        <row r="12261">
          <cell r="G12261" t="str">
            <v>ASV2267</v>
          </cell>
          <cell r="H12261" t="str">
            <v>g__unclassified_f__Lachnospiraceae</v>
          </cell>
          <cell r="I12261" t="str">
            <v>s__unclassified_f__Lachnospiraceae</v>
          </cell>
        </row>
        <row r="12262">
          <cell r="G12262" t="str">
            <v>ASV22268</v>
          </cell>
          <cell r="H12262" t="str">
            <v>g__unclassified_f__Lachnospiraceae</v>
          </cell>
          <cell r="I12262" t="str">
            <v>s__unclassified_f__Lachnospiraceae</v>
          </cell>
        </row>
        <row r="12263">
          <cell r="G12263" t="str">
            <v>ASV8648</v>
          </cell>
          <cell r="H12263" t="str">
            <v>g__Luteimonas</v>
          </cell>
          <cell r="I12263" t="str">
            <v>s__unclassified_g__Luteimonas</v>
          </cell>
        </row>
        <row r="12264">
          <cell r="G12264" t="str">
            <v>ASV20884</v>
          </cell>
          <cell r="H12264" t="str">
            <v>g__unclassified_o__Oscillospirales</v>
          </cell>
          <cell r="I12264" t="str">
            <v>s__unclassified_o__Oscillospirales</v>
          </cell>
        </row>
        <row r="12265">
          <cell r="G12265" t="str">
            <v>ASV7090</v>
          </cell>
          <cell r="H12265" t="str">
            <v>g__unclassified_f__Ruminococcaceae</v>
          </cell>
          <cell r="I12265" t="str">
            <v>s__unclassified_f__Ruminococcaceae</v>
          </cell>
        </row>
        <row r="12266">
          <cell r="G12266" t="str">
            <v>ASV15435</v>
          </cell>
          <cell r="H12266" t="str">
            <v>g__unclassified_c__Clostridia</v>
          </cell>
          <cell r="I12266" t="str">
            <v>s__unclassified_c__Clostridia</v>
          </cell>
        </row>
        <row r="12267">
          <cell r="G12267" t="str">
            <v>ASV19102</v>
          </cell>
          <cell r="H12267" t="str">
            <v>g__Escherichia-Shigella</v>
          </cell>
          <cell r="I12267" t="str">
            <v>s__unclassified_g__Escherichia-Shigella</v>
          </cell>
        </row>
        <row r="12268">
          <cell r="G12268" t="str">
            <v>ASV2327</v>
          </cell>
          <cell r="H12268" t="str">
            <v>g__unclassified_c__Clostridia</v>
          </cell>
          <cell r="I12268" t="str">
            <v>s__unclassified_c__Clostridia</v>
          </cell>
        </row>
        <row r="12269">
          <cell r="G12269" t="str">
            <v>ASV11997</v>
          </cell>
          <cell r="H12269" t="str">
            <v>g__Escherichia-Shigella</v>
          </cell>
          <cell r="I12269" t="str">
            <v>s__unclassified_g__Escherichia-Shigella</v>
          </cell>
        </row>
        <row r="12270">
          <cell r="G12270" t="str">
            <v>ASV15825</v>
          </cell>
          <cell r="H12270" t="str">
            <v>g__unclassified_k__norank_d__Bacteria</v>
          </cell>
          <cell r="I12270" t="str">
            <v>s__unclassified_k__norank_d__Bacteria</v>
          </cell>
        </row>
        <row r="12271">
          <cell r="G12271" t="str">
            <v>ASV854</v>
          </cell>
          <cell r="H12271" t="str">
            <v>g__Prevotellaceae_UCG-003</v>
          </cell>
          <cell r="I12271" t="str">
            <v>s__uncultured_bacterium_g__Prevotellaceae_UCG-003</v>
          </cell>
        </row>
        <row r="12272">
          <cell r="G12272" t="str">
            <v>ASV4993</v>
          </cell>
          <cell r="H12272" t="str">
            <v>g__norank_f__p-2534-18B5_gut_group</v>
          </cell>
          <cell r="I12272" t="str">
            <v>s__uncultured_bacterium_g__norank_f__p-2534-18B5_gut_group</v>
          </cell>
        </row>
        <row r="12273">
          <cell r="G12273" t="str">
            <v>ASV19762</v>
          </cell>
          <cell r="H12273" t="str">
            <v>g__norank_f__Muribaculaceae</v>
          </cell>
          <cell r="I12273" t="str">
            <v>s__uncultured_bacterium_g__norank_f__Muribaculaceae</v>
          </cell>
        </row>
        <row r="12274">
          <cell r="G12274" t="str">
            <v>ASV23382</v>
          </cell>
          <cell r="H12274" t="str">
            <v>g__unclassified_c__Clostridia</v>
          </cell>
          <cell r="I12274" t="str">
            <v>s__unclassified_c__Clostridia</v>
          </cell>
        </row>
        <row r="12275">
          <cell r="G12275" t="str">
            <v>ASV4995</v>
          </cell>
          <cell r="H12275" t="str">
            <v>g__Clostridium_sensu_stricto_1</v>
          </cell>
          <cell r="I12275" t="str">
            <v>s__unclassified_g__Clostridium_sensu_stricto_1</v>
          </cell>
        </row>
        <row r="12276">
          <cell r="G12276" t="str">
            <v>ASV3225</v>
          </cell>
          <cell r="H12276" t="str">
            <v>g__Clostridium_sensu_stricto_1</v>
          </cell>
          <cell r="I12276" t="str">
            <v>s__unclassified_g__Clostridium_sensu_stricto_1</v>
          </cell>
        </row>
        <row r="12277">
          <cell r="G12277" t="str">
            <v>ASV10755</v>
          </cell>
          <cell r="H12277" t="str">
            <v>g__unclassified_f__Lachnospiraceae</v>
          </cell>
          <cell r="I12277" t="str">
            <v>s__unclassified_f__Lachnospiraceae</v>
          </cell>
        </row>
        <row r="12278">
          <cell r="G12278" t="str">
            <v>ASV22269</v>
          </cell>
          <cell r="H12278" t="str">
            <v>g__unclassified_o__Oscillospirales</v>
          </cell>
          <cell r="I12278" t="str">
            <v>s__unclassified_o__Oscillospirales</v>
          </cell>
        </row>
        <row r="12279">
          <cell r="G12279" t="str">
            <v>ASV4110</v>
          </cell>
          <cell r="H12279" t="str">
            <v>g__unclassified_c__Clostridia</v>
          </cell>
          <cell r="I12279" t="str">
            <v>s__unclassified_c__Clostridia</v>
          </cell>
        </row>
        <row r="12280">
          <cell r="G12280" t="str">
            <v>ASV20874</v>
          </cell>
          <cell r="H12280" t="str">
            <v>g__Christensenellaceae_R-7_group</v>
          </cell>
          <cell r="I12280" t="str">
            <v>s__uncultured_prokaryote_g__Christensenellaceae_R-7_group</v>
          </cell>
        </row>
        <row r="12281">
          <cell r="G12281" t="str">
            <v>ASV7068</v>
          </cell>
          <cell r="H12281" t="str">
            <v>g__Streptococcus</v>
          </cell>
          <cell r="I12281" t="str">
            <v>s__unclassified_g__Streptococcus</v>
          </cell>
        </row>
        <row r="12282">
          <cell r="G12282" t="str">
            <v>ASV16068</v>
          </cell>
          <cell r="H12282" t="str">
            <v>g__unclassified_f__Lachnospiraceae</v>
          </cell>
          <cell r="I12282" t="str">
            <v>s__unclassified_f__Lachnospiraceae</v>
          </cell>
        </row>
        <row r="12283">
          <cell r="G12283" t="str">
            <v>ASV19694</v>
          </cell>
          <cell r="H12283" t="str">
            <v>g__norank_f__Muribaculaceae</v>
          </cell>
          <cell r="I12283" t="str">
            <v>s__uncultured_bacterium_g__norank_f__Muribaculaceae</v>
          </cell>
        </row>
        <row r="12284">
          <cell r="G12284" t="str">
            <v>ASV4909</v>
          </cell>
          <cell r="H12284" t="str">
            <v>g__unclassified_f__Clostridiaceae</v>
          </cell>
          <cell r="I12284" t="str">
            <v>s__unclassified_f__Clostridiaceae</v>
          </cell>
        </row>
        <row r="12285">
          <cell r="G12285" t="str">
            <v>ASV5081</v>
          </cell>
          <cell r="H12285" t="str">
            <v>g__Lactobacillus</v>
          </cell>
          <cell r="I12285" t="str">
            <v>s__unclassified_g__Lactobacillus</v>
          </cell>
        </row>
        <row r="12286">
          <cell r="G12286" t="str">
            <v>ASV2217</v>
          </cell>
          <cell r="H12286" t="str">
            <v>g__norank_f__Erysipelotrichaceae</v>
          </cell>
          <cell r="I12286" t="str">
            <v>s__uncultured_bacterium_g__norank_f__Erysipelotrichaceae</v>
          </cell>
        </row>
        <row r="12287">
          <cell r="G12287" t="str">
            <v>ASV8525</v>
          </cell>
          <cell r="H12287" t="str">
            <v>g__unclassified_p__Firmicutes</v>
          </cell>
          <cell r="I12287" t="str">
            <v>s__unclassified_p__Firmicutes</v>
          </cell>
        </row>
        <row r="12288">
          <cell r="G12288" t="str">
            <v>ASV19103</v>
          </cell>
          <cell r="H12288" t="str">
            <v>g__Lachnoclostridium</v>
          </cell>
          <cell r="I12288" t="str">
            <v>s__unclassified_g__Lachnoclostridium</v>
          </cell>
        </row>
        <row r="12289">
          <cell r="G12289" t="str">
            <v>ASV19627</v>
          </cell>
          <cell r="H12289" t="str">
            <v>g__unclassified_c__Clostridia</v>
          </cell>
          <cell r="I12289" t="str">
            <v>s__unclassified_c__Clostridia</v>
          </cell>
        </row>
        <row r="12290">
          <cell r="G12290" t="str">
            <v>ASV16463</v>
          </cell>
          <cell r="H12290" t="str">
            <v>g__unclassified_o__Oscillospirales</v>
          </cell>
          <cell r="I12290" t="str">
            <v>s__unclassified_o__Oscillospirales</v>
          </cell>
        </row>
        <row r="12291">
          <cell r="G12291" t="str">
            <v>ASV9496</v>
          </cell>
          <cell r="H12291" t="str">
            <v>g__unclassified_f__Lachnospiraceae</v>
          </cell>
          <cell r="I12291" t="str">
            <v>s__unclassified_f__Lachnospiraceae</v>
          </cell>
        </row>
        <row r="12292">
          <cell r="G12292" t="str">
            <v>ASV9471</v>
          </cell>
          <cell r="H12292" t="str">
            <v>g__unclassified_c__Clostridia</v>
          </cell>
          <cell r="I12292" t="str">
            <v>s__unclassified_c__Clostridia</v>
          </cell>
        </row>
        <row r="12293">
          <cell r="G12293" t="str">
            <v>ASV14435</v>
          </cell>
          <cell r="H12293" t="str">
            <v>g__unclassified_p__Firmicutes</v>
          </cell>
          <cell r="I12293" t="str">
            <v>s__unclassified_p__Firmicutes</v>
          </cell>
        </row>
        <row r="12294">
          <cell r="G12294" t="str">
            <v>ASV6003</v>
          </cell>
          <cell r="H12294" t="str">
            <v>g__unclassified_f__Spirochaetaceae</v>
          </cell>
          <cell r="I12294" t="str">
            <v>s__unclassified_f__Spirochaetaceae</v>
          </cell>
        </row>
        <row r="12295">
          <cell r="G12295" t="str">
            <v>ASV9505</v>
          </cell>
          <cell r="H12295" t="str">
            <v>g__unclassified_f__Lachnospiraceae</v>
          </cell>
          <cell r="I12295" t="str">
            <v>s__unclassified_f__Lachnospiraceae</v>
          </cell>
        </row>
        <row r="12296">
          <cell r="G12296" t="str">
            <v>ASV1039</v>
          </cell>
          <cell r="H12296" t="str">
            <v>g__unclassified_f__Peptostreptococcaceae</v>
          </cell>
          <cell r="I12296" t="str">
            <v>s__unclassified_f__Peptostreptococcaceae</v>
          </cell>
        </row>
        <row r="12297">
          <cell r="G12297" t="str">
            <v>ASV15440</v>
          </cell>
          <cell r="H12297" t="str">
            <v>g__unclassified_f__Oscillospiraceae</v>
          </cell>
          <cell r="I12297" t="str">
            <v>s__unclassified_f__Oscillospiraceae</v>
          </cell>
        </row>
        <row r="12298">
          <cell r="G12298" t="str">
            <v>ASV14318</v>
          </cell>
          <cell r="H12298" t="str">
            <v>g__Turicibacter</v>
          </cell>
          <cell r="I12298" t="str">
            <v>s__unclassified_g__Turicibacter</v>
          </cell>
        </row>
        <row r="12299">
          <cell r="G12299" t="str">
            <v>ASV1070</v>
          </cell>
          <cell r="H12299" t="str">
            <v>g__unclassified_f__Muribaculaceae</v>
          </cell>
          <cell r="I12299" t="str">
            <v>s__unclassified_f__Muribaculaceae</v>
          </cell>
        </row>
        <row r="12300">
          <cell r="G12300" t="str">
            <v>ASV16513</v>
          </cell>
          <cell r="H12300" t="str">
            <v>g__unclassified_o__Oscillospirales</v>
          </cell>
          <cell r="I12300" t="str">
            <v>s__unclassified_o__Oscillospirales</v>
          </cell>
        </row>
        <row r="12301">
          <cell r="G12301" t="str">
            <v>ASV7818</v>
          </cell>
          <cell r="H12301" t="str">
            <v>g__Alistipes</v>
          </cell>
          <cell r="I12301" t="str">
            <v>s__uncultured_bacterium_g__Alistipes</v>
          </cell>
        </row>
        <row r="12302">
          <cell r="G12302" t="str">
            <v>ASV11874</v>
          </cell>
          <cell r="H12302" t="str">
            <v>g__norank_f__norank_o__Clostridia_UCG-014</v>
          </cell>
          <cell r="I12302" t="str">
            <v>s__uncultured_bacterium_g__norank_f__norank_o__Clostridia_UCG-014</v>
          </cell>
        </row>
        <row r="12303">
          <cell r="G12303" t="str">
            <v>ASV15823</v>
          </cell>
          <cell r="H12303" t="str">
            <v>g__unclassified_p__Firmicutes</v>
          </cell>
          <cell r="I12303" t="str">
            <v>s__unclassified_p__Firmicutes</v>
          </cell>
        </row>
        <row r="12304">
          <cell r="G12304" t="str">
            <v>ASV18184</v>
          </cell>
          <cell r="H12304" t="str">
            <v>g__CAG-873</v>
          </cell>
          <cell r="I12304" t="str">
            <v>s__Bacteroidales_bacterium_H4</v>
          </cell>
        </row>
        <row r="12305">
          <cell r="G12305" t="str">
            <v>ASV6778</v>
          </cell>
          <cell r="H12305" t="str">
            <v>g__Escherichia-Shigella</v>
          </cell>
          <cell r="I12305" t="str">
            <v>s__unclassified_g__Escherichia-Shigella</v>
          </cell>
        </row>
        <row r="12306">
          <cell r="G12306" t="str">
            <v>ASV12842</v>
          </cell>
          <cell r="H12306" t="str">
            <v>g__Parabacteroides</v>
          </cell>
          <cell r="I12306" t="str">
            <v>s__Porphyromonadaceae_bacterium_DJF_B175</v>
          </cell>
        </row>
        <row r="12307">
          <cell r="G12307" t="str">
            <v>ASV21626</v>
          </cell>
          <cell r="H12307" t="str">
            <v>g__norank_f__norank_o__Clostridia_UCG-014</v>
          </cell>
          <cell r="I12307" t="str">
            <v>s__uncultured_bacterium_g__norank_f__norank_o__Clostridia_UCG-014</v>
          </cell>
        </row>
        <row r="12308">
          <cell r="G12308" t="str">
            <v>ASV13723</v>
          </cell>
          <cell r="H12308" t="str">
            <v>g__Lactobacillus</v>
          </cell>
          <cell r="I12308" t="str">
            <v>s__unclassified_g__Lactobacillus</v>
          </cell>
        </row>
        <row r="12309">
          <cell r="G12309" t="str">
            <v>ASV18895</v>
          </cell>
          <cell r="H12309" t="str">
            <v>g__unclassified_f__Lachnospiraceae</v>
          </cell>
          <cell r="I12309" t="str">
            <v>s__unclassified_f__Lachnospiraceae</v>
          </cell>
        </row>
        <row r="12310">
          <cell r="G12310" t="str">
            <v>ASV7850</v>
          </cell>
          <cell r="H12310" t="str">
            <v>g__norank_f__UCG-010</v>
          </cell>
          <cell r="I12310" t="str">
            <v>s__uncultured_bacterium_g__norank_f__UCG-010</v>
          </cell>
        </row>
        <row r="12311">
          <cell r="G12311" t="str">
            <v>ASV2342</v>
          </cell>
          <cell r="H12311" t="str">
            <v>g__unclassified_f__Lachnospiraceae</v>
          </cell>
          <cell r="I12311" t="str">
            <v>s__unclassified_f__Lachnospiraceae</v>
          </cell>
        </row>
        <row r="12312">
          <cell r="G12312" t="str">
            <v>ASV2382</v>
          </cell>
          <cell r="H12312" t="str">
            <v>g__unclassified_f__Lachnospiraceae</v>
          </cell>
          <cell r="I12312" t="str">
            <v>s__unclassified_f__Lachnospiraceae</v>
          </cell>
        </row>
        <row r="12313">
          <cell r="G12313" t="str">
            <v>ASV11819</v>
          </cell>
          <cell r="H12313" t="str">
            <v>g__norank_f__norank_o__Clostridia_UCG-014</v>
          </cell>
          <cell r="I12313" t="str">
            <v>s__uncultured_bacterium_g__norank_f__norank_o__Clostridia_UCG-014</v>
          </cell>
        </row>
        <row r="12314">
          <cell r="G12314" t="str">
            <v>ASV14521</v>
          </cell>
          <cell r="H12314" t="str">
            <v>g__Lactobacillus</v>
          </cell>
          <cell r="I12314" t="str">
            <v>s__unclassified_g__Lactobacillus</v>
          </cell>
        </row>
        <row r="12315">
          <cell r="G12315" t="str">
            <v>ASV11996</v>
          </cell>
          <cell r="H12315" t="str">
            <v>g__Phascolarctobacterium</v>
          </cell>
          <cell r="I12315" t="str">
            <v>s__uncultured_bacterium_g__Phascolarctobacterium</v>
          </cell>
        </row>
        <row r="12316">
          <cell r="G12316" t="str">
            <v>ASV11707</v>
          </cell>
          <cell r="H12316" t="str">
            <v>g__unclassified_k__norank_d__Bacteria</v>
          </cell>
          <cell r="I12316" t="str">
            <v>s__unclassified_k__norank_d__Bacteria</v>
          </cell>
        </row>
        <row r="12317">
          <cell r="G12317" t="str">
            <v>ASV991</v>
          </cell>
          <cell r="H12317" t="str">
            <v>g__unclassified_f__Clostridiaceae</v>
          </cell>
          <cell r="I12317" t="str">
            <v>s__unclassified_f__Clostridiaceae</v>
          </cell>
        </row>
        <row r="12318">
          <cell r="G12318" t="str">
            <v>ASV18071</v>
          </cell>
          <cell r="H12318" t="str">
            <v>g__Christensenellaceae_R-7_group</v>
          </cell>
          <cell r="I12318" t="str">
            <v>s__unclassified_g__Christensenellaceae_R-7_group</v>
          </cell>
        </row>
        <row r="12319">
          <cell r="G12319" t="str">
            <v>ASV16451</v>
          </cell>
          <cell r="H12319" t="str">
            <v>g__Escherichia-Shigella</v>
          </cell>
          <cell r="I12319" t="str">
            <v>s__unclassified_g__Escherichia-Shigella</v>
          </cell>
        </row>
        <row r="12320">
          <cell r="G12320" t="str">
            <v>ASV15522</v>
          </cell>
          <cell r="H12320" t="str">
            <v>g__unclassified_c__Clostridia</v>
          </cell>
          <cell r="I12320" t="str">
            <v>s__unclassified_c__Clostridia</v>
          </cell>
        </row>
        <row r="12321">
          <cell r="G12321" t="str">
            <v>ASV22441</v>
          </cell>
          <cell r="H12321" t="str">
            <v>g__unclassified_f__Lachnospiraceae</v>
          </cell>
          <cell r="I12321" t="str">
            <v>s__unclassified_f__Lachnospiraceae</v>
          </cell>
        </row>
        <row r="12322">
          <cell r="G12322" t="str">
            <v>ASV19682</v>
          </cell>
          <cell r="H12322" t="str">
            <v>g__Lachnospiraceae_NC2004_group</v>
          </cell>
          <cell r="I12322" t="str">
            <v>s__uncultured_bacterium_g__Lachnospiraceae_NC2004_group</v>
          </cell>
        </row>
        <row r="12323">
          <cell r="G12323" t="str">
            <v>ASV12983</v>
          </cell>
          <cell r="H12323" t="str">
            <v>g__norank_f__Eubacterium_coprostanoligenes_group</v>
          </cell>
          <cell r="I12323" t="str">
            <v>s__unclassified_g__norank_f__Eubacterium_coprostanoligenes_group</v>
          </cell>
        </row>
        <row r="12324">
          <cell r="G12324" t="str">
            <v>ASV8510</v>
          </cell>
          <cell r="H12324" t="str">
            <v>g__unclassified_k__norank_d__Bacteria</v>
          </cell>
          <cell r="I12324" t="str">
            <v>s__unclassified_k__norank_d__Bacteria</v>
          </cell>
        </row>
        <row r="12325">
          <cell r="G12325" t="str">
            <v>ASV16434</v>
          </cell>
          <cell r="H12325" t="str">
            <v>g__Mogibacterium</v>
          </cell>
          <cell r="I12325" t="str">
            <v>s__uncultured_Enterococcus_sp._g__Mogibacterium</v>
          </cell>
        </row>
        <row r="12326">
          <cell r="G12326" t="str">
            <v>ASV21632</v>
          </cell>
          <cell r="H12326" t="str">
            <v>g__Fusobacterium</v>
          </cell>
          <cell r="I12326" t="str">
            <v>s__unclassified_g__Fusobacterium</v>
          </cell>
        </row>
        <row r="12327">
          <cell r="G12327" t="str">
            <v>ASV9536</v>
          </cell>
          <cell r="H12327" t="str">
            <v>g__norank_f__Erysipelotrichaceae</v>
          </cell>
          <cell r="I12327" t="str">
            <v>s__uncultured_bacterium_g__norank_f__Erysipelotrichaceae</v>
          </cell>
        </row>
        <row r="12328">
          <cell r="G12328" t="str">
            <v>ASV21267</v>
          </cell>
          <cell r="H12328" t="str">
            <v>g__unclassified_p__Firmicutes</v>
          </cell>
          <cell r="I12328" t="str">
            <v>s__unclassified_p__Firmicutes</v>
          </cell>
        </row>
        <row r="12329">
          <cell r="G12329" t="str">
            <v>ASV18654</v>
          </cell>
          <cell r="H12329" t="str">
            <v>g__Escherichia-Shigella</v>
          </cell>
          <cell r="I12329" t="str">
            <v>s__unclassified_g__Escherichia-Shigella</v>
          </cell>
        </row>
        <row r="12330">
          <cell r="G12330" t="str">
            <v>ASV21309</v>
          </cell>
          <cell r="H12330" t="str">
            <v>g__Lactobacillus</v>
          </cell>
          <cell r="I12330" t="str">
            <v>s__uncultured_bacterium_g__Lactobacillus</v>
          </cell>
        </row>
        <row r="12331">
          <cell r="G12331" t="str">
            <v>ASV23461</v>
          </cell>
          <cell r="H12331" t="str">
            <v>g__Lactobacillus</v>
          </cell>
          <cell r="I12331" t="str">
            <v>s__unclassified_g__Lactobacillus</v>
          </cell>
        </row>
        <row r="12332">
          <cell r="G12332" t="str">
            <v>ASV18118</v>
          </cell>
          <cell r="H12332" t="str">
            <v>g__unclassified_o__Oscillospirales</v>
          </cell>
          <cell r="I12332" t="str">
            <v>s__unclassified_o__Oscillospirales</v>
          </cell>
        </row>
        <row r="12333">
          <cell r="G12333" t="str">
            <v>ASV18168</v>
          </cell>
          <cell r="H12333" t="str">
            <v>g__Christensenellaceae_R-7_group</v>
          </cell>
          <cell r="I12333" t="str">
            <v>s__unclassified_g__Christensenellaceae_R-7_group</v>
          </cell>
        </row>
        <row r="12334">
          <cell r="G12334" t="str">
            <v>ASV7369</v>
          </cell>
          <cell r="H12334" t="str">
            <v>g__unclassified_p__Firmicutes</v>
          </cell>
          <cell r="I12334" t="str">
            <v>s__unclassified_p__Firmicutes</v>
          </cell>
        </row>
        <row r="12335">
          <cell r="G12335" t="str">
            <v>ASV1715</v>
          </cell>
          <cell r="H12335" t="str">
            <v>g__norank_f__Peptostreptococcaceae</v>
          </cell>
          <cell r="I12335" t="str">
            <v>s__unclassified_g__norank_f__Peptostreptococcaceae</v>
          </cell>
        </row>
        <row r="12336">
          <cell r="G12336" t="str">
            <v>ASV11692</v>
          </cell>
          <cell r="H12336" t="str">
            <v>g__unclassified_c__Clostridia</v>
          </cell>
          <cell r="I12336" t="str">
            <v>s__unclassified_c__Clostridia</v>
          </cell>
        </row>
        <row r="12337">
          <cell r="G12337" t="str">
            <v>ASV975</v>
          </cell>
          <cell r="H12337" t="str">
            <v>g__unclassified_f__Lachnospiraceae</v>
          </cell>
          <cell r="I12337" t="str">
            <v>s__unclassified_f__Lachnospiraceae</v>
          </cell>
        </row>
        <row r="12338">
          <cell r="G12338" t="str">
            <v>ASV5998</v>
          </cell>
          <cell r="H12338" t="str">
            <v>g__unclassified_f__Lachnospiraceae</v>
          </cell>
          <cell r="I12338" t="str">
            <v>s__unclassified_f__Lachnospiraceae</v>
          </cell>
        </row>
        <row r="12339">
          <cell r="G12339" t="str">
            <v>ASV977</v>
          </cell>
          <cell r="H12339" t="str">
            <v>g__unclassified_f__Lachnospiraceae</v>
          </cell>
          <cell r="I12339" t="str">
            <v>s__unclassified_f__Lachnospiraceae</v>
          </cell>
        </row>
        <row r="12340">
          <cell r="G12340" t="str">
            <v>ASV19743</v>
          </cell>
          <cell r="H12340" t="str">
            <v>g__unclassified_f__Ruminococcaceae</v>
          </cell>
          <cell r="I12340" t="str">
            <v>s__unclassified_f__Ruminococcaceae</v>
          </cell>
        </row>
        <row r="12341">
          <cell r="G12341" t="str">
            <v>ASV20839</v>
          </cell>
          <cell r="H12341" t="str">
            <v>g__unclassified_f__Lachnospiraceae</v>
          </cell>
          <cell r="I12341" t="str">
            <v>s__unclassified_f__Lachnospiraceae</v>
          </cell>
        </row>
        <row r="12342">
          <cell r="G12342" t="str">
            <v>ASV5100</v>
          </cell>
          <cell r="H12342" t="str">
            <v>g__unclassified_c__Clostridia</v>
          </cell>
          <cell r="I12342" t="str">
            <v>s__unclassified_c__Clostridia</v>
          </cell>
        </row>
        <row r="12343">
          <cell r="G12343" t="str">
            <v>ASV16553</v>
          </cell>
          <cell r="H12343" t="str">
            <v>g__unclassified_o__Bacteroidales</v>
          </cell>
          <cell r="I12343" t="str">
            <v>s__unclassified_o__Bacteroidales</v>
          </cell>
        </row>
        <row r="12344">
          <cell r="G12344" t="str">
            <v>ASV19625</v>
          </cell>
          <cell r="H12344" t="str">
            <v>g__unclassified_o__Oscillospirales</v>
          </cell>
          <cell r="I12344" t="str">
            <v>s__unclassified_o__Oscillospirales</v>
          </cell>
        </row>
        <row r="12345">
          <cell r="G12345" t="str">
            <v>ASV22348</v>
          </cell>
          <cell r="H12345" t="str">
            <v>g__unclassified_f__Lachnospiraceae</v>
          </cell>
          <cell r="I12345" t="str">
            <v>s__unclassified_f__Lachnospiraceae</v>
          </cell>
        </row>
        <row r="12346">
          <cell r="G12346" t="str">
            <v>ASV15452</v>
          </cell>
          <cell r="H12346" t="str">
            <v>g__unclassified_k__norank_d__Bacteria</v>
          </cell>
          <cell r="I12346" t="str">
            <v>s__unclassified_k__norank_d__Bacteria</v>
          </cell>
        </row>
        <row r="12347">
          <cell r="G12347" t="str">
            <v>ASV2270</v>
          </cell>
          <cell r="H12347" t="str">
            <v>g__unclassified_o__Oscillospirales</v>
          </cell>
          <cell r="I12347" t="str">
            <v>s__unclassified_o__Oscillospirales</v>
          </cell>
        </row>
        <row r="12348">
          <cell r="G12348" t="str">
            <v>ASV1733</v>
          </cell>
          <cell r="H12348" t="str">
            <v>g__Actinobacillus</v>
          </cell>
          <cell r="I12348" t="str">
            <v>s__unclassified_g__Actinobacillus</v>
          </cell>
        </row>
        <row r="12349">
          <cell r="G12349" t="str">
            <v>ASV1719</v>
          </cell>
          <cell r="H12349" t="str">
            <v>g__Lactobacillus</v>
          </cell>
          <cell r="I12349" t="str">
            <v>s__unclassified_g__Lactobacillus</v>
          </cell>
        </row>
        <row r="12350">
          <cell r="G12350" t="str">
            <v>ASV21290</v>
          </cell>
          <cell r="H12350" t="str">
            <v>g__unclassified_c__Clostridia</v>
          </cell>
          <cell r="I12350" t="str">
            <v>s__unclassified_c__Clostridia</v>
          </cell>
        </row>
        <row r="12351">
          <cell r="G12351" t="str">
            <v>ASV16940</v>
          </cell>
          <cell r="H12351" t="str">
            <v>g__Lactobacillus</v>
          </cell>
          <cell r="I12351" t="str">
            <v>s__unclassified_g__Lactobacillus</v>
          </cell>
        </row>
        <row r="12352">
          <cell r="G12352" t="str">
            <v>ASV3250</v>
          </cell>
          <cell r="H12352" t="str">
            <v>g__unclassified_f__Veillonellaceae</v>
          </cell>
          <cell r="I12352" t="str">
            <v>s__unclassified_f__Veillonellaceae</v>
          </cell>
        </row>
        <row r="12353">
          <cell r="G12353" t="str">
            <v>ASV7814</v>
          </cell>
          <cell r="H12353" t="str">
            <v>g__unclassified_c__Clostridia</v>
          </cell>
          <cell r="I12353" t="str">
            <v>s__unclassified_c__Clostridia</v>
          </cell>
        </row>
        <row r="12354">
          <cell r="G12354" t="str">
            <v>ASV4126</v>
          </cell>
          <cell r="H12354" t="str">
            <v>g__Christensenellaceae_R-7_group</v>
          </cell>
          <cell r="I12354" t="str">
            <v>s__unclassified_g__Christensenellaceae_R-7_group</v>
          </cell>
        </row>
        <row r="12355">
          <cell r="G12355" t="str">
            <v>ASV2941</v>
          </cell>
          <cell r="H12355" t="str">
            <v>g__Staphylococcus</v>
          </cell>
          <cell r="I12355" t="str">
            <v>s__unclassified_g__Staphylococcus</v>
          </cell>
        </row>
        <row r="12356">
          <cell r="G12356" t="str">
            <v>ASV18930</v>
          </cell>
          <cell r="H12356" t="str">
            <v>g__Bacteroides</v>
          </cell>
          <cell r="I12356" t="str">
            <v>s__Bacteroides_plebeius_DSM_17135</v>
          </cell>
        </row>
        <row r="12357">
          <cell r="G12357" t="str">
            <v>ASV18143</v>
          </cell>
          <cell r="H12357" t="str">
            <v>g__norank_f__Eubacterium_coprostanoligenes_group</v>
          </cell>
          <cell r="I12357" t="str">
            <v>s__unclassified_g__norank_f__Eubacterium_coprostanoligenes_group</v>
          </cell>
        </row>
        <row r="12358">
          <cell r="G12358" t="str">
            <v>ASV22257</v>
          </cell>
          <cell r="H12358" t="str">
            <v>g__unclassified_c__Clostridia</v>
          </cell>
          <cell r="I12358" t="str">
            <v>s__unclassified_c__Clostridia</v>
          </cell>
        </row>
        <row r="12359">
          <cell r="G12359" t="str">
            <v>ASV4174</v>
          </cell>
          <cell r="H12359" t="str">
            <v>g__Sharpea</v>
          </cell>
          <cell r="I12359" t="str">
            <v>s__unclassified_g__Sharpea</v>
          </cell>
        </row>
        <row r="12360">
          <cell r="G12360" t="str">
            <v>ASV12014</v>
          </cell>
          <cell r="H12360" t="str">
            <v>g__unclassified_f__Oscillospiraceae</v>
          </cell>
          <cell r="I12360" t="str">
            <v>s__unclassified_f__Oscillospiraceae</v>
          </cell>
        </row>
        <row r="12361">
          <cell r="G12361" t="str">
            <v>ASV16945</v>
          </cell>
          <cell r="H12361" t="str">
            <v>g__unclassified_f__Anaerovoracaceae</v>
          </cell>
          <cell r="I12361" t="str">
            <v>s__unclassified_f__Anaerovoracaceae</v>
          </cell>
        </row>
        <row r="12362">
          <cell r="G12362" t="str">
            <v>ASV10705</v>
          </cell>
          <cell r="H12362" t="str">
            <v>g__Turicibacter</v>
          </cell>
          <cell r="I12362" t="str">
            <v>s__uncultured_bacterium_g__Turicibacter</v>
          </cell>
        </row>
        <row r="12363">
          <cell r="G12363" t="str">
            <v>ASV21308</v>
          </cell>
          <cell r="H12363" t="str">
            <v>g__Fusicatenibacter</v>
          </cell>
          <cell r="I12363" t="str">
            <v>s__unclassified_g__Fusicatenibacter</v>
          </cell>
        </row>
        <row r="12364">
          <cell r="G12364" t="str">
            <v>ASV12809</v>
          </cell>
          <cell r="H12364" t="str">
            <v>g__unclassified_o__Bacteroidales</v>
          </cell>
          <cell r="I12364" t="str">
            <v>s__unclassified_o__Bacteroidales</v>
          </cell>
        </row>
        <row r="12365">
          <cell r="G12365" t="str">
            <v>ASV16049</v>
          </cell>
          <cell r="H12365" t="str">
            <v>g__Lactobacillus</v>
          </cell>
          <cell r="I12365" t="str">
            <v>s__unclassified_g__Lactobacillus</v>
          </cell>
        </row>
        <row r="12366">
          <cell r="G12366" t="str">
            <v>ASV9012</v>
          </cell>
          <cell r="H12366" t="str">
            <v>g__Christensenellaceae_R-7_group</v>
          </cell>
          <cell r="I12366" t="str">
            <v>s__uncultured_bacterium_g__Christensenellaceae_R-7_group</v>
          </cell>
        </row>
        <row r="12367">
          <cell r="G12367" t="str">
            <v>ASV3490</v>
          </cell>
          <cell r="H12367" t="str">
            <v>g__Lachnoanaerobaculum</v>
          </cell>
          <cell r="I12367" t="str">
            <v>s__Lachnospiraceae_bacterium_oral_taxon_107</v>
          </cell>
        </row>
        <row r="12368">
          <cell r="G12368" t="str">
            <v>ASV23374</v>
          </cell>
          <cell r="H12368" t="str">
            <v>g__unclassified_o__Oscillospirales</v>
          </cell>
          <cell r="I12368" t="str">
            <v>s__unclassified_o__Oscillospirales</v>
          </cell>
        </row>
        <row r="12369">
          <cell r="G12369" t="str">
            <v>ASV15991</v>
          </cell>
          <cell r="H12369" t="str">
            <v>g__unclassified_p__Firmicutes</v>
          </cell>
          <cell r="I12369" t="str">
            <v>s__unclassified_p__Firmicutes</v>
          </cell>
        </row>
        <row r="12370">
          <cell r="G12370" t="str">
            <v>ASV17228</v>
          </cell>
          <cell r="H12370" t="str">
            <v>g__Clostridium_sensu_stricto_1</v>
          </cell>
          <cell r="I12370" t="str">
            <v>s__unclassified_g__Clostridium_sensu_stricto_1</v>
          </cell>
        </row>
        <row r="12371">
          <cell r="G12371" t="str">
            <v>ASV18173</v>
          </cell>
          <cell r="H12371" t="str">
            <v>g__Pyramidobacter</v>
          </cell>
          <cell r="I12371" t="str">
            <v>s__uncultured_bacterium_g__Pyramidobacter</v>
          </cell>
        </row>
        <row r="12372">
          <cell r="G12372" t="str">
            <v>ASV22931</v>
          </cell>
          <cell r="H12372" t="str">
            <v>g__Hydrogenophaga</v>
          </cell>
          <cell r="I12372" t="str">
            <v>s__unclassified_g__Hydrogenophaga</v>
          </cell>
        </row>
        <row r="12373">
          <cell r="G12373" t="str">
            <v>ASV22301</v>
          </cell>
          <cell r="H12373" t="str">
            <v>g__unclassified_f__Lachnospiraceae</v>
          </cell>
          <cell r="I12373" t="str">
            <v>s__unclassified_f__Lachnospiraceae</v>
          </cell>
        </row>
        <row r="12374">
          <cell r="G12374" t="str">
            <v>ASV4125</v>
          </cell>
          <cell r="H12374" t="str">
            <v>g__unclassified_f__Synergistaceae</v>
          </cell>
          <cell r="I12374" t="str">
            <v>s__unclassified_f__Synergistaceae</v>
          </cell>
        </row>
        <row r="12375">
          <cell r="G12375" t="str">
            <v>ASV20913</v>
          </cell>
          <cell r="H12375" t="str">
            <v>g__unclassified_f__Lachnospiraceae</v>
          </cell>
          <cell r="I12375" t="str">
            <v>s__unclassified_f__Lachnospiraceae</v>
          </cell>
        </row>
        <row r="12376">
          <cell r="G12376" t="str">
            <v>ASV3677</v>
          </cell>
          <cell r="H12376" t="str">
            <v>g__Lactobacillus</v>
          </cell>
          <cell r="I12376" t="str">
            <v>s__unclassified_g__Lactobacillus</v>
          </cell>
        </row>
        <row r="12377">
          <cell r="G12377" t="str">
            <v>ASV18217</v>
          </cell>
          <cell r="H12377" t="str">
            <v>g__unclassified_f__Synergistaceae</v>
          </cell>
          <cell r="I12377" t="str">
            <v>s__unclassified_f__Synergistaceae</v>
          </cell>
        </row>
        <row r="12378">
          <cell r="G12378" t="str">
            <v>ASV7948</v>
          </cell>
          <cell r="H12378" t="str">
            <v>g__Christensenellaceae_R-7_group</v>
          </cell>
          <cell r="I12378" t="str">
            <v>s__unclassified_g__Christensenellaceae_R-7_group</v>
          </cell>
        </row>
        <row r="12379">
          <cell r="G12379" t="str">
            <v>ASV5031</v>
          </cell>
          <cell r="H12379" t="str">
            <v>g__unclassified_p__Firmicutes</v>
          </cell>
          <cell r="I12379" t="str">
            <v>s__unclassified_p__Firmicutes</v>
          </cell>
        </row>
        <row r="12380">
          <cell r="G12380" t="str">
            <v>ASV4044</v>
          </cell>
          <cell r="H12380" t="str">
            <v>g__unclassified_k__norank_d__Bacteria</v>
          </cell>
          <cell r="I12380" t="str">
            <v>s__unclassified_k__norank_d__Bacteria</v>
          </cell>
        </row>
        <row r="12381">
          <cell r="G12381" t="str">
            <v>ASV8296</v>
          </cell>
          <cell r="H12381" t="str">
            <v>g__unclassified_c__Actinobacteria</v>
          </cell>
          <cell r="I12381" t="str">
            <v>s__unclassified_c__Actinobacteria</v>
          </cell>
        </row>
        <row r="12382">
          <cell r="G12382" t="str">
            <v>ASV7353</v>
          </cell>
          <cell r="H12382" t="str">
            <v>g__Fusobacterium</v>
          </cell>
          <cell r="I12382" t="str">
            <v>s__unclassified_g__Fusobacterium</v>
          </cell>
        </row>
        <row r="12383">
          <cell r="G12383" t="str">
            <v>ASV18037</v>
          </cell>
          <cell r="H12383" t="str">
            <v>g__unclassified_c__Clostridia</v>
          </cell>
          <cell r="I12383" t="str">
            <v>s__unclassified_c__Clostridia</v>
          </cell>
        </row>
        <row r="12384">
          <cell r="G12384" t="str">
            <v>ASV2390</v>
          </cell>
          <cell r="H12384" t="str">
            <v>g__Enterococcus</v>
          </cell>
          <cell r="I12384" t="str">
            <v>s__unclassified_g__Enterococcus</v>
          </cell>
        </row>
        <row r="12385">
          <cell r="G12385" t="str">
            <v>ASV14551</v>
          </cell>
          <cell r="H12385" t="str">
            <v>g__unclassified_c__Clostridia</v>
          </cell>
          <cell r="I12385" t="str">
            <v>s__unclassified_c__Clostridia</v>
          </cell>
        </row>
        <row r="12386">
          <cell r="G12386" t="str">
            <v>ASV9449</v>
          </cell>
          <cell r="H12386" t="str">
            <v>g__norank_f__Ruminococcaceae</v>
          </cell>
          <cell r="I12386" t="str">
            <v>s__Ruminococcaceae_bacterium_Marseille-P3738</v>
          </cell>
        </row>
        <row r="12387">
          <cell r="G12387" t="str">
            <v>ASV12910</v>
          </cell>
          <cell r="H12387" t="str">
            <v>g__unclassified_k__norank_d__Bacteria</v>
          </cell>
          <cell r="I12387" t="str">
            <v>s__unclassified_k__norank_d__Bacteria</v>
          </cell>
        </row>
        <row r="12388">
          <cell r="G12388" t="str">
            <v>ASV10797</v>
          </cell>
          <cell r="H12388" t="str">
            <v>g__UCG-009</v>
          </cell>
          <cell r="I12388" t="str">
            <v>s__uncultured_bacterium_g__UCG-009</v>
          </cell>
        </row>
        <row r="12389">
          <cell r="G12389" t="str">
            <v>ASV24176</v>
          </cell>
          <cell r="H12389" t="str">
            <v>g__norank_f__Paludibacteraceae</v>
          </cell>
          <cell r="I12389" t="str">
            <v>s__uncultured_bacterium_g__norank_f__Paludibacteraceae</v>
          </cell>
        </row>
        <row r="12390">
          <cell r="G12390" t="str">
            <v>ASV9035</v>
          </cell>
          <cell r="H12390" t="str">
            <v>g__Lactobacillus</v>
          </cell>
          <cell r="I12390" t="str">
            <v>s__unclassified_g__Lactobacillus</v>
          </cell>
        </row>
        <row r="12391">
          <cell r="G12391" t="str">
            <v>ASV16467</v>
          </cell>
          <cell r="H12391" t="str">
            <v>g__norank_f__UCG-011</v>
          </cell>
          <cell r="I12391" t="str">
            <v>s__uncultured_bacterium_g__norank_f__UCG-011</v>
          </cell>
        </row>
        <row r="12392">
          <cell r="G12392" t="str">
            <v>ASV19654</v>
          </cell>
          <cell r="H12392" t="str">
            <v>g__unclassified_f__Lachnospiraceae</v>
          </cell>
          <cell r="I12392" t="str">
            <v>s__unclassified_f__Lachnospiraceae</v>
          </cell>
        </row>
        <row r="12393">
          <cell r="G12393" t="str">
            <v>ASV10688</v>
          </cell>
          <cell r="H12393" t="str">
            <v>g__Monoglobus</v>
          </cell>
          <cell r="I12393" t="str">
            <v>s__uncultured_bacterium_g__Monoglobus</v>
          </cell>
        </row>
        <row r="12394">
          <cell r="G12394" t="str">
            <v>ASV7812</v>
          </cell>
          <cell r="H12394" t="str">
            <v>g__unclassified_f__Lachnospiraceae</v>
          </cell>
          <cell r="I12394" t="str">
            <v>s__unclassified_f__Lachnospiraceae</v>
          </cell>
        </row>
        <row r="12395">
          <cell r="G12395" t="str">
            <v>ASV4875</v>
          </cell>
          <cell r="H12395" t="str">
            <v>g__Escherichia-Shigella</v>
          </cell>
          <cell r="I12395" t="str">
            <v>s__unclassified_g__Escherichia-Shigella</v>
          </cell>
        </row>
        <row r="12396">
          <cell r="G12396" t="str">
            <v>ASV11747</v>
          </cell>
          <cell r="H12396" t="str">
            <v>g__unclassified_c__Clostridia</v>
          </cell>
          <cell r="I12396" t="str">
            <v>s__unclassified_c__Clostridia</v>
          </cell>
        </row>
        <row r="12397">
          <cell r="G12397" t="str">
            <v>ASV15503</v>
          </cell>
          <cell r="H12397" t="str">
            <v>g__Clostridium_sensu_stricto_1</v>
          </cell>
          <cell r="I12397" t="str">
            <v>s__unclassified_g__Clostridium_sensu_stricto_1</v>
          </cell>
        </row>
        <row r="12398">
          <cell r="G12398" t="str">
            <v>ASV11063</v>
          </cell>
          <cell r="H12398" t="str">
            <v>g__Parabacteroides</v>
          </cell>
          <cell r="I12398" t="str">
            <v>s__Porphyromonadaceae_bacterium_DJF_B175</v>
          </cell>
        </row>
        <row r="12399">
          <cell r="G12399" t="str">
            <v>ASV6109</v>
          </cell>
          <cell r="H12399" t="str">
            <v>g__unclassified_c__Clostridia</v>
          </cell>
          <cell r="I12399" t="str">
            <v>s__unclassified_c__Clostridia</v>
          </cell>
        </row>
        <row r="12400">
          <cell r="G12400" t="str">
            <v>ASV11755</v>
          </cell>
          <cell r="H12400" t="str">
            <v>g__unclassified_k__norank_d__Bacteria</v>
          </cell>
          <cell r="I12400" t="str">
            <v>s__unclassified_k__norank_d__Bacteria</v>
          </cell>
        </row>
        <row r="12401">
          <cell r="G12401" t="str">
            <v>ASV18647</v>
          </cell>
          <cell r="H12401" t="str">
            <v>g__Lactobacillus</v>
          </cell>
          <cell r="I12401" t="str">
            <v>s__unclassified_g__Lactobacillus</v>
          </cell>
        </row>
        <row r="12402">
          <cell r="G12402" t="str">
            <v>ASV15529</v>
          </cell>
          <cell r="H12402" t="str">
            <v>g__Bacillus</v>
          </cell>
          <cell r="I12402" t="str">
            <v>s__Lactobacillus_vaginalis_g__Bacillus</v>
          </cell>
        </row>
        <row r="12403">
          <cell r="G12403" t="str">
            <v>ASV16484</v>
          </cell>
          <cell r="H12403" t="str">
            <v>g__unclassified_f__Lachnospiraceae</v>
          </cell>
          <cell r="I12403" t="str">
            <v>s__unclassified_f__Lachnospiraceae</v>
          </cell>
        </row>
        <row r="12404">
          <cell r="G12404" t="str">
            <v>ASV6751</v>
          </cell>
          <cell r="H12404" t="str">
            <v>g__Escherichia-Shigella</v>
          </cell>
          <cell r="I12404" t="str">
            <v>s__unclassified_g__Escherichia-Shigella</v>
          </cell>
        </row>
        <row r="12405">
          <cell r="G12405" t="str">
            <v>ASV19804</v>
          </cell>
          <cell r="H12405" t="str">
            <v>g__NK4A214_group</v>
          </cell>
          <cell r="I12405" t="str">
            <v>s__unclassified_g__NK4A214_group</v>
          </cell>
        </row>
        <row r="12406">
          <cell r="G12406" t="str">
            <v>ASV22287</v>
          </cell>
          <cell r="H12406" t="str">
            <v>g__norank_f__norank_o__WCHB1-41</v>
          </cell>
          <cell r="I12406" t="str">
            <v>s__uncultured_bacterium_g__norank_f__norank_o__WCHB1-41</v>
          </cell>
        </row>
        <row r="12407">
          <cell r="G12407" t="str">
            <v>ASV14373</v>
          </cell>
          <cell r="H12407" t="str">
            <v>g__unclassified_f__Peptostreptococcaceae</v>
          </cell>
          <cell r="I12407" t="str">
            <v>s__unclassified_f__Peptostreptococcaceae</v>
          </cell>
        </row>
        <row r="12408">
          <cell r="G12408" t="str">
            <v>ASV2339</v>
          </cell>
          <cell r="H12408" t="str">
            <v>g__unclassified_c__Clostridia</v>
          </cell>
          <cell r="I12408" t="str">
            <v>s__unclassified_c__Clostridia</v>
          </cell>
        </row>
        <row r="12409">
          <cell r="G12409" t="str">
            <v>ASV14469</v>
          </cell>
          <cell r="H12409" t="str">
            <v>g__Prevotella</v>
          </cell>
          <cell r="I12409" t="str">
            <v>s__unclassified_g__Prevotella</v>
          </cell>
        </row>
        <row r="12410">
          <cell r="G12410" t="str">
            <v>ASV9482</v>
          </cell>
          <cell r="H12410" t="str">
            <v>g__unclassified_c__Clostridia</v>
          </cell>
          <cell r="I12410" t="str">
            <v>s__unclassified_c__Clostridia</v>
          </cell>
        </row>
        <row r="12411">
          <cell r="G12411" t="str">
            <v>ASV12822</v>
          </cell>
          <cell r="H12411" t="str">
            <v>g__unclassified_f__Oscillospiraceae</v>
          </cell>
          <cell r="I12411" t="str">
            <v>s__unclassified_f__Oscillospiraceae</v>
          </cell>
        </row>
        <row r="12412">
          <cell r="G12412" t="str">
            <v>ASV10210</v>
          </cell>
          <cell r="H12412" t="str">
            <v>g__Lactobacillus</v>
          </cell>
          <cell r="I12412" t="str">
            <v>s__unclassified_g__Lactobacillus</v>
          </cell>
        </row>
        <row r="12413">
          <cell r="G12413" t="str">
            <v>ASV1002</v>
          </cell>
          <cell r="H12413" t="str">
            <v>g__unclassified_c__Clostridia</v>
          </cell>
          <cell r="I12413" t="str">
            <v>s__unclassified_c__Clostridia</v>
          </cell>
        </row>
        <row r="12414">
          <cell r="G12414" t="str">
            <v>ASV2256</v>
          </cell>
          <cell r="H12414" t="str">
            <v>g__unclassified_o__Oscillospirales</v>
          </cell>
          <cell r="I12414" t="str">
            <v>s__unclassified_o__Oscillospirales</v>
          </cell>
        </row>
        <row r="12415">
          <cell r="G12415" t="str">
            <v>ASV13452</v>
          </cell>
          <cell r="H12415" t="str">
            <v>g__unclassified_c__Clostridia</v>
          </cell>
          <cell r="I12415" t="str">
            <v>s__unclassified_c__Clostridia</v>
          </cell>
        </row>
        <row r="12416">
          <cell r="G12416" t="str">
            <v>ASV22299</v>
          </cell>
          <cell r="H12416" t="str">
            <v>g__unclassified_c__Clostridia</v>
          </cell>
          <cell r="I12416" t="str">
            <v>s__unclassified_c__Clostridia</v>
          </cell>
        </row>
        <row r="12417">
          <cell r="G12417" t="str">
            <v>ASV16464</v>
          </cell>
          <cell r="H12417" t="str">
            <v>g__unclassified_o__Bacteroidales</v>
          </cell>
          <cell r="I12417" t="str">
            <v>s__unclassified_o__Bacteroidales</v>
          </cell>
        </row>
        <row r="12418">
          <cell r="G12418" t="str">
            <v>ASV16780</v>
          </cell>
          <cell r="H12418" t="str">
            <v>g__Bacillus</v>
          </cell>
          <cell r="I12418" t="str">
            <v>s__Lactobacillus_vaginalis_g__Bacillus</v>
          </cell>
        </row>
        <row r="12419">
          <cell r="G12419" t="str">
            <v>ASV9032</v>
          </cell>
          <cell r="H12419" t="str">
            <v>g__unclassified_f__Pasteurellaceae</v>
          </cell>
          <cell r="I12419" t="str">
            <v>s__unclassified_f__Pasteurellaceae</v>
          </cell>
        </row>
        <row r="12420">
          <cell r="G12420" t="str">
            <v>ASV21484</v>
          </cell>
          <cell r="H12420" t="str">
            <v>g__unclassified_c__Clostridia</v>
          </cell>
          <cell r="I12420" t="str">
            <v>s__unclassified_c__Clostridia</v>
          </cell>
        </row>
        <row r="12421">
          <cell r="G12421" t="str">
            <v>ASV8832</v>
          </cell>
          <cell r="H12421" t="str">
            <v>g__Prevotella</v>
          </cell>
          <cell r="I12421" t="str">
            <v>s__unclassified_g__Prevotella</v>
          </cell>
        </row>
        <row r="12422">
          <cell r="G12422" t="str">
            <v>ASV4150</v>
          </cell>
          <cell r="H12422" t="str">
            <v>g__unclassified_c__Clostridia</v>
          </cell>
          <cell r="I12422" t="str">
            <v>s__unclassified_c__Clostridia</v>
          </cell>
        </row>
        <row r="12423">
          <cell r="G12423" t="str">
            <v>ASV6743</v>
          </cell>
          <cell r="H12423" t="str">
            <v>g__Luteococcus</v>
          </cell>
          <cell r="I12423" t="str">
            <v>s__Luteococcus_sediminum</v>
          </cell>
        </row>
        <row r="12424">
          <cell r="G12424" t="str">
            <v>ASV20856</v>
          </cell>
          <cell r="H12424" t="str">
            <v>g__Lachnoclostridium</v>
          </cell>
          <cell r="I12424" t="str">
            <v>s__unclassified_g__Lachnoclostridium</v>
          </cell>
        </row>
        <row r="12425">
          <cell r="G12425" t="str">
            <v>ASV6823</v>
          </cell>
          <cell r="H12425" t="str">
            <v>g__unclassified_p__Firmicutes</v>
          </cell>
          <cell r="I12425" t="str">
            <v>s__unclassified_p__Firmicutes</v>
          </cell>
        </row>
        <row r="12426">
          <cell r="G12426" t="str">
            <v>ASV1084</v>
          </cell>
          <cell r="H12426" t="str">
            <v>g__Lactobacillus</v>
          </cell>
          <cell r="I12426" t="str">
            <v>s__unclassified_g__Lactobacillus</v>
          </cell>
        </row>
        <row r="12427">
          <cell r="G12427" t="str">
            <v>ASV19659</v>
          </cell>
          <cell r="H12427" t="str">
            <v>g__unclassified_o__Peptostreptococcales-Tissierellales</v>
          </cell>
          <cell r="I12427" t="str">
            <v>s__unclassified_o__Peptostreptococcales-Tissierellales</v>
          </cell>
        </row>
        <row r="12428">
          <cell r="G12428" t="str">
            <v>ASV14332</v>
          </cell>
          <cell r="H12428" t="str">
            <v>g__Phascolarctobacterium</v>
          </cell>
          <cell r="I12428" t="str">
            <v>s__uncultured_bacterium_g__Phascolarctobacterium</v>
          </cell>
        </row>
        <row r="12429">
          <cell r="G12429" t="str">
            <v>ASV6763</v>
          </cell>
          <cell r="H12429" t="str">
            <v>g__norank_f__norank_o__Saccharimonadales</v>
          </cell>
          <cell r="I12429" t="str">
            <v>s__unclassified_g__norank_f__norank_o__Saccharimonadales</v>
          </cell>
        </row>
        <row r="12430">
          <cell r="G12430" t="str">
            <v>ASV11922</v>
          </cell>
          <cell r="H12430" t="str">
            <v>g__unclassified_p__Firmicutes</v>
          </cell>
          <cell r="I12430" t="str">
            <v>s__unclassified_p__Firmicutes</v>
          </cell>
        </row>
        <row r="12431">
          <cell r="G12431" t="str">
            <v>ASV21243</v>
          </cell>
          <cell r="H12431" t="str">
            <v>g__Lactobacillus</v>
          </cell>
          <cell r="I12431" t="str">
            <v>s__unclassified_g__Lactobacillus</v>
          </cell>
        </row>
        <row r="12432">
          <cell r="G12432" t="str">
            <v>ASV6831</v>
          </cell>
          <cell r="H12432" t="str">
            <v>g__Lactobacillus</v>
          </cell>
          <cell r="I12432" t="str">
            <v>s__unclassified_g__Lactobacillus</v>
          </cell>
        </row>
        <row r="12433">
          <cell r="G12433" t="str">
            <v>ASV21272</v>
          </cell>
          <cell r="H12433" t="str">
            <v>g__unclassified_p__Firmicutes</v>
          </cell>
          <cell r="I12433" t="str">
            <v>s__unclassified_p__Firmicutes</v>
          </cell>
        </row>
        <row r="12434">
          <cell r="G12434" t="str">
            <v>ASV7976</v>
          </cell>
          <cell r="H12434" t="str">
            <v>g__unclassified_f__Peptostreptococcaceae</v>
          </cell>
          <cell r="I12434" t="str">
            <v>s__unclassified_f__Peptostreptococcaceae</v>
          </cell>
        </row>
        <row r="12435">
          <cell r="G12435" t="str">
            <v>ASV15478</v>
          </cell>
          <cell r="H12435" t="str">
            <v>g__Eubacterium</v>
          </cell>
          <cell r="I12435" t="str">
            <v>s__unclassified_g__Eubacterium</v>
          </cell>
        </row>
        <row r="12436">
          <cell r="G12436" t="str">
            <v>ASV24184</v>
          </cell>
          <cell r="H12436" t="str">
            <v>g__unclassified_c__Clostridia</v>
          </cell>
          <cell r="I12436" t="str">
            <v>s__unclassified_c__Clostridia</v>
          </cell>
        </row>
        <row r="12437">
          <cell r="G12437" t="str">
            <v>ASV22501</v>
          </cell>
          <cell r="H12437" t="str">
            <v>g__unclassified_f__Oscillospiraceae</v>
          </cell>
          <cell r="I12437" t="str">
            <v>s__unclassified_f__Oscillospiraceae</v>
          </cell>
        </row>
        <row r="12438">
          <cell r="G12438" t="str">
            <v>ASV2777</v>
          </cell>
          <cell r="H12438" t="str">
            <v>g__Romboutsia</v>
          </cell>
          <cell r="I12438" t="str">
            <v>s__unclassified_g__Romboutsia</v>
          </cell>
        </row>
        <row r="12439">
          <cell r="G12439" t="str">
            <v>ASV7823</v>
          </cell>
          <cell r="H12439" t="str">
            <v>g__Prevotellaceae_NK3B31_group</v>
          </cell>
          <cell r="I12439" t="str">
            <v>s__uncultured_bacterium_g__Prevotellaceae_NK3B31_group</v>
          </cell>
        </row>
        <row r="12440">
          <cell r="G12440" t="str">
            <v>ASV6107</v>
          </cell>
          <cell r="H12440" t="str">
            <v>g__unclassified_o__Peptostreptococcales-Tissierellales</v>
          </cell>
          <cell r="I12440" t="str">
            <v>s__unclassified_o__Peptostreptococcales-Tissierellales</v>
          </cell>
        </row>
        <row r="12441">
          <cell r="G12441" t="str">
            <v>ASV7797</v>
          </cell>
          <cell r="H12441" t="str">
            <v>g__unclassified_k__norank_d__Bacteria</v>
          </cell>
          <cell r="I12441" t="str">
            <v>s__unclassified_k__norank_d__Bacteria</v>
          </cell>
        </row>
        <row r="12442">
          <cell r="G12442" t="str">
            <v>ASV2298</v>
          </cell>
          <cell r="H12442" t="str">
            <v>g__unclassified_c__Clostridia</v>
          </cell>
          <cell r="I12442" t="str">
            <v>s__unclassified_c__Clostridia</v>
          </cell>
        </row>
        <row r="12443">
          <cell r="G12443" t="str">
            <v>ASV19666</v>
          </cell>
          <cell r="H12443" t="str">
            <v>g__unclassified_c__Clostridia</v>
          </cell>
          <cell r="I12443" t="str">
            <v>s__unclassified_c__Clostridia</v>
          </cell>
        </row>
        <row r="12444">
          <cell r="G12444" t="str">
            <v>ASV18190</v>
          </cell>
          <cell r="H12444" t="str">
            <v>g__norank_f__Ruminococcaceae</v>
          </cell>
          <cell r="I12444" t="str">
            <v>s__uncultured_bacterium_g__norank_f__Ruminococcaceae</v>
          </cell>
        </row>
        <row r="12445">
          <cell r="G12445" t="str">
            <v>ASV9528</v>
          </cell>
          <cell r="H12445" t="str">
            <v>g__unclassified_c__Clostridia</v>
          </cell>
          <cell r="I12445" t="str">
            <v>s__unclassified_c__Clostridia</v>
          </cell>
        </row>
        <row r="12446">
          <cell r="G12446" t="str">
            <v>ASV9598</v>
          </cell>
          <cell r="H12446" t="str">
            <v>g__unclassified_f__Lachnospiraceae</v>
          </cell>
          <cell r="I12446" t="str">
            <v>s__unclassified_f__Lachnospiraceae</v>
          </cell>
        </row>
        <row r="12447">
          <cell r="G12447" t="str">
            <v>ASV11895</v>
          </cell>
          <cell r="H12447" t="str">
            <v>g__unclassified_o__Oscillospirales</v>
          </cell>
          <cell r="I12447" t="str">
            <v>s__unclassified_o__Oscillospirales</v>
          </cell>
        </row>
        <row r="12448">
          <cell r="G12448" t="str">
            <v>ASV24209</v>
          </cell>
          <cell r="H12448" t="str">
            <v>g__Alloprevotella</v>
          </cell>
          <cell r="I12448" t="str">
            <v>s__unclassified_g__Alloprevotella</v>
          </cell>
        </row>
        <row r="12449">
          <cell r="G12449" t="str">
            <v>ASV5055</v>
          </cell>
          <cell r="H12449" t="str">
            <v>g__Enterorhabdus</v>
          </cell>
          <cell r="I12449" t="str">
            <v>s__uncultured_bacterium_g__Enterorhabdus</v>
          </cell>
        </row>
        <row r="12450">
          <cell r="G12450" t="str">
            <v>ASV10711</v>
          </cell>
          <cell r="H12450" t="str">
            <v>g__norank_f__Eubacterium_coprostanoligenes_group</v>
          </cell>
          <cell r="I12450" t="str">
            <v>s__uncultured_bacterium_g__norank_f__Eubacterium_coprostanoligenes_group</v>
          </cell>
        </row>
        <row r="12451">
          <cell r="G12451" t="str">
            <v>ASV947</v>
          </cell>
          <cell r="H12451" t="str">
            <v>g__unclassified_f__Lachnospiraceae</v>
          </cell>
          <cell r="I12451" t="str">
            <v>s__unclassified_f__Lachnospiraceae</v>
          </cell>
        </row>
        <row r="12452">
          <cell r="G12452" t="str">
            <v>ASV15530</v>
          </cell>
          <cell r="H12452" t="str">
            <v>g__unclassified_c__Clostridia</v>
          </cell>
          <cell r="I12452" t="str">
            <v>s__unclassified_c__Clostridia</v>
          </cell>
        </row>
        <row r="12453">
          <cell r="G12453" t="str">
            <v>ASV21490</v>
          </cell>
          <cell r="H12453" t="str">
            <v>g__Megasphaera</v>
          </cell>
          <cell r="I12453" t="str">
            <v>s__unclassified_g__Megasphaera</v>
          </cell>
        </row>
        <row r="12454">
          <cell r="G12454" t="str">
            <v>ASV11062</v>
          </cell>
          <cell r="H12454" t="str">
            <v>g__unclassified_k__norank_d__Bacteria</v>
          </cell>
          <cell r="I12454" t="str">
            <v>s__unclassified_k__norank_d__Bacteria</v>
          </cell>
        </row>
        <row r="12455">
          <cell r="G12455" t="str">
            <v>ASV1065</v>
          </cell>
          <cell r="H12455" t="str">
            <v>g__unclassified_f__Oscillospiraceae</v>
          </cell>
          <cell r="I12455" t="str">
            <v>s__unclassified_f__Oscillospiraceae</v>
          </cell>
        </row>
        <row r="12456">
          <cell r="G12456" t="str">
            <v>ASV7891</v>
          </cell>
          <cell r="H12456" t="str">
            <v>g__Eubacterium_nodatum_group</v>
          </cell>
          <cell r="I12456" t="str">
            <v>s__Eubacterium_pyruvativorans</v>
          </cell>
        </row>
        <row r="12457">
          <cell r="G12457" t="str">
            <v>ASV19754</v>
          </cell>
          <cell r="H12457" t="str">
            <v>g__unclassified_p__Firmicutes</v>
          </cell>
          <cell r="I12457" t="str">
            <v>s__unclassified_p__Firmicutes</v>
          </cell>
        </row>
        <row r="12458">
          <cell r="G12458" t="str">
            <v>ASV22375</v>
          </cell>
          <cell r="H12458" t="str">
            <v>g__unclassified_c__Clostridia</v>
          </cell>
          <cell r="I12458" t="str">
            <v>s__unclassified_c__Clostridia</v>
          </cell>
        </row>
        <row r="12459">
          <cell r="G12459" t="str">
            <v>ASV23974</v>
          </cell>
          <cell r="H12459" t="str">
            <v>g__Eubacterium_nodatum_group</v>
          </cell>
          <cell r="I12459" t="str">
            <v>s__unclassified_g__Eubacterium_nodatum_group</v>
          </cell>
        </row>
        <row r="12460">
          <cell r="G12460" t="str">
            <v>ASV9532</v>
          </cell>
          <cell r="H12460" t="str">
            <v>g__Peptococcus</v>
          </cell>
          <cell r="I12460" t="str">
            <v>s__uncultured_bacterium_g__Peptococcus</v>
          </cell>
        </row>
        <row r="12461">
          <cell r="G12461" t="str">
            <v>ASV12894</v>
          </cell>
          <cell r="H12461" t="str">
            <v>g__Lactobacillus</v>
          </cell>
          <cell r="I12461" t="str">
            <v>s__unclassified_g__Lactobacillus</v>
          </cell>
        </row>
        <row r="12462">
          <cell r="G12462" t="str">
            <v>ASV3680</v>
          </cell>
          <cell r="H12462" t="str">
            <v>g__unclassified_f__Aerococcaceae</v>
          </cell>
          <cell r="I12462" t="str">
            <v>s__unclassified_f__Aerococcaceae</v>
          </cell>
        </row>
        <row r="12463">
          <cell r="G12463" t="str">
            <v>ASV18132</v>
          </cell>
          <cell r="H12463" t="str">
            <v>g__unclassified_k__norank_d__Bacteria</v>
          </cell>
          <cell r="I12463" t="str">
            <v>s__unclassified_k__norank_d__Bacteria</v>
          </cell>
        </row>
        <row r="12464">
          <cell r="G12464" t="str">
            <v>ASV22448</v>
          </cell>
          <cell r="H12464" t="str">
            <v>g__unclassified_f__Lachnospiraceae</v>
          </cell>
          <cell r="I12464" t="str">
            <v>s__unclassified_f__Lachnospiraceae</v>
          </cell>
        </row>
        <row r="12465">
          <cell r="G12465" t="str">
            <v>ASV23407</v>
          </cell>
          <cell r="H12465" t="str">
            <v>g__unclassified_c__Clostridia</v>
          </cell>
          <cell r="I12465" t="str">
            <v>s__unclassified_c__Clostridia</v>
          </cell>
        </row>
        <row r="12466">
          <cell r="G12466" t="str">
            <v>ASV21247</v>
          </cell>
          <cell r="H12466" t="str">
            <v>g__unclassified_f__Lachnospiraceae</v>
          </cell>
          <cell r="I12466" t="str">
            <v>s__unclassified_f__Lachnospiraceae</v>
          </cell>
        </row>
        <row r="12467">
          <cell r="G12467" t="str">
            <v>ASV22974</v>
          </cell>
          <cell r="H12467" t="str">
            <v>g__Lactobacillus</v>
          </cell>
          <cell r="I12467" t="str">
            <v>s__unclassified_g__Lactobacillus</v>
          </cell>
        </row>
        <row r="12468">
          <cell r="G12468" t="str">
            <v>ASV16784</v>
          </cell>
          <cell r="H12468" t="str">
            <v>g__Lactobacillus</v>
          </cell>
          <cell r="I12468" t="str">
            <v>s__unclassified_g__Lactobacillus</v>
          </cell>
        </row>
        <row r="12469">
          <cell r="G12469" t="str">
            <v>ASV18632</v>
          </cell>
          <cell r="H12469" t="str">
            <v>g__Lactobacillus</v>
          </cell>
          <cell r="I12469" t="str">
            <v>s__unclassified_g__Lactobacillus</v>
          </cell>
        </row>
        <row r="12470">
          <cell r="G12470" t="str">
            <v>ASV10788</v>
          </cell>
          <cell r="H12470" t="str">
            <v>g__unclassified_f__Lachnospiraceae</v>
          </cell>
          <cell r="I12470" t="str">
            <v>s__unclassified_f__Lachnospiraceae</v>
          </cell>
        </row>
        <row r="12471">
          <cell r="G12471" t="str">
            <v>ASV22458</v>
          </cell>
          <cell r="H12471" t="str">
            <v>g__Eubacterium_oxidoreducens_group</v>
          </cell>
          <cell r="I12471" t="str">
            <v>s__uncultured_bacterium_g__Eubacterium_oxidoreducens_group</v>
          </cell>
        </row>
        <row r="12472">
          <cell r="G12472" t="str">
            <v>ASV23300</v>
          </cell>
          <cell r="H12472" t="str">
            <v>g__Bacteroides</v>
          </cell>
          <cell r="I12472" t="str">
            <v>s__unclassified_g__Bacteroides</v>
          </cell>
        </row>
        <row r="12473">
          <cell r="G12473" t="str">
            <v>ASV8825</v>
          </cell>
          <cell r="H12473" t="str">
            <v>g__Methylobacterium-Methylorubrum</v>
          </cell>
          <cell r="I12473" t="str">
            <v>s__unclassified_g__Methylobacterium-Methylorubrum</v>
          </cell>
        </row>
        <row r="12474">
          <cell r="G12474" t="str">
            <v>ASV916</v>
          </cell>
          <cell r="H12474" t="str">
            <v>g__unclassified_c__Clostridia</v>
          </cell>
          <cell r="I12474" t="str">
            <v>s__unclassified_c__Clostridia</v>
          </cell>
        </row>
        <row r="12475">
          <cell r="G12475" t="str">
            <v>ASV838</v>
          </cell>
          <cell r="H12475" t="str">
            <v>g__unclassified_c__Bacilli</v>
          </cell>
          <cell r="I12475" t="str">
            <v>s__unclassified_c__Bacilli</v>
          </cell>
        </row>
        <row r="12476">
          <cell r="G12476" t="str">
            <v>ASV951</v>
          </cell>
          <cell r="H12476" t="str">
            <v>g__unclassified_k__norank_d__Bacteria</v>
          </cell>
          <cell r="I12476" t="str">
            <v>s__unclassified_k__norank_d__Bacteria</v>
          </cell>
        </row>
        <row r="12477">
          <cell r="G12477" t="str">
            <v>ASV11966</v>
          </cell>
          <cell r="H12477" t="str">
            <v>g__unclassified_f__Lachnospiraceae</v>
          </cell>
          <cell r="I12477" t="str">
            <v>s__unclassified_f__Lachnospiraceae</v>
          </cell>
        </row>
        <row r="12478">
          <cell r="G12478" t="str">
            <v>ASV22295</v>
          </cell>
          <cell r="H12478" t="str">
            <v>g__unclassified_p__Firmicutes</v>
          </cell>
          <cell r="I12478" t="str">
            <v>s__unclassified_p__Firmicutes</v>
          </cell>
        </row>
        <row r="12479">
          <cell r="G12479" t="str">
            <v>ASV23468</v>
          </cell>
          <cell r="H12479" t="str">
            <v>g__Lactobacillus</v>
          </cell>
          <cell r="I12479" t="str">
            <v>s__unclassified_g__Lactobacillus</v>
          </cell>
        </row>
        <row r="12480">
          <cell r="G12480" t="str">
            <v>ASV6053</v>
          </cell>
          <cell r="H12480" t="str">
            <v>g__UCG-005</v>
          </cell>
          <cell r="I12480" t="str">
            <v>s__unclassified_g__UCG-005</v>
          </cell>
        </row>
        <row r="12481">
          <cell r="G12481" t="str">
            <v>ASV6832</v>
          </cell>
          <cell r="H12481" t="str">
            <v>g__unclassified_p__Firmicutes</v>
          </cell>
          <cell r="I12481" t="str">
            <v>s__unclassified_p__Firmicutes</v>
          </cell>
        </row>
        <row r="12482">
          <cell r="G12482" t="str">
            <v>ASV14568</v>
          </cell>
          <cell r="H12482" t="str">
            <v>g__unclassified_f__Lachnospiraceae</v>
          </cell>
          <cell r="I12482" t="str">
            <v>s__unclassified_f__Lachnospiraceae</v>
          </cell>
        </row>
        <row r="12483">
          <cell r="G12483" t="str">
            <v>ASV11815</v>
          </cell>
          <cell r="H12483" t="str">
            <v>g__Holdemanella</v>
          </cell>
          <cell r="I12483" t="str">
            <v>s__unclassified_g__Holdemanella</v>
          </cell>
        </row>
        <row r="12484">
          <cell r="G12484" t="str">
            <v>ASV19844</v>
          </cell>
          <cell r="H12484" t="str">
            <v>g__unclassified_o__Oscillospirales</v>
          </cell>
          <cell r="I12484" t="str">
            <v>s__unclassified_o__Oscillospirales</v>
          </cell>
        </row>
        <row r="12485">
          <cell r="G12485" t="str">
            <v>ASV4131</v>
          </cell>
          <cell r="H12485" t="str">
            <v>g__Cloacibacillus</v>
          </cell>
          <cell r="I12485" t="str">
            <v>s__unclassified_g__Cloacibacillus</v>
          </cell>
        </row>
        <row r="12486">
          <cell r="G12486" t="str">
            <v>ASV24255</v>
          </cell>
          <cell r="H12486" t="str">
            <v>g__unclassified_f__Lachnospiraceae</v>
          </cell>
          <cell r="I12486" t="str">
            <v>s__unclassified_f__Lachnospiraceae</v>
          </cell>
        </row>
        <row r="12487">
          <cell r="G12487" t="str">
            <v>ASV12883</v>
          </cell>
          <cell r="H12487" t="str">
            <v>g__unclassified_p__Firmicutes</v>
          </cell>
          <cell r="I12487" t="str">
            <v>s__unclassified_p__Firmicutes</v>
          </cell>
        </row>
        <row r="12488">
          <cell r="G12488" t="str">
            <v>ASV9478</v>
          </cell>
          <cell r="H12488" t="str">
            <v>g__unclassified_f__Lachnospiraceae</v>
          </cell>
          <cell r="I12488" t="str">
            <v>s__unclassified_f__Lachnospiraceae</v>
          </cell>
        </row>
        <row r="12489">
          <cell r="G12489" t="str">
            <v>ASV23346</v>
          </cell>
          <cell r="H12489" t="str">
            <v>g__unclassified_p__Firmicutes</v>
          </cell>
          <cell r="I12489" t="str">
            <v>s__unclassified_p__Firmicutes</v>
          </cell>
        </row>
        <row r="12490">
          <cell r="G12490" t="str">
            <v>ASV9527</v>
          </cell>
          <cell r="H12490" t="str">
            <v>g__unclassified_f__Lachnospiraceae</v>
          </cell>
          <cell r="I12490" t="str">
            <v>s__unclassified_f__Lachnospiraceae</v>
          </cell>
        </row>
        <row r="12491">
          <cell r="G12491" t="str">
            <v>ASV8536</v>
          </cell>
          <cell r="H12491" t="str">
            <v>g__Acidaminococcus</v>
          </cell>
          <cell r="I12491" t="str">
            <v>s__unclassified_g__Acidaminococcus</v>
          </cell>
        </row>
        <row r="12492">
          <cell r="G12492" t="str">
            <v>ASV10716</v>
          </cell>
          <cell r="H12492" t="str">
            <v>g__unclassified_f__Peptostreptococcaceae</v>
          </cell>
          <cell r="I12492" t="str">
            <v>s__unclassified_f__Peptostreptococcaceae</v>
          </cell>
        </row>
        <row r="12493">
          <cell r="G12493" t="str">
            <v>ASV15088</v>
          </cell>
          <cell r="H12493" t="str">
            <v>g__Ezakiella</v>
          </cell>
          <cell r="I12493" t="str">
            <v>s__unclassified_g__Ezakiella</v>
          </cell>
        </row>
        <row r="12494">
          <cell r="G12494" t="str">
            <v>ASV12911</v>
          </cell>
          <cell r="H12494" t="str">
            <v>g__Streptococcus</v>
          </cell>
          <cell r="I12494" t="str">
            <v>s__unclassified_g__Streptococcus</v>
          </cell>
        </row>
        <row r="12495">
          <cell r="G12495" t="str">
            <v>ASV19772</v>
          </cell>
          <cell r="H12495" t="str">
            <v>g__norank_f__Peptostreptococcaceae</v>
          </cell>
          <cell r="I12495" t="str">
            <v>s__uncultured_bacterium_g__norank_f__Peptostreptococcaceae</v>
          </cell>
        </row>
        <row r="12496">
          <cell r="G12496" t="str">
            <v>ASV17297</v>
          </cell>
          <cell r="H12496" t="str">
            <v>g__unclassified_o__Peptostreptococcales-Tissierellales</v>
          </cell>
          <cell r="I12496" t="str">
            <v>s__unclassified_o__Peptostreptococcales-Tissierellales</v>
          </cell>
        </row>
        <row r="12497">
          <cell r="G12497" t="str">
            <v>ASV20822</v>
          </cell>
          <cell r="H12497" t="str">
            <v>g__Christensenellaceae_R-7_group</v>
          </cell>
          <cell r="I12497" t="str">
            <v>s__unclassified_g__Christensenellaceae_R-7_group</v>
          </cell>
        </row>
        <row r="12498">
          <cell r="G12498" t="str">
            <v>ASV13512</v>
          </cell>
          <cell r="H12498" t="str">
            <v>g__Olsenella</v>
          </cell>
          <cell r="I12498" t="str">
            <v>s__unclassified_g__Olsenella</v>
          </cell>
        </row>
        <row r="12499">
          <cell r="G12499" t="str">
            <v>ASV14341</v>
          </cell>
          <cell r="H12499" t="str">
            <v>g__norank_f__Peptococcaceae</v>
          </cell>
          <cell r="I12499" t="str">
            <v>s__uncultured_bacterium_g__norank_f__Peptococcaceae</v>
          </cell>
        </row>
        <row r="12500">
          <cell r="G12500" t="str">
            <v>ASV22496</v>
          </cell>
          <cell r="H12500" t="str">
            <v>g__norank_f__UCG-011</v>
          </cell>
          <cell r="I12500" t="str">
            <v>s__uncultured_bacterium_g__norank_f__UCG-011</v>
          </cell>
        </row>
        <row r="12501">
          <cell r="G12501" t="str">
            <v>ASV10782</v>
          </cell>
          <cell r="H12501" t="str">
            <v>g__Terrisporobacter</v>
          </cell>
          <cell r="I12501" t="str">
            <v>s__unclassified_g__Terrisporobacter</v>
          </cell>
        </row>
        <row r="12502">
          <cell r="G12502" t="str">
            <v>ASV14424</v>
          </cell>
          <cell r="H12502" t="str">
            <v>g__unclassified_p__Firmicutes</v>
          </cell>
          <cell r="I12502" t="str">
            <v>s__unclassified_p__Firmicutes</v>
          </cell>
        </row>
        <row r="12503">
          <cell r="G12503" t="str">
            <v>ASV15405</v>
          </cell>
          <cell r="H12503" t="str">
            <v>g__unclassified_c__Clostridia</v>
          </cell>
          <cell r="I12503" t="str">
            <v>s__unclassified_c__Clostridia</v>
          </cell>
        </row>
        <row r="12504">
          <cell r="G12504" t="str">
            <v>ASV11693</v>
          </cell>
          <cell r="H12504" t="str">
            <v>g__norank_f__norank_o__WCHB1-41</v>
          </cell>
          <cell r="I12504" t="str">
            <v>s__uncultured_bacterium_g__norank_f__norank_o__WCHB1-41</v>
          </cell>
        </row>
        <row r="12505">
          <cell r="G12505" t="str">
            <v>ASV1011</v>
          </cell>
          <cell r="H12505" t="str">
            <v>g__Lactobacillus</v>
          </cell>
          <cell r="I12505" t="str">
            <v>s__unclassified_g__Lactobacillus</v>
          </cell>
        </row>
        <row r="12506">
          <cell r="G12506" t="str">
            <v>ASV11885</v>
          </cell>
          <cell r="H12506" t="str">
            <v>g__unclassified_c__Clostridia</v>
          </cell>
          <cell r="I12506" t="str">
            <v>s__unclassified_c__Clostridia</v>
          </cell>
        </row>
        <row r="12507">
          <cell r="G12507" t="str">
            <v>ASV11931</v>
          </cell>
          <cell r="H12507" t="str">
            <v>g__Eubacterium_oxidoreducens_group</v>
          </cell>
          <cell r="I12507" t="str">
            <v>s__uncultured_bacterium_g__Eubacterium_oxidoreducens_group</v>
          </cell>
        </row>
        <row r="12508">
          <cell r="G12508" t="str">
            <v>ASV7899</v>
          </cell>
          <cell r="H12508" t="str">
            <v>g__unclassified_f__Lachnospiraceae</v>
          </cell>
          <cell r="I12508" t="str">
            <v>s__unclassified_f__Lachnospiraceae</v>
          </cell>
        </row>
        <row r="12509">
          <cell r="G12509" t="str">
            <v>ASV21468</v>
          </cell>
          <cell r="H12509" t="str">
            <v>g__Anaerovibrio</v>
          </cell>
          <cell r="I12509" t="str">
            <v>s__Anaerovibrio_sp._765</v>
          </cell>
        </row>
        <row r="12510">
          <cell r="G12510" t="str">
            <v>ASV14405</v>
          </cell>
          <cell r="H12510" t="str">
            <v>g__norank_f__Muribaculaceae</v>
          </cell>
          <cell r="I12510" t="str">
            <v>s__uncultured_bacterium_g__norank_f__Muribaculaceae</v>
          </cell>
        </row>
        <row r="12511">
          <cell r="G12511" t="str">
            <v>ASV20895</v>
          </cell>
          <cell r="H12511" t="str">
            <v>g__Enterococcus</v>
          </cell>
          <cell r="I12511" t="str">
            <v>s__unclassified_g__Enterococcus</v>
          </cell>
        </row>
        <row r="12512">
          <cell r="G12512" t="str">
            <v>ASV18049</v>
          </cell>
          <cell r="H12512" t="str">
            <v>g__unclassified_f__Ruminococcaceae</v>
          </cell>
          <cell r="I12512" t="str">
            <v>s__unclassified_f__Ruminococcaceae</v>
          </cell>
        </row>
        <row r="12513">
          <cell r="G12513" t="str">
            <v>ASV12814</v>
          </cell>
          <cell r="H12513" t="str">
            <v>g__norank_f__norank_o__Gastranaerophilales</v>
          </cell>
          <cell r="I12513" t="str">
            <v>s__uncultured_bacterium_g__norank_f__norank_o__Gastranaerophilales</v>
          </cell>
        </row>
        <row r="12514">
          <cell r="G12514" t="str">
            <v>ASV23448</v>
          </cell>
          <cell r="H12514" t="str">
            <v>g__Christensenellaceae_R-7_group</v>
          </cell>
          <cell r="I12514" t="str">
            <v>s__unclassified_g__Christensenellaceae_R-7_group</v>
          </cell>
        </row>
        <row r="12515">
          <cell r="G12515" t="str">
            <v>ASV18091</v>
          </cell>
          <cell r="H12515" t="str">
            <v>g__norank_f__UCG-010</v>
          </cell>
          <cell r="I12515" t="str">
            <v>s__unclassified_g__norank_f__UCG-010</v>
          </cell>
        </row>
        <row r="12516">
          <cell r="G12516" t="str">
            <v>ASV22385</v>
          </cell>
          <cell r="H12516" t="str">
            <v>g__unclassified_k__norank_d__Bacteria</v>
          </cell>
          <cell r="I12516" t="str">
            <v>s__unclassified_k__norank_d__Bacteria</v>
          </cell>
        </row>
        <row r="12517">
          <cell r="G12517" t="str">
            <v>ASV14314</v>
          </cell>
          <cell r="H12517" t="str">
            <v>g__unclassified_k__norank_d__Bacteria</v>
          </cell>
          <cell r="I12517" t="str">
            <v>s__unclassified_k__norank_d__Bacteria</v>
          </cell>
        </row>
        <row r="12518">
          <cell r="G12518" t="str">
            <v>ASV6040</v>
          </cell>
          <cell r="H12518" t="str">
            <v>g__unclassified_o__Oscillospirales</v>
          </cell>
          <cell r="I12518" t="str">
            <v>s__unclassified_o__Oscillospirales</v>
          </cell>
        </row>
        <row r="12519">
          <cell r="G12519" t="str">
            <v>ASV23421</v>
          </cell>
          <cell r="H12519" t="str">
            <v>g__unclassified_f__Peptostreptococcaceae</v>
          </cell>
          <cell r="I12519" t="str">
            <v>s__unclassified_f__Peptostreptococcaceae</v>
          </cell>
        </row>
        <row r="12520">
          <cell r="G12520" t="str">
            <v>ASV16000</v>
          </cell>
          <cell r="H12520" t="str">
            <v>g__unclassified_f__Prevotellaceae</v>
          </cell>
          <cell r="I12520" t="str">
            <v>s__unclassified_f__Prevotellaceae</v>
          </cell>
        </row>
        <row r="12521">
          <cell r="G12521" t="str">
            <v>ASV8531</v>
          </cell>
          <cell r="H12521" t="str">
            <v>g__Dialister</v>
          </cell>
          <cell r="I12521" t="str">
            <v>s__uncultured_bacterium_g__Dialister</v>
          </cell>
        </row>
        <row r="12522">
          <cell r="G12522" t="str">
            <v>ASV17500</v>
          </cell>
          <cell r="H12522" t="str">
            <v>g__unclassified_p__Firmicutes</v>
          </cell>
          <cell r="I12522" t="str">
            <v>s__unclassified_p__Firmicutes</v>
          </cell>
        </row>
        <row r="12523">
          <cell r="G12523" t="str">
            <v>ASV14946</v>
          </cell>
          <cell r="H12523" t="str">
            <v>g__Lactobacillus</v>
          </cell>
          <cell r="I12523" t="str">
            <v>s__unclassified_g__Lactobacillus</v>
          </cell>
        </row>
        <row r="12524">
          <cell r="G12524" t="str">
            <v>ASV14337</v>
          </cell>
          <cell r="H12524" t="str">
            <v>g__unclassified_f__Lachnospiraceae</v>
          </cell>
          <cell r="I12524" t="str">
            <v>s__unclassified_f__Lachnospiraceae</v>
          </cell>
        </row>
        <row r="12525">
          <cell r="G12525" t="str">
            <v>ASV13826</v>
          </cell>
          <cell r="H12525" t="str">
            <v>g__Lactobacillus</v>
          </cell>
          <cell r="I12525" t="str">
            <v>s__uncultured_bacterium_g__Lactobacillus</v>
          </cell>
        </row>
        <row r="12526">
          <cell r="G12526" t="str">
            <v>ASV10820</v>
          </cell>
          <cell r="H12526" t="str">
            <v>g__norank_f__Eubacterium_coprostanoligenes_group</v>
          </cell>
          <cell r="I12526" t="str">
            <v>s__uncultured_Clostridia_bacterium_g__norank_f__Eubacterium_coprostanoligenes_group</v>
          </cell>
        </row>
        <row r="12527">
          <cell r="G12527" t="str">
            <v>ASV9504</v>
          </cell>
          <cell r="H12527" t="str">
            <v>g__UCG-005</v>
          </cell>
          <cell r="I12527" t="str">
            <v>s__human_gut_metagenome_g__UCG-005</v>
          </cell>
        </row>
        <row r="12528">
          <cell r="G12528" t="str">
            <v>ASV23333</v>
          </cell>
          <cell r="H12528" t="str">
            <v>g__unclassified_p__Firmicutes</v>
          </cell>
          <cell r="I12528" t="str">
            <v>s__unclassified_p__Firmicutes</v>
          </cell>
        </row>
        <row r="12529">
          <cell r="G12529" t="str">
            <v>ASV6046</v>
          </cell>
          <cell r="H12529" t="str">
            <v>g__Hydrogenoanaerobacterium</v>
          </cell>
          <cell r="I12529" t="str">
            <v>s__Selenomonadales_bacterium_Marseille-P2399</v>
          </cell>
        </row>
        <row r="12530">
          <cell r="G12530" t="str">
            <v>ASV23994</v>
          </cell>
          <cell r="H12530" t="str">
            <v>g__Lactobacillus</v>
          </cell>
          <cell r="I12530" t="str">
            <v>s__unclassified_g__Lactobacillus</v>
          </cell>
        </row>
        <row r="12531">
          <cell r="G12531" t="str">
            <v>ASV11941</v>
          </cell>
          <cell r="H12531" t="str">
            <v>g__unclassified_o__Peptostreptococcales-Tissierellales</v>
          </cell>
          <cell r="I12531" t="str">
            <v>s__unclassified_o__Peptostreptococcales-Tissierellales</v>
          </cell>
        </row>
        <row r="12532">
          <cell r="G12532" t="str">
            <v>ASV24387</v>
          </cell>
          <cell r="H12532" t="str">
            <v>g__Acidaminococcus</v>
          </cell>
          <cell r="I12532" t="str">
            <v>s__unclassified_g__Acidaminococcus</v>
          </cell>
        </row>
        <row r="12533">
          <cell r="G12533" t="str">
            <v>ASV14402</v>
          </cell>
          <cell r="H12533" t="str">
            <v>g__Christensenellaceae_R-7_group</v>
          </cell>
          <cell r="I12533" t="str">
            <v>s__unclassified_g__Christensenellaceae_R-7_group</v>
          </cell>
        </row>
        <row r="12534">
          <cell r="G12534" t="str">
            <v>ASV5008</v>
          </cell>
          <cell r="H12534" t="str">
            <v>g__unclassified_f__Lachnospiraceae</v>
          </cell>
          <cell r="I12534" t="str">
            <v>s__unclassified_f__Lachnospiraceae</v>
          </cell>
        </row>
        <row r="12535">
          <cell r="G12535" t="str">
            <v>ASV18084</v>
          </cell>
          <cell r="H12535" t="str">
            <v>g__unclassified_c__Clostridia</v>
          </cell>
          <cell r="I12535" t="str">
            <v>s__unclassified_c__Clostridia</v>
          </cell>
        </row>
        <row r="12536">
          <cell r="G12536" t="str">
            <v>ASV2284</v>
          </cell>
          <cell r="H12536" t="str">
            <v>g__unclassified_f__Ruminococcaceae</v>
          </cell>
          <cell r="I12536" t="str">
            <v>s__unclassified_f__Ruminococcaceae</v>
          </cell>
        </row>
        <row r="12537">
          <cell r="G12537" t="str">
            <v>ASV15526</v>
          </cell>
          <cell r="H12537" t="str">
            <v>g__unclassified_c__Clostridia</v>
          </cell>
          <cell r="I12537" t="str">
            <v>s__unclassified_c__Clostridia</v>
          </cell>
        </row>
        <row r="12538">
          <cell r="G12538" t="str">
            <v>ASV16550</v>
          </cell>
          <cell r="H12538" t="str">
            <v>g__UCG-002</v>
          </cell>
          <cell r="I12538" t="str">
            <v>s__uncultured_bacterium_g__UCG-002</v>
          </cell>
        </row>
        <row r="12539">
          <cell r="G12539" t="str">
            <v>ASV18887</v>
          </cell>
          <cell r="H12539" t="str">
            <v>g__Alistipes</v>
          </cell>
          <cell r="I12539" t="str">
            <v>s__unclassified_g__Alistipes</v>
          </cell>
        </row>
        <row r="12540">
          <cell r="G12540" t="str">
            <v>ASV18195</v>
          </cell>
          <cell r="H12540" t="str">
            <v>g__Christensenellaceae_R-7_group</v>
          </cell>
          <cell r="I12540" t="str">
            <v>s__unclassified_g__Christensenellaceae_R-7_group</v>
          </cell>
        </row>
        <row r="12541">
          <cell r="G12541" t="str">
            <v>ASV11858</v>
          </cell>
          <cell r="H12541" t="str">
            <v>g__unclassified_o__Oscillospirales</v>
          </cell>
          <cell r="I12541" t="str">
            <v>s__unclassified_o__Oscillospirales</v>
          </cell>
        </row>
        <row r="12542">
          <cell r="G12542" t="str">
            <v>ASV20275</v>
          </cell>
          <cell r="H12542" t="str">
            <v>g__Eggerthella</v>
          </cell>
          <cell r="I12542" t="str">
            <v>s__unclassified_g__Eggerthella</v>
          </cell>
        </row>
        <row r="12543">
          <cell r="G12543" t="str">
            <v>ASV1045</v>
          </cell>
          <cell r="H12543" t="str">
            <v>g__Eubacterium_oxidoreducens_group</v>
          </cell>
          <cell r="I12543" t="str">
            <v>s__uncultured_bacterium_g__Eubacterium_oxidoreducens_group</v>
          </cell>
        </row>
        <row r="12544">
          <cell r="G12544" t="str">
            <v>ASV897</v>
          </cell>
          <cell r="H12544" t="str">
            <v>g__unclassified_c__Clostridia</v>
          </cell>
          <cell r="I12544" t="str">
            <v>s__unclassified_c__Clostridia</v>
          </cell>
        </row>
        <row r="12545">
          <cell r="G12545" t="str">
            <v>ASV2266</v>
          </cell>
          <cell r="H12545" t="str">
            <v>g__Lactobacillus</v>
          </cell>
          <cell r="I12545" t="str">
            <v>s__unclassified_g__Lactobacillus</v>
          </cell>
        </row>
        <row r="12546">
          <cell r="G12546" t="str">
            <v>ASV18182</v>
          </cell>
          <cell r="H12546" t="str">
            <v>g__unclassified_o__Oscillospirales</v>
          </cell>
          <cell r="I12546" t="str">
            <v>s__unclassified_o__Oscillospirales</v>
          </cell>
        </row>
        <row r="12547">
          <cell r="G12547" t="str">
            <v>ASV12962</v>
          </cell>
          <cell r="H12547" t="str">
            <v>g__unclassified_o__Peptostreptococcales-Tissierellales</v>
          </cell>
          <cell r="I12547" t="str">
            <v>s__unclassified_o__Peptostreptococcales-Tissierellales</v>
          </cell>
        </row>
        <row r="12548">
          <cell r="G12548" t="str">
            <v>ASV20861</v>
          </cell>
          <cell r="H12548" t="str">
            <v>g__unclassified_f__Ruminococcaceae</v>
          </cell>
          <cell r="I12548" t="str">
            <v>s__unclassified_f__Ruminococcaceae</v>
          </cell>
        </row>
        <row r="12549">
          <cell r="G12549" t="str">
            <v>ASV8544</v>
          </cell>
          <cell r="H12549" t="str">
            <v>g__Prevotella</v>
          </cell>
          <cell r="I12549" t="str">
            <v>s__unclassified_g__Prevotella</v>
          </cell>
        </row>
        <row r="12550">
          <cell r="G12550" t="str">
            <v>ASV6078</v>
          </cell>
          <cell r="H12550" t="str">
            <v>g__norank_f__Ruminococcaceae</v>
          </cell>
          <cell r="I12550" t="str">
            <v>s__uncultured_bacterium_g__norank_f__Ruminococcaceae</v>
          </cell>
        </row>
        <row r="12551">
          <cell r="G12551" t="str">
            <v>ASV15496</v>
          </cell>
          <cell r="H12551" t="str">
            <v>g__unclassified_f__Lachnospiraceae</v>
          </cell>
          <cell r="I12551" t="str">
            <v>s__unclassified_f__Lachnospiraceae</v>
          </cell>
        </row>
        <row r="12552">
          <cell r="G12552" t="str">
            <v>ASV18117</v>
          </cell>
          <cell r="H12552" t="str">
            <v>g__unclassified_c__Clostridia</v>
          </cell>
          <cell r="I12552" t="str">
            <v>s__unclassified_c__Clostridia</v>
          </cell>
        </row>
        <row r="12553">
          <cell r="G12553" t="str">
            <v>ASV12891</v>
          </cell>
          <cell r="H12553" t="str">
            <v>g__Lactobacillus</v>
          </cell>
          <cell r="I12553" t="str">
            <v>s__unclassified_g__Lactobacillus</v>
          </cell>
        </row>
        <row r="12554">
          <cell r="G12554" t="str">
            <v>ASV15425</v>
          </cell>
          <cell r="H12554" t="str">
            <v>g__unclassified_f__Lachnospiraceae</v>
          </cell>
          <cell r="I12554" t="str">
            <v>s__unclassified_f__Lachnospiraceae</v>
          </cell>
        </row>
        <row r="12555">
          <cell r="G12555" t="str">
            <v>ASV19792</v>
          </cell>
          <cell r="H12555" t="str">
            <v>g__unclassified_f__Lachnospiraceae</v>
          </cell>
          <cell r="I12555" t="str">
            <v>s__unclassified_f__Lachnospiraceae</v>
          </cell>
        </row>
        <row r="12556">
          <cell r="G12556" t="str">
            <v>ASV24187</v>
          </cell>
          <cell r="H12556" t="str">
            <v>g__unclassified_f__Lachnospiraceae</v>
          </cell>
          <cell r="I12556" t="str">
            <v>s__unclassified_f__Lachnospiraceae</v>
          </cell>
        </row>
        <row r="12557">
          <cell r="G12557" t="str">
            <v>ASV2227</v>
          </cell>
          <cell r="H12557" t="str">
            <v>g__unclassified_f__Lachnospiraceae</v>
          </cell>
          <cell r="I12557" t="str">
            <v>s__unclassified_f__Lachnospiraceae</v>
          </cell>
        </row>
        <row r="12558">
          <cell r="G12558" t="str">
            <v>ASV11917</v>
          </cell>
          <cell r="H12558" t="str">
            <v>g__unclassified_f__Ruminococcaceae</v>
          </cell>
          <cell r="I12558" t="str">
            <v>s__unclassified_f__Ruminococcaceae</v>
          </cell>
        </row>
        <row r="12559">
          <cell r="G12559" t="str">
            <v>ASV22485</v>
          </cell>
          <cell r="H12559" t="str">
            <v>g__Eubacterium_oxidoreducens_group</v>
          </cell>
          <cell r="I12559" t="str">
            <v>s__uncultured_bacterium_g__Eubacterium_oxidoreducens_group</v>
          </cell>
        </row>
        <row r="12560">
          <cell r="G12560" t="str">
            <v>ASV13464</v>
          </cell>
          <cell r="H12560" t="str">
            <v>g__unclassified_c__Clostridia</v>
          </cell>
          <cell r="I12560" t="str">
            <v>s__unclassified_c__Clostridia</v>
          </cell>
        </row>
        <row r="12561">
          <cell r="G12561" t="str">
            <v>ASV18066</v>
          </cell>
          <cell r="H12561" t="str">
            <v>g__unclassified_f__Lachnospiraceae</v>
          </cell>
          <cell r="I12561" t="str">
            <v>s__unclassified_f__Lachnospiraceae</v>
          </cell>
        </row>
        <row r="12562">
          <cell r="G12562" t="str">
            <v>ASV22479</v>
          </cell>
          <cell r="H12562" t="str">
            <v>g__unclassified_c__Clostridia</v>
          </cell>
          <cell r="I12562" t="str">
            <v>s__unclassified_c__Clostridia</v>
          </cell>
        </row>
        <row r="12563">
          <cell r="G12563" t="str">
            <v>ASV4115</v>
          </cell>
          <cell r="H12563" t="str">
            <v>g__unclassified_c__Clostridia</v>
          </cell>
          <cell r="I12563" t="str">
            <v>s__unclassified_c__Clostridia</v>
          </cell>
        </row>
        <row r="12564">
          <cell r="G12564" t="str">
            <v>ASV22973</v>
          </cell>
          <cell r="H12564" t="str">
            <v>g__Clostridium_sensu_stricto_1</v>
          </cell>
          <cell r="I12564" t="str">
            <v>s__unclassified_g__Clostridium_sensu_stricto_1</v>
          </cell>
        </row>
        <row r="12565">
          <cell r="G12565" t="str">
            <v>ASV23395</v>
          </cell>
          <cell r="H12565" t="str">
            <v>g__unclassified_c__Clostridia</v>
          </cell>
          <cell r="I12565" t="str">
            <v>s__unclassified_c__Clostridia</v>
          </cell>
        </row>
        <row r="12566">
          <cell r="G12566" t="str">
            <v>ASV16554</v>
          </cell>
          <cell r="H12566" t="str">
            <v>g__Lachnoclostridium</v>
          </cell>
          <cell r="I12566" t="str">
            <v>s__unclassified_g__Lachnoclostridium</v>
          </cell>
        </row>
        <row r="12567">
          <cell r="G12567" t="str">
            <v>ASV6037</v>
          </cell>
          <cell r="H12567" t="str">
            <v>g__UCG-002</v>
          </cell>
          <cell r="I12567" t="str">
            <v>s__uncultured_bacterium_g__UCG-002</v>
          </cell>
        </row>
        <row r="12568">
          <cell r="G12568" t="str">
            <v>ASV16066</v>
          </cell>
          <cell r="H12568" t="str">
            <v>g__Sutterella</v>
          </cell>
          <cell r="I12568" t="str">
            <v>s__Sutterella_stercoricanis</v>
          </cell>
        </row>
        <row r="12569">
          <cell r="G12569" t="str">
            <v>ASV10203</v>
          </cell>
          <cell r="H12569" t="str">
            <v>g__Alistipes</v>
          </cell>
          <cell r="I12569" t="str">
            <v>s__unclassified_g__Alistipes</v>
          </cell>
        </row>
        <row r="12570">
          <cell r="G12570" t="str">
            <v>ASV4156</v>
          </cell>
          <cell r="H12570" t="str">
            <v>g__Escherichia-Shigella</v>
          </cell>
          <cell r="I12570" t="str">
            <v>s__unclassified_g__Escherichia-Shigella</v>
          </cell>
        </row>
        <row r="12571">
          <cell r="G12571" t="str">
            <v>ASV7885</v>
          </cell>
          <cell r="H12571" t="str">
            <v>g__unclassified_c__Clostridia</v>
          </cell>
          <cell r="I12571" t="str">
            <v>s__unclassified_c__Clostridia</v>
          </cell>
        </row>
        <row r="12572">
          <cell r="G12572" t="str">
            <v>ASV3663</v>
          </cell>
          <cell r="H12572" t="str">
            <v>g__Propioniciclava</v>
          </cell>
          <cell r="I12572" t="str">
            <v>s__uncultured_bacterium_g__Propioniciclava</v>
          </cell>
        </row>
        <row r="12573">
          <cell r="G12573" t="str">
            <v>ASV11930</v>
          </cell>
          <cell r="H12573" t="str">
            <v>g__unclassified_c__Clostridia</v>
          </cell>
          <cell r="I12573" t="str">
            <v>s__unclassified_c__Clostridia</v>
          </cell>
        </row>
        <row r="12574">
          <cell r="G12574" t="str">
            <v>ASV2773</v>
          </cell>
          <cell r="H12574" t="str">
            <v>g__Streptococcus</v>
          </cell>
          <cell r="I12574" t="str">
            <v>s__unclassified_g__Streptococcus</v>
          </cell>
        </row>
        <row r="12575">
          <cell r="G12575" t="str">
            <v>ASV2325</v>
          </cell>
          <cell r="H12575" t="str">
            <v>g__Christensenellaceae_R-7_group</v>
          </cell>
          <cell r="I12575" t="str">
            <v>s__unclassified_g__Christensenellaceae_R-7_group</v>
          </cell>
        </row>
        <row r="12576">
          <cell r="G12576" t="str">
            <v>ASV873</v>
          </cell>
          <cell r="H12576" t="str">
            <v>g__unclassified_c__Clostridia</v>
          </cell>
          <cell r="I12576" t="str">
            <v>s__unclassified_c__Clostridia</v>
          </cell>
        </row>
        <row r="12577">
          <cell r="G12577" t="str">
            <v>ASV16563</v>
          </cell>
          <cell r="H12577" t="str">
            <v>g__unclassified_f__Lachnospiraceae</v>
          </cell>
          <cell r="I12577" t="str">
            <v>s__unclassified_f__Lachnospiraceae</v>
          </cell>
        </row>
        <row r="12578">
          <cell r="G12578" t="str">
            <v>ASV18240</v>
          </cell>
          <cell r="H12578" t="str">
            <v>g__unclassified_c__Clostridia</v>
          </cell>
          <cell r="I12578" t="str">
            <v>s__unclassified_c__Clostridia</v>
          </cell>
        </row>
        <row r="12579">
          <cell r="G12579" t="str">
            <v>ASV23320</v>
          </cell>
          <cell r="H12579" t="str">
            <v>g__norank_f__Eubacterium_coprostanoligenes_group</v>
          </cell>
          <cell r="I12579" t="str">
            <v>s__uncultured_bacterium_g__norank_f__Eubacterium_coprostanoligenes_group</v>
          </cell>
        </row>
        <row r="12580">
          <cell r="G12580" t="str">
            <v>ASV6036</v>
          </cell>
          <cell r="H12580" t="str">
            <v>g__unclassified_o__Oscillospirales</v>
          </cell>
          <cell r="I12580" t="str">
            <v>s__unclassified_o__Oscillospirales</v>
          </cell>
        </row>
        <row r="12581">
          <cell r="G12581" t="str">
            <v>ASV7956</v>
          </cell>
          <cell r="H12581" t="str">
            <v>g__unclassified_c__Clostridia</v>
          </cell>
          <cell r="I12581" t="str">
            <v>s__unclassified_c__Clostridia</v>
          </cell>
        </row>
        <row r="12582">
          <cell r="G12582" t="str">
            <v>ASV19637</v>
          </cell>
          <cell r="H12582" t="str">
            <v>g__Lactobacillus</v>
          </cell>
          <cell r="I12582" t="str">
            <v>s__unclassified_g__Lactobacillus</v>
          </cell>
        </row>
        <row r="12583">
          <cell r="G12583" t="str">
            <v>ASV11768</v>
          </cell>
          <cell r="H12583" t="str">
            <v>g__unclassified_f__Clostridiaceae</v>
          </cell>
          <cell r="I12583" t="str">
            <v>s__unclassified_f__Clostridiaceae</v>
          </cell>
        </row>
        <row r="12584">
          <cell r="G12584" t="str">
            <v>ASV13497</v>
          </cell>
          <cell r="H12584" t="str">
            <v>g__norank_f__Ruminococcaceae</v>
          </cell>
          <cell r="I12584" t="str">
            <v>s__unclassified_g__norank_f__Ruminococcaceae</v>
          </cell>
        </row>
        <row r="12585">
          <cell r="G12585" t="str">
            <v>ASV11684</v>
          </cell>
          <cell r="H12585" t="str">
            <v>g__norank_f__norank_o__WCHB1-41</v>
          </cell>
          <cell r="I12585" t="str">
            <v>s__uncultured_bacterium_g__norank_f__norank_o__WCHB1-41</v>
          </cell>
        </row>
        <row r="12586">
          <cell r="G12586" t="str">
            <v>ASV10786</v>
          </cell>
          <cell r="H12586" t="str">
            <v>g__unclassified_o__Oscillospirales</v>
          </cell>
          <cell r="I12586" t="str">
            <v>s__unclassified_o__Oscillospirales</v>
          </cell>
        </row>
        <row r="12587">
          <cell r="G12587" t="str">
            <v>ASV22433</v>
          </cell>
          <cell r="H12587" t="str">
            <v>g__unclassified_o__Oscillospirales</v>
          </cell>
          <cell r="I12587" t="str">
            <v>s__unclassified_o__Oscillospirales</v>
          </cell>
        </row>
        <row r="12588">
          <cell r="G12588" t="str">
            <v>ASV4116</v>
          </cell>
          <cell r="H12588" t="str">
            <v>g__unclassified_f__Lachnospiraceae</v>
          </cell>
          <cell r="I12588" t="str">
            <v>s__unclassified_f__Lachnospiraceae</v>
          </cell>
        </row>
        <row r="12589">
          <cell r="G12589" t="str">
            <v>ASV20849</v>
          </cell>
          <cell r="H12589" t="str">
            <v>g__Lactobacillus</v>
          </cell>
          <cell r="I12589" t="str">
            <v>s__unclassified_g__Lactobacillus</v>
          </cell>
        </row>
        <row r="12590">
          <cell r="G12590" t="str">
            <v>ASV12834</v>
          </cell>
          <cell r="H12590" t="str">
            <v>g__unclassified_c__Clostridia</v>
          </cell>
          <cell r="I12590" t="str">
            <v>s__unclassified_c__Clostridia</v>
          </cell>
        </row>
        <row r="12591">
          <cell r="G12591" t="str">
            <v>ASV19759</v>
          </cell>
          <cell r="H12591" t="str">
            <v>g__unclassified_f__Ruminococcaceae</v>
          </cell>
          <cell r="I12591" t="str">
            <v>s__unclassified_f__Ruminococcaceae</v>
          </cell>
        </row>
        <row r="12592">
          <cell r="G12592" t="str">
            <v>ASV15423</v>
          </cell>
          <cell r="H12592" t="str">
            <v>g__unclassified_f__Lachnospiraceae</v>
          </cell>
          <cell r="I12592" t="str">
            <v>s__unclassified_f__Lachnospiraceae</v>
          </cell>
        </row>
        <row r="12593">
          <cell r="G12593" t="str">
            <v>ASV5989</v>
          </cell>
          <cell r="H12593" t="str">
            <v>g__unclassified_f__Lachnospiraceae</v>
          </cell>
          <cell r="I12593" t="str">
            <v>s__unclassified_f__Lachnospiraceae</v>
          </cell>
        </row>
        <row r="12594">
          <cell r="G12594" t="str">
            <v>ASV21293</v>
          </cell>
          <cell r="H12594" t="str">
            <v>g__unclassified_f__Ruminococcaceae</v>
          </cell>
          <cell r="I12594" t="str">
            <v>s__unclassified_f__Ruminococcaceae</v>
          </cell>
        </row>
        <row r="12595">
          <cell r="G12595" t="str">
            <v>ASV4976</v>
          </cell>
          <cell r="H12595" t="str">
            <v>g__unclassified_f__Lachnospiraceae</v>
          </cell>
          <cell r="I12595" t="str">
            <v>s__unclassified_f__Lachnospiraceae</v>
          </cell>
        </row>
        <row r="12596">
          <cell r="G12596" t="str">
            <v>ASV6754</v>
          </cell>
          <cell r="H12596" t="str">
            <v>g__unclassified_p__Firmicutes</v>
          </cell>
          <cell r="I12596" t="str">
            <v>s__unclassified_p__Firmicutes</v>
          </cell>
        </row>
        <row r="12597">
          <cell r="G12597" t="str">
            <v>ASV5006</v>
          </cell>
          <cell r="H12597" t="str">
            <v>g__Candidatus_Soleaferrea</v>
          </cell>
          <cell r="I12597" t="str">
            <v>s__unclassified_g__Candidatus_Soleaferrea</v>
          </cell>
        </row>
        <row r="12598">
          <cell r="G12598" t="str">
            <v>ASV8651</v>
          </cell>
          <cell r="H12598" t="str">
            <v>g__Aeromonas</v>
          </cell>
          <cell r="I12598" t="str">
            <v>s__unclassified_g__Aeromonas</v>
          </cell>
        </row>
        <row r="12599">
          <cell r="G12599" t="str">
            <v>ASV19815</v>
          </cell>
          <cell r="H12599" t="str">
            <v>g__unclassified_f__Lachnospiraceae</v>
          </cell>
          <cell r="I12599" t="str">
            <v>s__unclassified_f__Lachnospiraceae</v>
          </cell>
        </row>
        <row r="12600">
          <cell r="G12600" t="str">
            <v>ASV7083</v>
          </cell>
          <cell r="H12600" t="str">
            <v>g__unclassified_f__Lachnospiraceae</v>
          </cell>
          <cell r="I12600" t="str">
            <v>s__unclassified_f__Lachnospiraceae</v>
          </cell>
        </row>
        <row r="12601">
          <cell r="G12601" t="str">
            <v>ASV821</v>
          </cell>
          <cell r="H12601" t="str">
            <v>g__Escherichia-Shigella</v>
          </cell>
          <cell r="I12601" t="str">
            <v>s__unclassified_g__Escherichia-Shigella</v>
          </cell>
        </row>
        <row r="12602">
          <cell r="G12602" t="str">
            <v>ASV18057</v>
          </cell>
          <cell r="H12602" t="str">
            <v>g__Family_XIII_AD3011_group</v>
          </cell>
          <cell r="I12602" t="str">
            <v>s__uncultured_bacterium_g__Family_XIII_AD3011_group</v>
          </cell>
        </row>
        <row r="12603">
          <cell r="G12603" t="str">
            <v>ASV932</v>
          </cell>
          <cell r="H12603" t="str">
            <v>g__unclassified_f__Lachnospiraceae</v>
          </cell>
          <cell r="I12603" t="str">
            <v>s__unclassified_f__Lachnospiraceae</v>
          </cell>
        </row>
        <row r="12604">
          <cell r="G12604" t="str">
            <v>ASV5030</v>
          </cell>
          <cell r="H12604" t="str">
            <v>g__unclassified_o__Oscillospirales</v>
          </cell>
          <cell r="I12604" t="str">
            <v>s__unclassified_o__Oscillospirales</v>
          </cell>
        </row>
        <row r="12605">
          <cell r="G12605" t="str">
            <v>ASV5092</v>
          </cell>
          <cell r="H12605" t="str">
            <v>g__Cellulosilyticum</v>
          </cell>
          <cell r="I12605" t="str">
            <v>s__uncultured_bacterium_g__Cellulosilyticum</v>
          </cell>
        </row>
        <row r="12606">
          <cell r="G12606" t="str">
            <v>ASV12893</v>
          </cell>
          <cell r="H12606" t="str">
            <v>g__unclassified_c__Clostridia</v>
          </cell>
          <cell r="I12606" t="str">
            <v>s__unclassified_c__Clostridia</v>
          </cell>
        </row>
        <row r="12607">
          <cell r="G12607" t="str">
            <v>ASV1032</v>
          </cell>
          <cell r="H12607" t="str">
            <v>g__unclassified_c__Clostridia</v>
          </cell>
          <cell r="I12607" t="str">
            <v>s__unclassified_c__Clostridia</v>
          </cell>
        </row>
        <row r="12608">
          <cell r="G12608" t="str">
            <v>ASV22438</v>
          </cell>
          <cell r="H12608" t="str">
            <v>g__unclassified_c__Clostridia</v>
          </cell>
          <cell r="I12608" t="str">
            <v>s__unclassified_c__Clostridia</v>
          </cell>
        </row>
        <row r="12609">
          <cell r="G12609" t="str">
            <v>ASV3515</v>
          </cell>
          <cell r="H12609" t="str">
            <v>g__unclassified_c__Bacilli</v>
          </cell>
          <cell r="I12609" t="str">
            <v>s__unclassified_c__Bacilli</v>
          </cell>
        </row>
        <row r="12610">
          <cell r="G12610" t="str">
            <v>ASV782</v>
          </cell>
          <cell r="H12610" t="str">
            <v>g__unclassified_c__Clostridia</v>
          </cell>
          <cell r="I12610" t="str">
            <v>s__unclassified_c__Clostridia</v>
          </cell>
        </row>
        <row r="12611">
          <cell r="G12611" t="str">
            <v>ASV18050</v>
          </cell>
          <cell r="H12611" t="str">
            <v>g__unclassified_c__Clostridia</v>
          </cell>
          <cell r="I12611" t="str">
            <v>s__unclassified_c__Clostridia</v>
          </cell>
        </row>
        <row r="12612">
          <cell r="G12612" t="str">
            <v>ASV6807</v>
          </cell>
          <cell r="H12612" t="str">
            <v>g__Enterococcus</v>
          </cell>
          <cell r="I12612" t="str">
            <v>s__unclassified_g__Enterococcus</v>
          </cell>
        </row>
        <row r="12613">
          <cell r="G12613" t="str">
            <v>ASV22266</v>
          </cell>
          <cell r="H12613" t="str">
            <v>g__Megasphaera</v>
          </cell>
          <cell r="I12613" t="str">
            <v>s__unclassified_g__Megasphaera</v>
          </cell>
        </row>
        <row r="12614">
          <cell r="G12614" t="str">
            <v>ASV1069</v>
          </cell>
          <cell r="H12614" t="str">
            <v>g__unclassified_c__Clostridia</v>
          </cell>
          <cell r="I12614" t="str">
            <v>s__unclassified_c__Clostridia</v>
          </cell>
        </row>
        <row r="12615">
          <cell r="G12615" t="str">
            <v>ASV2273</v>
          </cell>
          <cell r="H12615" t="str">
            <v>g__Lactobacillus</v>
          </cell>
          <cell r="I12615" t="str">
            <v>s__unclassified_g__Lactobacillus</v>
          </cell>
        </row>
        <row r="12616">
          <cell r="G12616" t="str">
            <v>ASV21269</v>
          </cell>
          <cell r="H12616" t="str">
            <v>g__unclassified_f__Veillonellaceae</v>
          </cell>
          <cell r="I12616" t="str">
            <v>s__unclassified_f__Veillonellaceae</v>
          </cell>
        </row>
        <row r="12617">
          <cell r="G12617" t="str">
            <v>ASV22307</v>
          </cell>
          <cell r="H12617" t="str">
            <v>g__Clostridium_sensu_stricto_1</v>
          </cell>
          <cell r="I12617" t="str">
            <v>s__unclassified_g__Clostridium_sensu_stricto_1</v>
          </cell>
        </row>
        <row r="12618">
          <cell r="G12618" t="str">
            <v>ASV12004</v>
          </cell>
          <cell r="H12618" t="str">
            <v>g__Succiniclasticum</v>
          </cell>
          <cell r="I12618" t="str">
            <v>s__uncultured_rumen_bacterium_4C28d-16</v>
          </cell>
        </row>
        <row r="12619">
          <cell r="G12619" t="str">
            <v>ASV15814</v>
          </cell>
          <cell r="H12619" t="str">
            <v>g__unclassified_f__Veillonellaceae</v>
          </cell>
          <cell r="I12619" t="str">
            <v>s__unclassified_f__Veillonellaceae</v>
          </cell>
        </row>
        <row r="12620">
          <cell r="G12620" t="str">
            <v>ASV7990</v>
          </cell>
          <cell r="H12620" t="str">
            <v>g__unclassified_c__Clostridia</v>
          </cell>
          <cell r="I12620" t="str">
            <v>s__unclassified_c__Clostridia</v>
          </cell>
        </row>
        <row r="12621">
          <cell r="G12621" t="str">
            <v>ASV2344</v>
          </cell>
          <cell r="H12621" t="str">
            <v>g__unclassified_f__Lachnospiraceae</v>
          </cell>
          <cell r="I12621" t="str">
            <v>s__unclassified_f__Lachnospiraceae</v>
          </cell>
        </row>
        <row r="12622">
          <cell r="G12622" t="str">
            <v>ASV5083</v>
          </cell>
          <cell r="H12622" t="str">
            <v>g__unclassified_c__Clostridia</v>
          </cell>
          <cell r="I12622" t="str">
            <v>s__unclassified_c__Clostridia</v>
          </cell>
        </row>
        <row r="12623">
          <cell r="G12623" t="str">
            <v>ASV22443</v>
          </cell>
          <cell r="H12623" t="str">
            <v>g__Eubacterium_oxidoreducens_group</v>
          </cell>
          <cell r="I12623" t="str">
            <v>s__uncultured_bacterium_g__Eubacterium_oxidoreducens_group</v>
          </cell>
        </row>
        <row r="12624">
          <cell r="G12624" t="str">
            <v>ASV5981</v>
          </cell>
          <cell r="H12624" t="str">
            <v>g__unclassified_c__Clostridia</v>
          </cell>
          <cell r="I12624" t="str">
            <v>s__unclassified_c__Clostridia</v>
          </cell>
        </row>
        <row r="12625">
          <cell r="G12625" t="str">
            <v>ASV24220</v>
          </cell>
          <cell r="H12625" t="str">
            <v>g__Clostridium_sensu_stricto_1</v>
          </cell>
          <cell r="I12625" t="str">
            <v>s__uncultured_bacterium_g__Clostridium_sensu_stricto_1</v>
          </cell>
        </row>
        <row r="12626">
          <cell r="G12626" t="str">
            <v>ASV24177</v>
          </cell>
          <cell r="H12626" t="str">
            <v>g__unclassified_f__Peptostreptococcaceae</v>
          </cell>
          <cell r="I12626" t="str">
            <v>s__unclassified_f__Peptostreptococcaceae</v>
          </cell>
        </row>
        <row r="12627">
          <cell r="G12627" t="str">
            <v>ASV14390</v>
          </cell>
          <cell r="H12627" t="str">
            <v>g__unclassified_f__Oscillospiraceae</v>
          </cell>
          <cell r="I12627" t="str">
            <v>s__unclassified_f__Oscillospiraceae</v>
          </cell>
        </row>
        <row r="12628">
          <cell r="G12628" t="str">
            <v>ASV16448</v>
          </cell>
          <cell r="H12628" t="str">
            <v>g__Rikenellaceae_RC9_gut_group</v>
          </cell>
          <cell r="I12628" t="str">
            <v>s__unclassified_g__Rikenellaceae_RC9_gut_group</v>
          </cell>
        </row>
        <row r="12629">
          <cell r="G12629" t="str">
            <v>ASV13732</v>
          </cell>
          <cell r="H12629" t="str">
            <v>g__unclassified_o__Lactobacillales</v>
          </cell>
          <cell r="I12629" t="str">
            <v>s__unclassified_o__Lactobacillales</v>
          </cell>
        </row>
        <row r="12630">
          <cell r="G12630" t="str">
            <v>ASV849</v>
          </cell>
          <cell r="H12630" t="str">
            <v>g__Sharpea</v>
          </cell>
          <cell r="I12630" t="str">
            <v>s__unclassified_g__Sharpea</v>
          </cell>
        </row>
        <row r="12631">
          <cell r="G12631" t="str">
            <v>ASV4067</v>
          </cell>
          <cell r="H12631" t="str">
            <v>g__Staphylococcus</v>
          </cell>
          <cell r="I12631" t="str">
            <v>s__unclassified_g__Staphylococcus</v>
          </cell>
        </row>
        <row r="12632">
          <cell r="G12632" t="str">
            <v>ASV20850</v>
          </cell>
          <cell r="H12632" t="str">
            <v>g__unclassified_f__Lachnospiraceae</v>
          </cell>
          <cell r="I12632" t="str">
            <v>s__unclassified_f__Lachnospiraceae</v>
          </cell>
        </row>
        <row r="12633">
          <cell r="G12633" t="str">
            <v>ASV23852</v>
          </cell>
          <cell r="H12633" t="str">
            <v>g__Lactobacillus</v>
          </cell>
          <cell r="I12633" t="str">
            <v>s__unclassified_g__Lactobacillus</v>
          </cell>
        </row>
        <row r="12634">
          <cell r="G12634" t="str">
            <v>ASV5948</v>
          </cell>
          <cell r="H12634" t="str">
            <v>g__unclassified_o__Bacteroidales</v>
          </cell>
          <cell r="I12634" t="str">
            <v>s__unclassified_o__Bacteroidales</v>
          </cell>
        </row>
        <row r="12635">
          <cell r="G12635" t="str">
            <v>ASV2275</v>
          </cell>
          <cell r="H12635" t="str">
            <v>g__Parabacteroides</v>
          </cell>
          <cell r="I12635" t="str">
            <v>s__Porphyromonadaceae_bacterium_DJF_B175</v>
          </cell>
        </row>
        <row r="12636">
          <cell r="G12636" t="str">
            <v>ASV22396</v>
          </cell>
          <cell r="H12636" t="str">
            <v>g__unclassified_c__Clostridia</v>
          </cell>
          <cell r="I12636" t="str">
            <v>s__unclassified_c__Clostridia</v>
          </cell>
        </row>
        <row r="12637">
          <cell r="G12637" t="str">
            <v>ASV6059</v>
          </cell>
          <cell r="H12637" t="str">
            <v>g__unclassified_p__Firmicutes</v>
          </cell>
          <cell r="I12637" t="str">
            <v>s__unclassified_p__Firmicutes</v>
          </cell>
        </row>
        <row r="12638">
          <cell r="G12638" t="str">
            <v>ASV15513</v>
          </cell>
          <cell r="H12638" t="str">
            <v>g__unclassified_f__Lachnospiraceae</v>
          </cell>
          <cell r="I12638" t="str">
            <v>s__unclassified_f__Lachnospiraceae</v>
          </cell>
        </row>
        <row r="12639">
          <cell r="G12639" t="str">
            <v>ASV19779</v>
          </cell>
          <cell r="H12639" t="str">
            <v>g__unclassified_o__Oscillospirales</v>
          </cell>
          <cell r="I12639" t="str">
            <v>s__unclassified_o__Oscillospirales</v>
          </cell>
        </row>
        <row r="12640">
          <cell r="G12640" t="str">
            <v>ASV12906</v>
          </cell>
          <cell r="H12640" t="str">
            <v>g__Bacteroides</v>
          </cell>
          <cell r="I12640" t="str">
            <v>s__unclassified_g__Bacteroides</v>
          </cell>
        </row>
        <row r="12641">
          <cell r="G12641" t="str">
            <v>ASV18599</v>
          </cell>
          <cell r="H12641" t="str">
            <v>g__Escherichia-Shigella</v>
          </cell>
          <cell r="I12641" t="str">
            <v>s__unclassified_g__Escherichia-Shigella</v>
          </cell>
        </row>
        <row r="12642">
          <cell r="G12642" t="str">
            <v>ASV5112</v>
          </cell>
          <cell r="H12642" t="str">
            <v>g__norank_f__Muribaculaceae</v>
          </cell>
          <cell r="I12642" t="str">
            <v>s__uncultured_bacterium_g__norank_f__Muribaculaceae</v>
          </cell>
        </row>
        <row r="12643">
          <cell r="G12643" t="str">
            <v>ASV16466</v>
          </cell>
          <cell r="H12643" t="str">
            <v>g__Prevotellaceae_UCG-003</v>
          </cell>
          <cell r="I12643" t="str">
            <v>s__uncultured_bacterium_g__Prevotellaceae_UCG-003</v>
          </cell>
        </row>
        <row r="12644">
          <cell r="G12644" t="str">
            <v>ASV12967</v>
          </cell>
          <cell r="H12644" t="str">
            <v>g__unclassified_c__Clostridia</v>
          </cell>
          <cell r="I12644" t="str">
            <v>s__unclassified_c__Clostridia</v>
          </cell>
        </row>
        <row r="12645">
          <cell r="G12645" t="str">
            <v>ASV19702</v>
          </cell>
          <cell r="H12645" t="str">
            <v>g__norank_f__norank_o__WCHB1-41</v>
          </cell>
          <cell r="I12645" t="str">
            <v>s__uncultured_bacterium_g__norank_f__norank_o__WCHB1-41</v>
          </cell>
        </row>
        <row r="12646">
          <cell r="G12646" t="str">
            <v>ASV11899</v>
          </cell>
          <cell r="H12646" t="str">
            <v>g__unclassified_o__Oscillospirales</v>
          </cell>
          <cell r="I12646" t="str">
            <v>s__unclassified_o__Oscillospirales</v>
          </cell>
        </row>
        <row r="12647">
          <cell r="G12647" t="str">
            <v>ASV22308</v>
          </cell>
          <cell r="H12647" t="str">
            <v>g__unclassified_f__Ruminococcaceae</v>
          </cell>
          <cell r="I12647" t="str">
            <v>s__unclassified_f__Ruminococcaceae</v>
          </cell>
        </row>
        <row r="12648">
          <cell r="G12648" t="str">
            <v>ASV10207</v>
          </cell>
          <cell r="H12648" t="str">
            <v>g__unclassified_f__Lachnospiraceae</v>
          </cell>
          <cell r="I12648" t="str">
            <v>s__unclassified_f__Lachnospiraceae</v>
          </cell>
        </row>
        <row r="12649">
          <cell r="G12649" t="str">
            <v>ASV10759</v>
          </cell>
          <cell r="H12649" t="str">
            <v>g__unclassified_c__Clostridia</v>
          </cell>
          <cell r="I12649" t="str">
            <v>s__unclassified_c__Clostridia</v>
          </cell>
        </row>
        <row r="12650">
          <cell r="G12650" t="str">
            <v>ASV21292</v>
          </cell>
          <cell r="H12650" t="str">
            <v>g__unclassified_c__Bacilli</v>
          </cell>
          <cell r="I12650" t="str">
            <v>s__unclassified_c__Bacilli</v>
          </cell>
        </row>
        <row r="12651">
          <cell r="G12651" t="str">
            <v>ASV11813</v>
          </cell>
          <cell r="H12651" t="str">
            <v>g__norank_f__norank_o__RF39</v>
          </cell>
          <cell r="I12651" t="str">
            <v>s__uncultured_prokaryote_g__norank_f__norank_o__RF39</v>
          </cell>
        </row>
        <row r="12652">
          <cell r="G12652" t="str">
            <v>ASV21618</v>
          </cell>
          <cell r="H12652" t="str">
            <v>g__Oscillibacter</v>
          </cell>
          <cell r="I12652" t="str">
            <v>s__uncultured_bacterium_g__Oscillibacter</v>
          </cell>
        </row>
        <row r="12653">
          <cell r="G12653" t="str">
            <v>ASV13506</v>
          </cell>
          <cell r="H12653" t="str">
            <v>g__Christensenellaceae_R-7_group</v>
          </cell>
          <cell r="I12653" t="str">
            <v>s__unclassified_g__Christensenellaceae_R-7_group</v>
          </cell>
        </row>
        <row r="12654">
          <cell r="G12654" t="str">
            <v>ASV4143</v>
          </cell>
          <cell r="H12654" t="str">
            <v>g__Clostridium_sensu_stricto_1</v>
          </cell>
          <cell r="I12654" t="str">
            <v>s__unclassified_g__Clostridium_sensu_stricto_1</v>
          </cell>
        </row>
        <row r="12655">
          <cell r="G12655" t="str">
            <v>ASV20834</v>
          </cell>
          <cell r="H12655" t="str">
            <v>g__unclassified_p__Firmicutes</v>
          </cell>
          <cell r="I12655" t="str">
            <v>s__unclassified_p__Firmicutes</v>
          </cell>
        </row>
        <row r="12656">
          <cell r="G12656" t="str">
            <v>ASV1006</v>
          </cell>
          <cell r="H12656" t="str">
            <v>g__unclassified_f__Rikenellaceae</v>
          </cell>
          <cell r="I12656" t="str">
            <v>s__unclassified_f__Rikenellaceae</v>
          </cell>
        </row>
        <row r="12657">
          <cell r="G12657" t="str">
            <v>ASV17413</v>
          </cell>
          <cell r="H12657" t="str">
            <v>g__Fusobacterium</v>
          </cell>
          <cell r="I12657" t="str">
            <v>s__unclassified_g__Fusobacterium</v>
          </cell>
        </row>
        <row r="12658">
          <cell r="G12658" t="str">
            <v>ASV12918</v>
          </cell>
          <cell r="H12658" t="str">
            <v>g__unclassified_f__Lachnospiraceae</v>
          </cell>
          <cell r="I12658" t="str">
            <v>s__unclassified_f__Lachnospiraceae</v>
          </cell>
        </row>
        <row r="12659">
          <cell r="G12659" t="str">
            <v>ASV11864</v>
          </cell>
          <cell r="H12659" t="str">
            <v>g__unclassified_o__Bacteroidales</v>
          </cell>
          <cell r="I12659" t="str">
            <v>s__unclassified_o__Bacteroidales</v>
          </cell>
        </row>
        <row r="12660">
          <cell r="G12660" t="str">
            <v>ASV4170</v>
          </cell>
          <cell r="H12660" t="str">
            <v>g__Christensenellaceae_R-7_group</v>
          </cell>
          <cell r="I12660" t="str">
            <v>s__uncultured_spirochete_g__Christensenellaceae_R-7_group</v>
          </cell>
        </row>
        <row r="12661">
          <cell r="G12661" t="str">
            <v>ASV17153</v>
          </cell>
          <cell r="H12661" t="str">
            <v>g__unclassified_c__Bacilli</v>
          </cell>
          <cell r="I12661" t="str">
            <v>s__unclassified_c__Bacilli</v>
          </cell>
        </row>
        <row r="12662">
          <cell r="G12662" t="str">
            <v>ASV1019</v>
          </cell>
          <cell r="H12662" t="str">
            <v>g__unclassified_f__Erysipelotrichaceae</v>
          </cell>
          <cell r="I12662" t="str">
            <v>s__unclassified_f__Erysipelotrichaceae</v>
          </cell>
        </row>
        <row r="12663">
          <cell r="G12663" t="str">
            <v>ASV10100</v>
          </cell>
          <cell r="H12663" t="str">
            <v>g__Clostridium_sensu_stricto_1</v>
          </cell>
          <cell r="I12663" t="str">
            <v>s__unclassified_g__Clostridium_sensu_stricto_1</v>
          </cell>
        </row>
        <row r="12664">
          <cell r="G12664" t="str">
            <v>ASV5097</v>
          </cell>
          <cell r="H12664" t="str">
            <v>g__unclassified_c__Clostridia</v>
          </cell>
          <cell r="I12664" t="str">
            <v>s__unclassified_c__Clostridia</v>
          </cell>
        </row>
        <row r="12665">
          <cell r="G12665" t="str">
            <v>ASV20281</v>
          </cell>
          <cell r="H12665" t="str">
            <v>g__Blautia</v>
          </cell>
          <cell r="I12665" t="str">
            <v>s__unclassified_g__Blautia</v>
          </cell>
        </row>
        <row r="12666">
          <cell r="G12666" t="str">
            <v>ASV1736</v>
          </cell>
          <cell r="H12666" t="str">
            <v>g__Terrisporobacter</v>
          </cell>
          <cell r="I12666" t="str">
            <v>s__unclassified_g__Terrisporobacter</v>
          </cell>
        </row>
        <row r="12667">
          <cell r="G12667" t="str">
            <v>ASV7918</v>
          </cell>
          <cell r="H12667" t="str">
            <v>g__unclassified_f__Lachnospiraceae</v>
          </cell>
          <cell r="I12667" t="str">
            <v>s__unclassified_f__Lachnospiraceae</v>
          </cell>
        </row>
        <row r="12668">
          <cell r="G12668" t="str">
            <v>ASV17422</v>
          </cell>
          <cell r="H12668" t="str">
            <v>g__Lactobacillus</v>
          </cell>
          <cell r="I12668" t="str">
            <v>s__unclassified_g__Lactobacillus</v>
          </cell>
        </row>
        <row r="12669">
          <cell r="G12669" t="str">
            <v>ASV15433</v>
          </cell>
          <cell r="H12669" t="str">
            <v>g__unclassified_f__Ruminococcaceae</v>
          </cell>
          <cell r="I12669" t="str">
            <v>s__unclassified_f__Ruminococcaceae</v>
          </cell>
        </row>
        <row r="12670">
          <cell r="G12670" t="str">
            <v>ASV23976</v>
          </cell>
          <cell r="H12670" t="str">
            <v>g__unclassified_c__Bacilli</v>
          </cell>
          <cell r="I12670" t="str">
            <v>s__unclassified_c__Bacilli</v>
          </cell>
        </row>
        <row r="12671">
          <cell r="G12671" t="str">
            <v>ASV7292</v>
          </cell>
          <cell r="H12671" t="str">
            <v>g__Prevotella</v>
          </cell>
          <cell r="I12671" t="str">
            <v>s__unclassified_g__Prevotella</v>
          </cell>
        </row>
        <row r="12672">
          <cell r="G12672" t="str">
            <v>ASV2338</v>
          </cell>
          <cell r="H12672" t="str">
            <v>g__unclassified_p__Firmicutes</v>
          </cell>
          <cell r="I12672" t="str">
            <v>s__unclassified_p__Firmicutes</v>
          </cell>
        </row>
        <row r="12673">
          <cell r="G12673" t="str">
            <v>ASV11714</v>
          </cell>
          <cell r="H12673" t="str">
            <v>g__Bacteroides</v>
          </cell>
          <cell r="I12673" t="str">
            <v>s__unclassified_g__Bacteroides</v>
          </cell>
        </row>
        <row r="12674">
          <cell r="G12674" t="str">
            <v>ASV6093</v>
          </cell>
          <cell r="H12674" t="str">
            <v>g__norank_f__Ruminococcaceae</v>
          </cell>
          <cell r="I12674" t="str">
            <v>s__unclassified_g__norank_f__Ruminococcaceae</v>
          </cell>
        </row>
        <row r="12675">
          <cell r="G12675" t="str">
            <v>ASV2251</v>
          </cell>
          <cell r="H12675" t="str">
            <v>g__unclassified_c__Clostridia</v>
          </cell>
          <cell r="I12675" t="str">
            <v>s__unclassified_c__Clostridia</v>
          </cell>
        </row>
        <row r="12676">
          <cell r="G12676" t="str">
            <v>ASV13722</v>
          </cell>
          <cell r="H12676" t="str">
            <v>g__Sphingomonas</v>
          </cell>
          <cell r="I12676" t="str">
            <v>s__unclassified_g__Sphingomonas</v>
          </cell>
        </row>
        <row r="12677">
          <cell r="G12677" t="str">
            <v>ASV10806</v>
          </cell>
          <cell r="H12677" t="str">
            <v>g__Lactobacillus</v>
          </cell>
          <cell r="I12677" t="str">
            <v>s__unclassified_g__Lactobacillus</v>
          </cell>
        </row>
        <row r="12678">
          <cell r="G12678" t="str">
            <v>ASV2341</v>
          </cell>
          <cell r="H12678" t="str">
            <v>g__norank_f__Peptostreptococcaceae</v>
          </cell>
          <cell r="I12678" t="str">
            <v>s__unclassified_g__norank_f__Peptostreptococcaceae</v>
          </cell>
        </row>
        <row r="12679">
          <cell r="G12679" t="str">
            <v>ASV6073</v>
          </cell>
          <cell r="H12679" t="str">
            <v>g__Eubacterium</v>
          </cell>
          <cell r="I12679" t="str">
            <v>s__unclassified_g__Eubacterium</v>
          </cell>
        </row>
        <row r="12680">
          <cell r="G12680" t="str">
            <v>ASV11875</v>
          </cell>
          <cell r="H12680" t="str">
            <v>g__Clostridium_sensu_stricto_1</v>
          </cell>
          <cell r="I12680" t="str">
            <v>s__unclassified_g__Clostridium_sensu_stricto_1</v>
          </cell>
        </row>
        <row r="12681">
          <cell r="G12681" t="str">
            <v>ASV6094</v>
          </cell>
          <cell r="H12681" t="str">
            <v>g__norank_f__Erysipelotrichaceae</v>
          </cell>
          <cell r="I12681" t="str">
            <v>s__uncultured_bacterium_g__norank_f__Erysipelotrichaceae</v>
          </cell>
        </row>
        <row r="12682">
          <cell r="G12682" t="str">
            <v>ASV6841</v>
          </cell>
          <cell r="H12682" t="str">
            <v>g__unclassified_k__norank_d__Bacteria</v>
          </cell>
          <cell r="I12682" t="str">
            <v>s__unclassified_k__norank_d__Bacteria</v>
          </cell>
        </row>
        <row r="12683">
          <cell r="G12683" t="str">
            <v>ASV17515</v>
          </cell>
          <cell r="H12683" t="str">
            <v>g__Collinsella</v>
          </cell>
          <cell r="I12683" t="str">
            <v>s__unclassified_g__Collinsella</v>
          </cell>
        </row>
        <row r="12684">
          <cell r="G12684" t="str">
            <v>ASV19704</v>
          </cell>
          <cell r="H12684" t="str">
            <v>g__Veillonella</v>
          </cell>
          <cell r="I12684" t="str">
            <v>s__unclassified_g__Veillonella</v>
          </cell>
        </row>
        <row r="12685">
          <cell r="G12685" t="str">
            <v>ASV7896</v>
          </cell>
          <cell r="H12685" t="str">
            <v>g__Lactobacillus</v>
          </cell>
          <cell r="I12685" t="str">
            <v>s__unclassified_g__Lactobacillus</v>
          </cell>
        </row>
        <row r="12686">
          <cell r="G12686" t="str">
            <v>ASV5124</v>
          </cell>
          <cell r="H12686" t="str">
            <v>g__Lactobacillus</v>
          </cell>
          <cell r="I12686" t="str">
            <v>s__unclassified_g__Lactobacillus</v>
          </cell>
        </row>
        <row r="12687">
          <cell r="G12687" t="str">
            <v>ASV3268</v>
          </cell>
          <cell r="H12687" t="str">
            <v>g__unclassified_f__Lachnospiraceae</v>
          </cell>
          <cell r="I12687" t="str">
            <v>s__unclassified_f__Lachnospiraceae</v>
          </cell>
        </row>
        <row r="12688">
          <cell r="G12688" t="str">
            <v>ASV15414</v>
          </cell>
          <cell r="H12688" t="str">
            <v>g__norank_f__Muribaculaceae</v>
          </cell>
          <cell r="I12688" t="str">
            <v>s__uncultured_bacterium_g__norank_f__Muribaculaceae</v>
          </cell>
        </row>
        <row r="12689">
          <cell r="G12689" t="str">
            <v>ASV6799</v>
          </cell>
          <cell r="H12689" t="str">
            <v>g__unclassified_f__Peptostreptococcaceae</v>
          </cell>
          <cell r="I12689" t="str">
            <v>s__unclassified_f__Peptostreptococcaceae</v>
          </cell>
        </row>
        <row r="12690">
          <cell r="G12690" t="str">
            <v>ASV15490</v>
          </cell>
          <cell r="H12690" t="str">
            <v>g__unclassified_f__Rikenellaceae</v>
          </cell>
          <cell r="I12690" t="str">
            <v>s__unclassified_f__Rikenellaceae</v>
          </cell>
        </row>
        <row r="12691">
          <cell r="G12691" t="str">
            <v>ASV2331</v>
          </cell>
          <cell r="H12691" t="str">
            <v>g__unclassified_o__Lactobacillales</v>
          </cell>
          <cell r="I12691" t="str">
            <v>s__unclassified_o__Lactobacillales</v>
          </cell>
        </row>
        <row r="12692">
          <cell r="G12692" t="str">
            <v>ASV18200</v>
          </cell>
          <cell r="H12692" t="str">
            <v>g__Phascolarctobacterium</v>
          </cell>
          <cell r="I12692" t="str">
            <v>s__uncultured_bacterium_g__Phascolarctobacterium</v>
          </cell>
        </row>
        <row r="12693">
          <cell r="G12693" t="str">
            <v>ASV9484</v>
          </cell>
          <cell r="H12693" t="str">
            <v>g__unclassified_c__Clostridia</v>
          </cell>
          <cell r="I12693" t="str">
            <v>s__unclassified_c__Clostridia</v>
          </cell>
        </row>
        <row r="12694">
          <cell r="G12694" t="str">
            <v>ASV4186</v>
          </cell>
          <cell r="H12694" t="str">
            <v>g__Pyramidobacter</v>
          </cell>
          <cell r="I12694" t="str">
            <v>s__uncultured_bacterium_g__Pyramidobacter</v>
          </cell>
        </row>
        <row r="12695">
          <cell r="G12695" t="str">
            <v>ASV23998</v>
          </cell>
          <cell r="H12695" t="str">
            <v>g__unclassified_f__Prevotellaceae</v>
          </cell>
          <cell r="I12695" t="str">
            <v>s__unclassified_f__Prevotellaceae</v>
          </cell>
        </row>
        <row r="12696">
          <cell r="G12696" t="str">
            <v>ASV19795</v>
          </cell>
          <cell r="H12696" t="str">
            <v>g__Lactobacillus</v>
          </cell>
          <cell r="I12696" t="str">
            <v>s__unclassified_g__Lactobacillus</v>
          </cell>
        </row>
        <row r="12697">
          <cell r="G12697" t="str">
            <v>ASV9571</v>
          </cell>
          <cell r="H12697" t="str">
            <v>g__Lactobacillus</v>
          </cell>
          <cell r="I12697" t="str">
            <v>s__unclassified_g__Lactobacillus</v>
          </cell>
        </row>
        <row r="12698">
          <cell r="G12698" t="str">
            <v>ASV823</v>
          </cell>
          <cell r="H12698" t="str">
            <v>g__UCG-005</v>
          </cell>
          <cell r="I12698" t="str">
            <v>s__unclassified_g__UCG-005</v>
          </cell>
        </row>
        <row r="12699">
          <cell r="G12699" t="str">
            <v>ASV17223</v>
          </cell>
          <cell r="H12699" t="str">
            <v>g__norank_f__Ruminococcaceae</v>
          </cell>
          <cell r="I12699" t="str">
            <v>s__uncultured_bacterium_g__norank_f__Ruminococcaceae</v>
          </cell>
        </row>
        <row r="12700">
          <cell r="G12700" t="str">
            <v>ASV11786</v>
          </cell>
          <cell r="H12700" t="str">
            <v>g__Colidextribacter</v>
          </cell>
          <cell r="I12700" t="str">
            <v>s__uncultured_bacterium_g__Colidextribacter</v>
          </cell>
        </row>
        <row r="12701">
          <cell r="G12701" t="str">
            <v>ASV13459</v>
          </cell>
          <cell r="H12701" t="str">
            <v>g__Turicibacter</v>
          </cell>
          <cell r="I12701" t="str">
            <v>s__unclassified_g__Turicibacter</v>
          </cell>
        </row>
        <row r="12702">
          <cell r="G12702" t="str">
            <v>ASV7360</v>
          </cell>
          <cell r="H12702" t="str">
            <v>g__Lactobacillus</v>
          </cell>
          <cell r="I12702" t="str">
            <v>s__unclassified_g__Lactobacillus</v>
          </cell>
        </row>
        <row r="12703">
          <cell r="G12703" t="str">
            <v>ASV24242</v>
          </cell>
          <cell r="H12703" t="str">
            <v>g__norank_f__norank_o__Clostridia_vadinBB60_group</v>
          </cell>
          <cell r="I12703" t="str">
            <v>s__gut_metagenome_g__norank_f__norank</v>
          </cell>
        </row>
        <row r="12704">
          <cell r="G12704" t="str">
            <v>ASV23353</v>
          </cell>
          <cell r="H12704" t="str">
            <v>g__Terrisporobacter</v>
          </cell>
          <cell r="I12704" t="str">
            <v>s__unclassified_g__Terrisporobacter</v>
          </cell>
        </row>
        <row r="12705">
          <cell r="G12705" t="str">
            <v>ASV4106</v>
          </cell>
          <cell r="H12705" t="str">
            <v>g__unclassified_f__Lachnospiraceae</v>
          </cell>
          <cell r="I12705" t="str">
            <v>s__unclassified_f__Lachnospiraceae</v>
          </cell>
        </row>
        <row r="12706">
          <cell r="G12706" t="str">
            <v>ASV2355</v>
          </cell>
          <cell r="H12706" t="str">
            <v>g__Christensenellaceae_R-7_group</v>
          </cell>
          <cell r="I12706" t="str">
            <v>s__unclassified_g__Christensenellaceae_R-7_group</v>
          </cell>
        </row>
        <row r="12707">
          <cell r="G12707" t="str">
            <v>ASV7851</v>
          </cell>
          <cell r="H12707" t="str">
            <v>g__unclassified_p__Firmicutes</v>
          </cell>
          <cell r="I12707" t="str">
            <v>s__unclassified_p__Firmicutes</v>
          </cell>
        </row>
        <row r="12708">
          <cell r="G12708" t="str">
            <v>ASV17424</v>
          </cell>
          <cell r="H12708" t="str">
            <v>g__Lactobacillus</v>
          </cell>
          <cell r="I12708" t="str">
            <v>s__unclassified_g__Lactobacillus</v>
          </cell>
        </row>
        <row r="12709">
          <cell r="G12709" t="str">
            <v>ASV4926</v>
          </cell>
          <cell r="H12709" t="str">
            <v>g__unclassified_o__Oscillospirales</v>
          </cell>
          <cell r="I12709" t="str">
            <v>s__unclassified_o__Oscillospirales</v>
          </cell>
        </row>
        <row r="12710">
          <cell r="G12710" t="str">
            <v>ASV7817</v>
          </cell>
          <cell r="H12710" t="str">
            <v>g__unclassified_c__Clostridia</v>
          </cell>
          <cell r="I12710" t="str">
            <v>s__unclassified_c__Clostridia</v>
          </cell>
        </row>
        <row r="12711">
          <cell r="G12711" t="str">
            <v>ASV18616</v>
          </cell>
          <cell r="H12711" t="str">
            <v>g__unclassified_f__Lachnospiraceae</v>
          </cell>
          <cell r="I12711" t="str">
            <v>s__unclassified_f__Lachnospiraceae</v>
          </cell>
        </row>
        <row r="12712">
          <cell r="G12712" t="str">
            <v>ASV19091</v>
          </cell>
          <cell r="H12712" t="str">
            <v>g__Lachnospiraceae_UCG-004</v>
          </cell>
          <cell r="I12712" t="str">
            <v>s__uncultured_bacterium_g__Lachnospiraceae_UCG-004</v>
          </cell>
        </row>
        <row r="12713">
          <cell r="G12713" t="str">
            <v>ASV16549</v>
          </cell>
          <cell r="H12713" t="str">
            <v>g__Bacteroides</v>
          </cell>
          <cell r="I12713" t="str">
            <v>s__unclassified_g__Bacteroides</v>
          </cell>
        </row>
        <row r="12714">
          <cell r="G12714" t="str">
            <v>ASV20887</v>
          </cell>
          <cell r="H12714" t="str">
            <v>g__unclassified_o__Oscillospirales</v>
          </cell>
          <cell r="I12714" t="str">
            <v>s__unclassified_o__Oscillospirales</v>
          </cell>
        </row>
        <row r="12715">
          <cell r="G12715" t="str">
            <v>ASV12850</v>
          </cell>
          <cell r="H12715" t="str">
            <v>g__Enterorhabdus</v>
          </cell>
          <cell r="I12715" t="str">
            <v>s__uncultured_bacterium_g__Enterorhabdus</v>
          </cell>
        </row>
        <row r="12716">
          <cell r="G12716" t="str">
            <v>ASV14562</v>
          </cell>
          <cell r="H12716" t="str">
            <v>g__norank_f__Oscillospiraceae</v>
          </cell>
          <cell r="I12716" t="str">
            <v>s__unclassified_g__norank_f__Oscillospiraceae</v>
          </cell>
        </row>
        <row r="12717">
          <cell r="G12717" t="str">
            <v>ASV4144</v>
          </cell>
          <cell r="H12717" t="str">
            <v>g__unclassified_c__Clostridia</v>
          </cell>
          <cell r="I12717" t="str">
            <v>s__unclassified_c__Clostridia</v>
          </cell>
        </row>
        <row r="12718">
          <cell r="G12718" t="str">
            <v>ASV15548</v>
          </cell>
          <cell r="H12718" t="str">
            <v>g__unclassified_f__Christensenellaceae</v>
          </cell>
          <cell r="I12718" t="str">
            <v>s__unclassified_f__Christensenellaceae</v>
          </cell>
        </row>
        <row r="12719">
          <cell r="G12719" t="str">
            <v>ASV8850</v>
          </cell>
          <cell r="H12719" t="str">
            <v>g__Acinetobacter</v>
          </cell>
          <cell r="I12719" t="str">
            <v>s__unclassified_g__Acinetobacter</v>
          </cell>
        </row>
        <row r="12720">
          <cell r="G12720" t="str">
            <v>ASV898</v>
          </cell>
          <cell r="H12720" t="str">
            <v>g__unclassified_f__Lachnospiraceae</v>
          </cell>
          <cell r="I12720" t="str">
            <v>s__unclassified_f__Lachnospiraceae</v>
          </cell>
        </row>
        <row r="12721">
          <cell r="G12721" t="str">
            <v>ASV10316</v>
          </cell>
          <cell r="H12721" t="str">
            <v>g__Peptostreptococcus</v>
          </cell>
          <cell r="I12721" t="str">
            <v>s__unclassified_g__Peptostreptococcus</v>
          </cell>
        </row>
        <row r="12722">
          <cell r="G12722" t="str">
            <v>ASV16978</v>
          </cell>
          <cell r="H12722" t="str">
            <v>g__Lactobacillus</v>
          </cell>
          <cell r="I12722" t="str">
            <v>s__uncultured_bacterium_g__Lactobacillus</v>
          </cell>
        </row>
        <row r="12723">
          <cell r="G12723" t="str">
            <v>ASV6747</v>
          </cell>
          <cell r="H12723" t="str">
            <v>g__Streptococcus</v>
          </cell>
          <cell r="I12723" t="str">
            <v>s__unclassified_g__Streptococcus</v>
          </cell>
        </row>
        <row r="12724">
          <cell r="G12724" t="str">
            <v>ASV22410</v>
          </cell>
          <cell r="H12724" t="str">
            <v>g__unclassified_f__Peptostreptococcaceae</v>
          </cell>
          <cell r="I12724" t="str">
            <v>s__unclassified_f__Peptostreptococcaceae</v>
          </cell>
        </row>
        <row r="12725">
          <cell r="G12725" t="str">
            <v>ASV2271</v>
          </cell>
          <cell r="H12725" t="str">
            <v>g__norank_f__Eubacterium_coprostanoligenes_group</v>
          </cell>
          <cell r="I12725" t="str">
            <v>s__unclassified_g__norank_f__Eubacterium_coprostanoligenes_group</v>
          </cell>
        </row>
        <row r="12726">
          <cell r="G12726" t="str">
            <v>ASV11938</v>
          </cell>
          <cell r="H12726" t="str">
            <v>g__unclassified_c__Clostridia</v>
          </cell>
          <cell r="I12726" t="str">
            <v>s__unclassified_c__Clostridia</v>
          </cell>
        </row>
        <row r="12727">
          <cell r="G12727" t="str">
            <v>ASV19623</v>
          </cell>
          <cell r="H12727" t="str">
            <v>g__unclassified_c__Clostridia</v>
          </cell>
          <cell r="I12727" t="str">
            <v>s__unclassified_c__Clostridia</v>
          </cell>
        </row>
        <row r="12728">
          <cell r="G12728" t="str">
            <v>ASV18072</v>
          </cell>
          <cell r="H12728" t="str">
            <v>g__unclassified_c__Clostridia</v>
          </cell>
          <cell r="I12728" t="str">
            <v>s__unclassified_c__Clostridia</v>
          </cell>
        </row>
        <row r="12729">
          <cell r="G12729" t="str">
            <v>ASV19692</v>
          </cell>
          <cell r="H12729" t="str">
            <v>g__Candidatus_Soleaferrea</v>
          </cell>
          <cell r="I12729" t="str">
            <v>s__uncultured_bacterium_g__Candidatus_Soleaferrea</v>
          </cell>
        </row>
        <row r="12730">
          <cell r="G12730" t="str">
            <v>ASV12977</v>
          </cell>
          <cell r="H12730" t="str">
            <v>g__norank_f__Peptococcaceae</v>
          </cell>
          <cell r="I12730" t="str">
            <v>s__uncultured_bacterium_g__norank_f__Peptococcaceae</v>
          </cell>
        </row>
        <row r="12731">
          <cell r="G12731" t="str">
            <v>ASV18189</v>
          </cell>
          <cell r="H12731" t="str">
            <v>g__unclassified_o__Oscillospirales</v>
          </cell>
          <cell r="I12731" t="str">
            <v>s__unclassified_o__Oscillospirales</v>
          </cell>
        </row>
        <row r="12732">
          <cell r="G12732" t="str">
            <v>ASV23348</v>
          </cell>
          <cell r="H12732" t="str">
            <v>g__norank_f__Muribaculaceae</v>
          </cell>
          <cell r="I12732" t="str">
            <v>s__uncultured_bacterium_g__norank_f__Muribaculaceae</v>
          </cell>
        </row>
        <row r="12733">
          <cell r="G12733" t="str">
            <v>ASV9535</v>
          </cell>
          <cell r="H12733" t="str">
            <v>g__unclassified_f__Lachnospiraceae</v>
          </cell>
          <cell r="I12733" t="str">
            <v>s__unclassified_f__Lachnospiraceae</v>
          </cell>
        </row>
        <row r="12734">
          <cell r="G12734" t="str">
            <v>ASV9036</v>
          </cell>
          <cell r="H12734" t="str">
            <v>g__unclassified_f__Lachnospiraceae</v>
          </cell>
          <cell r="I12734" t="str">
            <v>s__unclassified_f__Lachnospiraceae</v>
          </cell>
        </row>
        <row r="12735">
          <cell r="G12735" t="str">
            <v>ASV21637</v>
          </cell>
          <cell r="H12735" t="str">
            <v>g__Prevotella</v>
          </cell>
          <cell r="I12735" t="str">
            <v>s__unclassified_g__Prevotella</v>
          </cell>
        </row>
        <row r="12736">
          <cell r="G12736" t="str">
            <v>ASV7944</v>
          </cell>
          <cell r="H12736" t="str">
            <v>g__unclassified_o__Lachnospirales</v>
          </cell>
          <cell r="I12736" t="str">
            <v>s__unclassified_o__Lachnospirales</v>
          </cell>
        </row>
        <row r="12737">
          <cell r="G12737" t="str">
            <v>ASV21493</v>
          </cell>
          <cell r="H12737" t="str">
            <v>g__Clostridium_sensu_stricto_1</v>
          </cell>
          <cell r="I12737" t="str">
            <v>s__unclassified_g__Clostridium_sensu_stricto_1</v>
          </cell>
        </row>
        <row r="12738">
          <cell r="G12738" t="str">
            <v>ASV4121</v>
          </cell>
          <cell r="H12738" t="str">
            <v>g__unclassified_f__Lachnospiraceae</v>
          </cell>
          <cell r="I12738" t="str">
            <v>s__unclassified_f__Lachnospiraceae</v>
          </cell>
        </row>
        <row r="12739">
          <cell r="G12739" t="str">
            <v>ASV3669</v>
          </cell>
          <cell r="H12739" t="str">
            <v>g__Psychrobacter</v>
          </cell>
          <cell r="I12739" t="str">
            <v>s__unclassified_g__Psychrobacter</v>
          </cell>
        </row>
        <row r="12740">
          <cell r="G12740" t="str">
            <v>ASV6762</v>
          </cell>
          <cell r="H12740" t="str">
            <v>g__unclassified_p__Firmicutes</v>
          </cell>
          <cell r="I12740" t="str">
            <v>s__unclassified_p__Firmicutes</v>
          </cell>
        </row>
        <row r="12741">
          <cell r="G12741" t="str">
            <v>ASV9042</v>
          </cell>
          <cell r="H12741" t="str">
            <v>g__unclassified_p__Firmicutes</v>
          </cell>
          <cell r="I12741" t="str">
            <v>s__unclassified_p__Firmicutes</v>
          </cell>
        </row>
        <row r="12742">
          <cell r="G12742" t="str">
            <v>ASV6020</v>
          </cell>
          <cell r="H12742" t="str">
            <v>g__Prevotella</v>
          </cell>
          <cell r="I12742" t="str">
            <v>s__unclassified_g__Prevotella</v>
          </cell>
        </row>
        <row r="12743">
          <cell r="G12743" t="str">
            <v>ASV11770</v>
          </cell>
          <cell r="H12743" t="str">
            <v>g__unclassified_p__Actinobacteriota</v>
          </cell>
          <cell r="I12743" t="str">
            <v>s__unclassified_p__Actinobacteriota</v>
          </cell>
        </row>
        <row r="12744">
          <cell r="G12744" t="str">
            <v>ASV4894</v>
          </cell>
          <cell r="H12744" t="str">
            <v>g__Ruminococcus</v>
          </cell>
          <cell r="I12744" t="str">
            <v>s__uncultured_bacterium_g__Ruminococcus</v>
          </cell>
        </row>
        <row r="12745">
          <cell r="G12745" t="str">
            <v>ASV20879</v>
          </cell>
          <cell r="H12745" t="str">
            <v>g__unclassified_o__Peptostreptococcales-Tissierellales</v>
          </cell>
          <cell r="I12745" t="str">
            <v>s__unclassified_o__Peptostreptococcales-Tissierellales</v>
          </cell>
        </row>
        <row r="12746">
          <cell r="G12746" t="str">
            <v>ASV12965</v>
          </cell>
          <cell r="H12746" t="str">
            <v>g__unclassified_c__Clostridia</v>
          </cell>
          <cell r="I12746" t="str">
            <v>s__unclassified_c__Clostridia</v>
          </cell>
        </row>
        <row r="12747">
          <cell r="G12747" t="str">
            <v>ASV12941</v>
          </cell>
          <cell r="H12747" t="str">
            <v>g__unclassified_o__Oscillospirales</v>
          </cell>
          <cell r="I12747" t="str">
            <v>s__unclassified_o__Oscillospirales</v>
          </cell>
        </row>
        <row r="12748">
          <cell r="G12748" t="str">
            <v>ASV13475</v>
          </cell>
          <cell r="H12748" t="str">
            <v>g__Christensenellaceae_R-7_group</v>
          </cell>
          <cell r="I12748" t="str">
            <v>s__unclassified_g__Christensenellaceae_R-7_group</v>
          </cell>
        </row>
        <row r="12749">
          <cell r="G12749" t="str">
            <v>ASV1054</v>
          </cell>
          <cell r="H12749" t="str">
            <v>g__Christensenellaceae_R-7_group</v>
          </cell>
          <cell r="I12749" t="str">
            <v>s__unclassified_g__Christensenellaceae_R-7_group</v>
          </cell>
        </row>
        <row r="12750">
          <cell r="G12750" t="str">
            <v>ASV4962</v>
          </cell>
          <cell r="H12750" t="str">
            <v>g__UCG-002</v>
          </cell>
          <cell r="I12750" t="str">
            <v>s__uncultured_bacterium_g__UCG-002</v>
          </cell>
        </row>
        <row r="12751">
          <cell r="G12751" t="str">
            <v>ASV22362</v>
          </cell>
          <cell r="H12751" t="str">
            <v>g__unclassified_f__Lachnospiraceae</v>
          </cell>
          <cell r="I12751" t="str">
            <v>s__unclassified_f__Lachnospiraceae</v>
          </cell>
        </row>
        <row r="12752">
          <cell r="G12752" t="str">
            <v>ASV10311</v>
          </cell>
          <cell r="H12752" t="str">
            <v>g__unclassified_f__Lachnospiraceae</v>
          </cell>
          <cell r="I12752" t="str">
            <v>s__unclassified_f__Lachnospiraceae</v>
          </cell>
        </row>
        <row r="12753">
          <cell r="G12753" t="str">
            <v>ASV19851</v>
          </cell>
          <cell r="H12753" t="str">
            <v>g__Lachnospiraceae_NC2004_group</v>
          </cell>
          <cell r="I12753" t="str">
            <v>s__unclassified_g__Lachnospiraceae_NC2004_group</v>
          </cell>
        </row>
        <row r="12754">
          <cell r="G12754" t="str">
            <v>ASV11961</v>
          </cell>
          <cell r="H12754" t="str">
            <v>g__unclassified_c__Clostridia</v>
          </cell>
          <cell r="I12754" t="str">
            <v>s__unclassified_c__Clostridia</v>
          </cell>
        </row>
        <row r="12755">
          <cell r="G12755" t="str">
            <v>ASV3245</v>
          </cell>
          <cell r="H12755" t="str">
            <v>g__unclassified_f__Lachnospiraceae</v>
          </cell>
          <cell r="I12755" t="str">
            <v>s__unclassified_f__Lachnospiraceae</v>
          </cell>
        </row>
        <row r="12756">
          <cell r="G12756" t="str">
            <v>ASV4061</v>
          </cell>
          <cell r="H12756" t="str">
            <v>g__unclassified_c__Clostridia</v>
          </cell>
          <cell r="I12756" t="str">
            <v>s__unclassified_c__Clostridia</v>
          </cell>
        </row>
        <row r="12757">
          <cell r="G12757" t="str">
            <v>ASV9579</v>
          </cell>
          <cell r="H12757" t="str">
            <v>g__unclassified_f__Oscillospiraceae</v>
          </cell>
          <cell r="I12757" t="str">
            <v>s__unclassified_f__Oscillospiraceae</v>
          </cell>
        </row>
        <row r="12758">
          <cell r="G12758" t="str">
            <v>ASV832</v>
          </cell>
          <cell r="H12758" t="str">
            <v>g__unclassified_c__Clostridia</v>
          </cell>
          <cell r="I12758" t="str">
            <v>s__unclassified_c__Clostridia</v>
          </cell>
        </row>
        <row r="12759">
          <cell r="G12759" t="str">
            <v>ASV4117</v>
          </cell>
          <cell r="H12759" t="str">
            <v>g__norank_f__Eubacterium_coprostanoligenes_group</v>
          </cell>
          <cell r="I12759" t="str">
            <v>s__unclassified_g__norank_f__Eubacterium_coprostanoligenes_group</v>
          </cell>
        </row>
        <row r="12760">
          <cell r="G12760" t="str">
            <v>ASV6057</v>
          </cell>
          <cell r="H12760" t="str">
            <v>g__Clostridium_sensu_stricto_1</v>
          </cell>
          <cell r="I12760" t="str">
            <v>s__unclassified_g__Clostridium_sensu_stricto_1</v>
          </cell>
        </row>
        <row r="12761">
          <cell r="G12761" t="str">
            <v>ASV2759</v>
          </cell>
          <cell r="H12761" t="str">
            <v>g__Lachnospira</v>
          </cell>
          <cell r="I12761" t="str">
            <v>s__uncultured_bacterium_g__Lachnospira</v>
          </cell>
        </row>
        <row r="12762">
          <cell r="G12762" t="str">
            <v>ASV5094</v>
          </cell>
          <cell r="H12762" t="str">
            <v>g__unclassified_o__Oscillospirales</v>
          </cell>
          <cell r="I12762" t="str">
            <v>s__unclassified_o__Oscillospirales</v>
          </cell>
        </row>
        <row r="12763">
          <cell r="G12763" t="str">
            <v>ASV6025</v>
          </cell>
          <cell r="H12763" t="str">
            <v>g__unclassified_c__Clostridia</v>
          </cell>
          <cell r="I12763" t="str">
            <v>s__unclassified_c__Clostridia</v>
          </cell>
        </row>
        <row r="12764">
          <cell r="G12764" t="str">
            <v>ASV15505</v>
          </cell>
          <cell r="H12764" t="str">
            <v>g__unclassified_k__norank_d__Bacteria</v>
          </cell>
          <cell r="I12764" t="str">
            <v>s__unclassified_k__norank_d__Bacteria</v>
          </cell>
        </row>
        <row r="12765">
          <cell r="G12765" t="str">
            <v>ASV16498</v>
          </cell>
          <cell r="H12765" t="str">
            <v>g__Ruminococcus</v>
          </cell>
          <cell r="I12765" t="str">
            <v>s__unclassified_g__Ruminococcus</v>
          </cell>
        </row>
        <row r="12766">
          <cell r="G12766" t="str">
            <v>ASV16528</v>
          </cell>
          <cell r="H12766" t="str">
            <v>g__unclassified_c__Clostridia</v>
          </cell>
          <cell r="I12766" t="str">
            <v>s__unclassified_c__Clostridia</v>
          </cell>
        </row>
        <row r="12767">
          <cell r="G12767" t="str">
            <v>ASV9025</v>
          </cell>
          <cell r="H12767" t="str">
            <v>g__NK4A214_group</v>
          </cell>
          <cell r="I12767" t="str">
            <v>s__uncultured_bacterium_g__NK4A214_group</v>
          </cell>
        </row>
        <row r="12768">
          <cell r="G12768" t="str">
            <v>ASV976</v>
          </cell>
          <cell r="H12768" t="str">
            <v>g__unclassified_f__Lachnospiraceae</v>
          </cell>
          <cell r="I12768" t="str">
            <v>s__unclassified_f__Lachnospiraceae</v>
          </cell>
        </row>
        <row r="12769">
          <cell r="G12769" t="str">
            <v>ASV4113</v>
          </cell>
          <cell r="H12769" t="str">
            <v>g__unclassified_c__Clostridia</v>
          </cell>
          <cell r="I12769" t="str">
            <v>s__unclassified_c__Clostridia</v>
          </cell>
        </row>
        <row r="12770">
          <cell r="G12770" t="str">
            <v>ASV18104</v>
          </cell>
          <cell r="H12770" t="str">
            <v>g__unclassified_f__Oscillospiraceae</v>
          </cell>
          <cell r="I12770" t="str">
            <v>s__unclassified_f__Oscillospiraceae</v>
          </cell>
        </row>
        <row r="12771">
          <cell r="G12771" t="str">
            <v>ASV3491</v>
          </cell>
          <cell r="H12771" t="str">
            <v>g__Lactobacillus</v>
          </cell>
          <cell r="I12771" t="str">
            <v>s__unclassified_g__Lactobacillus</v>
          </cell>
        </row>
        <row r="12772">
          <cell r="G12772" t="str">
            <v>ASV2279</v>
          </cell>
          <cell r="H12772" t="str">
            <v>g__unclassified_p__Firmicutes</v>
          </cell>
          <cell r="I12772" t="str">
            <v>s__unclassified_p__Firmicutes</v>
          </cell>
        </row>
        <row r="12773">
          <cell r="G12773" t="str">
            <v>ASV785</v>
          </cell>
          <cell r="H12773" t="str">
            <v>g__unclassified_k__norank_d__Bacteria</v>
          </cell>
          <cell r="I12773" t="str">
            <v>s__unclassified_k__norank_d__Bacteria</v>
          </cell>
        </row>
        <row r="12774">
          <cell r="G12774" t="str">
            <v>ASV861</v>
          </cell>
          <cell r="H12774" t="str">
            <v>g__unclassified_f__Lachnospiraceae</v>
          </cell>
          <cell r="I12774" t="str">
            <v>s__unclassified_f__Lachnospiraceae</v>
          </cell>
        </row>
        <row r="12775">
          <cell r="G12775" t="str">
            <v>ASV6805</v>
          </cell>
          <cell r="H12775" t="str">
            <v>g__unclassified_c__Clostridia</v>
          </cell>
          <cell r="I12775" t="str">
            <v>s__unclassified_c__Clostridia</v>
          </cell>
        </row>
        <row r="12776">
          <cell r="G12776" t="str">
            <v>ASV5019</v>
          </cell>
          <cell r="H12776" t="str">
            <v>g__unclassified_p__Firmicutes</v>
          </cell>
          <cell r="I12776" t="str">
            <v>s__unclassified_p__Firmicutes</v>
          </cell>
        </row>
        <row r="12777">
          <cell r="G12777" t="str">
            <v>ASV6736</v>
          </cell>
          <cell r="H12777" t="str">
            <v>g__unclassified_f__Synergistaceae</v>
          </cell>
          <cell r="I12777" t="str">
            <v>s__unclassified_f__Synergistaceae</v>
          </cell>
        </row>
        <row r="12778">
          <cell r="G12778" t="str">
            <v>ASV19846</v>
          </cell>
          <cell r="H12778" t="str">
            <v>g__unclassified_o__Oscillospirales</v>
          </cell>
          <cell r="I12778" t="str">
            <v>s__unclassified_o__Oscillospirales</v>
          </cell>
        </row>
        <row r="12779">
          <cell r="G12779" t="str">
            <v>ASV17306</v>
          </cell>
          <cell r="H12779" t="str">
            <v>g__Sarcina</v>
          </cell>
          <cell r="I12779" t="str">
            <v>s__unclassified_g__Sarcina</v>
          </cell>
        </row>
        <row r="12780">
          <cell r="G12780" t="str">
            <v>ASV4111</v>
          </cell>
          <cell r="H12780" t="str">
            <v>g__unclassified_c__Clostridia</v>
          </cell>
          <cell r="I12780" t="str">
            <v>s__unclassified_c__Clostridia</v>
          </cell>
        </row>
        <row r="12781">
          <cell r="G12781" t="str">
            <v>ASV986</v>
          </cell>
          <cell r="H12781" t="str">
            <v>g__Streptococcus</v>
          </cell>
          <cell r="I12781" t="str">
            <v>s__unclassified_g__Streptococcus</v>
          </cell>
        </row>
        <row r="12782">
          <cell r="G12782" t="str">
            <v>ASV6101</v>
          </cell>
          <cell r="H12782" t="str">
            <v>g__unclassified_c__Clostridia</v>
          </cell>
          <cell r="I12782" t="str">
            <v>s__unclassified_c__Clostridia</v>
          </cell>
        </row>
        <row r="12783">
          <cell r="G12783" t="str">
            <v>ASV11685</v>
          </cell>
          <cell r="H12783" t="str">
            <v>g__norank_f__norank_o__WCHB1-41</v>
          </cell>
          <cell r="I12783" t="str">
            <v>s__uncultured_bacterium_g__norank_f__norank_o__WCHB1-41</v>
          </cell>
        </row>
        <row r="12784">
          <cell r="G12784" t="str">
            <v>ASV9438</v>
          </cell>
          <cell r="H12784" t="str">
            <v>g__Cloacibacillus</v>
          </cell>
          <cell r="I12784" t="str">
            <v>s__unclassified_g__Cloacibacillus</v>
          </cell>
        </row>
        <row r="12785">
          <cell r="G12785" t="str">
            <v>ASV11979</v>
          </cell>
          <cell r="H12785" t="str">
            <v>g__unclassified_o__Lachnospirales</v>
          </cell>
          <cell r="I12785" t="str">
            <v>s__unclassified_o__Lachnospirales</v>
          </cell>
        </row>
        <row r="12786">
          <cell r="G12786" t="str">
            <v>ASV815</v>
          </cell>
          <cell r="H12786" t="str">
            <v>g__unclassified_c__Clostridia</v>
          </cell>
          <cell r="I12786" t="str">
            <v>s__unclassified_c__Clostridia</v>
          </cell>
        </row>
        <row r="12787">
          <cell r="G12787" t="str">
            <v>ASV1735</v>
          </cell>
          <cell r="H12787" t="str">
            <v>g__unclassified_p__Firmicutes</v>
          </cell>
          <cell r="I12787" t="str">
            <v>s__unclassified_p__Firmicutes</v>
          </cell>
        </row>
        <row r="12788">
          <cell r="G12788" t="str">
            <v>ASV23367</v>
          </cell>
          <cell r="H12788" t="str">
            <v>g__Coprococcus</v>
          </cell>
          <cell r="I12788" t="str">
            <v>s__unclassified_g__Coprococcus</v>
          </cell>
        </row>
        <row r="12789">
          <cell r="G12789" t="str">
            <v>ASV16493</v>
          </cell>
          <cell r="H12789" t="str">
            <v>g__unclassified_f__Prevotellaceae</v>
          </cell>
          <cell r="I12789" t="str">
            <v>s__unclassified_f__Prevotellaceae</v>
          </cell>
        </row>
        <row r="12790">
          <cell r="G12790" t="str">
            <v>ASV20943</v>
          </cell>
          <cell r="H12790" t="str">
            <v>g__Clostridium_sensu_stricto_1</v>
          </cell>
          <cell r="I12790" t="str">
            <v>s__unclassified_g__Clostridium_sensu_stricto_1</v>
          </cell>
        </row>
        <row r="12791">
          <cell r="G12791" t="str">
            <v>ASV15416</v>
          </cell>
          <cell r="H12791" t="str">
            <v>g__unclassified_c__Clostridia</v>
          </cell>
          <cell r="I12791" t="str">
            <v>s__unclassified_c__Clostridia</v>
          </cell>
        </row>
        <row r="12792">
          <cell r="G12792" t="str">
            <v>ASV22315</v>
          </cell>
          <cell r="H12792" t="str">
            <v>g__unclassified_c__Clostridia</v>
          </cell>
          <cell r="I12792" t="str">
            <v>s__unclassified_c__Clostridia</v>
          </cell>
        </row>
        <row r="12793">
          <cell r="G12793" t="str">
            <v>ASV23420</v>
          </cell>
          <cell r="H12793" t="str">
            <v>g__unclassified_o__Oscillospirales</v>
          </cell>
          <cell r="I12793" t="str">
            <v>s__unclassified_o__Oscillospirales</v>
          </cell>
        </row>
        <row r="12794">
          <cell r="G12794" t="str">
            <v>ASV20474</v>
          </cell>
          <cell r="H12794" t="str">
            <v>g__Acidovorax</v>
          </cell>
          <cell r="I12794" t="str">
            <v>s__unclassified_g__Acidovorax</v>
          </cell>
        </row>
        <row r="12795">
          <cell r="G12795" t="str">
            <v>ASV3221</v>
          </cell>
          <cell r="H12795" t="str">
            <v>g__Veillonella</v>
          </cell>
          <cell r="I12795" t="str">
            <v>s__unclassified_g__Veillonella</v>
          </cell>
        </row>
        <row r="12796">
          <cell r="G12796" t="str">
            <v>ASV4179</v>
          </cell>
          <cell r="H12796" t="str">
            <v>g__Enterococcus</v>
          </cell>
          <cell r="I12796" t="str">
            <v>s__unclassified_g__Enterococcus</v>
          </cell>
        </row>
        <row r="12797">
          <cell r="G12797" t="str">
            <v>ASV7790</v>
          </cell>
          <cell r="H12797" t="str">
            <v>g__Butyricimonas</v>
          </cell>
          <cell r="I12797" t="str">
            <v>s__unclassified_g__Butyricimonas</v>
          </cell>
        </row>
        <row r="12798">
          <cell r="G12798" t="str">
            <v>ASV803</v>
          </cell>
          <cell r="H12798" t="str">
            <v>g__Phascolarctobacterium</v>
          </cell>
          <cell r="I12798" t="str">
            <v>s__uncultured_bacterium_g__Phascolarctobacterium</v>
          </cell>
        </row>
        <row r="12799">
          <cell r="G12799" t="str">
            <v>ASV12916</v>
          </cell>
          <cell r="H12799" t="str">
            <v>g__Campylobacter</v>
          </cell>
          <cell r="I12799" t="str">
            <v>s__unclassified_g__Campylobacter</v>
          </cell>
        </row>
        <row r="12800">
          <cell r="G12800" t="str">
            <v>ASV11999</v>
          </cell>
          <cell r="H12800" t="str">
            <v>g__unclassified_c__Bacteroidia</v>
          </cell>
          <cell r="I12800" t="str">
            <v>s__unclassified_c__Bacteroidia</v>
          </cell>
        </row>
        <row r="12801">
          <cell r="G12801" t="str">
            <v>ASV4071</v>
          </cell>
          <cell r="H12801" t="str">
            <v>g__Sutterella</v>
          </cell>
          <cell r="I12801" t="str">
            <v>s__unclassified_g__Sutterella</v>
          </cell>
        </row>
        <row r="12802">
          <cell r="G12802" t="str">
            <v>ASV9520</v>
          </cell>
          <cell r="H12802" t="str">
            <v>g__unclassified_f__Lachnospiraceae</v>
          </cell>
          <cell r="I12802" t="str">
            <v>s__unclassified_f__Lachnospiraceae</v>
          </cell>
        </row>
        <row r="12803">
          <cell r="G12803" t="str">
            <v>ASV16059</v>
          </cell>
          <cell r="H12803" t="str">
            <v>g__unclassified_c__Bacilli</v>
          </cell>
          <cell r="I12803" t="str">
            <v>s__unclassified_c__Bacilli</v>
          </cell>
        </row>
        <row r="12804">
          <cell r="G12804" t="str">
            <v>ASV16440</v>
          </cell>
          <cell r="H12804" t="str">
            <v>g__Clostridium_sensu_stricto_1</v>
          </cell>
          <cell r="I12804" t="str">
            <v>s__unclassified_g__Clostridium_sensu_stricto_1</v>
          </cell>
        </row>
        <row r="12805">
          <cell r="G12805" t="str">
            <v>ASV3508</v>
          </cell>
          <cell r="H12805" t="str">
            <v>g__Clostridium_sensu_stricto_1</v>
          </cell>
          <cell r="I12805" t="str">
            <v>s__unclassified_g__Clostridium_sensu_stricto_1</v>
          </cell>
        </row>
        <row r="12806">
          <cell r="G12806" t="str">
            <v>ASV11740</v>
          </cell>
          <cell r="H12806" t="str">
            <v>g__Romboutsia</v>
          </cell>
          <cell r="I12806" t="str">
            <v>s__unclassified_g__Romboutsia</v>
          </cell>
        </row>
        <row r="12807">
          <cell r="G12807" t="str">
            <v>ASV11784</v>
          </cell>
          <cell r="H12807" t="str">
            <v>g__Lachnospiraceae_NC2004_group</v>
          </cell>
          <cell r="I12807" t="str">
            <v>s__unclassified_g__Lachnospiraceae_NC2004_group</v>
          </cell>
        </row>
        <row r="12808">
          <cell r="G12808" t="str">
            <v>ASV24243</v>
          </cell>
          <cell r="H12808" t="str">
            <v>g__unclassified_c__Bacilli</v>
          </cell>
          <cell r="I12808" t="str">
            <v>s__unclassified_c__Bacilli</v>
          </cell>
        </row>
        <row r="12809">
          <cell r="G12809" t="str">
            <v>ASV20278</v>
          </cell>
          <cell r="H12809" t="str">
            <v>g__unclassified_c__Clostridia</v>
          </cell>
          <cell r="I12809" t="str">
            <v>s__unclassified_c__Clostridia</v>
          </cell>
        </row>
        <row r="12810">
          <cell r="G12810" t="str">
            <v>ASV10807</v>
          </cell>
          <cell r="H12810" t="str">
            <v>g__unclassified_f__Anaerovoracaceae</v>
          </cell>
          <cell r="I12810" t="str">
            <v>s__unclassified_f__Anaerovoracaceae</v>
          </cell>
        </row>
        <row r="12811">
          <cell r="G12811" t="str">
            <v>ASV15411</v>
          </cell>
          <cell r="H12811" t="str">
            <v>g__norank_f__Desulfovibrionaceae</v>
          </cell>
          <cell r="I12811" t="str">
            <v>s__uncultured_bacterium_g__norank_f__Desulfovibrionaceae</v>
          </cell>
        </row>
        <row r="12812">
          <cell r="G12812" t="str">
            <v>ASV20935</v>
          </cell>
          <cell r="H12812" t="str">
            <v>g__unclassified_o__Oscillospirales</v>
          </cell>
          <cell r="I12812" t="str">
            <v>s__unclassified_o__Oscillospirales</v>
          </cell>
        </row>
        <row r="12813">
          <cell r="G12813" t="str">
            <v>ASV16967</v>
          </cell>
          <cell r="H12813" t="str">
            <v>g__norank_f__Eubacterium_coprostanoligenes_group</v>
          </cell>
          <cell r="I12813" t="str">
            <v>s__unclassified_g__norank_f__Eubacterium_coprostanoligenes_group</v>
          </cell>
        </row>
        <row r="12814">
          <cell r="G12814" t="str">
            <v>ASV22487</v>
          </cell>
          <cell r="H12814" t="str">
            <v>g__unclassified_p__Firmicutes</v>
          </cell>
          <cell r="I12814" t="str">
            <v>s__unclassified_p__Firmicutes</v>
          </cell>
        </row>
        <row r="12815">
          <cell r="G12815" t="str">
            <v>ASV4099</v>
          </cell>
          <cell r="H12815" t="str">
            <v>g__Enterococcus</v>
          </cell>
          <cell r="I12815" t="str">
            <v>s__unclassified_g__Enterococcus</v>
          </cell>
        </row>
        <row r="12816">
          <cell r="G12816" t="str">
            <v>ASV12975</v>
          </cell>
          <cell r="H12816" t="str">
            <v>g__Cellulosilyticum</v>
          </cell>
          <cell r="I12816" t="str">
            <v>s__unclassified_g__Cellulosilyticum</v>
          </cell>
        </row>
        <row r="12817">
          <cell r="G12817" t="str">
            <v>ASV15457</v>
          </cell>
          <cell r="H12817" t="str">
            <v>g__norank_f__norank_o__Clostridia_UCG-014</v>
          </cell>
          <cell r="I12817" t="str">
            <v>s__uncultured_bacterium_g__norank_f__norank_o__Clostridia_UCG-014</v>
          </cell>
        </row>
        <row r="12818">
          <cell r="G12818" t="str">
            <v>ASV19860</v>
          </cell>
          <cell r="H12818" t="str">
            <v>g__Prevotella</v>
          </cell>
          <cell r="I12818" t="str">
            <v>s__uncultured_bacterium_g__Prevotella</v>
          </cell>
        </row>
        <row r="12819">
          <cell r="G12819" t="str">
            <v>ASV17122</v>
          </cell>
          <cell r="H12819" t="str">
            <v>g__Vagococcus</v>
          </cell>
          <cell r="I12819" t="str">
            <v>s__unclassified_g__Vagococcus</v>
          </cell>
        </row>
        <row r="12820">
          <cell r="G12820" t="str">
            <v>ASV16928</v>
          </cell>
          <cell r="H12820" t="str">
            <v>g__unclassified_f__Lachnospiraceae</v>
          </cell>
          <cell r="I12820" t="str">
            <v>s__unclassified_f__Lachnospiraceae</v>
          </cell>
        </row>
        <row r="12821">
          <cell r="G12821" t="str">
            <v>ASV21635</v>
          </cell>
          <cell r="H12821" t="str">
            <v>g__Desulfovibrio</v>
          </cell>
          <cell r="I12821" t="str">
            <v>s__unclassified_g__Desulfovibrio</v>
          </cell>
        </row>
        <row r="12822">
          <cell r="G12822" t="str">
            <v>ASV4098</v>
          </cell>
          <cell r="H12822" t="str">
            <v>g__unclassified_o__Micrococcales</v>
          </cell>
          <cell r="I12822" t="str">
            <v>s__unclassified_o__Micrococcales</v>
          </cell>
        </row>
        <row r="12823">
          <cell r="G12823" t="str">
            <v>ASV9562</v>
          </cell>
          <cell r="H12823" t="str">
            <v>g__unclassified_c__Clostridia</v>
          </cell>
          <cell r="I12823" t="str">
            <v>s__unclassified_c__Clostridia</v>
          </cell>
        </row>
        <row r="12824">
          <cell r="G12824" t="str">
            <v>ASV834</v>
          </cell>
          <cell r="H12824" t="str">
            <v>g__Hydrogenoanaerobacterium</v>
          </cell>
          <cell r="I12824" t="str">
            <v>s__uncultured_bacterium_g__Hydrogenoanaerobacterium</v>
          </cell>
        </row>
        <row r="12825">
          <cell r="G12825" t="str">
            <v>ASV3251</v>
          </cell>
          <cell r="H12825" t="str">
            <v>g__Lachnospiraceae_NC2004_group</v>
          </cell>
          <cell r="I12825" t="str">
            <v>s__unclassified_g__Lachnospiraceae_NC2004_group</v>
          </cell>
        </row>
        <row r="12826">
          <cell r="G12826" t="str">
            <v>ASV6827</v>
          </cell>
          <cell r="H12826" t="str">
            <v>g__Streptococcus</v>
          </cell>
          <cell r="I12826" t="str">
            <v>s__unclassified_g__Streptococcus</v>
          </cell>
        </row>
        <row r="12827">
          <cell r="G12827" t="str">
            <v>ASV2293</v>
          </cell>
          <cell r="H12827" t="str">
            <v>g__unclassified_f__Lachnospiraceae</v>
          </cell>
          <cell r="I12827" t="str">
            <v>s__unclassified_f__Lachnospiraceae</v>
          </cell>
        </row>
        <row r="12828">
          <cell r="G12828" t="str">
            <v>ASV11753</v>
          </cell>
          <cell r="H12828" t="str">
            <v>g__Prevotella</v>
          </cell>
          <cell r="I12828" t="str">
            <v>s__uncultured_bacterium_g__Prevotella</v>
          </cell>
        </row>
        <row r="12829">
          <cell r="G12829" t="str">
            <v>ASV1023</v>
          </cell>
          <cell r="H12829" t="str">
            <v>g__Colidextribacter</v>
          </cell>
          <cell r="I12829" t="str">
            <v>s__unclassified_g__Colidextribacter</v>
          </cell>
        </row>
        <row r="12830">
          <cell r="G12830" t="str">
            <v>ASV5992</v>
          </cell>
          <cell r="H12830" t="str">
            <v>g__Alloprevotella</v>
          </cell>
          <cell r="I12830" t="str">
            <v>s__uncultured_bacterium_g__Alloprevotella</v>
          </cell>
        </row>
        <row r="12831">
          <cell r="G12831" t="str">
            <v>ASV13480</v>
          </cell>
          <cell r="H12831" t="str">
            <v>g__Christensenellaceae_R-7_group</v>
          </cell>
          <cell r="I12831" t="str">
            <v>s__unclassified_g__Christensenellaceae_R-7_group</v>
          </cell>
        </row>
        <row r="12832">
          <cell r="G12832" t="str">
            <v>ASV13816</v>
          </cell>
          <cell r="H12832" t="str">
            <v>g__UBA1819</v>
          </cell>
          <cell r="I12832" t="str">
            <v>s__unclassified_g__UBA1819</v>
          </cell>
        </row>
        <row r="12833">
          <cell r="G12833" t="str">
            <v>ASV17299</v>
          </cell>
          <cell r="H12833" t="str">
            <v>g__Staphylococcus</v>
          </cell>
          <cell r="I12833" t="str">
            <v>s__unclassified_g__Staphylococcus</v>
          </cell>
        </row>
        <row r="12834">
          <cell r="G12834" t="str">
            <v>ASV967</v>
          </cell>
          <cell r="H12834" t="str">
            <v>g__unclassified_f__Oscillospiraceae</v>
          </cell>
          <cell r="I12834" t="str">
            <v>s__unclassified_f__Oscillospiraceae</v>
          </cell>
        </row>
        <row r="12835">
          <cell r="G12835" t="str">
            <v>ASV14463</v>
          </cell>
          <cell r="H12835" t="str">
            <v>g__unclassified_f__Clostridiaceae</v>
          </cell>
          <cell r="I12835" t="str">
            <v>s__unclassified_f__Clostridiaceae</v>
          </cell>
        </row>
        <row r="12836">
          <cell r="G12836" t="str">
            <v>ASV6065</v>
          </cell>
          <cell r="H12836" t="str">
            <v>g__unclassified_f__Clostridiaceae</v>
          </cell>
          <cell r="I12836" t="str">
            <v>s__unclassified_f__Clostridiaceae</v>
          </cell>
        </row>
        <row r="12837">
          <cell r="G12837" t="str">
            <v>ASV8656</v>
          </cell>
          <cell r="H12837" t="str">
            <v>g__Comamonas</v>
          </cell>
          <cell r="I12837" t="str">
            <v>s__unclassified_g__Comamonas</v>
          </cell>
        </row>
        <row r="12838">
          <cell r="G12838" t="str">
            <v>ASV16026</v>
          </cell>
          <cell r="H12838" t="str">
            <v>g__Fusobacterium</v>
          </cell>
          <cell r="I12838" t="str">
            <v>s__unclassified_g__Fusobacterium</v>
          </cell>
        </row>
        <row r="12839">
          <cell r="G12839" t="str">
            <v>ASV22296</v>
          </cell>
          <cell r="H12839" t="str">
            <v>g__unclassified_c__Clostridia</v>
          </cell>
          <cell r="I12839" t="str">
            <v>s__unclassified_c__Clostridia</v>
          </cell>
        </row>
        <row r="12840">
          <cell r="G12840" t="str">
            <v>ASV23339</v>
          </cell>
          <cell r="H12840" t="str">
            <v>g__Clostridium_sensu_stricto_1</v>
          </cell>
          <cell r="I12840" t="str">
            <v>s__unclassified_g__Clostridium_sensu_stricto_1</v>
          </cell>
        </row>
        <row r="12841">
          <cell r="G12841" t="str">
            <v>ASV1014</v>
          </cell>
          <cell r="H12841" t="str">
            <v>g__Actinobacillus</v>
          </cell>
          <cell r="I12841" t="str">
            <v>s__unclassified_g__Actinobacillus</v>
          </cell>
        </row>
        <row r="12842">
          <cell r="G12842" t="str">
            <v>ASV22270</v>
          </cell>
          <cell r="H12842" t="str">
            <v>g__norank_f__Eubacterium_coprostanoligenes_group</v>
          </cell>
          <cell r="I12842" t="str">
            <v>s__uncultured_bacterium_g__norank_f__Eubacterium_coprostanoligenes_group</v>
          </cell>
        </row>
        <row r="12843">
          <cell r="G12843" t="str">
            <v>ASV4959</v>
          </cell>
          <cell r="H12843" t="str">
            <v>g__Blautia</v>
          </cell>
          <cell r="I12843" t="str">
            <v>s__unclassified_g__Blautia</v>
          </cell>
        </row>
        <row r="12844">
          <cell r="G12844" t="str">
            <v>ASV19097</v>
          </cell>
          <cell r="H12844" t="str">
            <v>g__Escherichia-Shigella</v>
          </cell>
          <cell r="I12844" t="str">
            <v>s__unclassified_g__Escherichia-Shigella</v>
          </cell>
        </row>
        <row r="12845">
          <cell r="G12845" t="str">
            <v>ASV7791</v>
          </cell>
          <cell r="H12845" t="str">
            <v>g__norank_f__Muribaculaceae</v>
          </cell>
          <cell r="I12845" t="str">
            <v>s__uncultured_bacterium_g__norank_f__Muribaculaceae</v>
          </cell>
        </row>
        <row r="12846">
          <cell r="G12846" t="str">
            <v>ASV5958</v>
          </cell>
          <cell r="H12846" t="str">
            <v>g__unclassified_c__Bacilli</v>
          </cell>
          <cell r="I12846" t="str">
            <v>s__unclassified_c__Bacilli</v>
          </cell>
        </row>
        <row r="12847">
          <cell r="G12847" t="str">
            <v>ASV18218</v>
          </cell>
          <cell r="H12847" t="str">
            <v>g__Phascolarctobacterium</v>
          </cell>
          <cell r="I12847" t="str">
            <v>s__Ruminococcus_sp._N15.MGS-57_g__Phascolarctobacterium</v>
          </cell>
        </row>
        <row r="12848">
          <cell r="G12848" t="str">
            <v>ASV15089</v>
          </cell>
          <cell r="H12848" t="str">
            <v>g__unclassified_c__Actinobacteria</v>
          </cell>
          <cell r="I12848" t="str">
            <v>s__unclassified_c__Actinobacteria</v>
          </cell>
        </row>
        <row r="12849">
          <cell r="G12849" t="str">
            <v>ASV19757</v>
          </cell>
          <cell r="H12849" t="str">
            <v>g__Enterococcus</v>
          </cell>
          <cell r="I12849" t="str">
            <v>s__unclassified_g__Enterococcus</v>
          </cell>
        </row>
        <row r="12850">
          <cell r="G12850" t="str">
            <v>ASV17414</v>
          </cell>
          <cell r="H12850" t="str">
            <v>g__unclassified_p__Firmicutes</v>
          </cell>
          <cell r="I12850" t="str">
            <v>s__unclassified_p__Firmicutes</v>
          </cell>
        </row>
        <row r="12851">
          <cell r="G12851" t="str">
            <v>ASV19100</v>
          </cell>
          <cell r="H12851" t="str">
            <v>g__unclassified_k__norank_d__Bacteria</v>
          </cell>
          <cell r="I12851" t="str">
            <v>s__unclassified_k__norank_d__Bacteria</v>
          </cell>
        </row>
        <row r="12852">
          <cell r="G12852" t="str">
            <v>ASV19709</v>
          </cell>
          <cell r="H12852" t="str">
            <v>g__unclassified_c__Clostridia</v>
          </cell>
          <cell r="I12852" t="str">
            <v>s__unclassified_c__Clostridia</v>
          </cell>
        </row>
        <row r="12853">
          <cell r="G12853" t="str">
            <v>ASV18607</v>
          </cell>
          <cell r="H12853" t="str">
            <v>g__unclassified_c__Bacilli</v>
          </cell>
          <cell r="I12853" t="str">
            <v>s__unclassified_c__Bacilli</v>
          </cell>
        </row>
        <row r="12854">
          <cell r="G12854" t="str">
            <v>ASV2326</v>
          </cell>
          <cell r="H12854" t="str">
            <v>g__Collinsella</v>
          </cell>
          <cell r="I12854" t="str">
            <v>s__unclassified_g__Collinsella</v>
          </cell>
        </row>
        <row r="12855">
          <cell r="G12855" t="str">
            <v>ASV14385</v>
          </cell>
          <cell r="H12855" t="str">
            <v>g__unclassified_p__Firmicutes</v>
          </cell>
          <cell r="I12855" t="str">
            <v>s__unclassified_p__Firmicutes</v>
          </cell>
        </row>
        <row r="12856">
          <cell r="G12856" t="str">
            <v>ASV4204</v>
          </cell>
          <cell r="H12856" t="str">
            <v>g__Escherichia-Shigella</v>
          </cell>
          <cell r="I12856" t="str">
            <v>s__unclassified_g__Escherichia-Shigella</v>
          </cell>
        </row>
        <row r="12857">
          <cell r="G12857" t="str">
            <v>ASV11711</v>
          </cell>
          <cell r="H12857" t="str">
            <v>g__unclassified_c__Clostridia</v>
          </cell>
          <cell r="I12857" t="str">
            <v>s__unclassified_c__Clostridia</v>
          </cell>
        </row>
        <row r="12858">
          <cell r="G12858" t="str">
            <v>ASV21291</v>
          </cell>
          <cell r="H12858" t="str">
            <v>g__unclassified_c__Bacilli</v>
          </cell>
          <cell r="I12858" t="str">
            <v>s__unclassified_c__Bacilli</v>
          </cell>
        </row>
        <row r="12859">
          <cell r="G12859" t="str">
            <v>ASV10312</v>
          </cell>
          <cell r="H12859" t="str">
            <v>g__unclassified_c__Bacilli</v>
          </cell>
          <cell r="I12859" t="str">
            <v>s__unclassified_c__Bacilli</v>
          </cell>
        </row>
        <row r="12860">
          <cell r="G12860" t="str">
            <v>ASV4054</v>
          </cell>
          <cell r="H12860" t="str">
            <v>g__unclassified_k__norank_d__Bacteria</v>
          </cell>
          <cell r="I12860" t="str">
            <v>s__unclassified_k__norank_d__Bacteria</v>
          </cell>
        </row>
        <row r="12861">
          <cell r="G12861" t="str">
            <v>ASV5956</v>
          </cell>
          <cell r="H12861" t="str">
            <v>g__Clostridium_sensu_stricto_1</v>
          </cell>
          <cell r="I12861" t="str">
            <v>s__unclassified_g__Clostridium_sensu_stricto_1</v>
          </cell>
        </row>
        <row r="12862">
          <cell r="G12862" t="str">
            <v>ASV6843</v>
          </cell>
          <cell r="H12862" t="str">
            <v>g__unclassified_f__Lachnospiraceae</v>
          </cell>
          <cell r="I12862" t="str">
            <v>s__unclassified_f__Lachnospiraceae</v>
          </cell>
        </row>
        <row r="12863">
          <cell r="G12863" t="str">
            <v>ASV848</v>
          </cell>
          <cell r="H12863" t="str">
            <v>g__Prevotella</v>
          </cell>
          <cell r="I12863" t="str">
            <v>s__unclassified_g__Prevotella</v>
          </cell>
        </row>
        <row r="12864">
          <cell r="G12864" t="str">
            <v>ASV10201</v>
          </cell>
          <cell r="H12864" t="str">
            <v>g__unclassified_c__Bacilli</v>
          </cell>
          <cell r="I12864" t="str">
            <v>s__unclassified_c__Bacilli</v>
          </cell>
        </row>
        <row r="12865">
          <cell r="G12865" t="str">
            <v>ASV10098</v>
          </cell>
          <cell r="H12865" t="str">
            <v>g__Lactobacillus</v>
          </cell>
          <cell r="I12865" t="str">
            <v>s__unclassified_g__Lactobacillus</v>
          </cell>
        </row>
        <row r="12866">
          <cell r="G12866" t="str">
            <v>ASV11772</v>
          </cell>
          <cell r="H12866" t="str">
            <v>g__Treponema</v>
          </cell>
          <cell r="I12866" t="str">
            <v>s__uncultured_bacterium_g__Treponema</v>
          </cell>
        </row>
        <row r="12867">
          <cell r="G12867" t="str">
            <v>ASV18043</v>
          </cell>
          <cell r="H12867" t="str">
            <v>g__CAG-873</v>
          </cell>
          <cell r="I12867" t="str">
            <v>s__Bacteroidales_bacterium_H4</v>
          </cell>
        </row>
        <row r="12868">
          <cell r="G12868" t="str">
            <v>ASV19811</v>
          </cell>
          <cell r="H12868" t="str">
            <v>g__unclassified_k__norank_d__Bacteria</v>
          </cell>
          <cell r="I12868" t="str">
            <v>s__unclassified_k__norank_d__Bacteria</v>
          </cell>
        </row>
        <row r="12869">
          <cell r="G12869" t="str">
            <v>ASV23766</v>
          </cell>
          <cell r="H12869" t="str">
            <v>g__norank_f__norank_o__Izemoplasmatales</v>
          </cell>
          <cell r="I12869" t="str">
            <v>s__uncultured_bacterium_g__norank_f__norank_o__Izemoplasmatales</v>
          </cell>
        </row>
        <row r="12870">
          <cell r="G12870" t="str">
            <v>ASV19739</v>
          </cell>
          <cell r="H12870" t="str">
            <v>g__norank_f__F082</v>
          </cell>
          <cell r="I12870" t="str">
            <v>s__uncultured_bacterium_g__norank_f__F082</v>
          </cell>
        </row>
        <row r="12871">
          <cell r="G12871" t="str">
            <v>ASV21623</v>
          </cell>
          <cell r="H12871" t="str">
            <v>g__unclassified_f__Lachnospiraceae</v>
          </cell>
          <cell r="I12871" t="str">
            <v>s__unclassified_f__Lachnospiraceae</v>
          </cell>
        </row>
        <row r="12872">
          <cell r="G12872" t="str">
            <v>ASV6825</v>
          </cell>
          <cell r="H12872" t="str">
            <v>g__Escherichia-Shigella</v>
          </cell>
          <cell r="I12872" t="str">
            <v>s__unclassified_g__Escherichia-Shigella</v>
          </cell>
        </row>
        <row r="12873">
          <cell r="G12873" t="str">
            <v>ASV10787</v>
          </cell>
          <cell r="H12873" t="str">
            <v>g__unclassified_c__Clostridia</v>
          </cell>
          <cell r="I12873" t="str">
            <v>s__unclassified_c__Clostridia</v>
          </cell>
        </row>
        <row r="12874">
          <cell r="G12874" t="str">
            <v>ASV9507</v>
          </cell>
          <cell r="H12874" t="str">
            <v>g__unclassified_c__Clostridia</v>
          </cell>
          <cell r="I12874" t="str">
            <v>s__unclassified_c__Clostridia</v>
          </cell>
        </row>
        <row r="12875">
          <cell r="G12875" t="str">
            <v>ASV10032</v>
          </cell>
          <cell r="H12875" t="str">
            <v>g__norank_f__UCG-010</v>
          </cell>
          <cell r="I12875" t="str">
            <v>s__uncultured_Ruminococcaceae_bacterium_g__norank_f__UCG-010</v>
          </cell>
        </row>
        <row r="12876">
          <cell r="G12876" t="str">
            <v>ASV4920</v>
          </cell>
          <cell r="H12876" t="str">
            <v>g__unclassified_c__Clostridia</v>
          </cell>
          <cell r="I12876" t="str">
            <v>s__unclassified_c__Clostridia</v>
          </cell>
        </row>
        <row r="12877">
          <cell r="G12877" t="str">
            <v>ASV10795</v>
          </cell>
          <cell r="H12877" t="str">
            <v>g__unclassified_f__Lachnospiraceae</v>
          </cell>
          <cell r="I12877" t="str">
            <v>s__unclassified_f__Lachnospiraceae</v>
          </cell>
        </row>
        <row r="12878">
          <cell r="G12878" t="str">
            <v>ASV880</v>
          </cell>
          <cell r="H12878" t="str">
            <v>g__unclassified_f__Lachnospiraceae</v>
          </cell>
          <cell r="I12878" t="str">
            <v>s__unclassified_f__Lachnospiraceae</v>
          </cell>
        </row>
        <row r="12879">
          <cell r="G12879" t="str">
            <v>ASV5001</v>
          </cell>
          <cell r="H12879" t="str">
            <v>g__unclassified_f__Oscillospiraceae</v>
          </cell>
          <cell r="I12879" t="str">
            <v>s__unclassified_f__Oscillospiraceae</v>
          </cell>
        </row>
        <row r="12880">
          <cell r="G12880" t="str">
            <v>ASV2368</v>
          </cell>
          <cell r="H12880" t="str">
            <v>g__Enterococcus</v>
          </cell>
          <cell r="I12880" t="str">
            <v>s__unclassified_g__Enterococcus</v>
          </cell>
        </row>
        <row r="12881">
          <cell r="G12881" t="str">
            <v>ASV2252</v>
          </cell>
          <cell r="H12881" t="str">
            <v>g__unclassified_f__Oscillospiraceae</v>
          </cell>
          <cell r="I12881" t="str">
            <v>s__unclassified_f__Oscillospiraceae</v>
          </cell>
        </row>
        <row r="12882">
          <cell r="G12882" t="str">
            <v>ASV19660</v>
          </cell>
          <cell r="H12882" t="str">
            <v>g__unclassified_k__norank_d__Bacteria</v>
          </cell>
          <cell r="I12882" t="str">
            <v>s__unclassified_k__norank_d__Bacteria</v>
          </cell>
        </row>
        <row r="12883">
          <cell r="G12883" t="str">
            <v>ASV19791</v>
          </cell>
          <cell r="H12883" t="str">
            <v>g__unclassified_f__Oscillospiraceae</v>
          </cell>
          <cell r="I12883" t="str">
            <v>s__unclassified_f__Oscillospiraceae</v>
          </cell>
        </row>
        <row r="12884">
          <cell r="G12884" t="str">
            <v>ASV22891</v>
          </cell>
          <cell r="H12884" t="str">
            <v>g__unclassified_k__norank_d__Bacteria</v>
          </cell>
          <cell r="I12884" t="str">
            <v>s__unclassified_k__norank_d__Bacteria</v>
          </cell>
        </row>
        <row r="12885">
          <cell r="G12885" t="str">
            <v>ASV10720</v>
          </cell>
          <cell r="H12885" t="str">
            <v>g__unclassified_f__Lachnospiraceae</v>
          </cell>
          <cell r="I12885" t="str">
            <v>s__unclassified_f__Lachnospiraceae</v>
          </cell>
        </row>
        <row r="12886">
          <cell r="G12886" t="str">
            <v>ASV20949</v>
          </cell>
          <cell r="H12886" t="str">
            <v>g__unclassified_c__Clostridia</v>
          </cell>
          <cell r="I12886" t="str">
            <v>s__unclassified_c__Clostridia</v>
          </cell>
        </row>
        <row r="12887">
          <cell r="G12887" t="str">
            <v>ASV16931</v>
          </cell>
          <cell r="H12887" t="str">
            <v>g__Escherichia-Shigella</v>
          </cell>
          <cell r="I12887" t="str">
            <v>s__unclassified_g__Escherichia-Shigella</v>
          </cell>
        </row>
        <row r="12888">
          <cell r="G12888" t="str">
            <v>ASV7295</v>
          </cell>
          <cell r="H12888" t="str">
            <v>g__Allorhizobium-Neorhizobium-Pararhizobium-Rhizobium</v>
          </cell>
          <cell r="I12888" t="str">
            <v>s__unclassified_g__Allorhizobium-Neorhizobium-Pararhizobium-Rhizobium</v>
          </cell>
        </row>
        <row r="12889">
          <cell r="G12889" t="str">
            <v>ASV18201</v>
          </cell>
          <cell r="H12889" t="str">
            <v>g__unclassified_f__Anaerovoracaceae</v>
          </cell>
          <cell r="I12889" t="str">
            <v>s__unclassified_f__Anaerovoracaceae</v>
          </cell>
        </row>
        <row r="12890">
          <cell r="G12890" t="str">
            <v>ASV3269</v>
          </cell>
          <cell r="H12890" t="str">
            <v>g__Lactobacillus</v>
          </cell>
          <cell r="I12890" t="str">
            <v>s__unclassified_g__Lactobacillus</v>
          </cell>
        </row>
        <row r="12891">
          <cell r="G12891" t="str">
            <v>ASV4929</v>
          </cell>
          <cell r="H12891" t="str">
            <v>g__unclassified_f__Peptostreptococcaceae</v>
          </cell>
          <cell r="I12891" t="str">
            <v>s__unclassified_f__Peptostreptococcaceae</v>
          </cell>
        </row>
        <row r="12892">
          <cell r="G12892" t="str">
            <v>ASV5069</v>
          </cell>
          <cell r="H12892" t="str">
            <v>g__Christensenellaceae_R-7_group</v>
          </cell>
          <cell r="I12892" t="str">
            <v>s__unclassified_g__Christensenellaceae_R-7_group</v>
          </cell>
        </row>
        <row r="12893">
          <cell r="G12893" t="str">
            <v>ASV5976</v>
          </cell>
          <cell r="H12893" t="str">
            <v>g__unclassified_c__Clostridia</v>
          </cell>
          <cell r="I12893" t="str">
            <v>s__unclassified_c__Clostridia</v>
          </cell>
        </row>
        <row r="12894">
          <cell r="G12894" t="str">
            <v>ASV17575</v>
          </cell>
          <cell r="H12894" t="str">
            <v>g__Chryseobacterium</v>
          </cell>
          <cell r="I12894" t="str">
            <v>s__unclassified_g__Chryseobacterium</v>
          </cell>
        </row>
        <row r="12895">
          <cell r="G12895" t="str">
            <v>ASV22402</v>
          </cell>
          <cell r="H12895" t="str">
            <v>g__Clostridium_sensu_stricto_1</v>
          </cell>
          <cell r="I12895" t="str">
            <v>s__unclassified_g__Clostridium_sensu_stricto_1</v>
          </cell>
        </row>
        <row r="12896">
          <cell r="G12896" t="str">
            <v>ASV3259</v>
          </cell>
          <cell r="H12896" t="str">
            <v>g__unclassified_c__Bacilli</v>
          </cell>
          <cell r="I12896" t="str">
            <v>s__unclassified_c__Bacilli</v>
          </cell>
        </row>
        <row r="12897">
          <cell r="G12897" t="str">
            <v>ASV7880</v>
          </cell>
          <cell r="H12897" t="str">
            <v>g__unclassified_p__Firmicutes</v>
          </cell>
          <cell r="I12897" t="str">
            <v>s__unclassified_p__Firmicutes</v>
          </cell>
        </row>
        <row r="12898">
          <cell r="G12898" t="str">
            <v>ASV15536</v>
          </cell>
          <cell r="H12898" t="str">
            <v>g__unclassified_f__Lachnospiraceae</v>
          </cell>
          <cell r="I12898" t="str">
            <v>s__unclassified_f__Lachnospiraceae</v>
          </cell>
        </row>
        <row r="12899">
          <cell r="G12899" t="str">
            <v>ASV22314</v>
          </cell>
          <cell r="H12899" t="str">
            <v>g__Lachnospiraceae_NC2004_group</v>
          </cell>
          <cell r="I12899" t="str">
            <v>s__uncultured_bacterium_g__Lachnospiraceae_NC2004_group</v>
          </cell>
        </row>
        <row r="12900">
          <cell r="G12900" t="str">
            <v>ASV21481</v>
          </cell>
          <cell r="H12900" t="str">
            <v>g__Escherichia-Shigella</v>
          </cell>
          <cell r="I12900" t="str">
            <v>s__unclassified_g__Escherichia-Shigella</v>
          </cell>
        </row>
        <row r="12901">
          <cell r="G12901" t="str">
            <v>ASV14367</v>
          </cell>
          <cell r="H12901" t="str">
            <v>g__unclassified_f__Oscillospiraceae</v>
          </cell>
          <cell r="I12901" t="str">
            <v>s__unclassified_f__Oscillospiraceae</v>
          </cell>
        </row>
        <row r="12902">
          <cell r="G12902" t="str">
            <v>ASV13507</v>
          </cell>
          <cell r="H12902" t="str">
            <v>g__Lactobacillus</v>
          </cell>
          <cell r="I12902" t="str">
            <v>s__unclassified_g__Lactobacillus</v>
          </cell>
        </row>
        <row r="12903">
          <cell r="G12903" t="str">
            <v>ASV899</v>
          </cell>
          <cell r="H12903" t="str">
            <v>g__Eubacterium_oxidoreducens_group</v>
          </cell>
          <cell r="I12903" t="str">
            <v>s__uncultured_bacterium_g__Eubacterium_oxidoreducens_group</v>
          </cell>
        </row>
        <row r="12904">
          <cell r="G12904" t="str">
            <v>ASV24252</v>
          </cell>
          <cell r="H12904" t="str">
            <v>g__unclassified_f__Lachnospiraceae</v>
          </cell>
          <cell r="I12904" t="str">
            <v>s__unclassified_f__Lachnospiraceae</v>
          </cell>
        </row>
        <row r="12905">
          <cell r="G12905" t="str">
            <v>ASV17152</v>
          </cell>
          <cell r="H12905" t="str">
            <v>g__Ruminococcus</v>
          </cell>
          <cell r="I12905" t="str">
            <v>s__unclassified_g__Ruminococcus</v>
          </cell>
        </row>
        <row r="12906">
          <cell r="G12906" t="str">
            <v>ASV962</v>
          </cell>
          <cell r="H12906" t="str">
            <v>g__unclassified_f__Lachnospiraceae</v>
          </cell>
          <cell r="I12906" t="str">
            <v>s__unclassified_f__Lachnospiraceae</v>
          </cell>
        </row>
        <row r="12907">
          <cell r="G12907" t="str">
            <v>ASV18159</v>
          </cell>
          <cell r="H12907" t="str">
            <v>g__Anaerovorax</v>
          </cell>
          <cell r="I12907" t="str">
            <v>s__uncultured_bacterium_g__Anaerovorax</v>
          </cell>
        </row>
        <row r="12908">
          <cell r="G12908" t="str">
            <v>ASV13509</v>
          </cell>
          <cell r="H12908" t="str">
            <v>g__unclassified_c__Clostridia</v>
          </cell>
          <cell r="I12908" t="str">
            <v>s__unclassified_c__Clostridia</v>
          </cell>
        </row>
        <row r="12909">
          <cell r="G12909" t="str">
            <v>ASV15550</v>
          </cell>
          <cell r="H12909" t="str">
            <v>g__unclassified_o__Lachnospirales</v>
          </cell>
          <cell r="I12909" t="str">
            <v>s__unclassified_o__Lachnospirales</v>
          </cell>
        </row>
        <row r="12910">
          <cell r="G12910" t="str">
            <v>ASV2316</v>
          </cell>
          <cell r="H12910" t="str">
            <v>g__unclassified_f__Lachnospiraceae</v>
          </cell>
          <cell r="I12910" t="str">
            <v>s__unclassified_f__Lachnospiraceae</v>
          </cell>
        </row>
        <row r="12911">
          <cell r="G12911" t="str">
            <v>ASV5098</v>
          </cell>
          <cell r="H12911" t="str">
            <v>g__Christensenellaceae_R-7_group</v>
          </cell>
          <cell r="I12911" t="str">
            <v>s__unclassified_g__Christensenellaceae_R-7_group</v>
          </cell>
        </row>
        <row r="12912">
          <cell r="G12912" t="str">
            <v>ASV9566</v>
          </cell>
          <cell r="H12912" t="str">
            <v>g__unclassified_c__Clostridia</v>
          </cell>
          <cell r="I12912" t="str">
            <v>s__unclassified_c__Clostridia</v>
          </cell>
        </row>
        <row r="12913">
          <cell r="G12913" t="str">
            <v>ASV17494</v>
          </cell>
          <cell r="H12913" t="str">
            <v>g__Peptostreptococcus</v>
          </cell>
          <cell r="I12913" t="str">
            <v>s__unclassified_g__Peptostreptococcus</v>
          </cell>
        </row>
        <row r="12914">
          <cell r="G12914" t="str">
            <v>ASV14529</v>
          </cell>
          <cell r="H12914" t="str">
            <v>g__unclassified_k__norank_d__Bacteria</v>
          </cell>
          <cell r="I12914" t="str">
            <v>s__unclassified_k__norank_d__Bacteria</v>
          </cell>
        </row>
        <row r="12915">
          <cell r="G12915" t="str">
            <v>ASV10216</v>
          </cell>
          <cell r="H12915" t="str">
            <v>g__Dialister</v>
          </cell>
          <cell r="I12915" t="str">
            <v>s__unclassified_g__Dialister</v>
          </cell>
        </row>
        <row r="12916">
          <cell r="G12916" t="str">
            <v>ASV7096</v>
          </cell>
          <cell r="H12916" t="str">
            <v>g__Lactobacillus</v>
          </cell>
          <cell r="I12916" t="str">
            <v>s__unclassified_g__Lactobacillus</v>
          </cell>
        </row>
        <row r="12917">
          <cell r="G12917" t="str">
            <v>ASV13525</v>
          </cell>
          <cell r="H12917" t="str">
            <v>g__Lactobacillus</v>
          </cell>
          <cell r="I12917" t="str">
            <v>s__unclassified_g__Lactobacillus</v>
          </cell>
        </row>
        <row r="12918">
          <cell r="G12918" t="str">
            <v>ASV12937</v>
          </cell>
          <cell r="H12918" t="str">
            <v>g__unclassified_f__Lachnospiraceae</v>
          </cell>
          <cell r="I12918" t="str">
            <v>s__unclassified_f__Lachnospiraceae</v>
          </cell>
        </row>
        <row r="12919">
          <cell r="G12919" t="str">
            <v>ASV994</v>
          </cell>
          <cell r="H12919" t="str">
            <v>g__unclassified_p__Firmicutes</v>
          </cell>
          <cell r="I12919" t="str">
            <v>s__unclassified_p__Firmicutes</v>
          </cell>
        </row>
        <row r="12920">
          <cell r="G12920" t="str">
            <v>ASV15442</v>
          </cell>
          <cell r="H12920" t="str">
            <v>g__Sphaerochaeta</v>
          </cell>
          <cell r="I12920" t="str">
            <v>s__unclassified_g__Sphaerochaeta</v>
          </cell>
        </row>
        <row r="12921">
          <cell r="G12921" t="str">
            <v>ASV1691</v>
          </cell>
          <cell r="H12921" t="str">
            <v>g__unclassified_c__Clostridia</v>
          </cell>
          <cell r="I12921" t="str">
            <v>s__unclassified_c__Clostridia</v>
          </cell>
        </row>
        <row r="12922">
          <cell r="G12922" t="str">
            <v>ASV8847</v>
          </cell>
          <cell r="H12922" t="str">
            <v>g__Eisenbergiella</v>
          </cell>
          <cell r="I12922" t="str">
            <v>s__unclassified_g__Eisenbergiella</v>
          </cell>
        </row>
        <row r="12923">
          <cell r="G12923" t="str">
            <v>ASV23853</v>
          </cell>
          <cell r="H12923" t="str">
            <v>g__Lactobacillus</v>
          </cell>
          <cell r="I12923" t="str">
            <v>s__unclassified_g__Lactobacillus</v>
          </cell>
        </row>
        <row r="12924">
          <cell r="G12924" t="str">
            <v>ASV8659</v>
          </cell>
          <cell r="H12924" t="str">
            <v>g__Psychrobacillus</v>
          </cell>
          <cell r="I12924" t="str">
            <v>s__unclassified_g__Psychrobacillus</v>
          </cell>
        </row>
        <row r="12925">
          <cell r="G12925" t="str">
            <v>ASV13824</v>
          </cell>
          <cell r="H12925" t="str">
            <v>g__Corynebacterium</v>
          </cell>
          <cell r="I12925" t="str">
            <v>s__unclassified_g__Corynebacterium</v>
          </cell>
        </row>
        <row r="12926">
          <cell r="G12926" t="str">
            <v>ASV18942</v>
          </cell>
          <cell r="H12926" t="str">
            <v>g__Eubacterium_oxidoreducens_group</v>
          </cell>
          <cell r="I12926" t="str">
            <v>s__unclassified_g__Eubacterium_oxidoreducens_group</v>
          </cell>
        </row>
        <row r="12927">
          <cell r="G12927" t="str">
            <v>ASV16959</v>
          </cell>
          <cell r="H12927" t="str">
            <v>g__unclassified_f__Lachnospiraceae</v>
          </cell>
          <cell r="I12927" t="str">
            <v>s__unclassified_f__Lachnospiraceae</v>
          </cell>
        </row>
        <row r="12928">
          <cell r="G12928" t="str">
            <v>ASV4970</v>
          </cell>
          <cell r="H12928" t="str">
            <v>g__unclassified_f__Lachnospiraceae</v>
          </cell>
          <cell r="I12928" t="str">
            <v>s__unclassified_f__Lachnospiraceae</v>
          </cell>
        </row>
        <row r="12929">
          <cell r="G12929" t="str">
            <v>ASV18652</v>
          </cell>
          <cell r="H12929" t="str">
            <v>g__unclassified_c__Clostridia</v>
          </cell>
          <cell r="I12929" t="str">
            <v>s__unclassified_c__Clostridia</v>
          </cell>
        </row>
        <row r="12930">
          <cell r="G12930" t="str">
            <v>ASV18139</v>
          </cell>
          <cell r="H12930" t="str">
            <v>g__unclassified_f__Lachnospiraceae</v>
          </cell>
          <cell r="I12930" t="str">
            <v>s__unclassified_f__Lachnospiraceae</v>
          </cell>
        </row>
        <row r="12931">
          <cell r="G12931" t="str">
            <v>ASV18941</v>
          </cell>
          <cell r="H12931" t="str">
            <v>g__Fusobacterium</v>
          </cell>
          <cell r="I12931" t="str">
            <v>s__unclassified_g__Fusobacterium</v>
          </cell>
        </row>
        <row r="12932">
          <cell r="G12932" t="str">
            <v>ASV13505</v>
          </cell>
          <cell r="H12932" t="str">
            <v>g__norank_f__Christensenellaceae</v>
          </cell>
          <cell r="I12932" t="str">
            <v>s__uncultured_bacterium_g__norank_f__Christensenellaceae</v>
          </cell>
        </row>
        <row r="12933">
          <cell r="G12933" t="str">
            <v>ASV10825</v>
          </cell>
          <cell r="H12933" t="str">
            <v>g__Lactobacillus</v>
          </cell>
          <cell r="I12933" t="str">
            <v>s__unclassified_g__Lactobacillus</v>
          </cell>
        </row>
        <row r="12934">
          <cell r="G12934" t="str">
            <v>ASV14943</v>
          </cell>
          <cell r="H12934" t="str">
            <v>g__unclassified_f__Moraxellaceae</v>
          </cell>
          <cell r="I12934" t="str">
            <v>s__unclassified_f__Moraxellaceae</v>
          </cell>
        </row>
        <row r="12935">
          <cell r="G12935" t="str">
            <v>ASV18087</v>
          </cell>
          <cell r="H12935" t="str">
            <v>g__unclassified_f__Lachnospiraceae</v>
          </cell>
          <cell r="I12935" t="str">
            <v>s__unclassified_f__Lachnospiraceae</v>
          </cell>
        </row>
        <row r="12936">
          <cell r="G12936" t="str">
            <v>ASV2757</v>
          </cell>
          <cell r="H12936" t="str">
            <v>g__norank_f__norank_o__Clostridia_vadinBB60_group</v>
          </cell>
          <cell r="I12936" t="str">
            <v>s__unclassified_g__norank_f__norank_o__Clostridia_vadinBB60_group</v>
          </cell>
        </row>
        <row r="12937">
          <cell r="G12937" t="str">
            <v>ASV847</v>
          </cell>
          <cell r="H12937" t="str">
            <v>g__unclassified_f__Lachnospiraceae</v>
          </cell>
          <cell r="I12937" t="str">
            <v>s__unclassified_f__Lachnospiraceae</v>
          </cell>
        </row>
        <row r="12938">
          <cell r="G12938" t="str">
            <v>ASV7935</v>
          </cell>
          <cell r="H12938" t="str">
            <v>g__norank_f__Gracilibacteraceae</v>
          </cell>
          <cell r="I12938" t="str">
            <v>s__uncultured_bacterium_g__norank_f__Gracilibacteraceae</v>
          </cell>
        </row>
        <row r="12939">
          <cell r="G12939" t="str">
            <v>ASV16491</v>
          </cell>
          <cell r="H12939" t="str">
            <v>g__unclassified_o__Bacteroidales</v>
          </cell>
          <cell r="I12939" t="str">
            <v>s__unclassified_o__Bacteroidales</v>
          </cell>
        </row>
        <row r="12940">
          <cell r="G12940" t="str">
            <v>ASV23432</v>
          </cell>
          <cell r="H12940" t="str">
            <v>g__unclassified_f__Anaerovoracaceae</v>
          </cell>
          <cell r="I12940" t="str">
            <v>s__unclassified_f__Anaerovoracaceae</v>
          </cell>
        </row>
        <row r="12941">
          <cell r="G12941" t="str">
            <v>ASV23411</v>
          </cell>
          <cell r="H12941" t="str">
            <v>g__unclassified_c__Clostridia</v>
          </cell>
          <cell r="I12941" t="str">
            <v>s__unclassified_c__Clostridia</v>
          </cell>
        </row>
        <row r="12942">
          <cell r="G12942" t="str">
            <v>ASV9470</v>
          </cell>
          <cell r="H12942" t="str">
            <v>g__unclassified_f__Anaerovoracaceae</v>
          </cell>
          <cell r="I12942" t="str">
            <v>s__unclassified_f__Anaerovoracaceae</v>
          </cell>
        </row>
        <row r="12943">
          <cell r="G12943" t="str">
            <v>ASV6795</v>
          </cell>
          <cell r="H12943" t="str">
            <v>g__unclassified_f__Synergistaceae</v>
          </cell>
          <cell r="I12943" t="str">
            <v>s__unclassified_f__Synergistaceae</v>
          </cell>
        </row>
        <row r="12944">
          <cell r="G12944" t="str">
            <v>ASV14298</v>
          </cell>
          <cell r="H12944" t="str">
            <v>g__unclassified_k__norank_d__Bacteria</v>
          </cell>
          <cell r="I12944" t="str">
            <v>s__unclassified_k__norank_d__Bacteria</v>
          </cell>
        </row>
        <row r="12945">
          <cell r="G12945" t="str">
            <v>ASV21745</v>
          </cell>
          <cell r="H12945" t="str">
            <v>g__Ruminococcus</v>
          </cell>
          <cell r="I12945" t="str">
            <v>s__unclassified_g__Ruminococcus</v>
          </cell>
        </row>
        <row r="12946">
          <cell r="G12946" t="str">
            <v>ASV5016</v>
          </cell>
          <cell r="H12946" t="str">
            <v>g__unclassified_c__Clostridia</v>
          </cell>
          <cell r="I12946" t="str">
            <v>s__unclassified_c__Clostridia</v>
          </cell>
        </row>
        <row r="12947">
          <cell r="G12947" t="str">
            <v>ASV19669</v>
          </cell>
          <cell r="H12947" t="str">
            <v>g__unclassified_p__Firmicutes</v>
          </cell>
          <cell r="I12947" t="str">
            <v>s__unclassified_p__Firmicutes</v>
          </cell>
        </row>
        <row r="12948">
          <cell r="G12948" t="str">
            <v>ASV1029</v>
          </cell>
          <cell r="H12948" t="str">
            <v>g__unclassified_f__Lachnospiraceae</v>
          </cell>
          <cell r="I12948" t="str">
            <v>s__unclassified_f__Lachnospiraceae</v>
          </cell>
        </row>
        <row r="12949">
          <cell r="G12949" t="str">
            <v>ASV7799</v>
          </cell>
          <cell r="H12949" t="str">
            <v>g__norank_f__Muribaculaceae</v>
          </cell>
          <cell r="I12949" t="str">
            <v>s__uncultured_bacterium_g__norank_f__Muribaculaceae</v>
          </cell>
        </row>
        <row r="12950">
          <cell r="G12950" t="str">
            <v>ASV2916</v>
          </cell>
          <cell r="H12950" t="str">
            <v>g__unclassified_f__Lachnospiraceae</v>
          </cell>
          <cell r="I12950" t="str">
            <v>s__unclassified_f__Lachnospiraceae</v>
          </cell>
        </row>
        <row r="12951">
          <cell r="G12951" t="str">
            <v>ASV2287</v>
          </cell>
          <cell r="H12951" t="str">
            <v>g__unclassified_f__Lachnospiraceae</v>
          </cell>
          <cell r="I12951" t="str">
            <v>s__unclassified_f__Lachnospiraceae</v>
          </cell>
        </row>
        <row r="12952">
          <cell r="G12952" t="str">
            <v>ASV1062</v>
          </cell>
          <cell r="H12952" t="str">
            <v>g__unclassified_c__Clostridia</v>
          </cell>
          <cell r="I12952" t="str">
            <v>s__unclassified_c__Clostridia</v>
          </cell>
        </row>
        <row r="12953">
          <cell r="G12953" t="str">
            <v>ASV19699</v>
          </cell>
          <cell r="H12953" t="str">
            <v>g__unclassified_c__Clostridia</v>
          </cell>
          <cell r="I12953" t="str">
            <v>s__unclassified_c__Clostridia</v>
          </cell>
        </row>
        <row r="12954">
          <cell r="G12954" t="str">
            <v>ASV18910</v>
          </cell>
          <cell r="H12954" t="str">
            <v>g__norank_f__Muribaculaceae</v>
          </cell>
          <cell r="I12954" t="str">
            <v>s__uncultured_bacterium_g__norank_f__Muribaculaceae</v>
          </cell>
        </row>
        <row r="12955">
          <cell r="G12955" t="str">
            <v>ASV19866</v>
          </cell>
          <cell r="H12955" t="str">
            <v>g__unclassified_c__Clostridia</v>
          </cell>
          <cell r="I12955" t="str">
            <v>s__unclassified_c__Clostridia</v>
          </cell>
        </row>
        <row r="12956">
          <cell r="G12956" t="str">
            <v>ASV20266</v>
          </cell>
          <cell r="H12956" t="str">
            <v>g__Anaerovibrio</v>
          </cell>
          <cell r="I12956" t="str">
            <v>s__Anaerovibrio_sp._765</v>
          </cell>
        </row>
        <row r="12957">
          <cell r="G12957" t="str">
            <v>ASV3494</v>
          </cell>
          <cell r="H12957" t="str">
            <v>g__Fusobacterium</v>
          </cell>
          <cell r="I12957" t="str">
            <v>s__unclassified_g__Fusobacterium</v>
          </cell>
        </row>
        <row r="12958">
          <cell r="G12958" t="str">
            <v>ASV12837</v>
          </cell>
          <cell r="H12958" t="str">
            <v>g__unclassified_f__Lachnospiraceae</v>
          </cell>
          <cell r="I12958" t="str">
            <v>s__unclassified_f__Lachnospiraceae</v>
          </cell>
        </row>
        <row r="12959">
          <cell r="G12959" t="str">
            <v>ASV3239</v>
          </cell>
          <cell r="H12959" t="str">
            <v>g__Escherichia-Shigella</v>
          </cell>
          <cell r="I12959" t="str">
            <v>s__unclassified_g__Escherichia-Shigella</v>
          </cell>
        </row>
        <row r="12960">
          <cell r="G12960" t="str">
            <v>ASV18156</v>
          </cell>
          <cell r="H12960" t="str">
            <v>g__unclassified_c__Clostridia</v>
          </cell>
          <cell r="I12960" t="str">
            <v>s__unclassified_c__Clostridia</v>
          </cell>
        </row>
        <row r="12961">
          <cell r="G12961" t="str">
            <v>ASV15447</v>
          </cell>
          <cell r="H12961" t="str">
            <v>g__Eubacterium_oxidoreducens_group</v>
          </cell>
          <cell r="I12961" t="str">
            <v>s__uncultured_bacterium_g__Eubacterium_oxidoreducens_group</v>
          </cell>
        </row>
        <row r="12962">
          <cell r="G12962" t="str">
            <v>ASV24388</v>
          </cell>
          <cell r="H12962" t="str">
            <v>g__Lactobacillus</v>
          </cell>
          <cell r="I12962" t="str">
            <v>s__unclassified_g__Lactobacillus</v>
          </cell>
        </row>
        <row r="12963">
          <cell r="G12963" t="str">
            <v>ASV14530</v>
          </cell>
          <cell r="H12963" t="str">
            <v>g__Veillonella</v>
          </cell>
          <cell r="I12963" t="str">
            <v>s__unclassified_g__Veillonella</v>
          </cell>
        </row>
        <row r="12964">
          <cell r="G12964" t="str">
            <v>ASV12869</v>
          </cell>
          <cell r="H12964" t="str">
            <v>g__UCG-002</v>
          </cell>
          <cell r="I12964" t="str">
            <v>s__uncultured_bacterium_g__UCG-002</v>
          </cell>
        </row>
        <row r="12965">
          <cell r="G12965" t="str">
            <v>ASV11863</v>
          </cell>
          <cell r="H12965" t="str">
            <v>g__UCG-008</v>
          </cell>
          <cell r="I12965" t="str">
            <v>s__uncultured_bacterium_g__UCG-008</v>
          </cell>
        </row>
        <row r="12966">
          <cell r="G12966" t="str">
            <v>ASV12985</v>
          </cell>
          <cell r="H12966" t="str">
            <v>g__norank_f__Eubacterium_coprostanoligenes_group</v>
          </cell>
          <cell r="I12966" t="str">
            <v>s__unclassified_g__norank_f__Eubacterium_coprostanoligenes_group</v>
          </cell>
        </row>
        <row r="12967">
          <cell r="G12967" t="str">
            <v>ASV15422</v>
          </cell>
          <cell r="H12967" t="str">
            <v>g__norank_f__UCG-010</v>
          </cell>
          <cell r="I12967" t="str">
            <v>s__uncultured_bacterium_g__norank_f__UCG-010</v>
          </cell>
        </row>
        <row r="12968">
          <cell r="G12968" t="str">
            <v>ASV2220</v>
          </cell>
          <cell r="H12968" t="str">
            <v>g__unclassified_k__norank_d__Bacteria</v>
          </cell>
          <cell r="I12968" t="str">
            <v>s__unclassified_k__norank_d__Bacteria</v>
          </cell>
        </row>
        <row r="12969">
          <cell r="G12969" t="str">
            <v>ASV20270</v>
          </cell>
          <cell r="H12969" t="str">
            <v>g__unclassified_p__Firmicutes</v>
          </cell>
          <cell r="I12969" t="str">
            <v>s__unclassified_p__Firmicutes</v>
          </cell>
        </row>
        <row r="12970">
          <cell r="G12970" t="str">
            <v>ASV14404</v>
          </cell>
          <cell r="H12970" t="str">
            <v>g__Sphaerochaeta</v>
          </cell>
          <cell r="I12970" t="str">
            <v>s__uncultured_bacterium_g__Sphaerochaeta</v>
          </cell>
        </row>
        <row r="12971">
          <cell r="G12971" t="str">
            <v>ASV17364</v>
          </cell>
          <cell r="H12971" t="str">
            <v>g__Lactobacillus</v>
          </cell>
          <cell r="I12971" t="str">
            <v>s__unclassified_g__Lactobacillus</v>
          </cell>
        </row>
        <row r="12972">
          <cell r="G12972" t="str">
            <v>ASV7949</v>
          </cell>
          <cell r="H12972" t="str">
            <v>g__unclassified_f__Peptostreptococcaceae</v>
          </cell>
          <cell r="I12972" t="str">
            <v>s__unclassified_f__Peptostreptococcaceae</v>
          </cell>
        </row>
        <row r="12973">
          <cell r="G12973" t="str">
            <v>ASV18758</v>
          </cell>
          <cell r="H12973" t="str">
            <v>g__Helcococcus</v>
          </cell>
          <cell r="I12973" t="str">
            <v>s__uncultured_bacterium_g__Helcococcus</v>
          </cell>
        </row>
        <row r="12974">
          <cell r="G12974" t="str">
            <v>ASV22417</v>
          </cell>
          <cell r="H12974" t="str">
            <v>g__unclassified_f__Lachnospiraceae</v>
          </cell>
          <cell r="I12974" t="str">
            <v>s__unclassified_f__Lachnospiraceae</v>
          </cell>
        </row>
        <row r="12975">
          <cell r="G12975" t="str">
            <v>ASV15519</v>
          </cell>
          <cell r="H12975" t="str">
            <v>g__unclassified_f__Lachnospiraceae</v>
          </cell>
          <cell r="I12975" t="str">
            <v>s__unclassified_f__Lachnospiraceae</v>
          </cell>
        </row>
        <row r="12976">
          <cell r="G12976" t="str">
            <v>ASV23469</v>
          </cell>
          <cell r="H12976" t="str">
            <v>g__unclassified_f__Christensenellaceae</v>
          </cell>
          <cell r="I12976" t="str">
            <v>s__unclassified_f__Christensenellaceae</v>
          </cell>
        </row>
        <row r="12977">
          <cell r="G12977" t="str">
            <v>ASV12920</v>
          </cell>
          <cell r="H12977" t="str">
            <v>g__unclassified_c__Clostridia</v>
          </cell>
          <cell r="I12977" t="str">
            <v>s__unclassified_c__Clostridia</v>
          </cell>
        </row>
        <row r="12978">
          <cell r="G12978" t="str">
            <v>ASV17372</v>
          </cell>
          <cell r="H12978" t="str">
            <v>g__norank_f__Selenomonadaceae</v>
          </cell>
          <cell r="I12978" t="str">
            <v>s__swine_fecal_bacterium_SD-Cel5</v>
          </cell>
        </row>
        <row r="12979">
          <cell r="G12979" t="str">
            <v>ASV19774</v>
          </cell>
          <cell r="H12979" t="str">
            <v>g__Clostridium_sensu_stricto_1</v>
          </cell>
          <cell r="I12979" t="str">
            <v>s__unclassified_g__Clostridium_sensu_stricto_1</v>
          </cell>
        </row>
        <row r="12980">
          <cell r="G12980" t="str">
            <v>ASV20292</v>
          </cell>
          <cell r="H12980" t="str">
            <v>g__unclassified_f__Lachnospiraceae</v>
          </cell>
          <cell r="I12980" t="str">
            <v>s__unclassified_f__Lachnospiraceae</v>
          </cell>
        </row>
        <row r="12981">
          <cell r="G12981" t="str">
            <v>ASV19855</v>
          </cell>
          <cell r="H12981" t="str">
            <v>g__unclassified_o__Oscillospirales</v>
          </cell>
          <cell r="I12981" t="str">
            <v>s__unclassified_o__Oscillospirales</v>
          </cell>
        </row>
        <row r="12982">
          <cell r="G12982" t="str">
            <v>ASV15461</v>
          </cell>
          <cell r="H12982" t="str">
            <v>g__unclassified_f__Christensenellaceae</v>
          </cell>
          <cell r="I12982" t="str">
            <v>s__unclassified_f__Christensenellaceae</v>
          </cell>
        </row>
        <row r="12983">
          <cell r="G12983" t="str">
            <v>ASV6049</v>
          </cell>
          <cell r="H12983" t="str">
            <v>g__NK4A214_group</v>
          </cell>
          <cell r="I12983" t="str">
            <v>s__unclassified_g__NK4A214_group</v>
          </cell>
        </row>
        <row r="12984">
          <cell r="G12984" t="str">
            <v>ASV11812</v>
          </cell>
          <cell r="H12984" t="str">
            <v>g__unclassified_c__Clostridia</v>
          </cell>
          <cell r="I12984" t="str">
            <v>s__unclassified_c__Clostridia</v>
          </cell>
        </row>
        <row r="12985">
          <cell r="G12985" t="str">
            <v>ASV12912</v>
          </cell>
          <cell r="H12985" t="str">
            <v>g__unclassified_c__Bacilli</v>
          </cell>
          <cell r="I12985" t="str">
            <v>s__unclassified_c__Bacilli</v>
          </cell>
        </row>
        <row r="12986">
          <cell r="G12986" t="str">
            <v>ASV17212</v>
          </cell>
          <cell r="H12986" t="str">
            <v>g__unclassified_f__Peptostreptococcaceae</v>
          </cell>
          <cell r="I12986" t="str">
            <v>s__unclassified_f__Peptostreptococcaceae</v>
          </cell>
        </row>
        <row r="12987">
          <cell r="G12987" t="str">
            <v>ASV10747</v>
          </cell>
          <cell r="H12987" t="str">
            <v>g__unclassified_k__norank_d__Bacteria</v>
          </cell>
          <cell r="I12987" t="str">
            <v>s__unclassified_k__norank_d__Bacteria</v>
          </cell>
        </row>
        <row r="12988">
          <cell r="G12988" t="str">
            <v>ASV19773</v>
          </cell>
          <cell r="H12988" t="str">
            <v>g__Phascolarctobacterium</v>
          </cell>
          <cell r="I12988" t="str">
            <v>s__unclassified_g__Phascolarctobacterium</v>
          </cell>
        </row>
        <row r="12989">
          <cell r="G12989" t="str">
            <v>ASV19728</v>
          </cell>
          <cell r="H12989" t="str">
            <v>g__unclassified_k__norank_d__Bacteria</v>
          </cell>
          <cell r="I12989" t="str">
            <v>s__unclassified_k__norank_d__Bacteria</v>
          </cell>
        </row>
        <row r="12990">
          <cell r="G12990" t="str">
            <v>ASV14315</v>
          </cell>
          <cell r="H12990" t="str">
            <v>g__unclassified_f__Lachnospiraceae</v>
          </cell>
          <cell r="I12990" t="str">
            <v>s__unclassified_f__Lachnospiraceae</v>
          </cell>
        </row>
        <row r="12991">
          <cell r="G12991" t="str">
            <v>ASV21303</v>
          </cell>
          <cell r="H12991" t="str">
            <v>g__Lactobacillus</v>
          </cell>
          <cell r="I12991" t="str">
            <v>s__unclassified_g__Lactobacillus</v>
          </cell>
        </row>
        <row r="12992">
          <cell r="G12992" t="str">
            <v>ASV24195</v>
          </cell>
          <cell r="H12992" t="str">
            <v>g__norank_f__Ruminococcaceae</v>
          </cell>
          <cell r="I12992" t="str">
            <v>s__unclassified_g__norank_f__Ruminococcaceae</v>
          </cell>
        </row>
        <row r="12993">
          <cell r="G12993" t="str">
            <v>ASV12944</v>
          </cell>
          <cell r="H12993" t="str">
            <v>g__Lactobacillus</v>
          </cell>
          <cell r="I12993" t="str">
            <v>s__unclassified_g__Lactobacillus</v>
          </cell>
        </row>
        <row r="12994">
          <cell r="G12994" t="str">
            <v>ASV9573</v>
          </cell>
          <cell r="H12994" t="str">
            <v>g__unclassified_f__Lachnospiraceae</v>
          </cell>
          <cell r="I12994" t="str">
            <v>s__unclassified_f__Lachnospiraceae</v>
          </cell>
        </row>
        <row r="12995">
          <cell r="G12995" t="str">
            <v>ASV13520</v>
          </cell>
          <cell r="H12995" t="str">
            <v>g__unclassified_c__Clostridia</v>
          </cell>
          <cell r="I12995" t="str">
            <v>s__unclassified_c__Clostridia</v>
          </cell>
        </row>
        <row r="12996">
          <cell r="G12996" t="str">
            <v>ASV14560</v>
          </cell>
          <cell r="H12996" t="str">
            <v>g__NK4A214_group</v>
          </cell>
          <cell r="I12996" t="str">
            <v>s__unclassified_g__NK4A214_group</v>
          </cell>
        </row>
        <row r="12997">
          <cell r="G12997" t="str">
            <v>ASV16531</v>
          </cell>
          <cell r="H12997" t="str">
            <v>g__Christensenellaceae_R-7_group</v>
          </cell>
          <cell r="I12997" t="str">
            <v>s__unclassified_g__Christensenellaceae_R-7_group</v>
          </cell>
        </row>
        <row r="12998">
          <cell r="G12998" t="str">
            <v>ASV8529</v>
          </cell>
          <cell r="H12998" t="str">
            <v>g__Escherichia-Shigella</v>
          </cell>
          <cell r="I12998" t="str">
            <v>s__unclassified_g__Escherichia-Shigella</v>
          </cell>
        </row>
        <row r="12999">
          <cell r="G12999" t="str">
            <v>ASV17574</v>
          </cell>
          <cell r="H12999" t="str">
            <v>g__Devosia</v>
          </cell>
          <cell r="I12999" t="str">
            <v>s__unclassified_g__Devosia</v>
          </cell>
        </row>
        <row r="13000">
          <cell r="G13000" t="str">
            <v>ASV18620</v>
          </cell>
          <cell r="H13000" t="str">
            <v>g__Lactobacillus</v>
          </cell>
          <cell r="I13000" t="str">
            <v>s__unclassified_g__Lactobacillus</v>
          </cell>
        </row>
        <row r="13001">
          <cell r="G13001" t="str">
            <v>ASV21295</v>
          </cell>
          <cell r="H13001" t="str">
            <v>g__Blautia</v>
          </cell>
          <cell r="I13001" t="str">
            <v>s__unclassified_g__Blautia</v>
          </cell>
        </row>
        <row r="13002">
          <cell r="G13002" t="str">
            <v>ASV7831</v>
          </cell>
          <cell r="H13002" t="str">
            <v>g__unclassified_f__Lachnospiraceae</v>
          </cell>
          <cell r="I13002" t="str">
            <v>s__unclassified_f__Lachnospiraceae</v>
          </cell>
        </row>
        <row r="13003">
          <cell r="G13003" t="str">
            <v>ASV10695</v>
          </cell>
          <cell r="H13003" t="str">
            <v>g__unclassified_k__norank_d__Bacteria</v>
          </cell>
          <cell r="I13003" t="str">
            <v>s__unclassified_k__norank_d__Bacteria</v>
          </cell>
        </row>
        <row r="13004">
          <cell r="G13004" t="str">
            <v>ASV22929</v>
          </cell>
          <cell r="H13004" t="str">
            <v>g__Lactobacillus</v>
          </cell>
          <cell r="I13004" t="str">
            <v>s__unclassified_g__Lactobacillus</v>
          </cell>
        </row>
        <row r="13005">
          <cell r="G13005" t="str">
            <v>ASV7873</v>
          </cell>
          <cell r="H13005" t="str">
            <v>g__Escherichia-Shigella</v>
          </cell>
          <cell r="I13005" t="str">
            <v>s__unclassified_g__Escherichia-Shigella</v>
          </cell>
        </row>
        <row r="13006">
          <cell r="G13006" t="str">
            <v>ASV4094</v>
          </cell>
          <cell r="H13006" t="str">
            <v>g__Mailhella</v>
          </cell>
          <cell r="I13006" t="str">
            <v>s__unclassified_g__Mailhella</v>
          </cell>
        </row>
        <row r="13007">
          <cell r="G13007" t="str">
            <v>ASV22408</v>
          </cell>
          <cell r="H13007" t="str">
            <v>g__norank_f__Eubacterium_coprostanoligenes_group</v>
          </cell>
          <cell r="I13007" t="str">
            <v>s__uncultured_bacterium_g__norank_f__Eubacterium_coprostanoligenes_group</v>
          </cell>
        </row>
        <row r="13008">
          <cell r="G13008" t="str">
            <v>ASV21460</v>
          </cell>
          <cell r="H13008" t="str">
            <v>g__Bifidobacterium</v>
          </cell>
          <cell r="I13008" t="str">
            <v>s__unclassified_g__Bifidobacterium</v>
          </cell>
        </row>
        <row r="13009">
          <cell r="G13009" t="str">
            <v>ASV4911</v>
          </cell>
          <cell r="H13009" t="str">
            <v>g__unclassified_c__Clostridia</v>
          </cell>
          <cell r="I13009" t="str">
            <v>s__unclassified_c__Clostridia</v>
          </cell>
        </row>
        <row r="13010">
          <cell r="G13010" t="str">
            <v>ASV6794</v>
          </cell>
          <cell r="H13010" t="str">
            <v>g__unclassified_f__Pasteurellaceae</v>
          </cell>
          <cell r="I13010" t="str">
            <v>s__unclassified_f__Pasteurellaceae</v>
          </cell>
        </row>
        <row r="13011">
          <cell r="G13011" t="str">
            <v>ASV2246</v>
          </cell>
          <cell r="H13011" t="str">
            <v>g__Clostridium_sensu_stricto_1</v>
          </cell>
          <cell r="I13011" t="str">
            <v>s__unclassified_g__Clostridium_sensu_stricto_1</v>
          </cell>
        </row>
        <row r="13012">
          <cell r="G13012" t="str">
            <v>ASV10789</v>
          </cell>
          <cell r="H13012" t="str">
            <v>g__unclassified_f__Peptostreptococcaceae</v>
          </cell>
          <cell r="I13012" t="str">
            <v>s__unclassified_f__Peptostreptococcaceae</v>
          </cell>
        </row>
        <row r="13013">
          <cell r="G13013" t="str">
            <v>ASV17419</v>
          </cell>
          <cell r="H13013" t="str">
            <v>g__Granulicatella</v>
          </cell>
          <cell r="I13013" t="str">
            <v>s__unclassified_g__Granulicatella</v>
          </cell>
        </row>
        <row r="13014">
          <cell r="G13014" t="str">
            <v>ASV16053</v>
          </cell>
          <cell r="H13014" t="str">
            <v>g__unclassified_f__Anaerovoracaceae</v>
          </cell>
          <cell r="I13014" t="str">
            <v>s__unclassified_f__Anaerovoracaceae</v>
          </cell>
        </row>
        <row r="13015">
          <cell r="G13015" t="str">
            <v>ASV9459</v>
          </cell>
          <cell r="H13015" t="str">
            <v>g__unclassified_k__norank_d__Bacteria</v>
          </cell>
          <cell r="I13015" t="str">
            <v>s__unclassified_k__norank_d__Bacteria</v>
          </cell>
        </row>
        <row r="13016">
          <cell r="G13016" t="str">
            <v>ASV3504</v>
          </cell>
          <cell r="H13016" t="str">
            <v>g__Mitsuokella</v>
          </cell>
          <cell r="I13016" t="str">
            <v>s__unclassified_g__Mitsuokella</v>
          </cell>
        </row>
        <row r="13017">
          <cell r="G13017" t="str">
            <v>ASV22480</v>
          </cell>
          <cell r="H13017" t="str">
            <v>g__unclassified_f__Peptostreptococcaceae</v>
          </cell>
          <cell r="I13017" t="str">
            <v>s__unclassified_f__Peptostreptococcaceae</v>
          </cell>
        </row>
        <row r="13018">
          <cell r="G13018" t="str">
            <v>ASV19608</v>
          </cell>
          <cell r="H13018" t="str">
            <v>g__Anaerofustis</v>
          </cell>
          <cell r="I13018" t="str">
            <v>s__Anaerofustis_sp._Marseille-P2832</v>
          </cell>
        </row>
        <row r="13019">
          <cell r="G13019" t="str">
            <v>ASV12954</v>
          </cell>
          <cell r="H13019" t="str">
            <v>g__Lactobacillus</v>
          </cell>
          <cell r="I13019" t="str">
            <v>s__unclassified_g__Lactobacillus</v>
          </cell>
        </row>
        <row r="13020">
          <cell r="G13020" t="str">
            <v>ASV14303</v>
          </cell>
          <cell r="H13020" t="str">
            <v>g__Sphaerochaeta</v>
          </cell>
          <cell r="I13020" t="str">
            <v>s__uncultured_bacterium_g__Sphaerochaeta</v>
          </cell>
        </row>
        <row r="13021">
          <cell r="G13021" t="str">
            <v>ASV14299</v>
          </cell>
          <cell r="H13021" t="str">
            <v>g__Bacteroides</v>
          </cell>
          <cell r="I13021" t="str">
            <v>s__unclassified_g__Bacteroides</v>
          </cell>
        </row>
        <row r="13022">
          <cell r="G13022" t="str">
            <v>ASV20263</v>
          </cell>
          <cell r="H13022" t="str">
            <v>g__Subdoligranulum</v>
          </cell>
          <cell r="I13022" t="str">
            <v>s__uncultured_bacterium_g__Subdoligranulum</v>
          </cell>
        </row>
        <row r="13023">
          <cell r="G13023" t="str">
            <v>ASV14519</v>
          </cell>
          <cell r="H13023" t="str">
            <v>g__unclassified_f__Lachnospiraceae</v>
          </cell>
          <cell r="I13023" t="str">
            <v>s__unclassified_f__Lachnospiraceae</v>
          </cell>
        </row>
        <row r="13024">
          <cell r="G13024" t="str">
            <v>ASV22292</v>
          </cell>
          <cell r="H13024" t="str">
            <v>g__unclassified_c__Bacilli</v>
          </cell>
          <cell r="I13024" t="str">
            <v>s__unclassified_c__Bacilli</v>
          </cell>
        </row>
        <row r="13025">
          <cell r="G13025" t="str">
            <v>ASV6816</v>
          </cell>
          <cell r="H13025" t="str">
            <v>g__unclassified_k__norank_d__Bacteria</v>
          </cell>
          <cell r="I13025" t="str">
            <v>s__unclassified_k__norank_d__Bacteria</v>
          </cell>
        </row>
        <row r="13026">
          <cell r="G13026" t="str">
            <v>ASV20466</v>
          </cell>
          <cell r="H13026" t="str">
            <v>g__unclassified_f__Lachnospiraceae</v>
          </cell>
          <cell r="I13026" t="str">
            <v>s__unclassified_f__Lachnospiraceae</v>
          </cell>
        </row>
        <row r="13027">
          <cell r="G13027" t="str">
            <v>ASV6132</v>
          </cell>
          <cell r="H13027" t="str">
            <v>g__Cloacibacillus</v>
          </cell>
          <cell r="I13027" t="str">
            <v>s__unclassified_g__Cloacibacillus</v>
          </cell>
        </row>
        <row r="13028">
          <cell r="G13028" t="str">
            <v>ASV1028</v>
          </cell>
          <cell r="H13028" t="str">
            <v>g__Colidextribacter</v>
          </cell>
          <cell r="I13028" t="str">
            <v>s__uncultured_bacterium_g__Colidextribacter</v>
          </cell>
        </row>
        <row r="13029">
          <cell r="G13029" t="str">
            <v>ASV7878</v>
          </cell>
          <cell r="H13029" t="str">
            <v>g__unclassified_k__norank_d__Bacteria</v>
          </cell>
          <cell r="I13029" t="str">
            <v>s__unclassified_k__norank_d__Bacteria</v>
          </cell>
        </row>
        <row r="13030">
          <cell r="G13030" t="str">
            <v>ASV22285</v>
          </cell>
          <cell r="H13030" t="str">
            <v>g__Clostridium_sensu_stricto_1</v>
          </cell>
          <cell r="I13030" t="str">
            <v>s__unclassified_g__Clostridium_sensu_stricto_1</v>
          </cell>
        </row>
        <row r="13031">
          <cell r="G13031" t="str">
            <v>ASV14400</v>
          </cell>
          <cell r="H13031" t="str">
            <v>g__unclassified_k__norank_d__Bacteria</v>
          </cell>
          <cell r="I13031" t="str">
            <v>s__unclassified_k__norank_d__Bacteria</v>
          </cell>
        </row>
        <row r="13032">
          <cell r="G13032" t="str">
            <v>ASV24192</v>
          </cell>
          <cell r="H13032" t="str">
            <v>g__unclassified_f__Lachnospiraceae</v>
          </cell>
          <cell r="I13032" t="str">
            <v>s__unclassified_f__Lachnospiraceae</v>
          </cell>
        </row>
        <row r="13033">
          <cell r="G13033" t="str">
            <v>ASV18176</v>
          </cell>
          <cell r="H13033" t="str">
            <v>g__Candidatus_Soleaferrea</v>
          </cell>
          <cell r="I13033" t="str">
            <v>s__uncultured_Anaerotruncus_sp._g__Candidatus_Soleaferrea</v>
          </cell>
        </row>
        <row r="13034">
          <cell r="G13034" t="str">
            <v>ASV12010</v>
          </cell>
          <cell r="H13034" t="str">
            <v>g__Lactobacillus</v>
          </cell>
          <cell r="I13034" t="str">
            <v>s__unclassified_g__Lactobacillus</v>
          </cell>
        </row>
        <row r="13035">
          <cell r="G13035" t="str">
            <v>ASV12909</v>
          </cell>
          <cell r="H13035" t="str">
            <v>g__Lactobacillus</v>
          </cell>
          <cell r="I13035" t="str">
            <v>s__unclassified_g__Lactobacillus</v>
          </cell>
        </row>
        <row r="13036">
          <cell r="G13036" t="str">
            <v>ASV6051</v>
          </cell>
          <cell r="H13036" t="str">
            <v>g__unclassified_f__Clostridiaceae</v>
          </cell>
          <cell r="I13036" t="str">
            <v>s__unclassified_f__Clostridiaceae</v>
          </cell>
        </row>
        <row r="13037">
          <cell r="G13037" t="str">
            <v>ASV18603</v>
          </cell>
          <cell r="H13037" t="str">
            <v>g__Lactobacillus</v>
          </cell>
          <cell r="I13037" t="str">
            <v>s__unclassified_g__Lactobacillus</v>
          </cell>
        </row>
        <row r="13038">
          <cell r="G13038" t="str">
            <v>ASV14438</v>
          </cell>
          <cell r="H13038" t="str">
            <v>g__Actinomyces</v>
          </cell>
          <cell r="I13038" t="str">
            <v>s__unclassified_g__Actinomyces</v>
          </cell>
        </row>
        <row r="13039">
          <cell r="G13039" t="str">
            <v>ASV9020</v>
          </cell>
          <cell r="H13039" t="str">
            <v>g__Aerococcus</v>
          </cell>
          <cell r="I13039" t="str">
            <v>s__unclassified_g__Aerococcus</v>
          </cell>
        </row>
        <row r="13040">
          <cell r="G13040" t="str">
            <v>ASV3228</v>
          </cell>
          <cell r="H13040" t="str">
            <v>g__Bacteroides</v>
          </cell>
          <cell r="I13040" t="str">
            <v>s__unclassified_g__Bacteroides</v>
          </cell>
        </row>
        <row r="13041">
          <cell r="G13041" t="str">
            <v>ASV15445</v>
          </cell>
          <cell r="H13041" t="str">
            <v>g__unclassified_f__Lachnospiraceae</v>
          </cell>
          <cell r="I13041" t="str">
            <v>s__unclassified_f__Lachnospiraceae</v>
          </cell>
        </row>
        <row r="13042">
          <cell r="G13042" t="str">
            <v>ASV3261</v>
          </cell>
          <cell r="H13042" t="str">
            <v>g__unclassified_p__Firmicutes</v>
          </cell>
          <cell r="I13042" t="str">
            <v>s__unclassified_p__Firmicutes</v>
          </cell>
        </row>
        <row r="13043">
          <cell r="G13043" t="str">
            <v>ASV18198</v>
          </cell>
          <cell r="H13043" t="str">
            <v>g__Collinsella</v>
          </cell>
          <cell r="I13043" t="str">
            <v>s__uncultured_bacterium_g__Collinsella</v>
          </cell>
        </row>
        <row r="13044">
          <cell r="G13044" t="str">
            <v>ASV10805</v>
          </cell>
          <cell r="H13044" t="str">
            <v>g__unclassified_f__Ruminococcaceae</v>
          </cell>
          <cell r="I13044" t="str">
            <v>s__unclassified_f__Ruminococcaceae</v>
          </cell>
        </row>
        <row r="13045">
          <cell r="G13045" t="str">
            <v>ASV997</v>
          </cell>
          <cell r="H13045" t="str">
            <v>g__unclassified_f__Lachnospiraceae</v>
          </cell>
          <cell r="I13045" t="str">
            <v>s__unclassified_f__Lachnospiraceae</v>
          </cell>
        </row>
        <row r="13046">
          <cell r="G13046" t="str">
            <v>ASV18165</v>
          </cell>
          <cell r="H13046" t="str">
            <v>g__Clostridium_sensu_stricto_1</v>
          </cell>
          <cell r="I13046" t="str">
            <v>s__unclassified_g__Clostridium_sensu_stricto_1</v>
          </cell>
        </row>
        <row r="13047">
          <cell r="G13047" t="str">
            <v>ASV22338</v>
          </cell>
          <cell r="H13047" t="str">
            <v>g__Christensenellaceae_R-7_group</v>
          </cell>
          <cell r="I13047" t="str">
            <v>s__unclassified_g__Christensenellaceae_R-7_group</v>
          </cell>
        </row>
        <row r="13048">
          <cell r="G13048" t="str">
            <v>ASV12939</v>
          </cell>
          <cell r="H13048" t="str">
            <v>g__Eubacterium_oxidoreducens_group</v>
          </cell>
          <cell r="I13048" t="str">
            <v>s__uncultured_bacterium_g__Eubacterium_oxidoreducens_group</v>
          </cell>
        </row>
        <row r="13049">
          <cell r="G13049" t="str">
            <v>ASV1714</v>
          </cell>
          <cell r="H13049" t="str">
            <v>g__unclassified_c__Bacilli</v>
          </cell>
          <cell r="I13049" t="str">
            <v>s__unclassified_c__Bacilli</v>
          </cell>
        </row>
        <row r="13050">
          <cell r="G13050" t="str">
            <v>ASV13498</v>
          </cell>
          <cell r="H13050" t="str">
            <v>g__unclassified_c__Clostridia</v>
          </cell>
          <cell r="I13050" t="str">
            <v>s__unclassified_c__Clostridia</v>
          </cell>
        </row>
        <row r="13051">
          <cell r="G13051" t="str">
            <v>ASV21615</v>
          </cell>
          <cell r="H13051" t="str">
            <v>g__unclassified_c__Bacilli</v>
          </cell>
          <cell r="I13051" t="str">
            <v>s__unclassified_c__Bacilli</v>
          </cell>
        </row>
        <row r="13052">
          <cell r="G13052" t="str">
            <v>ASV11766</v>
          </cell>
          <cell r="H13052" t="str">
            <v>g__Eubacterium_oxidoreducens_group</v>
          </cell>
          <cell r="I13052" t="str">
            <v>s__uncultured_bacterium_g__Eubacterium_oxidoreducens_group</v>
          </cell>
        </row>
        <row r="13053">
          <cell r="G13053" t="str">
            <v>ASV18227</v>
          </cell>
          <cell r="H13053" t="str">
            <v>g__unclassified_c__Clostridia</v>
          </cell>
          <cell r="I13053" t="str">
            <v>s__unclassified_c__Clostridia</v>
          </cell>
        </row>
        <row r="13054">
          <cell r="G13054" t="str">
            <v>ASV18924</v>
          </cell>
          <cell r="H13054" t="str">
            <v>g__unclassified_k__norank_d__Bacteria</v>
          </cell>
          <cell r="I13054" t="str">
            <v>s__unclassified_k__norank_d__Bacteria</v>
          </cell>
        </row>
        <row r="13055">
          <cell r="G13055" t="str">
            <v>ASV10793</v>
          </cell>
          <cell r="H13055" t="str">
            <v>g__Treponema</v>
          </cell>
          <cell r="I13055" t="str">
            <v>s__unclassified_g__Treponema</v>
          </cell>
        </row>
        <row r="13056">
          <cell r="G13056" t="str">
            <v>ASV11750</v>
          </cell>
          <cell r="H13056" t="str">
            <v>g__norank_f__Muribaculaceae</v>
          </cell>
          <cell r="I13056" t="str">
            <v>s__uncultured_bacterium_g__norank_f__Muribaculaceae</v>
          </cell>
        </row>
        <row r="13057">
          <cell r="G13057" t="str">
            <v>ASV19790</v>
          </cell>
          <cell r="H13057" t="str">
            <v>g__unclassified_c__Clostridia</v>
          </cell>
          <cell r="I13057" t="str">
            <v>s__unclassified_c__Clostridia</v>
          </cell>
        </row>
        <row r="13058">
          <cell r="G13058" t="str">
            <v>ASV12897</v>
          </cell>
          <cell r="H13058" t="str">
            <v>g__Prevotellaceae_UCG-003</v>
          </cell>
          <cell r="I13058" t="str">
            <v>s__uncultured_bacterium_g__Prevotellaceae_UCG-003</v>
          </cell>
        </row>
        <row r="13059">
          <cell r="G13059" t="str">
            <v>ASV9039</v>
          </cell>
          <cell r="H13059" t="str">
            <v>g__Porphyromonas</v>
          </cell>
          <cell r="I13059" t="str">
            <v>s__uncultured_bacterium_g__Porphyromonas</v>
          </cell>
        </row>
        <row r="13060">
          <cell r="G13060" t="str">
            <v>ASV18157</v>
          </cell>
          <cell r="H13060" t="str">
            <v>g__unclassified_f__Muribaculaceae</v>
          </cell>
          <cell r="I13060" t="str">
            <v>s__unclassified_f__Muribaculaceae</v>
          </cell>
        </row>
        <row r="13061">
          <cell r="G13061" t="str">
            <v>ASV18134</v>
          </cell>
          <cell r="H13061" t="str">
            <v>g__unclassified_f__Oscillospiraceae</v>
          </cell>
          <cell r="I13061" t="str">
            <v>s__unclassified_f__Oscillospiraceae</v>
          </cell>
        </row>
        <row r="13062">
          <cell r="G13062" t="str">
            <v>ASV18923</v>
          </cell>
          <cell r="H13062" t="str">
            <v>g__unclassified_k__norank_d__Bacteria</v>
          </cell>
          <cell r="I13062" t="str">
            <v>s__unclassified_k__norank_d__Bacteria</v>
          </cell>
        </row>
        <row r="13063">
          <cell r="G13063" t="str">
            <v>ASV11822</v>
          </cell>
          <cell r="H13063" t="str">
            <v>g__unclassified_f__Ruminococcaceae</v>
          </cell>
          <cell r="I13063" t="str">
            <v>s__unclassified_f__Ruminococcaceae</v>
          </cell>
        </row>
        <row r="13064">
          <cell r="G13064" t="str">
            <v>ASV11801</v>
          </cell>
          <cell r="H13064" t="str">
            <v>g__norank_f__norank_o__Clostridia_UCG-014</v>
          </cell>
          <cell r="I13064" t="str">
            <v>s__uncultured_bacterium_g__norank_f__norank_o__Clostridia_UCG-014</v>
          </cell>
        </row>
        <row r="13065">
          <cell r="G13065" t="str">
            <v>ASV11712</v>
          </cell>
          <cell r="H13065" t="str">
            <v>g__unclassified_c__Clostridia</v>
          </cell>
          <cell r="I13065" t="str">
            <v>s__unclassified_c__Clostridia</v>
          </cell>
        </row>
        <row r="13066">
          <cell r="G13066" t="str">
            <v>ASV2311</v>
          </cell>
          <cell r="H13066" t="str">
            <v>g__unclassified_o__Oscillospirales</v>
          </cell>
          <cell r="I13066" t="str">
            <v>s__unclassified_o__Oscillospirales</v>
          </cell>
        </row>
        <row r="13067">
          <cell r="G13067" t="str">
            <v>ASV12931</v>
          </cell>
          <cell r="H13067" t="str">
            <v>g__unclassified_c__Clostridia</v>
          </cell>
          <cell r="I13067" t="str">
            <v>s__unclassified_c__Clostridia</v>
          </cell>
        </row>
        <row r="13068">
          <cell r="G13068" t="str">
            <v>ASV11799</v>
          </cell>
          <cell r="H13068" t="str">
            <v>g__norank_f__Ruminococcaceae</v>
          </cell>
          <cell r="I13068" t="str">
            <v>s__unclassified_g__norank_f__Ruminococcaceae</v>
          </cell>
        </row>
        <row r="13069">
          <cell r="G13069" t="str">
            <v>ASV1063</v>
          </cell>
          <cell r="H13069" t="str">
            <v>g__Mitsuokella</v>
          </cell>
          <cell r="I13069" t="str">
            <v>s__uncultured_bacterium_g__Mitsuokella</v>
          </cell>
        </row>
        <row r="13070">
          <cell r="G13070" t="str">
            <v>ASV14399</v>
          </cell>
          <cell r="H13070" t="str">
            <v>g__NK4A214_group</v>
          </cell>
          <cell r="I13070" t="str">
            <v>s__unclassified_g__NK4A214_group</v>
          </cell>
        </row>
        <row r="13071">
          <cell r="G13071" t="str">
            <v>ASV21250</v>
          </cell>
          <cell r="H13071" t="str">
            <v>g__unclassified_f__Anaerovoracaceae</v>
          </cell>
          <cell r="I13071" t="str">
            <v>s__unclassified_f__Anaerovoracaceae</v>
          </cell>
        </row>
        <row r="13072">
          <cell r="G13072" t="str">
            <v>ASV4134</v>
          </cell>
          <cell r="H13072" t="str">
            <v>g__Terrisporobacter</v>
          </cell>
          <cell r="I13072" t="str">
            <v>s__unclassified_g__Terrisporobacter</v>
          </cell>
        </row>
        <row r="13073">
          <cell r="G13073" t="str">
            <v>ASV14499</v>
          </cell>
          <cell r="H13073" t="str">
            <v>g__unclassified_f__Oscillospiraceae</v>
          </cell>
          <cell r="I13073" t="str">
            <v>s__unclassified_f__Oscillospiraceae</v>
          </cell>
        </row>
        <row r="13074">
          <cell r="G13074" t="str">
            <v>ASV4051</v>
          </cell>
          <cell r="H13074" t="str">
            <v>g__Corynebacterium</v>
          </cell>
          <cell r="I13074" t="str">
            <v>s__unclassified_g__Corynebacterium</v>
          </cell>
        </row>
        <row r="13075">
          <cell r="G13075" t="str">
            <v>ASV16519</v>
          </cell>
          <cell r="H13075" t="str">
            <v>g__Parabacteroides</v>
          </cell>
          <cell r="I13075" t="str">
            <v>s__Porphyromonadaceae_bacterium_DJF_B175</v>
          </cell>
        </row>
        <row r="13076">
          <cell r="G13076" t="str">
            <v>ASV5118</v>
          </cell>
          <cell r="H13076" t="str">
            <v>g__norank_f__Eubacterium_coprostanoligenes_group</v>
          </cell>
          <cell r="I13076" t="str">
            <v>s__uncultured_bacterium_g__norank_f__Eubacterium_coprostanoligenes_group</v>
          </cell>
        </row>
        <row r="13077">
          <cell r="G13077" t="str">
            <v>ASV19831</v>
          </cell>
          <cell r="H13077" t="str">
            <v>g__unclassified_p__Firmicutes</v>
          </cell>
          <cell r="I13077" t="str">
            <v>s__unclassified_p__Firmicutes</v>
          </cell>
        </row>
        <row r="13078">
          <cell r="G13078" t="str">
            <v>ASV2380</v>
          </cell>
          <cell r="H13078" t="str">
            <v>g__Christensenellaceae_R-7_group</v>
          </cell>
          <cell r="I13078" t="str">
            <v>s__unclassified_g__Christensenellaceae_R-7_group</v>
          </cell>
        </row>
        <row r="13079">
          <cell r="G13079" t="str">
            <v>ASV19643</v>
          </cell>
          <cell r="H13079" t="str">
            <v>g__norank_f__UCG-010</v>
          </cell>
          <cell r="I13079" t="str">
            <v>s__uncultured_bacterium_g__norank_f__UCG-010</v>
          </cell>
        </row>
        <row r="13080">
          <cell r="G13080" t="str">
            <v>ASV6797</v>
          </cell>
          <cell r="H13080" t="str">
            <v>g__Escherichia-Shigella</v>
          </cell>
          <cell r="I13080" t="str">
            <v>s__unclassified_g__Escherichia-Shigella</v>
          </cell>
        </row>
        <row r="13081">
          <cell r="G13081" t="str">
            <v>ASV13822</v>
          </cell>
          <cell r="H13081" t="str">
            <v>g__Turicibacter</v>
          </cell>
          <cell r="I13081" t="str">
            <v>s__uncultured_bacterium_g__Turicibacter</v>
          </cell>
        </row>
        <row r="13082">
          <cell r="G13082" t="str">
            <v>ASV14565</v>
          </cell>
          <cell r="H13082" t="str">
            <v>g__Christensenellaceae_R-7_group</v>
          </cell>
          <cell r="I13082" t="str">
            <v>s__unclassified_g__Christensenellaceae_R-7_group</v>
          </cell>
        </row>
        <row r="13083">
          <cell r="G13083" t="str">
            <v>ASV22493</v>
          </cell>
          <cell r="H13083" t="str">
            <v>g__Enterococcus</v>
          </cell>
          <cell r="I13083" t="str">
            <v>s__unclassified_g__Enterococcus</v>
          </cell>
        </row>
        <row r="13084">
          <cell r="G13084" t="str">
            <v>ASV8534</v>
          </cell>
          <cell r="H13084" t="str">
            <v>g__Escherichia-Shigella</v>
          </cell>
          <cell r="I13084" t="str">
            <v>s__unclassified_g__Escherichia-Shigella</v>
          </cell>
        </row>
        <row r="13085">
          <cell r="G13085" t="str">
            <v>ASV15533</v>
          </cell>
          <cell r="H13085" t="str">
            <v>g__unclassified_f__Lachnospiraceae</v>
          </cell>
          <cell r="I13085" t="str">
            <v>s__unclassified_f__Lachnospiraceae</v>
          </cell>
        </row>
        <row r="13086">
          <cell r="G13086" t="str">
            <v>ASV13511</v>
          </cell>
          <cell r="H13086" t="str">
            <v>g__Peptococcus</v>
          </cell>
          <cell r="I13086" t="str">
            <v>s__uncultured_bacterium_g__Peptococcus</v>
          </cell>
        </row>
        <row r="13087">
          <cell r="G13087" t="str">
            <v>ASV17421</v>
          </cell>
          <cell r="H13087" t="str">
            <v>g__Veillonella</v>
          </cell>
          <cell r="I13087" t="str">
            <v>s__unclassified_g__Veillonella</v>
          </cell>
        </row>
        <row r="13088">
          <cell r="G13088" t="str">
            <v>ASV9564</v>
          </cell>
          <cell r="H13088" t="str">
            <v>g__Christensenellaceae_R-7_group</v>
          </cell>
          <cell r="I13088" t="str">
            <v>s__unclassified_g__Christensenellaceae_R-7_group</v>
          </cell>
        </row>
        <row r="13089">
          <cell r="G13089" t="str">
            <v>ASV11807</v>
          </cell>
          <cell r="H13089" t="str">
            <v>g__unclassified_f__Peptostreptococcaceae</v>
          </cell>
          <cell r="I13089" t="str">
            <v>s__unclassified_f__Peptostreptococcaceae</v>
          </cell>
        </row>
        <row r="13090">
          <cell r="G13090" t="str">
            <v>ASV927</v>
          </cell>
          <cell r="H13090" t="str">
            <v>g__unclassified_f__Lachnospiraceae</v>
          </cell>
          <cell r="I13090" t="str">
            <v>s__unclassified_f__Lachnospiraceae</v>
          </cell>
        </row>
        <row r="13091">
          <cell r="G13091" t="str">
            <v>ASV16921</v>
          </cell>
          <cell r="H13091" t="str">
            <v>g__unclassified_c__Clostridia</v>
          </cell>
          <cell r="I13091" t="str">
            <v>s__unclassified_c__Clostridia</v>
          </cell>
        </row>
        <row r="13092">
          <cell r="G13092" t="str">
            <v>ASV15498</v>
          </cell>
          <cell r="H13092" t="str">
            <v>g__Christensenellaceae_R-7_group</v>
          </cell>
          <cell r="I13092" t="str">
            <v>s__unclassified_g__Christensenellaceae_R-7_group</v>
          </cell>
        </row>
        <row r="13093">
          <cell r="G13093" t="str">
            <v>ASV20820</v>
          </cell>
          <cell r="H13093" t="str">
            <v>g__unclassified_c__Clostridia</v>
          </cell>
          <cell r="I13093" t="str">
            <v>s__unclassified_c__Clostridia</v>
          </cell>
        </row>
        <row r="13094">
          <cell r="G13094" t="str">
            <v>ASV2258</v>
          </cell>
          <cell r="H13094" t="str">
            <v>g__Lactobacillus</v>
          </cell>
          <cell r="I13094" t="str">
            <v>s__unclassified_g__Lactobacillus</v>
          </cell>
        </row>
        <row r="13095">
          <cell r="G13095" t="str">
            <v>ASV12807</v>
          </cell>
          <cell r="H13095" t="str">
            <v>g__unclassified_f__Ruminococcaceae</v>
          </cell>
          <cell r="I13095" t="str">
            <v>s__unclassified_f__Ruminococcaceae</v>
          </cell>
        </row>
        <row r="13096">
          <cell r="G13096" t="str">
            <v>ASV20950</v>
          </cell>
          <cell r="H13096" t="str">
            <v>g__Lachnospiraceae_NC2004_group</v>
          </cell>
          <cell r="I13096" t="str">
            <v>s__unclassified_g__Lachnospiraceae_NC2004_group</v>
          </cell>
        </row>
        <row r="13097">
          <cell r="G13097" t="str">
            <v>ASV19768</v>
          </cell>
          <cell r="H13097" t="str">
            <v>g__Christensenellaceae_R-7_group</v>
          </cell>
          <cell r="I13097" t="str">
            <v>s__unclassified_g__Christensenellaceae_R-7_group</v>
          </cell>
        </row>
        <row r="13098">
          <cell r="G13098" t="str">
            <v>ASV14492</v>
          </cell>
          <cell r="H13098" t="str">
            <v>g__Howardella</v>
          </cell>
          <cell r="I13098" t="str">
            <v>s__unclassified_g__Howardella</v>
          </cell>
        </row>
        <row r="13099">
          <cell r="G13099" t="str">
            <v>ASV5962</v>
          </cell>
          <cell r="H13099" t="str">
            <v>g__Eubacterium_oxidoreducens_group</v>
          </cell>
          <cell r="I13099" t="str">
            <v>s__uncultured_bacterium_g__Eubacterium_oxidoreducens_group</v>
          </cell>
        </row>
        <row r="13100">
          <cell r="G13100" t="str">
            <v>ASV20290</v>
          </cell>
          <cell r="H13100" t="str">
            <v>g__Lactobacillus</v>
          </cell>
          <cell r="I13100" t="str">
            <v>s__unclassified_g__Lactobacillus</v>
          </cell>
        </row>
        <row r="13101">
          <cell r="G13101" t="str">
            <v>ASV19083</v>
          </cell>
          <cell r="H13101" t="str">
            <v>g__unclassified_f__Muribaculaceae</v>
          </cell>
          <cell r="I13101" t="str">
            <v>s__unclassified_f__Muribaculaceae</v>
          </cell>
        </row>
        <row r="13102">
          <cell r="G13102" t="str">
            <v>ASV19096</v>
          </cell>
          <cell r="H13102" t="str">
            <v>g__Lachnoclostridium</v>
          </cell>
          <cell r="I13102" t="str">
            <v>s__unclassified_g__Lachnoclostridium</v>
          </cell>
        </row>
        <row r="13103">
          <cell r="G13103" t="str">
            <v>ASV14321</v>
          </cell>
          <cell r="H13103" t="str">
            <v>g__norank_f__norank_o__WCHB1-41</v>
          </cell>
          <cell r="I13103" t="str">
            <v>s__uncultured_bacterium_g__norank_f__norank_o__WCHB1-41</v>
          </cell>
        </row>
        <row r="13104">
          <cell r="G13104" t="str">
            <v>ASV1086</v>
          </cell>
          <cell r="H13104" t="str">
            <v>g__unclassified_c__Clostridia</v>
          </cell>
          <cell r="I13104" t="str">
            <v>s__unclassified_c__Clostridia</v>
          </cell>
        </row>
        <row r="13105">
          <cell r="G13105" t="str">
            <v>ASV11850</v>
          </cell>
          <cell r="H13105" t="str">
            <v>g__unclassified_c__Clostridia</v>
          </cell>
          <cell r="I13105" t="str">
            <v>s__unclassified_c__Clostridia</v>
          </cell>
        </row>
        <row r="13106">
          <cell r="G13106" t="str">
            <v>ASV21281</v>
          </cell>
          <cell r="H13106" t="str">
            <v>g__unclassified_c__Bacilli</v>
          </cell>
          <cell r="I13106" t="str">
            <v>s__unclassified_c__Bacilli</v>
          </cell>
        </row>
        <row r="13107">
          <cell r="G13107" t="str">
            <v>ASV11678</v>
          </cell>
          <cell r="H13107" t="str">
            <v>g__unclassified_f__Ruminococcaceae</v>
          </cell>
          <cell r="I13107" t="str">
            <v>s__unclassified_f__Ruminococcaceae</v>
          </cell>
        </row>
        <row r="13108">
          <cell r="G13108" t="str">
            <v>ASV10762</v>
          </cell>
          <cell r="H13108" t="str">
            <v>g__unclassified_c__Bacilli</v>
          </cell>
          <cell r="I13108" t="str">
            <v>s__unclassified_c__Bacilli</v>
          </cell>
        </row>
        <row r="13109">
          <cell r="G13109" t="str">
            <v>ASV963</v>
          </cell>
          <cell r="H13109" t="str">
            <v>g__unclassified_f__Lachnospiraceae</v>
          </cell>
          <cell r="I13109" t="str">
            <v>s__unclassified_f__Lachnospiraceae</v>
          </cell>
        </row>
        <row r="13110">
          <cell r="G13110" t="str">
            <v>ASV14489</v>
          </cell>
          <cell r="H13110" t="str">
            <v>g__Holdemanella</v>
          </cell>
          <cell r="I13110" t="str">
            <v>s__uncultured_bacterium_g__Holdemanella</v>
          </cell>
        </row>
        <row r="13111">
          <cell r="G13111" t="str">
            <v>ASV23358</v>
          </cell>
          <cell r="H13111" t="str">
            <v>g__unclassified_p__Firmicutes</v>
          </cell>
          <cell r="I13111" t="str">
            <v>s__unclassified_p__Firmicutes</v>
          </cell>
        </row>
        <row r="13112">
          <cell r="G13112" t="str">
            <v>ASV798</v>
          </cell>
          <cell r="H13112" t="str">
            <v>g__unclassified_f__Lachnospiraceae</v>
          </cell>
          <cell r="I13112" t="str">
            <v>s__unclassified_f__Lachnospiraceae</v>
          </cell>
        </row>
        <row r="13113">
          <cell r="G13113" t="str">
            <v>ASV13491</v>
          </cell>
          <cell r="H13113" t="str">
            <v>g__unclassified_f__Eggerthellaceae</v>
          </cell>
          <cell r="I13113" t="str">
            <v>s__unclassified_f__Eggerthellaceae</v>
          </cell>
        </row>
        <row r="13114">
          <cell r="G13114" t="str">
            <v>ASV17362</v>
          </cell>
          <cell r="H13114" t="str">
            <v>g__unclassified_f__Lachnospiraceae</v>
          </cell>
          <cell r="I13114" t="str">
            <v>s__unclassified_f__Lachnospiraceae</v>
          </cell>
        </row>
        <row r="13115">
          <cell r="G13115" t="str">
            <v>ASV10685</v>
          </cell>
          <cell r="H13115" t="str">
            <v>g__Parasutterella</v>
          </cell>
          <cell r="I13115" t="str">
            <v>s__gut_metagenome_g__Parasutterella</v>
          </cell>
        </row>
        <row r="13116">
          <cell r="G13116" t="str">
            <v>ASV4192</v>
          </cell>
          <cell r="H13116" t="str">
            <v>g__unclassified_f__Oscillospiraceae</v>
          </cell>
          <cell r="I13116" t="str">
            <v>s__unclassified_f__Oscillospiraceae</v>
          </cell>
        </row>
        <row r="13117">
          <cell r="G13117" t="str">
            <v>ASV18095</v>
          </cell>
          <cell r="H13117" t="str">
            <v>g__unclassified_c__Clostridia</v>
          </cell>
          <cell r="I13117" t="str">
            <v>s__unclassified_c__Clostridia</v>
          </cell>
        </row>
        <row r="13118">
          <cell r="G13118" t="str">
            <v>ASV1064</v>
          </cell>
          <cell r="H13118" t="str">
            <v>g__norank_f__UCG-011</v>
          </cell>
          <cell r="I13118" t="str">
            <v>s__uncultured_bacterium_g__norank_f__UCG-011</v>
          </cell>
        </row>
        <row r="13119">
          <cell r="G13119" t="str">
            <v>ASV5003</v>
          </cell>
          <cell r="H13119" t="str">
            <v>g__Sphaerochaeta</v>
          </cell>
          <cell r="I13119" t="str">
            <v>s__uncultured_bacterium_g__Sphaerochaeta</v>
          </cell>
        </row>
        <row r="13120">
          <cell r="G13120" t="str">
            <v>ASV942</v>
          </cell>
          <cell r="H13120" t="str">
            <v>g__Clostridium_sensu_stricto_1</v>
          </cell>
          <cell r="I13120" t="str">
            <v>s__unclassified_g__Clostridium_sensu_stricto_1</v>
          </cell>
        </row>
        <row r="13121">
          <cell r="G13121" t="str">
            <v>ASV14504</v>
          </cell>
          <cell r="H13121" t="str">
            <v>g__unclassified_p__Firmicutes</v>
          </cell>
          <cell r="I13121" t="str">
            <v>s__unclassified_p__Firmicutes</v>
          </cell>
        </row>
        <row r="13122">
          <cell r="G13122" t="str">
            <v>ASV21305</v>
          </cell>
          <cell r="H13122" t="str">
            <v>g__Faecalibacterium</v>
          </cell>
          <cell r="I13122" t="str">
            <v>s__unclassified_g__Faecalibacterium</v>
          </cell>
        </row>
        <row r="13123">
          <cell r="G13123" t="str">
            <v>ASV6804</v>
          </cell>
          <cell r="H13123" t="str">
            <v>g__Eubacterium_oxidoreducens_group</v>
          </cell>
          <cell r="I13123" t="str">
            <v>s__uncultured_bacterium_g__Eubacterium_oxidoreducens_group</v>
          </cell>
        </row>
        <row r="13124">
          <cell r="G13124" t="str">
            <v>ASV12923</v>
          </cell>
          <cell r="H13124" t="str">
            <v>g__unclassified_f__Lachnospiraceae</v>
          </cell>
          <cell r="I13124" t="str">
            <v>s__unclassified_f__Lachnospiraceae</v>
          </cell>
        </row>
        <row r="13125">
          <cell r="G13125" t="str">
            <v>ASV12833</v>
          </cell>
          <cell r="H13125" t="str">
            <v>g__unclassified_f__Anaerovoracaceae</v>
          </cell>
          <cell r="I13125" t="str">
            <v>s__unclassified_f__Anaerovoracaceae</v>
          </cell>
        </row>
        <row r="13126">
          <cell r="G13126" t="str">
            <v>ASV19609</v>
          </cell>
          <cell r="H13126" t="str">
            <v>g__unclassified_c__Clostridia</v>
          </cell>
          <cell r="I13126" t="str">
            <v>s__unclassified_c__Clostridia</v>
          </cell>
        </row>
        <row r="13127">
          <cell r="G13127" t="str">
            <v>ASV3041</v>
          </cell>
          <cell r="H13127" t="str">
            <v>g__Brochothrix</v>
          </cell>
          <cell r="I13127" t="str">
            <v>s__unclassified_g__Brochothrix</v>
          </cell>
        </row>
        <row r="13128">
          <cell r="G13128" t="str">
            <v>ASV21263</v>
          </cell>
          <cell r="H13128" t="str">
            <v>g__Fusobacterium</v>
          </cell>
          <cell r="I13128" t="str">
            <v>s__unclassified_g__Fusobacterium</v>
          </cell>
        </row>
        <row r="13129">
          <cell r="G13129" t="str">
            <v>ASV15468</v>
          </cell>
          <cell r="H13129" t="str">
            <v>g__unclassified_c__Clostridia</v>
          </cell>
          <cell r="I13129" t="str">
            <v>s__unclassified_c__Clostridia</v>
          </cell>
        </row>
        <row r="13130">
          <cell r="G13130" t="str">
            <v>ASV19621</v>
          </cell>
          <cell r="H13130" t="str">
            <v>g__unclassified_p__Firmicutes</v>
          </cell>
          <cell r="I13130" t="str">
            <v>s__unclassified_p__Firmicutes</v>
          </cell>
        </row>
        <row r="13131">
          <cell r="G13131" t="str">
            <v>ASV8647</v>
          </cell>
          <cell r="H13131" t="str">
            <v>g__unclassified_f__Lachnospiraceae</v>
          </cell>
          <cell r="I13131" t="str">
            <v>s__unclassified_f__Lachnospiraceae</v>
          </cell>
        </row>
        <row r="13132">
          <cell r="G13132" t="str">
            <v>ASV23340</v>
          </cell>
          <cell r="H13132" t="str">
            <v>g__Alloprevotella</v>
          </cell>
          <cell r="I13132" t="str">
            <v>s__unclassified_g__Alloprevotella</v>
          </cell>
        </row>
        <row r="13133">
          <cell r="G13133" t="str">
            <v>ASV23424</v>
          </cell>
          <cell r="H13133" t="str">
            <v>g__Lactobacillus</v>
          </cell>
          <cell r="I13133" t="str">
            <v>s__unclassified_g__Lactobacillus</v>
          </cell>
        </row>
        <row r="13134">
          <cell r="G13134" t="str">
            <v>ASV4102</v>
          </cell>
          <cell r="H13134" t="str">
            <v>g__unclassified_o__Enterobacterales</v>
          </cell>
          <cell r="I13134" t="str">
            <v>s__unclassified_o__Enterobacterales</v>
          </cell>
        </row>
        <row r="13135">
          <cell r="G13135" t="str">
            <v>ASV904</v>
          </cell>
          <cell r="H13135" t="str">
            <v>g__unclassified_c__Clostridia</v>
          </cell>
          <cell r="I13135" t="str">
            <v>s__unclassified_c__Clostridia</v>
          </cell>
        </row>
        <row r="13136">
          <cell r="G13136" t="str">
            <v>ASV14426</v>
          </cell>
          <cell r="H13136" t="str">
            <v>g__unclassified_f__Oscillospiraceae</v>
          </cell>
          <cell r="I13136" t="str">
            <v>s__unclassified_f__Oscillospiraceae</v>
          </cell>
        </row>
        <row r="13137">
          <cell r="G13137" t="str">
            <v>ASV12949</v>
          </cell>
          <cell r="H13137" t="str">
            <v>g__unclassified_c__Clostridia</v>
          </cell>
          <cell r="I13137" t="str">
            <v>s__unclassified_c__Clostridia</v>
          </cell>
        </row>
        <row r="13138">
          <cell r="G13138" t="str">
            <v>ASV24208</v>
          </cell>
          <cell r="H13138" t="str">
            <v>g__norank_f__Eggerthellaceae</v>
          </cell>
          <cell r="I13138" t="str">
            <v>s__uncultured_bacterium_g__norank_f__Eggerthellaceae</v>
          </cell>
        </row>
        <row r="13139">
          <cell r="G13139" t="str">
            <v>ASV11761</v>
          </cell>
          <cell r="H13139" t="str">
            <v>g__unclassified_p__Firmicutes</v>
          </cell>
          <cell r="I13139" t="str">
            <v>s__unclassified_p__Firmicutes</v>
          </cell>
        </row>
        <row r="13140">
          <cell r="G13140" t="str">
            <v>ASV22930</v>
          </cell>
          <cell r="H13140" t="str">
            <v>g__unclassified_o__Lactobacillales</v>
          </cell>
          <cell r="I13140" t="str">
            <v>s__unclassified_o__Lactobacillales</v>
          </cell>
        </row>
        <row r="13141">
          <cell r="G13141" t="str">
            <v>ASV11838</v>
          </cell>
          <cell r="H13141" t="str">
            <v>g__Escherichia-Shigella</v>
          </cell>
          <cell r="I13141" t="str">
            <v>s__unclassified_g__Escherichia-Shigella</v>
          </cell>
        </row>
        <row r="13142">
          <cell r="G13142" t="str">
            <v>ASV19764</v>
          </cell>
          <cell r="H13142" t="str">
            <v>g__Eubacterium_nodatum_group</v>
          </cell>
          <cell r="I13142" t="str">
            <v>s__unclassified_g__Eubacterium_nodatum_group</v>
          </cell>
        </row>
        <row r="13143">
          <cell r="G13143" t="str">
            <v>ASV2351</v>
          </cell>
          <cell r="H13143" t="str">
            <v>g__unclassified_f__Lachnospiraceae</v>
          </cell>
          <cell r="I13143" t="str">
            <v>s__unclassified_f__Lachnospiraceae</v>
          </cell>
        </row>
        <row r="13144">
          <cell r="G13144" t="str">
            <v>ASV12860</v>
          </cell>
          <cell r="H13144" t="str">
            <v>g__norank_f__Muribaculaceae</v>
          </cell>
          <cell r="I13144" t="str">
            <v>s__unclassified_g__norank_f__Muribaculaceae</v>
          </cell>
        </row>
        <row r="13145">
          <cell r="G13145" t="str">
            <v>ASV14354</v>
          </cell>
          <cell r="H13145" t="str">
            <v>g__unclassified_o__Oscillospirales</v>
          </cell>
          <cell r="I13145" t="str">
            <v>s__unclassified_o__Oscillospirales</v>
          </cell>
        </row>
        <row r="13146">
          <cell r="G13146" t="str">
            <v>ASV23417</v>
          </cell>
          <cell r="H13146" t="str">
            <v>g__unclassified_o__Oscillospirales</v>
          </cell>
          <cell r="I13146" t="str">
            <v>s__unclassified_o__Oscillospirales</v>
          </cell>
        </row>
        <row r="13147">
          <cell r="G13147" t="str">
            <v>ASV10829</v>
          </cell>
          <cell r="H13147" t="str">
            <v>g__unclassified_p__Firmicutes</v>
          </cell>
          <cell r="I13147" t="str">
            <v>s__unclassified_p__Firmicutes</v>
          </cell>
        </row>
        <row r="13148">
          <cell r="G13148" t="str">
            <v>ASV5036</v>
          </cell>
          <cell r="H13148" t="str">
            <v>g__Lactobacillus</v>
          </cell>
          <cell r="I13148" t="str">
            <v>s__unclassified_g__Lactobacillus</v>
          </cell>
        </row>
        <row r="13149">
          <cell r="G13149" t="str">
            <v>ASV19836</v>
          </cell>
          <cell r="H13149" t="str">
            <v>g__norank_f__norank_o__Clostridia_UCG-014</v>
          </cell>
          <cell r="I13149" t="str">
            <v>s__unclassified_g__norank_f__norank_o__Clostridia_UCG-014</v>
          </cell>
        </row>
        <row r="13150">
          <cell r="G13150" t="str">
            <v>ASV18759</v>
          </cell>
          <cell r="H13150" t="str">
            <v>g__Lactobacillus</v>
          </cell>
          <cell r="I13150" t="str">
            <v>s__unclassified_g__Lactobacillus</v>
          </cell>
        </row>
        <row r="13151">
          <cell r="G13151" t="str">
            <v>ASV18097</v>
          </cell>
          <cell r="H13151" t="str">
            <v>g__unclassified_c__Clostridia</v>
          </cell>
          <cell r="I13151" t="str">
            <v>s__unclassified_c__Clostridia</v>
          </cell>
        </row>
        <row r="13152">
          <cell r="G13152" t="str">
            <v>ASV20901</v>
          </cell>
          <cell r="H13152" t="str">
            <v>g__unclassified_c__Clostridia</v>
          </cell>
          <cell r="I13152" t="str">
            <v>s__unclassified_c__Clostridia</v>
          </cell>
        </row>
        <row r="13153">
          <cell r="G13153" t="str">
            <v>ASV13537</v>
          </cell>
          <cell r="H13153" t="str">
            <v>g__Lactobacillus</v>
          </cell>
          <cell r="I13153" t="str">
            <v>s__unclassified_g__Lactobacillus</v>
          </cell>
        </row>
        <row r="13154">
          <cell r="G13154" t="str">
            <v>ASV9487</v>
          </cell>
          <cell r="H13154" t="str">
            <v>g__unclassified_f__Oscillospiraceae</v>
          </cell>
          <cell r="I13154" t="str">
            <v>s__unclassified_f__Oscillospiraceae</v>
          </cell>
        </row>
        <row r="13155">
          <cell r="G13155" t="str">
            <v>ASV21462</v>
          </cell>
          <cell r="H13155" t="str">
            <v>g__Bacillus</v>
          </cell>
          <cell r="I13155" t="str">
            <v>s__Lactobacillus_vaginalis_g__Bacillus</v>
          </cell>
        </row>
        <row r="13156">
          <cell r="G13156" t="str">
            <v>ASV8518</v>
          </cell>
          <cell r="H13156" t="str">
            <v>g__unclassified_c__Bacilli</v>
          </cell>
          <cell r="I13156" t="str">
            <v>s__unclassified_c__Bacilli</v>
          </cell>
        </row>
        <row r="13157">
          <cell r="G13157" t="str">
            <v>ASV24227</v>
          </cell>
          <cell r="H13157" t="str">
            <v>g__unclassified_p__Firmicutes</v>
          </cell>
          <cell r="I13157" t="str">
            <v>s__unclassified_p__Firmicutes</v>
          </cell>
        </row>
        <row r="13158">
          <cell r="G13158" t="str">
            <v>ASV7856</v>
          </cell>
          <cell r="H13158" t="str">
            <v>g__unclassified_c__Clostridia</v>
          </cell>
          <cell r="I13158" t="str">
            <v>s__unclassified_c__Clostridia</v>
          </cell>
        </row>
        <row r="13159">
          <cell r="G13159" t="str">
            <v>ASV16471</v>
          </cell>
          <cell r="H13159" t="str">
            <v>g__norank_f__Ruminococcaceae</v>
          </cell>
          <cell r="I13159" t="str">
            <v>s__unclassified_g__norank_f__Ruminococcaceae</v>
          </cell>
        </row>
        <row r="13160">
          <cell r="G13160" t="str">
            <v>ASV21647</v>
          </cell>
          <cell r="H13160" t="str">
            <v>g__Bacteroides</v>
          </cell>
          <cell r="I13160" t="str">
            <v>s__uncultured_bacterium_g__Bacteroides</v>
          </cell>
        </row>
        <row r="13161">
          <cell r="G13161" t="str">
            <v>ASV7425</v>
          </cell>
          <cell r="H13161" t="str">
            <v>g__unclassified_f__Erysipelotrichaceae</v>
          </cell>
          <cell r="I13161" t="str">
            <v>s__unclassified_f__Erysipelotrichaceae</v>
          </cell>
        </row>
        <row r="13162">
          <cell r="G13162" t="str">
            <v>ASV16009</v>
          </cell>
          <cell r="H13162" t="str">
            <v>g__Campylobacter</v>
          </cell>
          <cell r="I13162" t="str">
            <v>s__unclassified_g__Campylobacter</v>
          </cell>
        </row>
        <row r="13163">
          <cell r="G13163" t="str">
            <v>ASV22474</v>
          </cell>
          <cell r="H13163" t="str">
            <v>g__unclassified_o__Oscillospirales</v>
          </cell>
          <cell r="I13163" t="str">
            <v>s__unclassified_o__Oscillospirales</v>
          </cell>
        </row>
        <row r="13164">
          <cell r="G13164" t="str">
            <v>ASV3243</v>
          </cell>
          <cell r="H13164" t="str">
            <v>g__unclassified_f__Lachnospiraceae</v>
          </cell>
          <cell r="I13164" t="str">
            <v>s__unclassified_f__Lachnospiraceae</v>
          </cell>
        </row>
        <row r="13165">
          <cell r="G13165" t="str">
            <v>ASV16919</v>
          </cell>
          <cell r="H13165" t="str">
            <v>g__Lachnospiraceae_UCG-004</v>
          </cell>
          <cell r="I13165" t="str">
            <v>s__unclassified_g__Lachnospiraceae_UCG-004</v>
          </cell>
        </row>
        <row r="13166">
          <cell r="G13166" t="str">
            <v>ASV19817</v>
          </cell>
          <cell r="H13166" t="str">
            <v>g__unclassified_c__Clostridia</v>
          </cell>
          <cell r="I13166" t="str">
            <v>s__unclassified_c__Clostridia</v>
          </cell>
        </row>
        <row r="13167">
          <cell r="G13167" t="str">
            <v>ASV10040</v>
          </cell>
          <cell r="H13167" t="str">
            <v>g__norank_f__Bacteroidales_RF16_group</v>
          </cell>
          <cell r="I13167" t="str">
            <v>s__uncultured_bacterium_g__norank_f__Bacteroidales_RF16_group</v>
          </cell>
        </row>
        <row r="13168">
          <cell r="G13168" t="str">
            <v>ASV9540</v>
          </cell>
          <cell r="H13168" t="str">
            <v>g__unclassified_f__Christensenellaceae</v>
          </cell>
          <cell r="I13168" t="str">
            <v>s__unclassified_f__Christensenellaceae</v>
          </cell>
        </row>
        <row r="13169">
          <cell r="G13169" t="str">
            <v>ASV22499</v>
          </cell>
          <cell r="H13169" t="str">
            <v>g__norank_f__Muribaculaceae</v>
          </cell>
          <cell r="I13169" t="str">
            <v>s__uncultured_bacterium_g__norank_f__Muribaculaceae</v>
          </cell>
        </row>
        <row r="13170">
          <cell r="G13170" t="str">
            <v>ASV14338</v>
          </cell>
          <cell r="H13170" t="str">
            <v>g__unclassified_p__Firmicutes</v>
          </cell>
          <cell r="I13170" t="str">
            <v>s__unclassified_p__Firmicutes</v>
          </cell>
        </row>
        <row r="13171">
          <cell r="G13171" t="str">
            <v>ASV7852</v>
          </cell>
          <cell r="H13171" t="str">
            <v>g__Lactobacillus</v>
          </cell>
          <cell r="I13171" t="str">
            <v>s__unclassified_g__Lactobacillus</v>
          </cell>
        </row>
        <row r="13172">
          <cell r="G13172" t="str">
            <v>ASV2340</v>
          </cell>
          <cell r="H13172" t="str">
            <v>g__Christensenellaceae_R-7_group</v>
          </cell>
          <cell r="I13172" t="str">
            <v>s__unclassified_g__Christensenellaceae_R-7_group</v>
          </cell>
        </row>
        <row r="13173">
          <cell r="G13173" t="str">
            <v>ASV2354</v>
          </cell>
          <cell r="H13173" t="str">
            <v>g__norank_f__Erysipelotrichaceae</v>
          </cell>
          <cell r="I13173" t="str">
            <v>s__uncultured_bacterium_g__norank_f__Erysipelotrichaceae</v>
          </cell>
        </row>
        <row r="13174">
          <cell r="G13174" t="str">
            <v>ASV11876</v>
          </cell>
          <cell r="H13174" t="str">
            <v>g__unclassified_p__Firmicutes</v>
          </cell>
          <cell r="I13174" t="str">
            <v>s__unclassified_p__Firmicutes</v>
          </cell>
        </row>
        <row r="13175">
          <cell r="G13175" t="str">
            <v>ASV16047</v>
          </cell>
          <cell r="H13175" t="str">
            <v>g__unclassified_f__Selenomonadaceae</v>
          </cell>
          <cell r="I13175" t="str">
            <v>s__unclassified_f__Selenomonadaceae</v>
          </cell>
        </row>
        <row r="13176">
          <cell r="G13176" t="str">
            <v>ASV7084</v>
          </cell>
          <cell r="H13176" t="str">
            <v>g__unclassified_k__norank_d__Bacteria</v>
          </cell>
          <cell r="I13176" t="str">
            <v>s__unclassified_k__norank_d__Bacteria</v>
          </cell>
        </row>
        <row r="13177">
          <cell r="G13177" t="str">
            <v>ASV22276</v>
          </cell>
          <cell r="H13177" t="str">
            <v>g__norank_f__norank_o__RF39</v>
          </cell>
          <cell r="I13177" t="str">
            <v>s__uncultured_bacterium_g__norank_f__norank_o__RF39</v>
          </cell>
        </row>
        <row r="13178">
          <cell r="G13178" t="str">
            <v>ASV14311</v>
          </cell>
          <cell r="H13178" t="str">
            <v>g__unclassified_o__Oscillospirales</v>
          </cell>
          <cell r="I13178" t="str">
            <v>s__unclassified_o__Oscillospirales</v>
          </cell>
        </row>
        <row r="13179">
          <cell r="G13179" t="str">
            <v>ASV8507</v>
          </cell>
          <cell r="H13179" t="str">
            <v>g__unclassified_k__norank_d__Bacteria</v>
          </cell>
          <cell r="I13179" t="str">
            <v>s__unclassified_k__norank_d__Bacteria</v>
          </cell>
        </row>
        <row r="13180">
          <cell r="G13180" t="str">
            <v>ASV16980</v>
          </cell>
          <cell r="H13180" t="str">
            <v>g__unclassified_f__Lachnospiraceae</v>
          </cell>
          <cell r="I13180" t="str">
            <v>s__unclassified_f__Lachnospiraceae</v>
          </cell>
        </row>
        <row r="13181">
          <cell r="G13181" t="str">
            <v>ASV16534</v>
          </cell>
          <cell r="H13181" t="str">
            <v>g__Christensenellaceae_R-7_group</v>
          </cell>
          <cell r="I13181" t="str">
            <v>s__uncultured_bacterium_g__Christensenellaceae_R-7_group</v>
          </cell>
        </row>
        <row r="13182">
          <cell r="G13182" t="str">
            <v>ASV1705</v>
          </cell>
          <cell r="H13182" t="str">
            <v>g__Lactobacillus</v>
          </cell>
          <cell r="I13182" t="str">
            <v>s__unclassified_g__Lactobacillus</v>
          </cell>
        </row>
        <row r="13183">
          <cell r="G13183" t="str">
            <v>ASV23844</v>
          </cell>
          <cell r="H13183" t="str">
            <v>g__Fusobacterium</v>
          </cell>
          <cell r="I13183" t="str">
            <v>s__unclassified_g__Fusobacterium</v>
          </cell>
        </row>
        <row r="13184">
          <cell r="G13184" t="str">
            <v>ASV14534</v>
          </cell>
          <cell r="H13184" t="str">
            <v>g__Lactobacillus</v>
          </cell>
          <cell r="I13184" t="str">
            <v>s__unclassified_g__Lactobacillus</v>
          </cell>
        </row>
        <row r="13185">
          <cell r="G13185" t="str">
            <v>ASV10770</v>
          </cell>
          <cell r="H13185" t="str">
            <v>g__unclassified_c__Clostridia</v>
          </cell>
          <cell r="I13185" t="str">
            <v>s__unclassified_c__Clostridia</v>
          </cell>
        </row>
        <row r="13186">
          <cell r="G13186" t="str">
            <v>ASV17612</v>
          </cell>
          <cell r="H13186" t="str">
            <v>g__Prevotella</v>
          </cell>
          <cell r="I13186" t="str">
            <v>s__Prevotella_sp._RS2</v>
          </cell>
        </row>
        <row r="13187">
          <cell r="G13187" t="str">
            <v>ASV22491</v>
          </cell>
          <cell r="H13187" t="str">
            <v>g__unclassified_p__Firmicutes</v>
          </cell>
          <cell r="I13187" t="str">
            <v>s__unclassified_p__Firmicutes</v>
          </cell>
        </row>
        <row r="13188">
          <cell r="G13188" t="str">
            <v>ASV23376</v>
          </cell>
          <cell r="H13188" t="str">
            <v>g__unclassified_c__Clostridia</v>
          </cell>
          <cell r="I13188" t="str">
            <v>s__unclassified_c__Clostridia</v>
          </cell>
        </row>
        <row r="13189">
          <cell r="G13189" t="str">
            <v>ASV8359</v>
          </cell>
          <cell r="H13189" t="str">
            <v>g__Clostridium_sensu_stricto_1</v>
          </cell>
          <cell r="I13189" t="str">
            <v>s__unclassified_g__Clostridium_sensu_stricto_1</v>
          </cell>
        </row>
        <row r="13190">
          <cell r="G13190" t="str">
            <v>ASV16002</v>
          </cell>
          <cell r="H13190" t="str">
            <v>g__unclassified_k__norank_d__Bacteria</v>
          </cell>
          <cell r="I13190" t="str">
            <v>s__unclassified_k__norank_d__Bacteria</v>
          </cell>
        </row>
        <row r="13191">
          <cell r="G13191" t="str">
            <v>ASV5018</v>
          </cell>
          <cell r="H13191" t="str">
            <v>g__unclassified_c__Clostridia</v>
          </cell>
          <cell r="I13191" t="str">
            <v>s__unclassified_c__Clostridia</v>
          </cell>
        </row>
        <row r="13192">
          <cell r="G13192" t="str">
            <v>ASV13483</v>
          </cell>
          <cell r="H13192" t="str">
            <v>g__unclassified_f__Clostridiaceae</v>
          </cell>
          <cell r="I13192" t="str">
            <v>s__unclassified_f__Clostridiaceae</v>
          </cell>
        </row>
        <row r="13193">
          <cell r="G13193" t="str">
            <v>ASV1725</v>
          </cell>
          <cell r="H13193" t="str">
            <v>g__Veillonella</v>
          </cell>
          <cell r="I13193" t="str">
            <v>s__unclassified_g__Veillonella</v>
          </cell>
        </row>
        <row r="13194">
          <cell r="G13194" t="str">
            <v>ASV5059</v>
          </cell>
          <cell r="H13194" t="str">
            <v>g__unclassified_f__Lachnospiraceae</v>
          </cell>
          <cell r="I13194" t="str">
            <v>s__unclassified_f__Lachnospiraceae</v>
          </cell>
        </row>
        <row r="13195">
          <cell r="G13195" t="str">
            <v>ASV6833</v>
          </cell>
          <cell r="H13195" t="str">
            <v>g__unclassified_o__Peptostreptococcales-Tissierellales</v>
          </cell>
          <cell r="I13195" t="str">
            <v>s__unclassified_o__Peptostreptococcales-Tissierellales</v>
          </cell>
        </row>
        <row r="13196">
          <cell r="G13196" t="str">
            <v>ASV23359</v>
          </cell>
          <cell r="H13196" t="str">
            <v>g__unclassified_c__Clostridia</v>
          </cell>
          <cell r="I13196" t="str">
            <v>s__unclassified_c__Clostridia</v>
          </cell>
        </row>
        <row r="13197">
          <cell r="G13197" t="str">
            <v>ASV4080</v>
          </cell>
          <cell r="H13197" t="str">
            <v>g__unclassified_f__Synergistaceae</v>
          </cell>
          <cell r="I13197" t="str">
            <v>s__unclassified_f__Synergistaceae</v>
          </cell>
        </row>
        <row r="13198">
          <cell r="G13198" t="str">
            <v>ASV13504</v>
          </cell>
          <cell r="H13198" t="str">
            <v>g__unclassified_f__Peptostreptococcaceae</v>
          </cell>
          <cell r="I13198" t="str">
            <v>s__unclassified_f__Peptostreptococcaceae</v>
          </cell>
        </row>
        <row r="13199">
          <cell r="G13199" t="str">
            <v>ASV2330</v>
          </cell>
          <cell r="H13199" t="str">
            <v>g__norank_f__norank_o__Clostridia_UCG-014</v>
          </cell>
          <cell r="I13199" t="str">
            <v>s__unclassified_g__norank_f__norank_o__Clostridia_UCG-014</v>
          </cell>
        </row>
        <row r="13200">
          <cell r="G13200" t="str">
            <v>ASV4183</v>
          </cell>
          <cell r="H13200" t="str">
            <v>g__unclassified_f__Lachnospiraceae</v>
          </cell>
          <cell r="I13200" t="str">
            <v>s__unclassified_f__Lachnospiraceae</v>
          </cell>
        </row>
        <row r="13201">
          <cell r="G13201" t="str">
            <v>ASV12907</v>
          </cell>
          <cell r="H13201" t="str">
            <v>g__unclassified_c__Clostridia</v>
          </cell>
          <cell r="I13201" t="str">
            <v>s__unclassified_c__Clostridia</v>
          </cell>
        </row>
        <row r="13202">
          <cell r="G13202" t="str">
            <v>ASV3681</v>
          </cell>
          <cell r="H13202" t="str">
            <v>g__Clostridium_sensu_stricto_1</v>
          </cell>
          <cell r="I13202" t="str">
            <v>s__uncultured_bacterium_g__Clostridium_sensu_stricto_1</v>
          </cell>
        </row>
        <row r="13203">
          <cell r="G13203" t="str">
            <v>ASV23438</v>
          </cell>
          <cell r="H13203" t="str">
            <v>g__unclassified_f__Lachnospiraceae</v>
          </cell>
          <cell r="I13203" t="str">
            <v>s__unclassified_f__Lachnospiraceae</v>
          </cell>
        </row>
        <row r="13204">
          <cell r="G13204" t="str">
            <v>ASV6016</v>
          </cell>
          <cell r="H13204" t="str">
            <v>g__UCG-004</v>
          </cell>
          <cell r="I13204" t="str">
            <v>s__uncultured_bacterium_g__UCG-004</v>
          </cell>
        </row>
        <row r="13205">
          <cell r="G13205" t="str">
            <v>ASV13434</v>
          </cell>
          <cell r="H13205" t="str">
            <v>g__unclassified_o__Burkholderiales</v>
          </cell>
          <cell r="I13205" t="str">
            <v>s__unclassified_o__Burkholderiales</v>
          </cell>
        </row>
        <row r="13206">
          <cell r="G13206" t="str">
            <v>ASV9537</v>
          </cell>
          <cell r="H13206" t="str">
            <v>g__unclassified_p__Firmicutes</v>
          </cell>
          <cell r="I13206" t="str">
            <v>s__unclassified_p__Firmicutes</v>
          </cell>
        </row>
        <row r="13207">
          <cell r="G13207" t="str">
            <v>ASV18205</v>
          </cell>
          <cell r="H13207" t="str">
            <v>g__unclassified_f__Oscillospiraceae</v>
          </cell>
          <cell r="I13207" t="str">
            <v>s__unclassified_f__Oscillospiraceae</v>
          </cell>
        </row>
        <row r="13208">
          <cell r="G13208" t="str">
            <v>ASV9447</v>
          </cell>
          <cell r="H13208" t="str">
            <v>g__unclassified_f__Pasteurellaceae</v>
          </cell>
          <cell r="I13208" t="str">
            <v>s__unclassified_f__Pasteurellaceae</v>
          </cell>
        </row>
        <row r="13209">
          <cell r="G13209" t="str">
            <v>ASV15486</v>
          </cell>
          <cell r="H13209" t="str">
            <v>g__norank_f__UCG-010</v>
          </cell>
          <cell r="I13209" t="str">
            <v>s__unclassified_g__norank_f__UCG-010</v>
          </cell>
        </row>
        <row r="13210">
          <cell r="G13210" t="str">
            <v>ASV6032</v>
          </cell>
          <cell r="H13210" t="str">
            <v>g__unclassified_c__Clostridia</v>
          </cell>
          <cell r="I13210" t="str">
            <v>s__unclassified_c__Clostridia</v>
          </cell>
        </row>
        <row r="13211">
          <cell r="G13211" t="str">
            <v>ASV15451</v>
          </cell>
          <cell r="H13211" t="str">
            <v>g__Enterococcus</v>
          </cell>
          <cell r="I13211" t="str">
            <v>s__unclassified_g__Enterococcus</v>
          </cell>
        </row>
        <row r="13212">
          <cell r="G13212" t="str">
            <v>ASV6087</v>
          </cell>
          <cell r="H13212" t="str">
            <v>g__unclassified_o__Oscillospirales</v>
          </cell>
          <cell r="I13212" t="str">
            <v>s__unclassified_o__Oscillospirales</v>
          </cell>
        </row>
        <row r="13213">
          <cell r="G13213" t="str">
            <v>ASV17302</v>
          </cell>
          <cell r="H13213" t="str">
            <v>g__unclassified_f__Peptostreptococcaceae</v>
          </cell>
          <cell r="I13213" t="str">
            <v>s__unclassified_f__Peptostreptococcaceae</v>
          </cell>
        </row>
        <row r="13214">
          <cell r="G13214" t="str">
            <v>ASV7101</v>
          </cell>
          <cell r="H13214" t="str">
            <v>g__unclassified_f__Peptostreptococcaceae</v>
          </cell>
          <cell r="I13214" t="str">
            <v>s__unclassified_f__Peptostreptococcaceae</v>
          </cell>
        </row>
        <row r="13215">
          <cell r="G13215" t="str">
            <v>ASV6824</v>
          </cell>
          <cell r="H13215" t="str">
            <v>g__unclassified_f__Lachnospiraceae</v>
          </cell>
          <cell r="I13215" t="str">
            <v>s__unclassified_f__Lachnospiraceae</v>
          </cell>
        </row>
        <row r="13216">
          <cell r="G13216" t="str">
            <v>ASV7373</v>
          </cell>
          <cell r="H13216" t="str">
            <v>g__Subdoligranulum</v>
          </cell>
          <cell r="I13216" t="str">
            <v>s__uncultured_Faecalibacterium_sp._g__Subdoligranulum</v>
          </cell>
        </row>
        <row r="13217">
          <cell r="G13217" t="str">
            <v>ASV15527</v>
          </cell>
          <cell r="H13217" t="str">
            <v>g__norank_f__Peptostreptococcaceae</v>
          </cell>
          <cell r="I13217" t="str">
            <v>s__unclassified_g__norank_f__Peptostreptococcaceae</v>
          </cell>
        </row>
        <row r="13218">
          <cell r="G13218" t="str">
            <v>ASV18208</v>
          </cell>
          <cell r="H13218" t="str">
            <v>g__unclassified_c__Clostridia</v>
          </cell>
          <cell r="I13218" t="str">
            <v>s__unclassified_c__Clostridia</v>
          </cell>
        </row>
        <row r="13219">
          <cell r="G13219" t="str">
            <v>ASV9586</v>
          </cell>
          <cell r="H13219" t="str">
            <v>g__unclassified_c__Clostridia</v>
          </cell>
          <cell r="I13219" t="str">
            <v>s__unclassified_c__Clostridia</v>
          </cell>
        </row>
        <row r="13220">
          <cell r="G13220" t="str">
            <v>ASV10803</v>
          </cell>
          <cell r="H13220" t="str">
            <v>g__unclassified_f__Clostridiaceae</v>
          </cell>
          <cell r="I13220" t="str">
            <v>s__unclassified_f__Clostridiaceae</v>
          </cell>
        </row>
        <row r="13221">
          <cell r="G13221" t="str">
            <v>ASV21630</v>
          </cell>
          <cell r="H13221" t="str">
            <v>g__Escherichia-Shigella</v>
          </cell>
          <cell r="I13221" t="str">
            <v>s__unclassified_g__Escherichia-Shigella</v>
          </cell>
        </row>
        <row r="13222">
          <cell r="G13222" t="str">
            <v>ASV16504</v>
          </cell>
          <cell r="H13222" t="str">
            <v>g__unclassified_f__Lachnospiraceae</v>
          </cell>
          <cell r="I13222" t="str">
            <v>s__unclassified_f__Lachnospiraceae</v>
          </cell>
        </row>
        <row r="13223">
          <cell r="G13223" t="str">
            <v>ASV23850</v>
          </cell>
          <cell r="H13223" t="str">
            <v>g__Fusobacterium</v>
          </cell>
          <cell r="I13223" t="str">
            <v>s__unclassified_g__Fusobacterium</v>
          </cell>
        </row>
        <row r="13224">
          <cell r="G13224" t="str">
            <v>ASV14328</v>
          </cell>
          <cell r="H13224" t="str">
            <v>g__Phascolarctobacterium</v>
          </cell>
          <cell r="I13224" t="str">
            <v>s__uncultured_bacterium_g__Phascolarctobacterium</v>
          </cell>
        </row>
        <row r="13225">
          <cell r="G13225" t="str">
            <v>ASV10204</v>
          </cell>
          <cell r="H13225" t="str">
            <v>g__Peptostreptococcus</v>
          </cell>
          <cell r="I13225" t="str">
            <v>s__unclassified_g__Peptostreptococcus</v>
          </cell>
        </row>
        <row r="13226">
          <cell r="G13226" t="str">
            <v>ASV18889</v>
          </cell>
          <cell r="H13226" t="str">
            <v>g__unclassified_f__Lachnospiraceae</v>
          </cell>
          <cell r="I13226" t="str">
            <v>s__unclassified_f__Lachnospiraceae</v>
          </cell>
        </row>
        <row r="13227">
          <cell r="G13227" t="str">
            <v>ASV3247</v>
          </cell>
          <cell r="H13227" t="str">
            <v>g__Oribacterium</v>
          </cell>
          <cell r="I13227" t="str">
            <v>s__uncultured_bacterium_g__Oribacterium</v>
          </cell>
        </row>
        <row r="13228">
          <cell r="G13228" t="str">
            <v>ASV3242</v>
          </cell>
          <cell r="H13228" t="str">
            <v>g__Veillonella</v>
          </cell>
          <cell r="I13228" t="str">
            <v>s__unclassified_g__Veillonella</v>
          </cell>
        </row>
        <row r="13229">
          <cell r="G13229" t="str">
            <v>ASV19076</v>
          </cell>
          <cell r="H13229" t="str">
            <v>g__unclassified_k__norank_d__Bacteria</v>
          </cell>
          <cell r="I13229" t="str">
            <v>s__unclassified_k__norank_d__Bacteria</v>
          </cell>
        </row>
        <row r="13230">
          <cell r="G13230" t="str">
            <v>ASV19731</v>
          </cell>
          <cell r="H13230" t="str">
            <v>g__Actinobacillus</v>
          </cell>
          <cell r="I13230" t="str">
            <v>s__unclassified_g__Actinobacillus</v>
          </cell>
        </row>
        <row r="13231">
          <cell r="G13231" t="str">
            <v>ASV6801</v>
          </cell>
          <cell r="H13231" t="str">
            <v>g__unclassified_f__Oscillospiraceae</v>
          </cell>
          <cell r="I13231" t="str">
            <v>s__unclassified_f__Oscillospiraceae</v>
          </cell>
        </row>
        <row r="13232">
          <cell r="G13232" t="str">
            <v>ASV16071</v>
          </cell>
          <cell r="H13232" t="str">
            <v>g__unclassified_k__norank_d__Bacteria</v>
          </cell>
          <cell r="I13232" t="str">
            <v>s__unclassified_k__norank_d__Bacteria</v>
          </cell>
        </row>
        <row r="13233">
          <cell r="G13233" t="str">
            <v>ASV11782</v>
          </cell>
          <cell r="H13233" t="str">
            <v>g__unclassified_p__Firmicutes</v>
          </cell>
          <cell r="I13233" t="str">
            <v>s__unclassified_p__Firmicutes</v>
          </cell>
        </row>
        <row r="13234">
          <cell r="G13234" t="str">
            <v>ASV16922</v>
          </cell>
          <cell r="H13234" t="str">
            <v>g__unclassified_c__Bacteroidia</v>
          </cell>
          <cell r="I13234" t="str">
            <v>s__unclassified_c__Bacteroidia</v>
          </cell>
        </row>
        <row r="13235">
          <cell r="G13235" t="str">
            <v>ASV842</v>
          </cell>
          <cell r="H13235" t="str">
            <v>g__unclassified_f__Lachnospiraceae</v>
          </cell>
          <cell r="I13235" t="str">
            <v>s__unclassified_f__Lachnospiraceae</v>
          </cell>
        </row>
        <row r="13236">
          <cell r="G13236" t="str">
            <v>ASV23770</v>
          </cell>
          <cell r="H13236" t="str">
            <v>g__Lactobacillus</v>
          </cell>
          <cell r="I13236" t="str">
            <v>s__unclassified_g__Lactobacillus</v>
          </cell>
        </row>
        <row r="13237">
          <cell r="G13237" t="str">
            <v>ASV13527</v>
          </cell>
          <cell r="H13237" t="str">
            <v>g__unclassified_c__Clostridia</v>
          </cell>
          <cell r="I13237" t="str">
            <v>s__unclassified_c__Clostridia</v>
          </cell>
        </row>
        <row r="13238">
          <cell r="G13238" t="str">
            <v>ASV13458</v>
          </cell>
          <cell r="H13238" t="str">
            <v>g__Olsenella</v>
          </cell>
          <cell r="I13238" t="str">
            <v>s__Olsenella_congonensis</v>
          </cell>
        </row>
        <row r="13239">
          <cell r="G13239" t="str">
            <v>ASV12963</v>
          </cell>
          <cell r="H13239" t="str">
            <v>g__unclassified_c__Clostridia</v>
          </cell>
          <cell r="I13239" t="str">
            <v>s__unclassified_c__Clostridia</v>
          </cell>
        </row>
        <row r="13240">
          <cell r="G13240" t="str">
            <v>ASV16537</v>
          </cell>
          <cell r="H13240" t="str">
            <v>g__unclassified_f__Oscillospiraceae</v>
          </cell>
          <cell r="I13240" t="str">
            <v>s__unclassified_f__Oscillospiraceae</v>
          </cell>
        </row>
        <row r="13241">
          <cell r="G13241" t="str">
            <v>ASV13462</v>
          </cell>
          <cell r="H13241" t="str">
            <v>g__Eubacterium_oxidoreducens_group</v>
          </cell>
          <cell r="I13241" t="str">
            <v>s__uncultured_bacterium_g__Eubacterium_oxidoreducens_group</v>
          </cell>
        </row>
        <row r="13242">
          <cell r="G13242" t="str">
            <v>ASV17316</v>
          </cell>
          <cell r="H13242" t="str">
            <v>g__Turicibacter</v>
          </cell>
          <cell r="I13242" t="str">
            <v>s__unclassified_g__Turicibacter</v>
          </cell>
        </row>
        <row r="13243">
          <cell r="G13243" t="str">
            <v>ASV19613</v>
          </cell>
          <cell r="H13243" t="str">
            <v>g__norank_f__Muribaculaceae</v>
          </cell>
          <cell r="I13243" t="str">
            <v>s__uncultured_bacterium_g__norank_f__Muribaculaceae</v>
          </cell>
        </row>
        <row r="13244">
          <cell r="G13244" t="str">
            <v>ASV6781</v>
          </cell>
          <cell r="H13244" t="str">
            <v>g__unclassified_k__norank_d__Bacteria</v>
          </cell>
          <cell r="I13244" t="str">
            <v>s__unclassified_k__norank_d__Bacteria</v>
          </cell>
        </row>
        <row r="13245">
          <cell r="G13245" t="str">
            <v>ASV9034</v>
          </cell>
          <cell r="H13245" t="str">
            <v>g__Veillonella</v>
          </cell>
          <cell r="I13245" t="str">
            <v>s__unclassified_g__Veillonella</v>
          </cell>
        </row>
        <row r="13246">
          <cell r="G13246" t="str">
            <v>ASV11851</v>
          </cell>
          <cell r="H13246" t="str">
            <v>g__unclassified_f__Anaerovoracaceae</v>
          </cell>
          <cell r="I13246" t="str">
            <v>s__unclassified_f__Anaerovoracaceae</v>
          </cell>
        </row>
        <row r="13247">
          <cell r="G13247" t="str">
            <v>ASV19078</v>
          </cell>
          <cell r="H13247" t="str">
            <v>g__UCG-002</v>
          </cell>
          <cell r="I13247" t="str">
            <v>s__uncultured_bacterium_g__UCG-002</v>
          </cell>
        </row>
        <row r="13248">
          <cell r="G13248" t="str">
            <v>ASV12917</v>
          </cell>
          <cell r="H13248" t="str">
            <v>g__unclassified_c__Clostridia</v>
          </cell>
          <cell r="I13248" t="str">
            <v>s__unclassified_c__Clostridia</v>
          </cell>
        </row>
        <row r="13249">
          <cell r="G13249" t="str">
            <v>ASV16479</v>
          </cell>
          <cell r="H13249" t="str">
            <v>g__unclassified_k__norank_d__Bacteria</v>
          </cell>
          <cell r="I13249" t="str">
            <v>s__unclassified_k__norank_d__Bacteria</v>
          </cell>
        </row>
        <row r="13250">
          <cell r="G13250" t="str">
            <v>ASV11738</v>
          </cell>
          <cell r="H13250" t="str">
            <v>g__Prevotella</v>
          </cell>
          <cell r="I13250" t="str">
            <v>s__unclassified_g__Prevotella</v>
          </cell>
        </row>
        <row r="13251">
          <cell r="G13251" t="str">
            <v>ASV5123</v>
          </cell>
          <cell r="H13251" t="str">
            <v>g__Ruminococcus</v>
          </cell>
          <cell r="I13251" t="str">
            <v>s__unclassified_g__Ruminococcus</v>
          </cell>
        </row>
        <row r="13252">
          <cell r="G13252" t="str">
            <v>ASV5060</v>
          </cell>
          <cell r="H13252" t="str">
            <v>g__unclassified_c__Clostridia</v>
          </cell>
          <cell r="I13252" t="str">
            <v>s__unclassified_c__Clostridia</v>
          </cell>
        </row>
        <row r="13253">
          <cell r="G13253" t="str">
            <v>ASV21302</v>
          </cell>
          <cell r="H13253" t="str">
            <v>g__unclassified_c__Gammaproteobacteria</v>
          </cell>
          <cell r="I13253" t="str">
            <v>s__unclassified_c__Gammaproteobacteria</v>
          </cell>
        </row>
        <row r="13254">
          <cell r="G13254" t="str">
            <v>ASV13466</v>
          </cell>
          <cell r="H13254" t="str">
            <v>g__unclassified_c__Clostridia</v>
          </cell>
          <cell r="I13254" t="str">
            <v>s__unclassified_c__Clostridia</v>
          </cell>
        </row>
        <row r="13255">
          <cell r="G13255" t="str">
            <v>ASV17417</v>
          </cell>
          <cell r="H13255" t="str">
            <v>g__norank_f__norank_o__JGI_0000069-P22</v>
          </cell>
          <cell r="I13255" t="str">
            <v>s__uncultured_bacterium_g__norank_f__norank_o__JGI_0000069-P22</v>
          </cell>
        </row>
        <row r="13256">
          <cell r="G13256" t="str">
            <v>ASV18224</v>
          </cell>
          <cell r="H13256" t="str">
            <v>g__Christensenellaceae_R-7_group</v>
          </cell>
          <cell r="I13256" t="str">
            <v>s__unclassified_g__Christensenellaceae_R-7_group</v>
          </cell>
        </row>
        <row r="13257">
          <cell r="G13257" t="str">
            <v>ASV936</v>
          </cell>
          <cell r="H13257" t="str">
            <v>g__unclassified_o__Oscillospirales</v>
          </cell>
          <cell r="I13257" t="str">
            <v>s__unclassified_o__Oscillospirales</v>
          </cell>
        </row>
        <row r="13258">
          <cell r="G13258" t="str">
            <v>ASV17672</v>
          </cell>
          <cell r="H13258" t="str">
            <v>g__Collinsella</v>
          </cell>
          <cell r="I13258" t="str">
            <v>s__Collinsella_sp._Marseille-P2666</v>
          </cell>
        </row>
        <row r="13259">
          <cell r="G13259" t="str">
            <v>ASV7897</v>
          </cell>
          <cell r="H13259" t="str">
            <v>g__Lactobacillus</v>
          </cell>
          <cell r="I13259" t="str">
            <v>s__unclassified_g__Lactobacillus</v>
          </cell>
        </row>
        <row r="13260">
          <cell r="G13260" t="str">
            <v>ASV10206</v>
          </cell>
          <cell r="H13260" t="str">
            <v>g__Fusobacterium</v>
          </cell>
          <cell r="I13260" t="str">
            <v>s__unclassified_g__Fusobacterium</v>
          </cell>
        </row>
        <row r="13261">
          <cell r="G13261" t="str">
            <v>ASV5077</v>
          </cell>
          <cell r="H13261" t="str">
            <v>g__unclassified_c__Clostridia</v>
          </cell>
          <cell r="I13261" t="str">
            <v>s__unclassified_c__Clostridia</v>
          </cell>
        </row>
        <row r="13262">
          <cell r="G13262" t="str">
            <v>ASV5113</v>
          </cell>
          <cell r="H13262" t="str">
            <v>g__Bacteroides</v>
          </cell>
          <cell r="I13262" t="str">
            <v>s__unclassified_g__Bacteroides</v>
          </cell>
        </row>
        <row r="13263">
          <cell r="G13263" t="str">
            <v>ASV3253</v>
          </cell>
          <cell r="H13263" t="str">
            <v>g__unclassified_c__Bacilli</v>
          </cell>
          <cell r="I13263" t="str">
            <v>s__unclassified_c__Bacilli</v>
          </cell>
        </row>
        <row r="13264">
          <cell r="G13264" t="str">
            <v>ASV2236</v>
          </cell>
          <cell r="H13264" t="str">
            <v>g__unclassified_f__Lachnospiraceae</v>
          </cell>
          <cell r="I13264" t="str">
            <v>s__unclassified_f__Lachnospiraceae</v>
          </cell>
        </row>
        <row r="13265">
          <cell r="G13265" t="str">
            <v>ASV11805</v>
          </cell>
          <cell r="H13265" t="str">
            <v>g__Megasphaera</v>
          </cell>
          <cell r="I13265" t="str">
            <v>s__unclassified_g__Megasphaera</v>
          </cell>
        </row>
        <row r="13266">
          <cell r="G13266" t="str">
            <v>ASV21624</v>
          </cell>
          <cell r="H13266" t="str">
            <v>g__Lactobacillus</v>
          </cell>
          <cell r="I13266" t="str">
            <v>s__unclassified_g__Lactobacillus</v>
          </cell>
        </row>
        <row r="13267">
          <cell r="G13267" t="str">
            <v>ASV18623</v>
          </cell>
          <cell r="H13267" t="str">
            <v>g__unclassified_f__Lachnospiraceae</v>
          </cell>
          <cell r="I13267" t="str">
            <v>s__unclassified_f__Lachnospiraceae</v>
          </cell>
        </row>
        <row r="13268">
          <cell r="G13268" t="str">
            <v>ASV12934</v>
          </cell>
          <cell r="H13268" t="str">
            <v>g__unclassified_f__Prevotellaceae</v>
          </cell>
          <cell r="I13268" t="str">
            <v>s__unclassified_f__Prevotellaceae</v>
          </cell>
        </row>
        <row r="13269">
          <cell r="G13269" t="str">
            <v>ASV7367</v>
          </cell>
          <cell r="H13269" t="str">
            <v>g__unclassified_f__Veillonellaceae</v>
          </cell>
          <cell r="I13269" t="str">
            <v>s__unclassified_f__Veillonellaceae</v>
          </cell>
        </row>
        <row r="13270">
          <cell r="G13270" t="str">
            <v>ASV2360</v>
          </cell>
          <cell r="H13270" t="str">
            <v>g__unclassified_c__Clostridia</v>
          </cell>
          <cell r="I13270" t="str">
            <v>s__unclassified_c__Clostridia</v>
          </cell>
        </row>
        <row r="13271">
          <cell r="G13271" t="str">
            <v>ASV13818</v>
          </cell>
          <cell r="H13271" t="str">
            <v>g__Enterococcus</v>
          </cell>
          <cell r="I13271" t="str">
            <v>s__unclassified_g__Enterococcus</v>
          </cell>
        </row>
        <row r="13272">
          <cell r="G13272" t="str">
            <v>ASV19690</v>
          </cell>
          <cell r="H13272" t="str">
            <v>g__UCG-002</v>
          </cell>
          <cell r="I13272" t="str">
            <v>s__uncultured_bacterium_g__UCG-002</v>
          </cell>
        </row>
        <row r="13273">
          <cell r="G13273" t="str">
            <v>ASV17222</v>
          </cell>
          <cell r="H13273" t="str">
            <v>g__Terrisporobacter</v>
          </cell>
          <cell r="I13273" t="str">
            <v>s__unclassified_g__Terrisporobacter</v>
          </cell>
        </row>
        <row r="13274">
          <cell r="G13274" t="str">
            <v>ASV15827</v>
          </cell>
          <cell r="H13274" t="str">
            <v>g__Fusobacterium</v>
          </cell>
          <cell r="I13274" t="str">
            <v>s__unclassified_g__Fusobacterium</v>
          </cell>
        </row>
        <row r="13275">
          <cell r="G13275" t="str">
            <v>ASV5126</v>
          </cell>
          <cell r="H13275" t="str">
            <v>g__Clostridium_sensu_stricto_1</v>
          </cell>
          <cell r="I13275" t="str">
            <v>s__unclassified_g__Clostridium_sensu_stricto_1</v>
          </cell>
        </row>
        <row r="13276">
          <cell r="G13276" t="str">
            <v>ASV19650</v>
          </cell>
          <cell r="H13276" t="str">
            <v>g__Ruminococcus</v>
          </cell>
          <cell r="I13276" t="str">
            <v>s__unclassified_g__Ruminococcus</v>
          </cell>
        </row>
        <row r="13277">
          <cell r="G13277" t="str">
            <v>ASV4915</v>
          </cell>
          <cell r="H13277" t="str">
            <v>g__unclassified_c__Clostridia</v>
          </cell>
          <cell r="I13277" t="str">
            <v>s__unclassified_c__Clostridia</v>
          </cell>
        </row>
        <row r="13278">
          <cell r="G13278" t="str">
            <v>ASV19784</v>
          </cell>
          <cell r="H13278" t="str">
            <v>g__Eubacterium_oxidoreducens_group</v>
          </cell>
          <cell r="I13278" t="str">
            <v>s__unclassified_g__Eubacterium_oxidoreducens_group</v>
          </cell>
        </row>
        <row r="13279">
          <cell r="G13279" t="str">
            <v>ASV24198</v>
          </cell>
          <cell r="H13279" t="str">
            <v>g__Terrisporobacter</v>
          </cell>
          <cell r="I13279" t="str">
            <v>s__unclassified_g__Terrisporobacter</v>
          </cell>
        </row>
        <row r="13280">
          <cell r="G13280" t="str">
            <v>ASV19839</v>
          </cell>
          <cell r="H13280" t="str">
            <v>g__Bacteroides</v>
          </cell>
          <cell r="I13280" t="str">
            <v>s__unclassified_g__Bacteroides</v>
          </cell>
        </row>
        <row r="13281">
          <cell r="G13281" t="str">
            <v>ASV4945</v>
          </cell>
          <cell r="H13281" t="str">
            <v>g__unclassified_c__Bacilli</v>
          </cell>
          <cell r="I13281" t="str">
            <v>s__unclassified_c__Bacilli</v>
          </cell>
        </row>
        <row r="13282">
          <cell r="G13282" t="str">
            <v>ASV19745</v>
          </cell>
          <cell r="H13282" t="str">
            <v>g__unclassified_p__Firmicutes</v>
          </cell>
          <cell r="I13282" t="str">
            <v>s__unclassified_p__Firmicutes</v>
          </cell>
        </row>
        <row r="13283">
          <cell r="G13283" t="str">
            <v>ASV4176</v>
          </cell>
          <cell r="H13283" t="str">
            <v>g__Bacteroides</v>
          </cell>
          <cell r="I13283" t="str">
            <v>s__unclassified_g__Bacteroides</v>
          </cell>
        </row>
        <row r="13284">
          <cell r="G13284" t="str">
            <v>ASV18912</v>
          </cell>
          <cell r="H13284" t="str">
            <v>g__unclassified_c__Bacilli</v>
          </cell>
          <cell r="I13284" t="str">
            <v>s__unclassified_c__Bacilli</v>
          </cell>
        </row>
        <row r="13285">
          <cell r="G13285" t="str">
            <v>ASV12824</v>
          </cell>
          <cell r="H13285" t="str">
            <v>g__unclassified_c__Clostridia</v>
          </cell>
          <cell r="I13285" t="str">
            <v>s__unclassified_c__Clostridia</v>
          </cell>
        </row>
        <row r="13286">
          <cell r="G13286" t="str">
            <v>ASV14493</v>
          </cell>
          <cell r="H13286" t="str">
            <v>g__norank_f__Oscillospiraceae</v>
          </cell>
          <cell r="I13286" t="str">
            <v>s__unclassified_g__norank_f__Oscillospiraceae</v>
          </cell>
        </row>
        <row r="13287">
          <cell r="G13287" t="str">
            <v>ASV22273</v>
          </cell>
          <cell r="H13287" t="str">
            <v>g__Lactobacillus</v>
          </cell>
          <cell r="I13287" t="str">
            <v>s__unclassified_g__Lactobacillus</v>
          </cell>
        </row>
        <row r="13288">
          <cell r="G13288" t="str">
            <v>ASV6122</v>
          </cell>
          <cell r="H13288" t="str">
            <v>g__Christensenellaceae_R-7_group</v>
          </cell>
          <cell r="I13288" t="str">
            <v>s__unclassified_g__Christensenellaceae_R-7_group</v>
          </cell>
        </row>
        <row r="13289">
          <cell r="G13289" t="str">
            <v>ASV23419</v>
          </cell>
          <cell r="H13289" t="str">
            <v>g__unclassified_p__Firmicutes</v>
          </cell>
          <cell r="I13289" t="str">
            <v>s__unclassified_p__Firmicutes</v>
          </cell>
        </row>
        <row r="13290">
          <cell r="G13290" t="str">
            <v>ASV1085</v>
          </cell>
          <cell r="H13290" t="str">
            <v>g__unclassified_o__Oscillospirales</v>
          </cell>
          <cell r="I13290" t="str">
            <v>s__unclassified_o__Oscillospirales</v>
          </cell>
        </row>
        <row r="13291">
          <cell r="G13291" t="str">
            <v>ASV14461</v>
          </cell>
          <cell r="H13291" t="str">
            <v>g__Lactobacillus</v>
          </cell>
          <cell r="I13291" t="str">
            <v>s__unclassified_g__Lactobacillus</v>
          </cell>
        </row>
        <row r="13292">
          <cell r="G13292" t="str">
            <v>ASV6772</v>
          </cell>
          <cell r="H13292" t="str">
            <v>g__Escherichia-Shigella</v>
          </cell>
          <cell r="I13292" t="str">
            <v>s__unclassified_g__Escherichia-Shigella</v>
          </cell>
        </row>
        <row r="13293">
          <cell r="G13293" t="str">
            <v>ASV14940</v>
          </cell>
          <cell r="H13293" t="str">
            <v>g__unclassified_f__Moraxellaceae</v>
          </cell>
          <cell r="I13293" t="str">
            <v>s__unclassified_f__Moraxellaceae</v>
          </cell>
        </row>
        <row r="13294">
          <cell r="G13294" t="str">
            <v>ASV5040</v>
          </cell>
          <cell r="H13294" t="str">
            <v>g__unclassified_c__Clostridia</v>
          </cell>
          <cell r="I13294" t="str">
            <v>s__unclassified_c__Clostridia</v>
          </cell>
        </row>
        <row r="13295">
          <cell r="G13295" t="str">
            <v>ASV6819</v>
          </cell>
          <cell r="H13295" t="str">
            <v>g__unclassified_f__Peptostreptococcaceae</v>
          </cell>
          <cell r="I13295" t="str">
            <v>s__unclassified_f__Peptostreptococcaceae</v>
          </cell>
        </row>
        <row r="13296">
          <cell r="G13296" t="str">
            <v>ASV14554</v>
          </cell>
          <cell r="H13296" t="str">
            <v>g__unclassified_f__Lachnospiraceae</v>
          </cell>
          <cell r="I13296" t="str">
            <v>s__unclassified_f__Lachnospiraceae</v>
          </cell>
        </row>
        <row r="13297">
          <cell r="G13297" t="str">
            <v>ASV20883</v>
          </cell>
          <cell r="H13297" t="str">
            <v>g__norank_f__UCG-011</v>
          </cell>
          <cell r="I13297" t="str">
            <v>s__uncultured_bacterium_g__norank_f__UCG-011</v>
          </cell>
        </row>
        <row r="13298">
          <cell r="G13298" t="str">
            <v>ASV16975</v>
          </cell>
          <cell r="H13298" t="str">
            <v>g__unclassified_c__Bacilli</v>
          </cell>
          <cell r="I13298" t="str">
            <v>s__unclassified_c__Bacilli</v>
          </cell>
        </row>
        <row r="13299">
          <cell r="G13299" t="str">
            <v>ASV1713</v>
          </cell>
          <cell r="H13299" t="str">
            <v>g__Terrisporobacter</v>
          </cell>
          <cell r="I13299" t="str">
            <v>s__unclassified_g__Terrisporobacter</v>
          </cell>
        </row>
        <row r="13300">
          <cell r="G13300" t="str">
            <v>ASV23347</v>
          </cell>
          <cell r="H13300" t="str">
            <v>g__unclassified_o__Peptostreptococcales-Tissierellales</v>
          </cell>
          <cell r="I13300" t="str">
            <v>s__unclassified_o__Peptostreptococcales-Tissierellales</v>
          </cell>
        </row>
        <row r="13301">
          <cell r="G13301" t="str">
            <v>ASV16555</v>
          </cell>
          <cell r="H13301" t="str">
            <v>g__Christensenellaceae_R-7_group</v>
          </cell>
          <cell r="I13301" t="str">
            <v>s__unclassified_g__Christensenellaceae_R-7_group</v>
          </cell>
        </row>
        <row r="13302">
          <cell r="G13302" t="str">
            <v>ASV22933</v>
          </cell>
          <cell r="H13302" t="str">
            <v>g__Pseudomonas</v>
          </cell>
          <cell r="I13302" t="str">
            <v>s__unclassified_g__Pseudomonas</v>
          </cell>
        </row>
        <row r="13303">
          <cell r="G13303" t="str">
            <v>ASV15487</v>
          </cell>
          <cell r="H13303" t="str">
            <v>g__unclassified_f__Lachnospiraceae</v>
          </cell>
          <cell r="I13303" t="str">
            <v>s__unclassified_f__Lachnospiraceae</v>
          </cell>
        </row>
        <row r="13304">
          <cell r="G13304" t="str">
            <v>ASV5041</v>
          </cell>
          <cell r="H13304" t="str">
            <v>g__unclassified_f__Spirochaetaceae</v>
          </cell>
          <cell r="I13304" t="str">
            <v>s__unclassified_f__Spirochaetaceae</v>
          </cell>
        </row>
        <row r="13305">
          <cell r="G13305" t="str">
            <v>ASV9461</v>
          </cell>
          <cell r="H13305" t="str">
            <v>g__Oribacterium</v>
          </cell>
          <cell r="I13305" t="str">
            <v>s__uncultured_bacterium_g__Oribacterium</v>
          </cell>
        </row>
        <row r="13306">
          <cell r="G13306" t="str">
            <v>ASV2359</v>
          </cell>
          <cell r="H13306" t="str">
            <v>g__unclassified_f__Anaerovoracaceae</v>
          </cell>
          <cell r="I13306" t="str">
            <v>s__unclassified_f__Anaerovoracaceae</v>
          </cell>
        </row>
        <row r="13307">
          <cell r="G13307" t="str">
            <v>ASV12019</v>
          </cell>
          <cell r="H13307" t="str">
            <v>g__Phascolarctobacterium</v>
          </cell>
          <cell r="I13307" t="str">
            <v>s__uncultured_bacterium_g__Phascolarctobacterium</v>
          </cell>
        </row>
        <row r="13308">
          <cell r="G13308" t="str">
            <v>ASV16510</v>
          </cell>
          <cell r="H13308" t="str">
            <v>g__unclassified_c__Clostridia</v>
          </cell>
          <cell r="I13308" t="str">
            <v>s__unclassified_c__Clostridia</v>
          </cell>
        </row>
        <row r="13309">
          <cell r="G13309" t="str">
            <v>ASV16481</v>
          </cell>
          <cell r="H13309" t="str">
            <v>g__Bacteroides</v>
          </cell>
          <cell r="I13309" t="str">
            <v>s__unclassified_g__Bacteroides</v>
          </cell>
        </row>
        <row r="13310">
          <cell r="G13310" t="str">
            <v>ASV7091</v>
          </cell>
          <cell r="H13310" t="str">
            <v>g__Sutterella</v>
          </cell>
          <cell r="I13310" t="str">
            <v>s__Sutterella_parvirubra</v>
          </cell>
        </row>
        <row r="13311">
          <cell r="G13311" t="str">
            <v>ASV19833</v>
          </cell>
          <cell r="H13311" t="str">
            <v>g__Eubacterium_oxidoreducens_group</v>
          </cell>
          <cell r="I13311" t="str">
            <v>s__uncultured_bacterium_g__Eubacterium_oxidoreducens_group</v>
          </cell>
        </row>
        <row r="13312">
          <cell r="G13312" t="str">
            <v>ASV7870</v>
          </cell>
          <cell r="H13312" t="str">
            <v>g__unclassified_f__Peptostreptococcaceae</v>
          </cell>
          <cell r="I13312" t="str">
            <v>s__unclassified_f__Peptostreptococcaceae</v>
          </cell>
        </row>
        <row r="13313">
          <cell r="G13313" t="str">
            <v>ASV8541</v>
          </cell>
          <cell r="H13313" t="str">
            <v>g__Eubacterium_nodatum_group</v>
          </cell>
          <cell r="I13313" t="str">
            <v>s__uncultured_bacterium_g__Eubacterium_nodatum_group</v>
          </cell>
        </row>
        <row r="13314">
          <cell r="G13314" t="str">
            <v>ASV3246</v>
          </cell>
          <cell r="H13314" t="str">
            <v>g__unclassified_f__Lachnospiraceae</v>
          </cell>
          <cell r="I13314" t="str">
            <v>s__unclassified_f__Lachnospiraceae</v>
          </cell>
        </row>
        <row r="13315">
          <cell r="G13315" t="str">
            <v>ASV930</v>
          </cell>
          <cell r="H13315" t="str">
            <v>g__unclassified_k__norank_d__Bacteria</v>
          </cell>
          <cell r="I13315" t="str">
            <v>s__unclassified_k__norank_d__Bacteria</v>
          </cell>
        </row>
        <row r="13316">
          <cell r="G13316" t="str">
            <v>ASV5085</v>
          </cell>
          <cell r="H13316" t="str">
            <v>g__unclassified_c__Clostridia</v>
          </cell>
          <cell r="I13316" t="str">
            <v>s__unclassified_c__Clostridia</v>
          </cell>
        </row>
        <row r="13317">
          <cell r="G13317" t="str">
            <v>ASV22264</v>
          </cell>
          <cell r="H13317" t="str">
            <v>g__unclassified_c__Clostridia</v>
          </cell>
          <cell r="I13317" t="str">
            <v>s__unclassified_c__Clostridia</v>
          </cell>
        </row>
        <row r="13318">
          <cell r="G13318" t="str">
            <v>ASV924</v>
          </cell>
          <cell r="H13318" t="str">
            <v>g__Lactobacillus</v>
          </cell>
          <cell r="I13318" t="str">
            <v>s__unclassified_g__Lactobacillus</v>
          </cell>
        </row>
        <row r="13319">
          <cell r="G13319" t="str">
            <v>ASV6030</v>
          </cell>
          <cell r="H13319" t="str">
            <v>g__Peptococcus</v>
          </cell>
          <cell r="I13319" t="str">
            <v>s__uncultured_bacterium_g__Peptococcus</v>
          </cell>
        </row>
        <row r="13320">
          <cell r="G13320" t="str">
            <v>ASV14449</v>
          </cell>
          <cell r="H13320" t="str">
            <v>g__unclassified_f__Ruminococcaceae</v>
          </cell>
          <cell r="I13320" t="str">
            <v>s__unclassified_f__Ruminococcaceae</v>
          </cell>
        </row>
        <row r="13321">
          <cell r="G13321" t="str">
            <v>ASV15441</v>
          </cell>
          <cell r="H13321" t="str">
            <v>g__unclassified_f__Lachnospiraceae</v>
          </cell>
          <cell r="I13321" t="str">
            <v>s__unclassified_f__Lachnospiraceae</v>
          </cell>
        </row>
        <row r="13322">
          <cell r="G13322" t="str">
            <v>ASV19710</v>
          </cell>
          <cell r="H13322" t="str">
            <v>g__Megasphaera</v>
          </cell>
          <cell r="I13322" t="str">
            <v>s__unclassified_g__Megasphaera</v>
          </cell>
        </row>
        <row r="13323">
          <cell r="G13323" t="str">
            <v>ASV19799</v>
          </cell>
          <cell r="H13323" t="str">
            <v>g__unclassified_f__Lachnospiraceae</v>
          </cell>
          <cell r="I13323" t="str">
            <v>s__unclassified_f__Lachnospiraceae</v>
          </cell>
        </row>
        <row r="13324">
          <cell r="G13324" t="str">
            <v>ASV10701</v>
          </cell>
          <cell r="H13324" t="str">
            <v>g__unclassified_c__Clostridia</v>
          </cell>
          <cell r="I13324" t="str">
            <v>s__unclassified_c__Clostridia</v>
          </cell>
        </row>
        <row r="13325">
          <cell r="G13325" t="str">
            <v>ASV16562</v>
          </cell>
          <cell r="H13325" t="str">
            <v>g__unclassified_f__Lachnospiraceae</v>
          </cell>
          <cell r="I13325" t="str">
            <v>s__unclassified_f__Lachnospiraceae</v>
          </cell>
        </row>
        <row r="13326">
          <cell r="G13326" t="str">
            <v>ASV2391</v>
          </cell>
          <cell r="H13326" t="str">
            <v>g__Lachnospiraceae_ND3007_group</v>
          </cell>
          <cell r="I13326" t="str">
            <v>s__uncultured_bacterium_g__Lachnospiraceae_ND3007_group</v>
          </cell>
        </row>
        <row r="13327">
          <cell r="G13327" t="str">
            <v>ASV3383</v>
          </cell>
          <cell r="H13327" t="str">
            <v>g__Anaerosporobacter</v>
          </cell>
          <cell r="I13327" t="str">
            <v>s__uncultured_bacterium_g__Anaerosporobacter</v>
          </cell>
        </row>
        <row r="13328">
          <cell r="G13328" t="str">
            <v>ASV19716</v>
          </cell>
          <cell r="H13328" t="str">
            <v>g__unclassified_f__Lachnospiraceae</v>
          </cell>
          <cell r="I13328" t="str">
            <v>s__unclassified_f__Lachnospiraceae</v>
          </cell>
        </row>
        <row r="13329">
          <cell r="G13329" t="str">
            <v>ASV19729</v>
          </cell>
          <cell r="H13329" t="str">
            <v>g__unclassified_p__Firmicutes</v>
          </cell>
          <cell r="I13329" t="str">
            <v>s__unclassified_p__Firmicutes</v>
          </cell>
        </row>
        <row r="13330">
          <cell r="G13330" t="str">
            <v>ASV2761</v>
          </cell>
          <cell r="H13330" t="str">
            <v>g__Propionibacterium</v>
          </cell>
          <cell r="I13330" t="str">
            <v>s__Propionibacterium_westphaliense</v>
          </cell>
        </row>
        <row r="13331">
          <cell r="G13331" t="str">
            <v>ASV22363</v>
          </cell>
          <cell r="H13331" t="str">
            <v>g__unclassified_f__Lachnospiraceae</v>
          </cell>
          <cell r="I13331" t="str">
            <v>s__unclassified_f__Lachnospiraceae</v>
          </cell>
        </row>
        <row r="13332">
          <cell r="G13332" t="str">
            <v>ASV21501</v>
          </cell>
          <cell r="H13332" t="str">
            <v>g__unclassified_o__Coriobacteriales</v>
          </cell>
          <cell r="I13332" t="str">
            <v>s__unclassified_o__Coriobacteriales</v>
          </cell>
        </row>
        <row r="13333">
          <cell r="G13333" t="str">
            <v>ASV22511</v>
          </cell>
          <cell r="H13333" t="str">
            <v>g__unclassified_c__Clostridia</v>
          </cell>
          <cell r="I13333" t="str">
            <v>s__unclassified_c__Clostridia</v>
          </cell>
        </row>
        <row r="13334">
          <cell r="G13334" t="str">
            <v>ASV15809</v>
          </cell>
          <cell r="H13334" t="str">
            <v>g__unclassified_f__Pasteurellaceae</v>
          </cell>
          <cell r="I13334" t="str">
            <v>s__unclassified_f__Pasteurellaceae</v>
          </cell>
        </row>
        <row r="13335">
          <cell r="G13335" t="str">
            <v>ASV850</v>
          </cell>
          <cell r="H13335" t="str">
            <v>g__Lactobacillus</v>
          </cell>
          <cell r="I13335" t="str">
            <v>s__unclassified_g__Lactobacillus</v>
          </cell>
        </row>
        <row r="13336">
          <cell r="G13336" t="str">
            <v>ASV881</v>
          </cell>
          <cell r="H13336" t="str">
            <v>g__norank_f__Muribaculaceae</v>
          </cell>
          <cell r="I13336" t="str">
            <v>s__uncultured_bacterium_g__norank_f__Muribaculaceae</v>
          </cell>
        </row>
        <row r="13337">
          <cell r="G13337" t="str">
            <v>ASV14372</v>
          </cell>
          <cell r="H13337" t="str">
            <v>g__Mitsuokella</v>
          </cell>
          <cell r="I13337" t="str">
            <v>s__unclassified_g__Mitsuokella</v>
          </cell>
        </row>
        <row r="13338">
          <cell r="G13338" t="str">
            <v>ASV23383</v>
          </cell>
          <cell r="H13338" t="str">
            <v>g__Negativibacillus</v>
          </cell>
          <cell r="I13338" t="str">
            <v>s__unclassified_g__Negativibacillus</v>
          </cell>
        </row>
        <row r="13339">
          <cell r="G13339" t="str">
            <v>ASV23440</v>
          </cell>
          <cell r="H13339" t="str">
            <v>g__Lachnospiraceae_NC2004_group</v>
          </cell>
          <cell r="I13339" t="str">
            <v>s__uncultured_bacterium_g__Lachnospiraceae_NC2004_group</v>
          </cell>
        </row>
        <row r="13340">
          <cell r="G13340" t="str">
            <v>ASV11894</v>
          </cell>
          <cell r="H13340" t="str">
            <v>g__unclassified_f__Anaerovoracaceae</v>
          </cell>
          <cell r="I13340" t="str">
            <v>s__unclassified_f__Anaerovoracaceae</v>
          </cell>
        </row>
        <row r="13341">
          <cell r="G13341" t="str">
            <v>ASV13513</v>
          </cell>
          <cell r="H13341" t="str">
            <v>g__norank_f__Eubacterium_coprostanoligenes_group</v>
          </cell>
          <cell r="I13341" t="str">
            <v>s__unclassified_g__norank_f__Eubacterium_coprostanoligenes_group</v>
          </cell>
        </row>
        <row r="13342">
          <cell r="G13342" t="str">
            <v>ASV869</v>
          </cell>
          <cell r="H13342" t="str">
            <v>g__unclassified_c__Clostridia</v>
          </cell>
          <cell r="I13342" t="str">
            <v>s__unclassified_c__Clostridia</v>
          </cell>
        </row>
        <row r="13343">
          <cell r="G13343" t="str">
            <v>ASV801</v>
          </cell>
          <cell r="H13343" t="str">
            <v>g__Lactobacillus</v>
          </cell>
          <cell r="I13343" t="str">
            <v>s__unclassified_g__Lactobacillus</v>
          </cell>
        </row>
        <row r="13344">
          <cell r="G13344" t="str">
            <v>ASV22403</v>
          </cell>
          <cell r="H13344" t="str">
            <v>g__Christensenellaceae_R-7_group</v>
          </cell>
          <cell r="I13344" t="str">
            <v>s__unclassified_g__Christensenellaceae_R-7_group</v>
          </cell>
        </row>
        <row r="13345">
          <cell r="G13345" t="str">
            <v>ASV22258</v>
          </cell>
          <cell r="H13345" t="str">
            <v>g__unclassified_k__norank_d__Bacteria</v>
          </cell>
          <cell r="I13345" t="str">
            <v>s__unclassified_k__norank_d__Bacteria</v>
          </cell>
        </row>
        <row r="13346">
          <cell r="G13346" t="str">
            <v>ASV12877</v>
          </cell>
          <cell r="H13346" t="str">
            <v>g__unclassified_k__norank_d__Bacteria</v>
          </cell>
          <cell r="I13346" t="str">
            <v>s__unclassified_k__norank_d__Bacteria</v>
          </cell>
        </row>
        <row r="13347">
          <cell r="G13347" t="str">
            <v>ASV18934</v>
          </cell>
          <cell r="H13347" t="str">
            <v>g__Lactobacillus</v>
          </cell>
          <cell r="I13347" t="str">
            <v>s__unclassified_g__Lactobacillus</v>
          </cell>
        </row>
        <row r="13348">
          <cell r="G13348" t="str">
            <v>ASV829</v>
          </cell>
          <cell r="H13348" t="str">
            <v>g__unclassified_f__Lachnospiraceae</v>
          </cell>
          <cell r="I13348" t="str">
            <v>s__unclassified_f__Lachnospiraceae</v>
          </cell>
        </row>
        <row r="13349">
          <cell r="G13349" t="str">
            <v>ASV5967</v>
          </cell>
          <cell r="H13349" t="str">
            <v>g__unclassified_f__Lachnospiraceae</v>
          </cell>
          <cell r="I13349" t="str">
            <v>s__unclassified_f__Lachnospiraceae</v>
          </cell>
        </row>
        <row r="13350">
          <cell r="G13350" t="str">
            <v>ASV19736</v>
          </cell>
          <cell r="H13350" t="str">
            <v>g__Phascolarctobacterium</v>
          </cell>
          <cell r="I13350" t="str">
            <v>s__uncultured_bacterium_g__Phascolarctobacterium</v>
          </cell>
        </row>
        <row r="13351">
          <cell r="G13351" t="str">
            <v>ASV13492</v>
          </cell>
          <cell r="H13351" t="str">
            <v>g__unclassified_p__Firmicutes</v>
          </cell>
          <cell r="I13351" t="str">
            <v>s__unclassified_p__Firmicutes</v>
          </cell>
        </row>
        <row r="13352">
          <cell r="G13352" t="str">
            <v>ASV22365</v>
          </cell>
          <cell r="H13352" t="str">
            <v>g__unclassified_f__Lachnospiraceae</v>
          </cell>
          <cell r="I13352" t="str">
            <v>s__unclassified_f__Lachnospiraceae</v>
          </cell>
        </row>
        <row r="13353">
          <cell r="G13353" t="str">
            <v>ASV23403</v>
          </cell>
          <cell r="H13353" t="str">
            <v>g__Ruminococcus</v>
          </cell>
          <cell r="I13353" t="str">
            <v>s__unclassified_g__Ruminococcus</v>
          </cell>
        </row>
        <row r="13354">
          <cell r="G13354" t="str">
            <v>ASV13718</v>
          </cell>
          <cell r="H13354" t="str">
            <v>g__norank_f__Selenomonadaceae</v>
          </cell>
          <cell r="I13354" t="str">
            <v>s__unclassified_g__norank_f__Selenomonadaceae</v>
          </cell>
        </row>
        <row r="13355">
          <cell r="G13355" t="str">
            <v>ASV5091</v>
          </cell>
          <cell r="H13355" t="str">
            <v>g__unclassified_o__Bacteroidales</v>
          </cell>
          <cell r="I13355" t="str">
            <v>s__unclassified_o__Bacteroidales</v>
          </cell>
        </row>
        <row r="13356">
          <cell r="G13356" t="str">
            <v>ASV14383</v>
          </cell>
          <cell r="H13356" t="str">
            <v>g__unclassified_p__Firmicutes</v>
          </cell>
          <cell r="I13356" t="str">
            <v>s__unclassified_p__Firmicutes</v>
          </cell>
        </row>
        <row r="13357">
          <cell r="G13357" t="str">
            <v>ASV22453</v>
          </cell>
          <cell r="H13357" t="str">
            <v>g__UCG-002</v>
          </cell>
          <cell r="I13357" t="str">
            <v>s__uncultured_bacterium_g__UCG-002</v>
          </cell>
        </row>
        <row r="13358">
          <cell r="G13358" t="str">
            <v>ASV9017</v>
          </cell>
          <cell r="H13358" t="str">
            <v>g__unclassified_c__Bacilli</v>
          </cell>
          <cell r="I13358" t="str">
            <v>s__unclassified_c__Bacilli</v>
          </cell>
        </row>
        <row r="13359">
          <cell r="G13359" t="str">
            <v>ASV8661</v>
          </cell>
          <cell r="H13359" t="str">
            <v>g__Aeromicrobium</v>
          </cell>
          <cell r="I13359" t="str">
            <v>s__unclassified_g__Aeromicrobium</v>
          </cell>
        </row>
        <row r="13360">
          <cell r="G13360" t="str">
            <v>ASV958</v>
          </cell>
          <cell r="H13360" t="str">
            <v>g__norank_f__Erysipelotrichaceae</v>
          </cell>
          <cell r="I13360" t="str">
            <v>s__uncultured_bacterium_g__norank_f__Erysipelotrichaceae</v>
          </cell>
        </row>
        <row r="13361">
          <cell r="G13361" t="str">
            <v>ASV7075</v>
          </cell>
          <cell r="H13361" t="str">
            <v>g__unclassified_k__norank_d__Bacteria</v>
          </cell>
          <cell r="I13361" t="str">
            <v>s__unclassified_k__norank_d__Bacteria</v>
          </cell>
        </row>
        <row r="13362">
          <cell r="G13362" t="str">
            <v>ASV11795</v>
          </cell>
          <cell r="H13362" t="str">
            <v>g__Eubacterium_oxidoreducens_group</v>
          </cell>
          <cell r="I13362" t="str">
            <v>s__uncultured_bacterium_g__Eubacterium_oxidoreducens_group</v>
          </cell>
        </row>
        <row r="13363">
          <cell r="G13363" t="str">
            <v>ASV12852</v>
          </cell>
          <cell r="H13363" t="str">
            <v>g__Helicobacter</v>
          </cell>
          <cell r="I13363" t="str">
            <v>s__unclassified_g__Helicobacter</v>
          </cell>
        </row>
        <row r="13364">
          <cell r="G13364" t="str">
            <v>ASV23470</v>
          </cell>
          <cell r="H13364" t="str">
            <v>g__unclassified_c__Clostridia</v>
          </cell>
          <cell r="I13364" t="str">
            <v>s__unclassified_c__Clostridia</v>
          </cell>
        </row>
        <row r="13365">
          <cell r="G13365" t="str">
            <v>ASV12948</v>
          </cell>
          <cell r="H13365" t="str">
            <v>g__unclassified_c__Clostridia</v>
          </cell>
          <cell r="I13365" t="str">
            <v>s__unclassified_c__Clostridia</v>
          </cell>
        </row>
        <row r="13366">
          <cell r="G13366" t="str">
            <v>ASV4940</v>
          </cell>
          <cell r="H13366" t="str">
            <v>g__unclassified_c__Clostridia</v>
          </cell>
          <cell r="I13366" t="str">
            <v>s__unclassified_c__Clostridia</v>
          </cell>
        </row>
        <row r="13367">
          <cell r="G13367" t="str">
            <v>ASV2936</v>
          </cell>
          <cell r="H13367" t="str">
            <v>g__Clostridium_sensu_stricto_1</v>
          </cell>
          <cell r="I13367" t="str">
            <v>s__unclassified_g__Clostridium_sensu_stricto_1</v>
          </cell>
        </row>
        <row r="13368">
          <cell r="G13368" t="str">
            <v>ASV16779</v>
          </cell>
          <cell r="H13368" t="str">
            <v>g__unclassified_k__norank_d__Bacteria</v>
          </cell>
          <cell r="I13368" t="str">
            <v>s__unclassified_k__norank_d__Bacteria</v>
          </cell>
        </row>
        <row r="13369">
          <cell r="G13369" t="str">
            <v>ASV23851</v>
          </cell>
          <cell r="H13369" t="str">
            <v>g__unclassified_c__Bacilli</v>
          </cell>
          <cell r="I13369" t="str">
            <v>s__unclassified_c__Bacilli</v>
          </cell>
        </row>
        <row r="13370">
          <cell r="G13370" t="str">
            <v>ASV18212</v>
          </cell>
          <cell r="H13370" t="str">
            <v>g__unclassified_f__Ruminococcaceae</v>
          </cell>
          <cell r="I13370" t="str">
            <v>s__unclassified_f__Ruminococcaceae</v>
          </cell>
        </row>
        <row r="13371">
          <cell r="G13371" t="str">
            <v>ASV3501</v>
          </cell>
          <cell r="H13371" t="str">
            <v>g__Paraclostridium</v>
          </cell>
          <cell r="I13371" t="str">
            <v>s__unclassified_g__Paraclostridium</v>
          </cell>
        </row>
        <row r="13372">
          <cell r="G13372" t="str">
            <v>ASV21499</v>
          </cell>
          <cell r="H13372" t="str">
            <v>g__Phascolarctobacterium</v>
          </cell>
          <cell r="I13372" t="str">
            <v>s__uncultured_bacterium_g__Phascolarctobacterium</v>
          </cell>
        </row>
        <row r="13373">
          <cell r="G13373" t="str">
            <v>ASV7860</v>
          </cell>
          <cell r="H13373" t="str">
            <v>g__unclassified_o__Oscillospirales</v>
          </cell>
          <cell r="I13373" t="str">
            <v>s__unclassified_o__Oscillospirales</v>
          </cell>
        </row>
        <row r="13374">
          <cell r="G13374" t="str">
            <v>ASV12950</v>
          </cell>
          <cell r="H13374" t="str">
            <v>g__Eubacterium_oxidoreducens_group</v>
          </cell>
          <cell r="I13374" t="str">
            <v>s__unclassified_g__Eubacterium_oxidoreducens_group</v>
          </cell>
        </row>
        <row r="13375">
          <cell r="G13375" t="str">
            <v>ASV16460</v>
          </cell>
          <cell r="H13375" t="str">
            <v>g__unclassified_f__Lachnospiraceae</v>
          </cell>
          <cell r="I13375" t="str">
            <v>s__unclassified_f__Lachnospiraceae</v>
          </cell>
        </row>
        <row r="13376">
          <cell r="G13376" t="str">
            <v>ASV23444</v>
          </cell>
          <cell r="H13376" t="str">
            <v>g__unclassified_f__Oscillospiraceae</v>
          </cell>
          <cell r="I13376" t="str">
            <v>s__unclassified_f__Oscillospiraceae</v>
          </cell>
        </row>
        <row r="13377">
          <cell r="G13377" t="str">
            <v>ASV21646</v>
          </cell>
          <cell r="H13377" t="str">
            <v>g__unclassified_f__Lachnospiraceae</v>
          </cell>
          <cell r="I13377" t="str">
            <v>s__unclassified_f__Lachnospiraceae</v>
          </cell>
        </row>
        <row r="13378">
          <cell r="G13378" t="str">
            <v>ASV20932</v>
          </cell>
          <cell r="H13378" t="str">
            <v>g__Eisenbergiella</v>
          </cell>
          <cell r="I13378" t="str">
            <v>s__unclassified_g__Eisenbergiella</v>
          </cell>
        </row>
        <row r="13379">
          <cell r="G13379" t="str">
            <v>ASV20817</v>
          </cell>
          <cell r="H13379" t="str">
            <v>g__unclassified_f__Peptostreptococcaceae</v>
          </cell>
          <cell r="I13379" t="str">
            <v>s__unclassified_f__Peptostreptococcaceae</v>
          </cell>
        </row>
        <row r="13380">
          <cell r="G13380" t="str">
            <v>ASV17308</v>
          </cell>
          <cell r="H13380" t="str">
            <v>g__Lactobacillus</v>
          </cell>
          <cell r="I13380" t="str">
            <v>s__unclassified_g__Lactobacillus</v>
          </cell>
        </row>
        <row r="13381">
          <cell r="G13381" t="str">
            <v>ASV988</v>
          </cell>
          <cell r="H13381" t="str">
            <v>g__unclassified_c__Clostridia</v>
          </cell>
          <cell r="I13381" t="str">
            <v>s__unclassified_c__Clostridia</v>
          </cell>
        </row>
        <row r="13382">
          <cell r="G13382" t="str">
            <v>ASV22468</v>
          </cell>
          <cell r="H13382" t="str">
            <v>g__unclassified_f__Lachnospiraceae</v>
          </cell>
          <cell r="I13382" t="str">
            <v>s__unclassified_f__Lachnospiraceae</v>
          </cell>
        </row>
        <row r="13383">
          <cell r="G13383" t="str">
            <v>ASV16502</v>
          </cell>
          <cell r="H13383" t="str">
            <v>g__Bacteroides</v>
          </cell>
          <cell r="I13383" t="str">
            <v>s__unclassified_g__Bacteroides</v>
          </cell>
        </row>
        <row r="13384">
          <cell r="G13384" t="str">
            <v>ASV18187</v>
          </cell>
          <cell r="H13384" t="str">
            <v>g__unclassified_c__Clostridia</v>
          </cell>
          <cell r="I13384" t="str">
            <v>s__unclassified_c__Clostridia</v>
          </cell>
        </row>
        <row r="13385">
          <cell r="G13385" t="str">
            <v>ASV12813</v>
          </cell>
          <cell r="H13385" t="str">
            <v>g__UCG-004</v>
          </cell>
          <cell r="I13385" t="str">
            <v>s__unidentified_rumen_bacterium_RFN74</v>
          </cell>
        </row>
        <row r="13386">
          <cell r="G13386" t="str">
            <v>ASV1061</v>
          </cell>
          <cell r="H13386" t="str">
            <v>g__Ruminococcus</v>
          </cell>
          <cell r="I13386" t="str">
            <v>s__unclassified_g__Ruminococcus</v>
          </cell>
        </row>
        <row r="13387">
          <cell r="G13387" t="str">
            <v>ASV18169</v>
          </cell>
          <cell r="H13387" t="str">
            <v>g__unclassified_f__Oscillospiraceae</v>
          </cell>
          <cell r="I13387" t="str">
            <v>s__unclassified_f__Oscillospiraceae</v>
          </cell>
        </row>
        <row r="13388">
          <cell r="G13388" t="str">
            <v>ASV16495</v>
          </cell>
          <cell r="H13388" t="str">
            <v>g__Prevotella</v>
          </cell>
          <cell r="I13388" t="str">
            <v>s__unclassified_g__Prevotella</v>
          </cell>
        </row>
        <row r="13389">
          <cell r="G13389" t="str">
            <v>ASV18891</v>
          </cell>
          <cell r="H13389" t="str">
            <v>g__Peptostreptococcus</v>
          </cell>
          <cell r="I13389" t="str">
            <v>s__unclassified_g__Peptostreptococcus</v>
          </cell>
        </row>
        <row r="13390">
          <cell r="G13390" t="str">
            <v>ASV9581</v>
          </cell>
          <cell r="H13390" t="str">
            <v>g__unclassified_p__Firmicutes</v>
          </cell>
          <cell r="I13390" t="str">
            <v>s__unclassified_p__Firmicutes</v>
          </cell>
        </row>
        <row r="13391">
          <cell r="G13391" t="str">
            <v>ASV23995</v>
          </cell>
          <cell r="H13391" t="str">
            <v>g__Sharpea</v>
          </cell>
          <cell r="I13391" t="str">
            <v>s__unclassified_g__Sharpea</v>
          </cell>
        </row>
        <row r="13392">
          <cell r="G13392" t="str">
            <v>ASV4089</v>
          </cell>
          <cell r="H13392" t="str">
            <v>g__unclassified_f__Peptostreptococcaceae</v>
          </cell>
          <cell r="I13392" t="str">
            <v>s__unclassified_f__Peptostreptococcaceae</v>
          </cell>
        </row>
        <row r="13393">
          <cell r="G13393" t="str">
            <v>ASV11940</v>
          </cell>
          <cell r="H13393" t="str">
            <v>g__Prevotella</v>
          </cell>
          <cell r="I13393" t="str">
            <v>s__uncultured_bacterium_g__Prevotella</v>
          </cell>
        </row>
        <row r="13394">
          <cell r="G13394" t="str">
            <v>ASV22894</v>
          </cell>
          <cell r="H13394" t="str">
            <v>g__Roseomonas</v>
          </cell>
          <cell r="I13394" t="str">
            <v>s__unclassified_g__Roseomonas</v>
          </cell>
        </row>
        <row r="13395">
          <cell r="G13395" t="str">
            <v>ASV5983</v>
          </cell>
          <cell r="H13395" t="str">
            <v>g__unclassified_f__Lachnospiraceae</v>
          </cell>
          <cell r="I13395" t="str">
            <v>s__unclassified_f__Lachnospiraceae</v>
          </cell>
        </row>
        <row r="13396">
          <cell r="G13396" t="str">
            <v>ASV5073</v>
          </cell>
          <cell r="H13396" t="str">
            <v>g__unclassified_f__Lachnospiraceae</v>
          </cell>
          <cell r="I13396" t="str">
            <v>s__unclassified_f__Lachnospiraceae</v>
          </cell>
        </row>
        <row r="13397">
          <cell r="G13397" t="str">
            <v>ASV996</v>
          </cell>
          <cell r="H13397" t="str">
            <v>g__Mitsuokella</v>
          </cell>
          <cell r="I13397" t="str">
            <v>s__unclassified_g__Mitsuokella</v>
          </cell>
        </row>
        <row r="13398">
          <cell r="G13398" t="str">
            <v>ASV6026</v>
          </cell>
          <cell r="H13398" t="str">
            <v>g__unclassified_c__Clostridia</v>
          </cell>
          <cell r="I13398" t="str">
            <v>s__unclassified_c__Clostridia</v>
          </cell>
        </row>
        <row r="13399">
          <cell r="G13399" t="str">
            <v>ASV5939</v>
          </cell>
          <cell r="H13399" t="str">
            <v>g__unclassified_c__Clostridia</v>
          </cell>
          <cell r="I13399" t="str">
            <v>s__unclassified_c__Clostridia</v>
          </cell>
        </row>
        <row r="13400">
          <cell r="G13400" t="str">
            <v>ASV12932</v>
          </cell>
          <cell r="H13400" t="str">
            <v>g__UCG-005</v>
          </cell>
          <cell r="I13400" t="str">
            <v>s__uncultured_bacterium_g__UCG-005</v>
          </cell>
        </row>
        <row r="13401">
          <cell r="G13401" t="str">
            <v>ASV1734</v>
          </cell>
          <cell r="H13401" t="str">
            <v>g__unclassified_c__Clostridia</v>
          </cell>
          <cell r="I13401" t="str">
            <v>s__unclassified_c__Clostridia</v>
          </cell>
        </row>
        <row r="13402">
          <cell r="G13402" t="str">
            <v>ASV23314</v>
          </cell>
          <cell r="H13402" t="str">
            <v>g__Lactobacillus</v>
          </cell>
          <cell r="I13402" t="str">
            <v>s__unclassified_g__Lactobacillus</v>
          </cell>
        </row>
        <row r="13403">
          <cell r="G13403" t="str">
            <v>ASV9468</v>
          </cell>
          <cell r="H13403" t="str">
            <v>g__unclassified_f__Lachnospiraceae</v>
          </cell>
          <cell r="I13403" t="str">
            <v>s__unclassified_f__Lachnospiraceae</v>
          </cell>
        </row>
        <row r="13404">
          <cell r="G13404" t="str">
            <v>ASV1043</v>
          </cell>
          <cell r="H13404" t="str">
            <v>g__unclassified_f__Oscillospiraceae</v>
          </cell>
          <cell r="I13404" t="str">
            <v>s__unclassified_f__Oscillospiraceae</v>
          </cell>
        </row>
        <row r="13405">
          <cell r="G13405" t="str">
            <v>ASV11818</v>
          </cell>
          <cell r="H13405" t="str">
            <v>g__Succiniclasticum</v>
          </cell>
          <cell r="I13405" t="str">
            <v>s__unclassified_g__Succiniclasticum</v>
          </cell>
        </row>
        <row r="13406">
          <cell r="G13406" t="str">
            <v>ASV15409</v>
          </cell>
          <cell r="H13406" t="str">
            <v>g__unclassified_k__norank_d__Bacteria</v>
          </cell>
          <cell r="I13406" t="str">
            <v>s__unclassified_k__norank_d__Bacteria</v>
          </cell>
        </row>
        <row r="13407">
          <cell r="G13407" t="str">
            <v>ASV3216</v>
          </cell>
          <cell r="H13407" t="str">
            <v>g__norank_f__norank_o__Clostridia_UCG-014</v>
          </cell>
          <cell r="I13407" t="str">
            <v>s__uncultured_bacterium_g__norank_f__norank_o__Clostridia_UCG-014</v>
          </cell>
        </row>
        <row r="13408">
          <cell r="G13408" t="str">
            <v>ASV860</v>
          </cell>
          <cell r="H13408" t="str">
            <v>g__norank_f__Muribaculaceae</v>
          </cell>
          <cell r="I13408" t="str">
            <v>s__uncultured_bacterium_g__norank_f__Muribaculaceae</v>
          </cell>
        </row>
        <row r="13409">
          <cell r="G13409" t="str">
            <v>ASV2317</v>
          </cell>
          <cell r="H13409" t="str">
            <v>g__Peptococcus</v>
          </cell>
          <cell r="I13409" t="str">
            <v>s__uncultured_bacterium_g__Peptococcus</v>
          </cell>
        </row>
        <row r="13410">
          <cell r="G13410" t="str">
            <v>ASV11757</v>
          </cell>
          <cell r="H13410" t="str">
            <v>g__norank_f__norank_o__WCHB1-41</v>
          </cell>
          <cell r="I13410" t="str">
            <v>s__uncultured_bacterium_g__norank_f__norank_o__WCHB1-41</v>
          </cell>
        </row>
        <row r="13411">
          <cell r="G13411" t="str">
            <v>ASV919</v>
          </cell>
          <cell r="H13411" t="str">
            <v>g__unclassified_f__Lachnospiraceae</v>
          </cell>
          <cell r="I13411" t="str">
            <v>s__unclassified_f__Lachnospiraceae</v>
          </cell>
        </row>
        <row r="13412">
          <cell r="G13412" t="str">
            <v>ASV3223</v>
          </cell>
          <cell r="H13412" t="str">
            <v>g__unclassified_o__Lactobacillales</v>
          </cell>
          <cell r="I13412" t="str">
            <v>s__unclassified_o__Lactobacillales</v>
          </cell>
        </row>
        <row r="13413">
          <cell r="G13413" t="str">
            <v>ASV20941</v>
          </cell>
          <cell r="H13413" t="str">
            <v>g__unclassified_k__norank_d__Bacteria</v>
          </cell>
          <cell r="I13413" t="str">
            <v>s__unclassified_k__norank_d__Bacteria</v>
          </cell>
        </row>
        <row r="13414">
          <cell r="G13414" t="str">
            <v>ASV16034</v>
          </cell>
          <cell r="H13414" t="str">
            <v>g__unclassified_f__Ruminococcaceae</v>
          </cell>
          <cell r="I13414" t="str">
            <v>s__unclassified_f__Ruminococcaceae</v>
          </cell>
        </row>
        <row r="13415">
          <cell r="G13415" t="str">
            <v>ASV23356</v>
          </cell>
          <cell r="H13415" t="str">
            <v>g__Subdoligranulum</v>
          </cell>
          <cell r="I13415" t="str">
            <v>s__unclassified_g__Subdoligranulum</v>
          </cell>
        </row>
        <row r="13416">
          <cell r="G13416" t="str">
            <v>ASV18033</v>
          </cell>
          <cell r="H13416" t="str">
            <v>g__norank_f__norank_o__WCHB1-41</v>
          </cell>
          <cell r="I13416" t="str">
            <v>s__uncultured_bacterium_g__norank_f__norank_o__WCHB1-41</v>
          </cell>
        </row>
        <row r="13417">
          <cell r="G13417" t="str">
            <v>ASV2318</v>
          </cell>
          <cell r="H13417" t="str">
            <v>g__unclassified_f__Lachnospiraceae</v>
          </cell>
          <cell r="I13417" t="str">
            <v>s__unclassified_f__Lachnospiraceae</v>
          </cell>
        </row>
        <row r="13418">
          <cell r="G13418" t="str">
            <v>ASV10723</v>
          </cell>
          <cell r="H13418" t="str">
            <v>g__unclassified_o__Oscillospirales</v>
          </cell>
          <cell r="I13418" t="str">
            <v>s__unclassified_o__Oscillospirales</v>
          </cell>
        </row>
        <row r="13419">
          <cell r="G13419" t="str">
            <v>ASV16934</v>
          </cell>
          <cell r="H13419" t="str">
            <v>g__Bacteroides</v>
          </cell>
          <cell r="I13419" t="str">
            <v>s__unclassified_g__Bacteroides</v>
          </cell>
        </row>
        <row r="13420">
          <cell r="G13420" t="str">
            <v>ASV21475</v>
          </cell>
          <cell r="H13420" t="str">
            <v>g__unclassified_f__Lachnospiraceae</v>
          </cell>
          <cell r="I13420" t="str">
            <v>s__unclassified_f__Lachnospiraceae</v>
          </cell>
        </row>
        <row r="13421">
          <cell r="G13421" t="str">
            <v>ASV6106</v>
          </cell>
          <cell r="H13421" t="str">
            <v>g__Christensenellaceae_R-7_group</v>
          </cell>
          <cell r="I13421" t="str">
            <v>s__unclassified_g__Christensenellaceae_R-7_group</v>
          </cell>
        </row>
        <row r="13422">
          <cell r="G13422" t="str">
            <v>ASV11947</v>
          </cell>
          <cell r="H13422" t="str">
            <v>g__unclassified_p__Firmicutes</v>
          </cell>
          <cell r="I13422" t="str">
            <v>s__unclassified_p__Firmicutes</v>
          </cell>
        </row>
        <row r="13423">
          <cell r="G13423" t="str">
            <v>ASV908</v>
          </cell>
          <cell r="H13423" t="str">
            <v>g__Oscillibacter</v>
          </cell>
          <cell r="I13423" t="str">
            <v>s__unclassified_g__Oscillibacter</v>
          </cell>
        </row>
        <row r="13424">
          <cell r="G13424" t="str">
            <v>ASV6144</v>
          </cell>
          <cell r="H13424" t="str">
            <v>g__unclassified_c__Clostridia</v>
          </cell>
          <cell r="I13424" t="str">
            <v>s__unclassified_c__Clostridia</v>
          </cell>
        </row>
        <row r="13425">
          <cell r="G13425" t="str">
            <v>ASV13508</v>
          </cell>
          <cell r="H13425" t="str">
            <v>g__unclassified_o__Lactobacillales</v>
          </cell>
          <cell r="I13425" t="str">
            <v>s__unclassified_o__Lactobacillales</v>
          </cell>
        </row>
        <row r="13426">
          <cell r="G13426" t="str">
            <v>ASV18059</v>
          </cell>
          <cell r="H13426" t="str">
            <v>g__unclassified_f__Oxalobacteraceae</v>
          </cell>
          <cell r="I13426" t="str">
            <v>s__unclassified_f__Oxalobacteraceae</v>
          </cell>
        </row>
        <row r="13427">
          <cell r="G13427" t="str">
            <v>ASV2372</v>
          </cell>
          <cell r="H13427" t="str">
            <v>g__unclassified_f__Lachnospiraceae</v>
          </cell>
          <cell r="I13427" t="str">
            <v>s__unclassified_f__Lachnospiraceae</v>
          </cell>
        </row>
        <row r="13428">
          <cell r="G13428" t="str">
            <v>ASV12841</v>
          </cell>
          <cell r="H13428" t="str">
            <v>g__Bacteroides</v>
          </cell>
          <cell r="I13428" t="str">
            <v>s__unclassified_g__Bacteroides</v>
          </cell>
        </row>
        <row r="13429">
          <cell r="G13429" t="str">
            <v>ASV19610</v>
          </cell>
          <cell r="H13429" t="str">
            <v>g__Lachnospiraceae_UCG-004</v>
          </cell>
          <cell r="I13429" t="str">
            <v>s__uncultured_bacterium_g__Lachnospiraceae_UCG-004</v>
          </cell>
        </row>
        <row r="13430">
          <cell r="G13430" t="str">
            <v>ASV5072</v>
          </cell>
          <cell r="H13430" t="str">
            <v>g__unclassified_c__Clostridia</v>
          </cell>
          <cell r="I13430" t="str">
            <v>s__unclassified_c__Clostridia</v>
          </cell>
        </row>
        <row r="13431">
          <cell r="G13431" t="str">
            <v>ASV5957</v>
          </cell>
          <cell r="H13431" t="str">
            <v>g__Lactobacillus</v>
          </cell>
          <cell r="I13431" t="str">
            <v>s__unclassified_g__Lactobacillus</v>
          </cell>
        </row>
        <row r="13432">
          <cell r="G13432" t="str">
            <v>ASV9517</v>
          </cell>
          <cell r="H13432" t="str">
            <v>g__Parabacteroides</v>
          </cell>
          <cell r="I13432" t="str">
            <v>s__Porphyromonadaceae_bacterium_DJF_B175</v>
          </cell>
        </row>
        <row r="13433">
          <cell r="G13433" t="str">
            <v>ASV1046</v>
          </cell>
          <cell r="H13433" t="str">
            <v>g__Lachnospiraceae_NC2004_group</v>
          </cell>
          <cell r="I13433" t="str">
            <v>s__unclassified_g__Lachnospiraceae_NC2004_group</v>
          </cell>
        </row>
        <row r="13434">
          <cell r="G13434" t="str">
            <v>ASV961</v>
          </cell>
          <cell r="H13434" t="str">
            <v>g__Clostridium_sensu_stricto_1</v>
          </cell>
          <cell r="I13434" t="str">
            <v>s__unclassified_g__Clostridium_sensu_stricto_1</v>
          </cell>
        </row>
        <row r="13435">
          <cell r="G13435" t="str">
            <v>ASV6017</v>
          </cell>
          <cell r="H13435" t="str">
            <v>g__Escherichia-Shigella</v>
          </cell>
          <cell r="I13435" t="str">
            <v>s__unclassified_g__Escherichia-Shigella</v>
          </cell>
        </row>
        <row r="13436">
          <cell r="G13436" t="str">
            <v>ASV22450</v>
          </cell>
          <cell r="H13436" t="str">
            <v>g__Lactobacillus</v>
          </cell>
          <cell r="I13436" t="str">
            <v>s__unclassified_g__Lactobacillus</v>
          </cell>
        </row>
        <row r="13437">
          <cell r="G13437" t="str">
            <v>ASV18122</v>
          </cell>
          <cell r="H13437" t="str">
            <v>g__unclassified_f__Oscillospiraceae</v>
          </cell>
          <cell r="I13437" t="str">
            <v>s__unclassified_f__Oscillospiraceae</v>
          </cell>
        </row>
        <row r="13438">
          <cell r="G13438" t="str">
            <v>ASV16566</v>
          </cell>
          <cell r="H13438" t="str">
            <v>g__Parabacteroides</v>
          </cell>
          <cell r="I13438" t="str">
            <v>s__uncultured_bacterium_g__Parabacteroides</v>
          </cell>
        </row>
        <row r="13439">
          <cell r="G13439" t="str">
            <v>ASV5109</v>
          </cell>
          <cell r="H13439" t="str">
            <v>g__Enterococcus</v>
          </cell>
          <cell r="I13439" t="str">
            <v>s__unclassified_g__Enterococcus</v>
          </cell>
        </row>
        <row r="13440">
          <cell r="G13440" t="str">
            <v>ASV11945</v>
          </cell>
          <cell r="H13440" t="str">
            <v>g__Candidatus_Saccharimonas</v>
          </cell>
          <cell r="I13440" t="str">
            <v>s__unclassified_g__Candidatus_Saccharimonas</v>
          </cell>
        </row>
        <row r="13441">
          <cell r="G13441" t="str">
            <v>ASV21620</v>
          </cell>
          <cell r="H13441" t="str">
            <v>g__Fusobacterium</v>
          </cell>
          <cell r="I13441" t="str">
            <v>s__unclassified_g__Fusobacterium</v>
          </cell>
        </row>
        <row r="13442">
          <cell r="G13442" t="str">
            <v>ASV15432</v>
          </cell>
          <cell r="H13442" t="str">
            <v>g__unclassified_c__Clostridia</v>
          </cell>
          <cell r="I13442" t="str">
            <v>s__unclassified_c__Clostridia</v>
          </cell>
        </row>
        <row r="13443">
          <cell r="G13443" t="str">
            <v>ASV20271</v>
          </cell>
          <cell r="H13443" t="str">
            <v>g__Escherichia-Shigella</v>
          </cell>
          <cell r="I13443" t="str">
            <v>s__unclassified_g__Escherichia-Shigella</v>
          </cell>
        </row>
        <row r="13444">
          <cell r="G13444" t="str">
            <v>ASV4980</v>
          </cell>
          <cell r="H13444" t="str">
            <v>g__unclassified_k__norank_d__Bacteria</v>
          </cell>
          <cell r="I13444" t="str">
            <v>s__unclassified_k__norank_d__Bacteria</v>
          </cell>
        </row>
        <row r="13445">
          <cell r="G13445" t="str">
            <v>ASV7972</v>
          </cell>
          <cell r="H13445" t="str">
            <v>g__Lactobacillus</v>
          </cell>
          <cell r="I13445" t="str">
            <v>s__unclassified_g__Lactobacillus</v>
          </cell>
        </row>
        <row r="13446">
          <cell r="G13446" t="str">
            <v>ASV10726</v>
          </cell>
          <cell r="H13446" t="str">
            <v>g__unclassified_f__Oscillospiraceae</v>
          </cell>
          <cell r="I13446" t="str">
            <v>s__unclassified_f__Oscillospiraceae</v>
          </cell>
        </row>
        <row r="13447">
          <cell r="G13447" t="str">
            <v>ASV18595</v>
          </cell>
          <cell r="H13447" t="str">
            <v>g__Parvimonas</v>
          </cell>
          <cell r="I13447" t="str">
            <v>s__unclassified_g__Parvimonas</v>
          </cell>
        </row>
        <row r="13448">
          <cell r="G13448" t="str">
            <v>ASV17505</v>
          </cell>
          <cell r="H13448" t="str">
            <v>g__Lactobacillus</v>
          </cell>
          <cell r="I13448" t="str">
            <v>s__unclassified_g__Lactobacillus</v>
          </cell>
        </row>
        <row r="13449">
          <cell r="G13449" t="str">
            <v>ASV14377</v>
          </cell>
          <cell r="H13449" t="str">
            <v>g__unclassified_f__Oscillospiraceae</v>
          </cell>
          <cell r="I13449" t="str">
            <v>s__unclassified_f__Oscillospiraceae</v>
          </cell>
        </row>
        <row r="13450">
          <cell r="G13450" t="str">
            <v>ASV3514</v>
          </cell>
          <cell r="H13450" t="str">
            <v>g__Escherichia-Shigella</v>
          </cell>
          <cell r="I13450" t="str">
            <v>s__unclassified_g__Escherichia-Shigella</v>
          </cell>
        </row>
        <row r="13451">
          <cell r="G13451" t="str">
            <v>ASV15093</v>
          </cell>
          <cell r="H13451" t="str">
            <v>g__Parabacteroides</v>
          </cell>
          <cell r="I13451" t="str">
            <v>s__Porphyromonadaceae_bacterium_DJF_B175</v>
          </cell>
        </row>
        <row r="13452">
          <cell r="G13452" t="str">
            <v>ASV23452</v>
          </cell>
          <cell r="H13452" t="str">
            <v>g__unclassified_c__Clostridia</v>
          </cell>
          <cell r="I13452" t="str">
            <v>s__unclassified_c__Clostridia</v>
          </cell>
        </row>
        <row r="13453">
          <cell r="G13453" t="str">
            <v>ASV889</v>
          </cell>
          <cell r="H13453" t="str">
            <v>g__Christensenellaceae_R-7_group</v>
          </cell>
          <cell r="I13453" t="str">
            <v>s__unclassified_g__Christensenellaceae_R-7_group</v>
          </cell>
        </row>
        <row r="13454">
          <cell r="G13454" t="str">
            <v>ASV10317</v>
          </cell>
          <cell r="H13454" t="str">
            <v>g__Mogibacterium</v>
          </cell>
          <cell r="I13454" t="str">
            <v>s__uncultured_Enterococcus_sp._g__Mogibacterium</v>
          </cell>
        </row>
        <row r="13455">
          <cell r="G13455" t="str">
            <v>ASV15415</v>
          </cell>
          <cell r="H13455" t="str">
            <v>g__Candidatus_Soleaferrea</v>
          </cell>
          <cell r="I13455" t="str">
            <v>s__Ruminococcaceae_bacterium_GD6</v>
          </cell>
        </row>
        <row r="13456">
          <cell r="G13456" t="str">
            <v>ASV15828</v>
          </cell>
          <cell r="H13456" t="str">
            <v>g__unclassified_p__Firmicutes</v>
          </cell>
          <cell r="I13456" t="str">
            <v>s__unclassified_p__Firmicutes</v>
          </cell>
        </row>
        <row r="13457">
          <cell r="G13457" t="str">
            <v>ASV12846</v>
          </cell>
          <cell r="H13457" t="str">
            <v>g__Bacillus</v>
          </cell>
          <cell r="I13457" t="str">
            <v>s__Lactobacillus_vaginalis_g__Bacillus</v>
          </cell>
        </row>
        <row r="13458">
          <cell r="G13458" t="str">
            <v>ASV16181</v>
          </cell>
          <cell r="H13458" t="str">
            <v>g__Acinetobacter</v>
          </cell>
          <cell r="I13458" t="str">
            <v>s__unclassified_g__Acinetobacter</v>
          </cell>
        </row>
        <row r="13459">
          <cell r="G13459" t="str">
            <v>ASV6782</v>
          </cell>
          <cell r="H13459" t="str">
            <v>g__unclassified_c__Clostridia</v>
          </cell>
          <cell r="I13459" t="str">
            <v>s__unclassified_c__Clostridia</v>
          </cell>
        </row>
        <row r="13460">
          <cell r="G13460" t="str">
            <v>ASV17671</v>
          </cell>
          <cell r="H13460" t="str">
            <v>g__Turicibacter</v>
          </cell>
          <cell r="I13460" t="str">
            <v>s__uncultured_bacterium_g__Turicibacter</v>
          </cell>
        </row>
        <row r="13461">
          <cell r="G13461" t="str">
            <v>ASV8298</v>
          </cell>
          <cell r="H13461" t="str">
            <v>g__Olsenella</v>
          </cell>
          <cell r="I13461" t="str">
            <v>s__unclassified_g__Olsenella</v>
          </cell>
        </row>
        <row r="13462">
          <cell r="G13462" t="str">
            <v>ASV11064</v>
          </cell>
          <cell r="H13462" t="str">
            <v>g__Lactobacillus</v>
          </cell>
          <cell r="I13462" t="str">
            <v>s__unclassified_g__Lactobacillus</v>
          </cell>
        </row>
        <row r="13463">
          <cell r="G13463" t="str">
            <v>ASV11842</v>
          </cell>
          <cell r="H13463" t="str">
            <v>g__unclassified_p__Firmicutes</v>
          </cell>
          <cell r="I13463" t="str">
            <v>s__unclassified_p__Firmicutes</v>
          </cell>
        </row>
        <row r="13464">
          <cell r="G13464" t="str">
            <v>ASV5049</v>
          </cell>
          <cell r="H13464" t="str">
            <v>g__norank_f__Muribaculaceae</v>
          </cell>
          <cell r="I13464" t="str">
            <v>s__uncultured_bacterium_g__norank_f__Muribaculaceae</v>
          </cell>
        </row>
        <row r="13465">
          <cell r="G13465" t="str">
            <v>ASV16545</v>
          </cell>
          <cell r="H13465" t="str">
            <v>g__unclassified_f__Oscillospiraceae</v>
          </cell>
          <cell r="I13465" t="str">
            <v>s__unclassified_f__Oscillospiraceae</v>
          </cell>
        </row>
        <row r="13466">
          <cell r="G13466" t="str">
            <v>ASV21472</v>
          </cell>
          <cell r="H13466" t="str">
            <v>g__unclassified_f__Lachnospiraceae</v>
          </cell>
          <cell r="I13466" t="str">
            <v>s__unclassified_f__Lachnospiraceae</v>
          </cell>
        </row>
        <row r="13467">
          <cell r="G13467" t="str">
            <v>ASV15488</v>
          </cell>
          <cell r="H13467" t="str">
            <v>g__norank_f__norank_o__Clostridia_vadinBB60_group</v>
          </cell>
          <cell r="I13467" t="str">
            <v>s__uncultured_bacterium_g__norank_f__norank_o__Clostridia_vadinBB60_group</v>
          </cell>
        </row>
        <row r="13468">
          <cell r="G13468" t="str">
            <v>ASV7363</v>
          </cell>
          <cell r="H13468" t="str">
            <v>g__Bacillus</v>
          </cell>
          <cell r="I13468" t="str">
            <v>s__Lactobacillus_vaginalis_g__Bacillus</v>
          </cell>
        </row>
        <row r="13469">
          <cell r="G13469" t="str">
            <v>ASV9465</v>
          </cell>
          <cell r="H13469" t="str">
            <v>g__Candidatus_Soleaferrea</v>
          </cell>
          <cell r="I13469" t="str">
            <v>s__uncultured_bacterium_g__Candidatus_Soleaferrea</v>
          </cell>
        </row>
        <row r="13470">
          <cell r="G13470" t="str">
            <v>ASV19711</v>
          </cell>
          <cell r="H13470" t="str">
            <v>g__Prevotella</v>
          </cell>
          <cell r="I13470" t="str">
            <v>s__unclassified_g__Prevotella</v>
          </cell>
        </row>
        <row r="13471">
          <cell r="G13471" t="str">
            <v>ASV22447</v>
          </cell>
          <cell r="H13471" t="str">
            <v>g__Lachnospiraceae_UCG-006</v>
          </cell>
          <cell r="I13471" t="str">
            <v>s__uncultured_rumen_bacterium_g__Lachnospiraceae_UCG-006</v>
          </cell>
        </row>
        <row r="13472">
          <cell r="G13472" t="str">
            <v>ASV16494</v>
          </cell>
          <cell r="H13472" t="str">
            <v>g__Clostridium_sensu_stricto_1</v>
          </cell>
          <cell r="I13472" t="str">
            <v>s__unclassified_g__Clostridium_sensu_stricto_1</v>
          </cell>
        </row>
        <row r="13473">
          <cell r="G13473" t="str">
            <v>ASV2778</v>
          </cell>
          <cell r="H13473" t="str">
            <v>g__Clostridium_sensu_stricto_1</v>
          </cell>
          <cell r="I13473" t="str">
            <v>s__unclassified_g__Clostridium_sensu_stricto_1</v>
          </cell>
        </row>
        <row r="13474">
          <cell r="G13474" t="str">
            <v>ASV15479</v>
          </cell>
          <cell r="H13474" t="str">
            <v>g__unclassified_f__Clostridiaceae</v>
          </cell>
          <cell r="I13474" t="str">
            <v>s__unclassified_f__Clostridiaceae</v>
          </cell>
        </row>
        <row r="13475">
          <cell r="G13475" t="str">
            <v>ASV22330</v>
          </cell>
          <cell r="H13475" t="str">
            <v>g__unclassified_c__Clostridia</v>
          </cell>
          <cell r="I13475" t="str">
            <v>s__unclassified_c__Clostridia</v>
          </cell>
        </row>
        <row r="13476">
          <cell r="G13476" t="str">
            <v>ASV1024</v>
          </cell>
          <cell r="H13476" t="str">
            <v>g__Ruminococcus</v>
          </cell>
          <cell r="I13476" t="str">
            <v>s__unclassified_g__Ruminococcus</v>
          </cell>
        </row>
        <row r="13477">
          <cell r="G13477" t="str">
            <v>ASV1703</v>
          </cell>
          <cell r="H13477" t="str">
            <v>g__unclassified_f__Peptostreptococcaceae</v>
          </cell>
          <cell r="I13477" t="str">
            <v>s__unclassified_f__Peptostreptococcaceae</v>
          </cell>
        </row>
        <row r="13478">
          <cell r="G13478" t="str">
            <v>ASV2765</v>
          </cell>
          <cell r="H13478" t="str">
            <v>g__norank_f__Euzebyaceae</v>
          </cell>
          <cell r="I13478" t="str">
            <v>s__Actinobacteria_bacterium_canine_oral_taxon_406</v>
          </cell>
        </row>
        <row r="13479">
          <cell r="G13479" t="str">
            <v>ASV19744</v>
          </cell>
          <cell r="H13479" t="str">
            <v>g__unclassified_f__Oscillospiraceae</v>
          </cell>
          <cell r="I13479" t="str">
            <v>s__unclassified_f__Oscillospiraceae</v>
          </cell>
        </row>
        <row r="13480">
          <cell r="G13480" t="str">
            <v>ASV2944</v>
          </cell>
          <cell r="H13480" t="str">
            <v>g__Arcanobacterium</v>
          </cell>
          <cell r="I13480" t="str">
            <v>s__unclassified_g__Arcanobacterium</v>
          </cell>
        </row>
        <row r="13481">
          <cell r="G13481" t="str">
            <v>ASV12924</v>
          </cell>
          <cell r="H13481" t="str">
            <v>g__Lactobacillus</v>
          </cell>
          <cell r="I13481" t="str">
            <v>s__unclassified_g__Lactobacillus</v>
          </cell>
        </row>
        <row r="13482">
          <cell r="G13482" t="str">
            <v>ASV17214</v>
          </cell>
          <cell r="H13482" t="str">
            <v>g__unclassified_p__Firmicutes</v>
          </cell>
          <cell r="I13482" t="str">
            <v>s__unclassified_p__Firmicutes</v>
          </cell>
        </row>
        <row r="13483">
          <cell r="G13483" t="str">
            <v>ASV20276</v>
          </cell>
          <cell r="H13483" t="str">
            <v>g__norank_f__Atopobiaceae</v>
          </cell>
          <cell r="I13483" t="str">
            <v>s__uncultured_bacterium_g__norank_f__Atopobiaceae</v>
          </cell>
        </row>
        <row r="13484">
          <cell r="G13484" t="str">
            <v>ASV8301</v>
          </cell>
          <cell r="H13484" t="str">
            <v>g__Mitsuokella</v>
          </cell>
          <cell r="I13484" t="str">
            <v>s__unclassified_g__Mitsuokella</v>
          </cell>
        </row>
        <row r="13485">
          <cell r="G13485" t="str">
            <v>ASV15404</v>
          </cell>
          <cell r="H13485" t="str">
            <v>g__Holdemanella</v>
          </cell>
          <cell r="I13485" t="str">
            <v>s__uncultured_bacterium_g__Holdemanella</v>
          </cell>
        </row>
        <row r="13486">
          <cell r="G13486" t="str">
            <v>ASV11695</v>
          </cell>
          <cell r="H13486" t="str">
            <v>g__Lachnospiraceae_UCG-004</v>
          </cell>
          <cell r="I13486" t="str">
            <v>s__uncultured_bacterium_g__Lachnospiraceae_UCG-004</v>
          </cell>
        </row>
        <row r="13487">
          <cell r="G13487" t="str">
            <v>ASV11816</v>
          </cell>
          <cell r="H13487" t="str">
            <v>g__norank_f__Muribaculaceae</v>
          </cell>
          <cell r="I13487" t="str">
            <v>s__uncultured_Porphyromonadaceae_bacterium_g__norank_f__Muribaculaceae</v>
          </cell>
        </row>
        <row r="13488">
          <cell r="G13488" t="str">
            <v>ASV20280</v>
          </cell>
          <cell r="H13488" t="str">
            <v>g__Bacteroides</v>
          </cell>
          <cell r="I13488" t="str">
            <v>s__unclassified_g__Bacteroides</v>
          </cell>
        </row>
        <row r="13489">
          <cell r="G13489" t="str">
            <v>ASV20889</v>
          </cell>
          <cell r="H13489" t="str">
            <v>g__Enterococcus</v>
          </cell>
          <cell r="I13489" t="str">
            <v>s__unclassified_g__Enterococcus</v>
          </cell>
        </row>
        <row r="13490">
          <cell r="G13490" t="str">
            <v>ASV17295</v>
          </cell>
          <cell r="H13490" t="str">
            <v>g__unclassified_f__Lachnospiraceae</v>
          </cell>
          <cell r="I13490" t="str">
            <v>s__unclassified_f__Lachnospiraceae</v>
          </cell>
        </row>
        <row r="13491">
          <cell r="G13491" t="str">
            <v>ASV14408</v>
          </cell>
          <cell r="H13491" t="str">
            <v>g__Mitsuokella</v>
          </cell>
          <cell r="I13491" t="str">
            <v>s__unclassified_g__Mitsuokella</v>
          </cell>
        </row>
        <row r="13492">
          <cell r="G13492" t="str">
            <v>ASV20461</v>
          </cell>
          <cell r="H13492" t="str">
            <v>g__Bacteriovorax</v>
          </cell>
          <cell r="I13492" t="str">
            <v>s__unclassified_g__Bacteriovorax</v>
          </cell>
        </row>
        <row r="13493">
          <cell r="G13493" t="str">
            <v>ASV19756</v>
          </cell>
          <cell r="H13493" t="str">
            <v>g__Sphaerochaeta</v>
          </cell>
          <cell r="I13493" t="str">
            <v>s__uncultured_bacterium_g__Sphaerochaeta</v>
          </cell>
        </row>
        <row r="13494">
          <cell r="G13494" t="str">
            <v>ASV18229</v>
          </cell>
          <cell r="H13494" t="str">
            <v>g__unclassified_f__Oscillospiraceae</v>
          </cell>
          <cell r="I13494" t="str">
            <v>s__unclassified_f__Oscillospiraceae</v>
          </cell>
        </row>
        <row r="13495">
          <cell r="G13495" t="str">
            <v>ASV13479</v>
          </cell>
          <cell r="H13495" t="str">
            <v>g__unclassified_c__Clostridia</v>
          </cell>
          <cell r="I13495" t="str">
            <v>s__unclassified_c__Clostridia</v>
          </cell>
        </row>
        <row r="13496">
          <cell r="G13496" t="str">
            <v>ASV11871</v>
          </cell>
          <cell r="H13496" t="str">
            <v>g__Prevotella</v>
          </cell>
          <cell r="I13496" t="str">
            <v>s__unclassified_g__Prevotella</v>
          </cell>
        </row>
        <row r="13497">
          <cell r="G13497" t="str">
            <v>ASV14376</v>
          </cell>
          <cell r="H13497" t="str">
            <v>g__unclassified_c__Clostridia</v>
          </cell>
          <cell r="I13497" t="str">
            <v>s__unclassified_c__Clostridia</v>
          </cell>
        </row>
        <row r="13498">
          <cell r="G13498" t="str">
            <v>ASV11993</v>
          </cell>
          <cell r="H13498" t="str">
            <v>g__unclassified_c__Clostridia</v>
          </cell>
          <cell r="I13498" t="str">
            <v>s__unclassified_c__Clostridia</v>
          </cell>
        </row>
        <row r="13499">
          <cell r="G13499" t="str">
            <v>ASV7938</v>
          </cell>
          <cell r="H13499" t="str">
            <v>g__unclassified_o__Peptostreptococcales-Tissierellales</v>
          </cell>
          <cell r="I13499" t="str">
            <v>s__unclassified_o__Peptostreptococcales-Tissierellales</v>
          </cell>
        </row>
        <row r="13500">
          <cell r="G13500" t="str">
            <v>ASV19724</v>
          </cell>
          <cell r="H13500" t="str">
            <v>g__Lactobacillus</v>
          </cell>
          <cell r="I13500" t="str">
            <v>s__unclassified_g__Lactobacillus</v>
          </cell>
        </row>
        <row r="13501">
          <cell r="G13501" t="str">
            <v>ASV8831</v>
          </cell>
          <cell r="H13501" t="str">
            <v>g__Lactobacillus</v>
          </cell>
          <cell r="I13501" t="str">
            <v>s__unclassified_g__Lactobacillus</v>
          </cell>
        </row>
        <row r="13502">
          <cell r="G13502" t="str">
            <v>ASV16048</v>
          </cell>
          <cell r="H13502" t="str">
            <v>g__Parabacteroides</v>
          </cell>
          <cell r="I13502" t="str">
            <v>s__uncultured_bacterium_g__Parabacteroides</v>
          </cell>
        </row>
        <row r="13503">
          <cell r="G13503" t="str">
            <v>ASV16506</v>
          </cell>
          <cell r="H13503" t="str">
            <v>g__Rikenellaceae_RC9_gut_group</v>
          </cell>
          <cell r="I13503" t="str">
            <v>s__uncultured_bacterium_g__Rikenellaceae_RC9_gut_group</v>
          </cell>
        </row>
        <row r="13504">
          <cell r="G13504" t="str">
            <v>ASV4966</v>
          </cell>
          <cell r="H13504" t="str">
            <v>g__Lactobacillus</v>
          </cell>
          <cell r="I13504" t="str">
            <v>s__unclassified_g__Lactobacillus</v>
          </cell>
        </row>
        <row r="13505">
          <cell r="G13505" t="str">
            <v>ASV5025</v>
          </cell>
          <cell r="H13505" t="str">
            <v>g__unclassified_c__Clostridia</v>
          </cell>
          <cell r="I13505" t="str">
            <v>s__unclassified_c__Clostridia</v>
          </cell>
        </row>
        <row r="13506">
          <cell r="G13506" t="str">
            <v>ASV16490</v>
          </cell>
          <cell r="H13506" t="str">
            <v>g__unclassified_c__Clostridia</v>
          </cell>
          <cell r="I13506" t="str">
            <v>s__unclassified_c__Clostridia</v>
          </cell>
        </row>
        <row r="13507">
          <cell r="G13507" t="str">
            <v>ASV7827</v>
          </cell>
          <cell r="H13507" t="str">
            <v>g__Streptococcus</v>
          </cell>
          <cell r="I13507" t="str">
            <v>s__Streptococcus_sp._C8I9</v>
          </cell>
        </row>
        <row r="13508">
          <cell r="G13508" t="str">
            <v>ASV16465</v>
          </cell>
          <cell r="H13508" t="str">
            <v>g__unclassified_k__norank_d__Bacteria</v>
          </cell>
          <cell r="I13508" t="str">
            <v>s__unclassified_k__norank_d__Bacteria</v>
          </cell>
        </row>
        <row r="13509">
          <cell r="G13509" t="str">
            <v>ASV20918</v>
          </cell>
          <cell r="H13509" t="str">
            <v>g__Christensenellaceae_R-7_group</v>
          </cell>
          <cell r="I13509" t="str">
            <v>s__unclassified_g__Christensenellaceae_R-7_group</v>
          </cell>
        </row>
        <row r="13510">
          <cell r="G13510" t="str">
            <v>ASV20912</v>
          </cell>
          <cell r="H13510" t="str">
            <v>g__Christensenellaceae_R-7_group</v>
          </cell>
          <cell r="I13510" t="str">
            <v>s__unclassified_g__Christensenellaceae_R-7_group</v>
          </cell>
        </row>
        <row r="13511">
          <cell r="G13511" t="str">
            <v>ASV11870</v>
          </cell>
          <cell r="H13511" t="str">
            <v>g__unclassified_o__Bacteroidales</v>
          </cell>
          <cell r="I13511" t="str">
            <v>s__unclassified_o__Bacteroidales</v>
          </cell>
        </row>
        <row r="13512">
          <cell r="G13512" t="str">
            <v>ASV12872</v>
          </cell>
          <cell r="H13512" t="str">
            <v>g__Rikenellaceae_RC9_gut_group</v>
          </cell>
          <cell r="I13512" t="str">
            <v>s__uncultured_bacterium_g__Rikenellaceae_RC9_gut_group</v>
          </cell>
        </row>
        <row r="13513">
          <cell r="G13513" t="str">
            <v>ASV22356</v>
          </cell>
          <cell r="H13513" t="str">
            <v>g__UCG-005</v>
          </cell>
          <cell r="I13513" t="str">
            <v>s__metagenome_g__UCG-005</v>
          </cell>
        </row>
        <row r="13514">
          <cell r="G13514" t="str">
            <v>ASV4887</v>
          </cell>
          <cell r="H13514" t="str">
            <v>g__Christensenellaceae_R-7_group</v>
          </cell>
          <cell r="I13514" t="str">
            <v>s__unclassified_g__Christensenellaceae_R-7_group</v>
          </cell>
        </row>
        <row r="13515">
          <cell r="G13515" t="str">
            <v>ASV15476</v>
          </cell>
          <cell r="H13515" t="str">
            <v>g__unclassified_c__Clostridia</v>
          </cell>
          <cell r="I13515" t="str">
            <v>s__unclassified_c__Clostridia</v>
          </cell>
        </row>
        <row r="13516">
          <cell r="G13516" t="str">
            <v>ASV7816</v>
          </cell>
          <cell r="H13516" t="str">
            <v>g__unclassified_o__Clostridiales</v>
          </cell>
          <cell r="I13516" t="str">
            <v>s__unclassified_o__Clostridiales</v>
          </cell>
        </row>
        <row r="13517">
          <cell r="G13517" t="str">
            <v>ASV21750</v>
          </cell>
          <cell r="H13517" t="str">
            <v>g__Mobilicoccus</v>
          </cell>
          <cell r="I13517" t="str">
            <v>s__unclassified_g__Mobilicoccus</v>
          </cell>
        </row>
        <row r="13518">
          <cell r="G13518" t="str">
            <v>ASV9444</v>
          </cell>
          <cell r="H13518" t="str">
            <v>g__unclassified_f__Anaerovoracaceae</v>
          </cell>
          <cell r="I13518" t="str">
            <v>s__unclassified_f__Anaerovoracaceae</v>
          </cell>
        </row>
        <row r="13519">
          <cell r="G13519" t="str">
            <v>ASV4898</v>
          </cell>
          <cell r="H13519" t="str">
            <v>g__unclassified_c__Bacilli</v>
          </cell>
          <cell r="I13519" t="str">
            <v>s__unclassified_c__Bacilli</v>
          </cell>
        </row>
        <row r="13520">
          <cell r="G13520" t="str">
            <v>ASV21651</v>
          </cell>
          <cell r="H13520" t="str">
            <v>g__Prevotella</v>
          </cell>
          <cell r="I13520" t="str">
            <v>s__unclassified_g__Prevotella</v>
          </cell>
        </row>
        <row r="13521">
          <cell r="G13521" t="str">
            <v>ASV19767</v>
          </cell>
          <cell r="H13521" t="str">
            <v>g__unclassified_c__Clostridia</v>
          </cell>
          <cell r="I13521" t="str">
            <v>s__unclassified_c__Clostridia</v>
          </cell>
        </row>
        <row r="13522">
          <cell r="G13522" t="str">
            <v>ASV10042</v>
          </cell>
          <cell r="H13522" t="str">
            <v>g__Christensenellaceae_R-7_group</v>
          </cell>
          <cell r="I13522" t="str">
            <v>s__unclassified_g__Christensenellaceae_R-7_group</v>
          </cell>
        </row>
        <row r="13523">
          <cell r="G13523" t="str">
            <v>ASV18088</v>
          </cell>
          <cell r="H13523" t="str">
            <v>g__unclassified_f__Ruminococcaceae</v>
          </cell>
          <cell r="I13523" t="str">
            <v>s__unclassified_f__Ruminococcaceae</v>
          </cell>
        </row>
        <row r="13524">
          <cell r="G13524" t="str">
            <v>ASV4146</v>
          </cell>
          <cell r="H13524" t="str">
            <v>g__UCG-005</v>
          </cell>
          <cell r="I13524" t="str">
            <v>s__unclassified_g__UCG-005</v>
          </cell>
        </row>
        <row r="13525">
          <cell r="G13525" t="str">
            <v>ASV9524</v>
          </cell>
          <cell r="H13525" t="str">
            <v>g__unclassified_k__norank_d__Bacteria</v>
          </cell>
          <cell r="I13525" t="str">
            <v>s__unclassified_k__norank_d__Bacteria</v>
          </cell>
        </row>
        <row r="13526">
          <cell r="G13526" t="str">
            <v>ASV1689</v>
          </cell>
          <cell r="H13526" t="str">
            <v>g__Lactobacillus</v>
          </cell>
          <cell r="I13526" t="str">
            <v>s__unclassified_g__Lactobacillus</v>
          </cell>
        </row>
        <row r="13527">
          <cell r="G13527" t="str">
            <v>ASV11829</v>
          </cell>
          <cell r="H13527" t="str">
            <v>g__norank_f__Christensenellaceae</v>
          </cell>
          <cell r="I13527" t="str">
            <v>s__Christensenella_sp._Marseille-P2437</v>
          </cell>
        </row>
        <row r="13528">
          <cell r="G13528" t="str">
            <v>ASV2245</v>
          </cell>
          <cell r="H13528" t="str">
            <v>g__unclassified_f__Lachnospiraceae</v>
          </cell>
          <cell r="I13528" t="str">
            <v>s__unclassified_f__Lachnospiraceae</v>
          </cell>
        </row>
        <row r="13529">
          <cell r="G13529" t="str">
            <v>ASV7987</v>
          </cell>
          <cell r="H13529" t="str">
            <v>g__unclassified_p__Firmicutes</v>
          </cell>
          <cell r="I13529" t="str">
            <v>s__unclassified_p__Firmicutes</v>
          </cell>
        </row>
        <row r="13530">
          <cell r="G13530" t="str">
            <v>ASV6018</v>
          </cell>
          <cell r="H13530" t="str">
            <v>g__norank_f__Muribaculaceae</v>
          </cell>
          <cell r="I13530" t="str">
            <v>s__uncultured_bacterium_g__norank_f__Muribaculaceae</v>
          </cell>
        </row>
        <row r="13531">
          <cell r="G13531" t="str">
            <v>ASV3513</v>
          </cell>
          <cell r="H13531" t="str">
            <v>g__unclassified_k__norank_d__Bacteria</v>
          </cell>
          <cell r="I13531" t="str">
            <v>s__unclassified_k__norank_d__Bacteria</v>
          </cell>
        </row>
        <row r="13532">
          <cell r="G13532" t="str">
            <v>ASV19208</v>
          </cell>
          <cell r="H13532" t="str">
            <v>g__Alloprevotella</v>
          </cell>
          <cell r="I13532" t="str">
            <v>s__uncultured_bacterium_g__Alloprevotella</v>
          </cell>
        </row>
        <row r="13533">
          <cell r="G13533" t="str">
            <v>ASV6114</v>
          </cell>
          <cell r="H13533" t="str">
            <v>g__unclassified_p__Actinobacteriota</v>
          </cell>
          <cell r="I13533" t="str">
            <v>s__unclassified_p__Actinobacteriota</v>
          </cell>
        </row>
        <row r="13534">
          <cell r="G13534" t="str">
            <v>ASV22339</v>
          </cell>
          <cell r="H13534" t="str">
            <v>g__unclassified_f__Peptostreptococcaceae</v>
          </cell>
          <cell r="I13534" t="str">
            <v>s__unclassified_f__Peptostreptococcaceae</v>
          </cell>
        </row>
        <row r="13535">
          <cell r="G13535" t="str">
            <v>ASV16552</v>
          </cell>
          <cell r="H13535" t="str">
            <v>g__UCG-002</v>
          </cell>
          <cell r="I13535" t="str">
            <v>s__unclassified_g__UCG-002</v>
          </cell>
        </row>
        <row r="13536">
          <cell r="G13536" t="str">
            <v>ASV18929</v>
          </cell>
          <cell r="H13536" t="str">
            <v>g__Eubacterium_oxidoreducens_group</v>
          </cell>
          <cell r="I13536" t="str">
            <v>s__uncultured_bacterium_g__Eubacterium_oxidoreducens_group</v>
          </cell>
        </row>
        <row r="13537">
          <cell r="G13537" t="str">
            <v>ASV6082</v>
          </cell>
          <cell r="H13537" t="str">
            <v>g__Eubacterium</v>
          </cell>
          <cell r="I13537" t="str">
            <v>s__unclassified_g__Eubacterium</v>
          </cell>
        </row>
        <row r="13538">
          <cell r="G13538" t="str">
            <v>ASV9890</v>
          </cell>
          <cell r="H13538" t="str">
            <v>g__Bergeyella</v>
          </cell>
          <cell r="I13538" t="str">
            <v>s__Bergeyella_porcorum</v>
          </cell>
        </row>
        <row r="13539">
          <cell r="G13539" t="str">
            <v>ASV10816</v>
          </cell>
          <cell r="H13539" t="str">
            <v>g__unclassified_f__Peptostreptococcaceae</v>
          </cell>
          <cell r="I13539" t="str">
            <v>s__unclassified_f__Peptostreptococcaceae</v>
          </cell>
        </row>
        <row r="13540">
          <cell r="G13540" t="str">
            <v>ASV14536</v>
          </cell>
          <cell r="H13540" t="str">
            <v>g__UCG-002</v>
          </cell>
          <cell r="I13540" t="str">
            <v>s__uncultured_bacterium_g__UCG-002</v>
          </cell>
        </row>
        <row r="13541">
          <cell r="G13541" t="str">
            <v>ASV6117</v>
          </cell>
          <cell r="H13541" t="str">
            <v>g__unclassified_c__Clostridia</v>
          </cell>
          <cell r="I13541" t="str">
            <v>s__unclassified_c__Clostridia</v>
          </cell>
        </row>
        <row r="13542">
          <cell r="G13542" t="str">
            <v>ASV24244</v>
          </cell>
          <cell r="H13542" t="str">
            <v>g__NK4A214_group</v>
          </cell>
          <cell r="I13542" t="str">
            <v>s__unclassified_g__NK4A214_group</v>
          </cell>
        </row>
        <row r="13543">
          <cell r="G13543" t="str">
            <v>ASV4205</v>
          </cell>
          <cell r="H13543" t="str">
            <v>g__Cloacibacillus</v>
          </cell>
          <cell r="I13543" t="str">
            <v>s__unclassified_g__Cloacibacillus</v>
          </cell>
        </row>
        <row r="13544">
          <cell r="G13544" t="str">
            <v>ASV18915</v>
          </cell>
          <cell r="H13544" t="str">
            <v>g__Sutterella</v>
          </cell>
          <cell r="I13544" t="str">
            <v>s__Sutterella_stercoricanis</v>
          </cell>
        </row>
        <row r="13545">
          <cell r="G13545" t="str">
            <v>ASV16055</v>
          </cell>
          <cell r="H13545" t="str">
            <v>g__Phascolarctobacterium</v>
          </cell>
          <cell r="I13545" t="str">
            <v>s__unclassified_g__Phascolarctobacterium</v>
          </cell>
        </row>
        <row r="13546">
          <cell r="G13546" t="str">
            <v>ASV993</v>
          </cell>
          <cell r="H13546" t="str">
            <v>g__CAG-873</v>
          </cell>
          <cell r="I13546" t="str">
            <v>s__Bacteroidales_bacterium_H4</v>
          </cell>
        </row>
        <row r="13547">
          <cell r="G13547" t="str">
            <v>ASV24211</v>
          </cell>
          <cell r="H13547" t="str">
            <v>g__unclassified_p__Firmicutes</v>
          </cell>
          <cell r="I13547" t="str">
            <v>s__unclassified_p__Firmicutes</v>
          </cell>
        </row>
        <row r="13548">
          <cell r="G13548" t="str">
            <v>ASV6729</v>
          </cell>
          <cell r="H13548" t="str">
            <v>g__unclassified_p__Firmicutes</v>
          </cell>
          <cell r="I13548" t="str">
            <v>s__unclassified_p__Firmicutes</v>
          </cell>
        </row>
        <row r="13549">
          <cell r="G13549" t="str">
            <v>ASV15817</v>
          </cell>
          <cell r="H13549" t="str">
            <v>g__unclassified_k__norank_d__Bacteria</v>
          </cell>
          <cell r="I13549" t="str">
            <v>s__unclassified_k__norank_d__Bacteria</v>
          </cell>
        </row>
        <row r="13550">
          <cell r="G13550" t="str">
            <v>ASV21486</v>
          </cell>
          <cell r="H13550" t="str">
            <v>g__Lactobacillus</v>
          </cell>
          <cell r="I13550" t="str">
            <v>s__unclassified_g__Lactobacillus</v>
          </cell>
        </row>
        <row r="13551">
          <cell r="G13551" t="str">
            <v>ASV11845</v>
          </cell>
          <cell r="H13551" t="str">
            <v>g__Lachnoclostridium</v>
          </cell>
          <cell r="I13551" t="str">
            <v>s__unclassified_g__Lachnoclostridium</v>
          </cell>
        </row>
        <row r="13552">
          <cell r="G13552" t="str">
            <v>ASV7942</v>
          </cell>
          <cell r="H13552" t="str">
            <v>g__UCG-002</v>
          </cell>
          <cell r="I13552" t="str">
            <v>s__unclassified_g__UCG-002</v>
          </cell>
        </row>
        <row r="13553">
          <cell r="G13553" t="str">
            <v>ASV22928</v>
          </cell>
          <cell r="H13553" t="str">
            <v>g__Lactobacillus</v>
          </cell>
          <cell r="I13553" t="str">
            <v>s__Lactobacillus_sp._C30An8</v>
          </cell>
        </row>
        <row r="13554">
          <cell r="G13554" t="str">
            <v>ASV11702</v>
          </cell>
          <cell r="H13554" t="str">
            <v>g__Christensenellaceae_R-7_group</v>
          </cell>
          <cell r="I13554" t="str">
            <v>s__unclassified_g__Christensenellaceae_R-7_group</v>
          </cell>
        </row>
        <row r="13555">
          <cell r="G13555" t="str">
            <v>ASV22331</v>
          </cell>
          <cell r="H13555" t="str">
            <v>g__unclassified_c__Clostridia</v>
          </cell>
          <cell r="I13555" t="str">
            <v>s__unclassified_c__Clostridia</v>
          </cell>
        </row>
        <row r="13556">
          <cell r="G13556" t="str">
            <v>ASV19845</v>
          </cell>
          <cell r="H13556" t="str">
            <v>g__Ruminococcus</v>
          </cell>
          <cell r="I13556" t="str">
            <v>s__unclassified_g__Ruminococcus</v>
          </cell>
        </row>
        <row r="13557">
          <cell r="G13557" t="str">
            <v>ASV1000</v>
          </cell>
          <cell r="H13557" t="str">
            <v>g__norank_f__norank_o__Clostridia_UCG-014</v>
          </cell>
          <cell r="I13557" t="str">
            <v>s__uncultured_bacterium_g__norank_f__norank_o__Clostridia_UCG-014</v>
          </cell>
        </row>
        <row r="13558">
          <cell r="G13558" t="str">
            <v>ASV17613</v>
          </cell>
          <cell r="H13558" t="str">
            <v>g__Bacteroides</v>
          </cell>
          <cell r="I13558" t="str">
            <v>s__unclassified_g__Bacteroides</v>
          </cell>
        </row>
        <row r="13559">
          <cell r="G13559" t="str">
            <v>ASV15092</v>
          </cell>
          <cell r="H13559" t="str">
            <v>g__Chryseobacterium</v>
          </cell>
          <cell r="I13559" t="str">
            <v>s__unclassified_g__Chryseobacterium</v>
          </cell>
        </row>
        <row r="13560">
          <cell r="G13560" t="str">
            <v>ASV7838</v>
          </cell>
          <cell r="H13560" t="str">
            <v>g__unclassified_o__Lactobacillales</v>
          </cell>
          <cell r="I13560" t="str">
            <v>s__unclassified_o__Lactobacillales</v>
          </cell>
        </row>
        <row r="13561">
          <cell r="G13561" t="str">
            <v>ASV6077</v>
          </cell>
          <cell r="H13561" t="str">
            <v>g__unclassified_f__Rikenellaceae</v>
          </cell>
          <cell r="I13561" t="str">
            <v>s__unclassified_f__Rikenellaceae</v>
          </cell>
        </row>
        <row r="13562">
          <cell r="G13562" t="str">
            <v>ASV11974</v>
          </cell>
          <cell r="H13562" t="str">
            <v>g__unclassified_k__norank_d__Bacteria</v>
          </cell>
          <cell r="I13562" t="str">
            <v>s__unclassified_k__norank_d__Bacteria</v>
          </cell>
        </row>
        <row r="13563">
          <cell r="G13563" t="str">
            <v>ASV884</v>
          </cell>
          <cell r="H13563" t="str">
            <v>g__unclassified_f__Lachnospiraceae</v>
          </cell>
          <cell r="I13563" t="str">
            <v>s__unclassified_f__Lachnospiraceae</v>
          </cell>
        </row>
        <row r="13564">
          <cell r="G13564" t="str">
            <v>ASV15421</v>
          </cell>
          <cell r="H13564" t="str">
            <v>g__Treponema</v>
          </cell>
          <cell r="I13564" t="str">
            <v>s__unclassified_g__Treponema</v>
          </cell>
        </row>
        <row r="13565">
          <cell r="G13565" t="str">
            <v>ASV9497</v>
          </cell>
          <cell r="H13565" t="str">
            <v>g__unclassified_k__norank_d__Bacteria</v>
          </cell>
          <cell r="I13565" t="str">
            <v>s__unclassified_k__norank_d__Bacteria</v>
          </cell>
        </row>
        <row r="13566">
          <cell r="G13566" t="str">
            <v>ASV2385</v>
          </cell>
          <cell r="H13566" t="str">
            <v>g__unclassified_f__Lachnospiraceae</v>
          </cell>
          <cell r="I13566" t="str">
            <v>s__unclassified_f__Lachnospiraceae</v>
          </cell>
        </row>
        <row r="13567">
          <cell r="G13567" t="str">
            <v>ASV24232</v>
          </cell>
          <cell r="H13567" t="str">
            <v>g__unclassified_o__Oscillospirales</v>
          </cell>
          <cell r="I13567" t="str">
            <v>s__unclassified_o__Oscillospirales</v>
          </cell>
        </row>
        <row r="13568">
          <cell r="G13568" t="str">
            <v>ASV7909</v>
          </cell>
          <cell r="H13568" t="str">
            <v>g__Megasphaera</v>
          </cell>
          <cell r="I13568" t="str">
            <v>s__unclassified_g__Megasphaera</v>
          </cell>
        </row>
        <row r="13569">
          <cell r="G13569" t="str">
            <v>ASV23335</v>
          </cell>
          <cell r="H13569" t="str">
            <v>g__unclassified_c__Clostridia</v>
          </cell>
          <cell r="I13569" t="str">
            <v>s__unclassified_c__Clostridia</v>
          </cell>
        </row>
        <row r="13570">
          <cell r="G13570" t="str">
            <v>ASV12838</v>
          </cell>
          <cell r="H13570" t="str">
            <v>g__unclassified_f__Prevotellaceae</v>
          </cell>
          <cell r="I13570" t="str">
            <v>s__unclassified_f__Prevotellaceae</v>
          </cell>
        </row>
        <row r="13571">
          <cell r="G13571" t="str">
            <v>ASV8517</v>
          </cell>
          <cell r="H13571" t="str">
            <v>g__Prevotella</v>
          </cell>
          <cell r="I13571" t="str">
            <v>s__unclassified_g__Prevotella</v>
          </cell>
        </row>
        <row r="13572">
          <cell r="G13572" t="str">
            <v>ASV12970</v>
          </cell>
          <cell r="H13572" t="str">
            <v>g__Lactobacillus</v>
          </cell>
          <cell r="I13572" t="str">
            <v>s__unclassified_g__Lactobacillus</v>
          </cell>
        </row>
        <row r="13573">
          <cell r="G13573" t="str">
            <v>ASV7862</v>
          </cell>
          <cell r="H13573" t="str">
            <v>g__unclassified_f__Lachnospiraceae</v>
          </cell>
          <cell r="I13573" t="str">
            <v>s__unclassified_f__Lachnospiraceae</v>
          </cell>
        </row>
        <row r="13574">
          <cell r="G13574" t="str">
            <v>ASV995</v>
          </cell>
          <cell r="H13574" t="str">
            <v>g__Veillonella</v>
          </cell>
          <cell r="I13574" t="str">
            <v>s__unclassified_g__Veillonella</v>
          </cell>
        </row>
        <row r="13575">
          <cell r="G13575" t="str">
            <v>ASV3256</v>
          </cell>
          <cell r="H13575" t="str">
            <v>g__unclassified_p__Firmicutes</v>
          </cell>
          <cell r="I13575" t="str">
            <v>s__unclassified_p__Firmicutes</v>
          </cell>
        </row>
        <row r="13576">
          <cell r="G13576" t="str">
            <v>ASV8294</v>
          </cell>
          <cell r="H13576" t="str">
            <v>g__Actinomyces</v>
          </cell>
          <cell r="I13576" t="str">
            <v>s__Actinomyces_urogenitalis</v>
          </cell>
        </row>
        <row r="13577">
          <cell r="G13577" t="str">
            <v>ASV19169</v>
          </cell>
          <cell r="H13577" t="str">
            <v>g__Butyricimonas</v>
          </cell>
          <cell r="I13577" t="str">
            <v>s__unclassified_g__Butyricimonas</v>
          </cell>
        </row>
        <row r="13578">
          <cell r="G13578" t="str">
            <v>ASV18148</v>
          </cell>
          <cell r="H13578" t="str">
            <v>g__unclassified_o__Oscillospirales</v>
          </cell>
          <cell r="I13578" t="str">
            <v>s__unclassified_o__Oscillospirales</v>
          </cell>
        </row>
        <row r="13579">
          <cell r="G13579" t="str">
            <v>ASV2345</v>
          </cell>
          <cell r="H13579" t="str">
            <v>g__Christensenellaceae_R-7_group</v>
          </cell>
          <cell r="I13579" t="str">
            <v>s__unclassified_g__Christensenellaceae_R-7_group</v>
          </cell>
        </row>
        <row r="13580">
          <cell r="G13580" t="str">
            <v>ASV4895</v>
          </cell>
          <cell r="H13580" t="str">
            <v>g__Lactobacillus</v>
          </cell>
          <cell r="I13580" t="str">
            <v>s__unclassified_g__Lactobacillus</v>
          </cell>
        </row>
        <row r="13581">
          <cell r="G13581" t="str">
            <v>ASV11994</v>
          </cell>
          <cell r="H13581" t="str">
            <v>g__Ruminococcus</v>
          </cell>
          <cell r="I13581" t="str">
            <v>s__unclassified_g__Ruminococcus</v>
          </cell>
        </row>
        <row r="13582">
          <cell r="G13582" t="str">
            <v>ASV14432</v>
          </cell>
          <cell r="H13582" t="str">
            <v>g__unclassified_f__Oscillospiraceae</v>
          </cell>
          <cell r="I13582" t="str">
            <v>s__unclassified_f__Oscillospiraceae</v>
          </cell>
        </row>
        <row r="13583">
          <cell r="G13583" t="str">
            <v>ASV19760</v>
          </cell>
          <cell r="H13583" t="str">
            <v>g__Christensenellaceae_R-7_group</v>
          </cell>
          <cell r="I13583" t="str">
            <v>s__unclassified_g__Christensenellaceae_R-7_group</v>
          </cell>
        </row>
        <row r="13584">
          <cell r="G13584" t="str">
            <v>ASV13810</v>
          </cell>
          <cell r="H13584" t="str">
            <v>g__Parvimonas</v>
          </cell>
          <cell r="I13584" t="str">
            <v>s__unclassified_g__Parvimonas</v>
          </cell>
        </row>
        <row r="13585">
          <cell r="G13585" t="str">
            <v>ASV11951</v>
          </cell>
          <cell r="H13585" t="str">
            <v>g__unclassified_k__norank_d__Bacteria</v>
          </cell>
          <cell r="I13585" t="str">
            <v>s__unclassified_k__norank_d__Bacteria</v>
          </cell>
        </row>
        <row r="13586">
          <cell r="G13586" t="str">
            <v>ASV19073</v>
          </cell>
          <cell r="H13586" t="str">
            <v>g__Escherichia-Shigella</v>
          </cell>
          <cell r="I13586" t="str">
            <v>s__unclassified_g__Escherichia-Shigella</v>
          </cell>
        </row>
        <row r="13587">
          <cell r="G13587" t="str">
            <v>ASV18901</v>
          </cell>
          <cell r="H13587" t="str">
            <v>g__unclassified_k__norank_d__Bacteria</v>
          </cell>
          <cell r="I13587" t="str">
            <v>s__unclassified_k__norank_d__Bacteria</v>
          </cell>
        </row>
        <row r="13588">
          <cell r="G13588" t="str">
            <v>ASV11860</v>
          </cell>
          <cell r="H13588" t="str">
            <v>g__norank_f__Ruminococcaceae</v>
          </cell>
          <cell r="I13588" t="str">
            <v>s__unclassified_g__norank_f__Ruminococcaceae</v>
          </cell>
        </row>
        <row r="13589">
          <cell r="G13589" t="str">
            <v>ASV13454</v>
          </cell>
          <cell r="H13589" t="str">
            <v>g__unclassified_c__Clostridia</v>
          </cell>
          <cell r="I13589" t="str">
            <v>s__unclassified_c__Clostridia</v>
          </cell>
        </row>
        <row r="13590">
          <cell r="G13590" t="str">
            <v>ASV1003</v>
          </cell>
          <cell r="H13590" t="str">
            <v>g__unclassified_c__Clostridia</v>
          </cell>
          <cell r="I13590" t="str">
            <v>s__unclassified_c__Clostridia</v>
          </cell>
        </row>
        <row r="13591">
          <cell r="G13591" t="str">
            <v>ASV11832</v>
          </cell>
          <cell r="H13591" t="str">
            <v>g__Family_XIII_AD3011_group</v>
          </cell>
          <cell r="I13591" t="str">
            <v>s__unclassified_g__Family_XIII_AD3011_group</v>
          </cell>
        </row>
        <row r="13592">
          <cell r="G13592" t="str">
            <v>ASV23428</v>
          </cell>
          <cell r="H13592" t="str">
            <v>g__Anaerorhabdus_furcosa_group</v>
          </cell>
          <cell r="I13592" t="str">
            <v>s__uncultured_bacterium_g__Anaerorhabdus_furcosa_group</v>
          </cell>
        </row>
        <row r="13593">
          <cell r="G13593" t="str">
            <v>ASV13453</v>
          </cell>
          <cell r="H13593" t="str">
            <v>g__unclassified_c__Clostridia</v>
          </cell>
          <cell r="I13593" t="str">
            <v>s__unclassified_c__Clostridia</v>
          </cell>
        </row>
        <row r="13594">
          <cell r="G13594" t="str">
            <v>ASV19626</v>
          </cell>
          <cell r="H13594" t="str">
            <v>g__unclassified_f__Lachnospiraceae</v>
          </cell>
          <cell r="I13594" t="str">
            <v>s__unclassified_f__Lachnospiraceae</v>
          </cell>
        </row>
        <row r="13595">
          <cell r="G13595" t="str">
            <v>ASV11955</v>
          </cell>
          <cell r="H13595" t="str">
            <v>g__Succiniclasticum</v>
          </cell>
          <cell r="I13595" t="str">
            <v>s__uncultured_rumen_bacterium_4C28d-16</v>
          </cell>
        </row>
        <row r="13596">
          <cell r="G13596" t="str">
            <v>ASV17571</v>
          </cell>
          <cell r="H13596" t="str">
            <v>g__Acidibacter</v>
          </cell>
          <cell r="I13596" t="str">
            <v>s__unclassified_g__Acidibacter</v>
          </cell>
        </row>
        <row r="13597">
          <cell r="G13597" t="str">
            <v>ASV968</v>
          </cell>
          <cell r="H13597" t="str">
            <v>g__unclassified_c__Clostridia</v>
          </cell>
          <cell r="I13597" t="str">
            <v>s__unclassified_c__Clostridia</v>
          </cell>
        </row>
        <row r="13598">
          <cell r="G13598" t="str">
            <v>ASV6021</v>
          </cell>
          <cell r="H13598" t="str">
            <v>g__Monoglobus</v>
          </cell>
          <cell r="I13598" t="str">
            <v>s__unclassified_g__Monoglobus</v>
          </cell>
        </row>
        <row r="13599">
          <cell r="G13599" t="str">
            <v>ASV23963</v>
          </cell>
          <cell r="H13599" t="str">
            <v>g__Clostridium_innocuum_group</v>
          </cell>
          <cell r="I13599" t="str">
            <v>s__unclassified_g__Clostridium_innocuum_group</v>
          </cell>
        </row>
        <row r="13600">
          <cell r="G13600" t="str">
            <v>ASV856</v>
          </cell>
          <cell r="H13600" t="str">
            <v>g__unclassified_f__Lachnospiraceae</v>
          </cell>
          <cell r="I13600" t="str">
            <v>s__unclassified_f__Lachnospiraceae</v>
          </cell>
        </row>
        <row r="13601">
          <cell r="G13601" t="str">
            <v>ASV10771</v>
          </cell>
          <cell r="H13601" t="str">
            <v>g__Eubacterium_oxidoreducens_group</v>
          </cell>
          <cell r="I13601" t="str">
            <v>s__uncultured_bacterium_g__Eubacterium_oxidoreducens_group</v>
          </cell>
        </row>
        <row r="13602">
          <cell r="G13602" t="str">
            <v>ASV6043</v>
          </cell>
          <cell r="H13602" t="str">
            <v>g__unclassified_f__Lachnospiraceae</v>
          </cell>
          <cell r="I13602" t="str">
            <v>s__unclassified_f__Lachnospiraceae</v>
          </cell>
        </row>
        <row r="13603">
          <cell r="G13603" t="str">
            <v>ASV19718</v>
          </cell>
          <cell r="H13603" t="str">
            <v>g__Phascolarctobacterium</v>
          </cell>
          <cell r="I13603" t="str">
            <v>s__uncultured_bacterium_g__Phascolarctobacterium</v>
          </cell>
        </row>
        <row r="13604">
          <cell r="G13604" t="str">
            <v>ASV22390</v>
          </cell>
          <cell r="H13604" t="str">
            <v>g__Escherichia-Shigella</v>
          </cell>
          <cell r="I13604" t="str">
            <v>s__unclassified_g__Escherichia-Shigella</v>
          </cell>
        </row>
        <row r="13605">
          <cell r="G13605" t="str">
            <v>ASV12933</v>
          </cell>
          <cell r="H13605" t="str">
            <v>g__Lactobacillus</v>
          </cell>
          <cell r="I13605" t="str">
            <v>s__unclassified_g__Lactobacillus</v>
          </cell>
        </row>
        <row r="13606">
          <cell r="G13606" t="str">
            <v>ASV17675</v>
          </cell>
          <cell r="H13606" t="str">
            <v>g__Lactobacillus</v>
          </cell>
          <cell r="I13606" t="str">
            <v>s__unclassified_g__Lactobacillus</v>
          </cell>
        </row>
        <row r="13607">
          <cell r="G13607" t="str">
            <v>ASV14396</v>
          </cell>
          <cell r="H13607" t="str">
            <v>g__unclassified_c__Clostridia</v>
          </cell>
          <cell r="I13607" t="str">
            <v>s__unclassified_c__Clostridia</v>
          </cell>
        </row>
        <row r="13608">
          <cell r="G13608" t="str">
            <v>ASV8849</v>
          </cell>
          <cell r="H13608" t="str">
            <v>g__unclassified_f__Lachnospiraceae</v>
          </cell>
          <cell r="I13608" t="str">
            <v>s__unclassified_f__Lachnospiraceae</v>
          </cell>
        </row>
        <row r="13609">
          <cell r="G13609" t="str">
            <v>ASV10732</v>
          </cell>
          <cell r="H13609" t="str">
            <v>g__unclassified_c__Clostridia</v>
          </cell>
          <cell r="I13609" t="str">
            <v>s__unclassified_c__Clostridia</v>
          </cell>
        </row>
        <row r="13610">
          <cell r="G13610" t="str">
            <v>ASV935</v>
          </cell>
          <cell r="H13610" t="str">
            <v>g__Lactobacillus</v>
          </cell>
          <cell r="I13610" t="str">
            <v>s__unclassified_g__Lactobacillus</v>
          </cell>
        </row>
        <row r="13611">
          <cell r="G13611" t="str">
            <v>ASV8650</v>
          </cell>
          <cell r="H13611" t="str">
            <v>g__Nocardioides</v>
          </cell>
          <cell r="I13611" t="str">
            <v>s__Nocardioides_alkalitolerans</v>
          </cell>
        </row>
        <row r="13612">
          <cell r="G13612" t="str">
            <v>ASV4114</v>
          </cell>
          <cell r="H13612" t="str">
            <v>g__Butyricimonas</v>
          </cell>
          <cell r="I13612" t="str">
            <v>s__unclassified_g__Butyricimonas</v>
          </cell>
        </row>
        <row r="13613">
          <cell r="G13613" t="str">
            <v>ASV14411</v>
          </cell>
          <cell r="H13613" t="str">
            <v>g__unclassified_o__Lactobacillales</v>
          </cell>
          <cell r="I13613" t="str">
            <v>s__unclassified_o__Lactobacillales</v>
          </cell>
        </row>
        <row r="13614">
          <cell r="G13614" t="str">
            <v>ASV9600</v>
          </cell>
          <cell r="H13614" t="str">
            <v>g__unclassified_f__Lachnospiraceae</v>
          </cell>
          <cell r="I13614" t="str">
            <v>s__unclassified_f__Lachnospiraceae</v>
          </cell>
        </row>
        <row r="13615">
          <cell r="G13615" t="str">
            <v>ASV23399</v>
          </cell>
          <cell r="H13615" t="str">
            <v>g__Escherichia-Shigella</v>
          </cell>
          <cell r="I13615" t="str">
            <v>s__unclassified_g__Escherichia-Shigella</v>
          </cell>
        </row>
        <row r="13616">
          <cell r="G13616" t="str">
            <v>ASV780</v>
          </cell>
          <cell r="H13616" t="str">
            <v>g__norank_f__norank_o__RF39</v>
          </cell>
          <cell r="I13616" t="str">
            <v>s__uncultured_bacterium_g__norank_f__norank_o__RF39</v>
          </cell>
        </row>
        <row r="13617">
          <cell r="G13617" t="str">
            <v>ASV7983</v>
          </cell>
          <cell r="H13617" t="str">
            <v>g__unclassified_c__Bacteroidia</v>
          </cell>
          <cell r="I13617" t="str">
            <v>s__unclassified_c__Bacteroidia</v>
          </cell>
        </row>
        <row r="13618">
          <cell r="G13618" t="str">
            <v>ASV18608</v>
          </cell>
          <cell r="H13618" t="str">
            <v>g__Lactobacillus</v>
          </cell>
          <cell r="I13618" t="str">
            <v>s__Lactobacillus_sp._KC45b</v>
          </cell>
        </row>
        <row r="13619">
          <cell r="G13619" t="str">
            <v>ASV2296</v>
          </cell>
          <cell r="H13619" t="str">
            <v>g__unclassified_f__Lachnospiraceae</v>
          </cell>
          <cell r="I13619" t="str">
            <v>s__unclassified_f__Lachnospiraceae</v>
          </cell>
        </row>
        <row r="13620">
          <cell r="G13620" t="str">
            <v>ASV7980</v>
          </cell>
          <cell r="H13620" t="str">
            <v>g__Family_XIII_AD3011_group</v>
          </cell>
          <cell r="I13620" t="str">
            <v>s__unclassified_g__Family_XIII_AD3011_group</v>
          </cell>
        </row>
        <row r="13621">
          <cell r="G13621" t="str">
            <v>ASV893</v>
          </cell>
          <cell r="H13621" t="str">
            <v>g__unclassified_c__Clostridia</v>
          </cell>
          <cell r="I13621" t="str">
            <v>s__unclassified_c__Clostridia</v>
          </cell>
        </row>
        <row r="13622">
          <cell r="G13622" t="str">
            <v>ASV22411</v>
          </cell>
          <cell r="H13622" t="str">
            <v>g__Enterorhabdus</v>
          </cell>
          <cell r="I13622" t="str">
            <v>s__uncultured_bacterium_g__Enterorhabdus</v>
          </cell>
        </row>
        <row r="13623">
          <cell r="G13623" t="str">
            <v>ASV19758</v>
          </cell>
          <cell r="H13623" t="str">
            <v>g__unclassified_f__Lachnospiraceae</v>
          </cell>
          <cell r="I13623" t="str">
            <v>s__unclassified_f__Lachnospiraceae</v>
          </cell>
        </row>
        <row r="13624">
          <cell r="G13624" t="str">
            <v>ASV9010</v>
          </cell>
          <cell r="H13624" t="str">
            <v>g__horsej-a03</v>
          </cell>
          <cell r="I13624" t="str">
            <v>s__uncultured_bacterium_g__horsej-a03</v>
          </cell>
        </row>
        <row r="13625">
          <cell r="G13625" t="str">
            <v>ASV7950</v>
          </cell>
          <cell r="H13625" t="str">
            <v>g__unclassified_c__Clostridia</v>
          </cell>
          <cell r="I13625" t="str">
            <v>s__unclassified_c__Clostridia</v>
          </cell>
        </row>
        <row r="13626">
          <cell r="G13626" t="str">
            <v>ASV11881</v>
          </cell>
          <cell r="H13626" t="str">
            <v>g__unclassified_f__Lachnospiraceae</v>
          </cell>
          <cell r="I13626" t="str">
            <v>s__unclassified_f__Lachnospiraceae</v>
          </cell>
        </row>
        <row r="13627">
          <cell r="G13627" t="str">
            <v>ASV19829</v>
          </cell>
          <cell r="H13627" t="str">
            <v>g__unclassified_o__Oscillospirales</v>
          </cell>
          <cell r="I13627" t="str">
            <v>s__unclassified_o__Oscillospirales</v>
          </cell>
        </row>
        <row r="13628">
          <cell r="G13628" t="str">
            <v>ASV14362</v>
          </cell>
          <cell r="H13628" t="str">
            <v>g__unclassified_f__Lachnospiraceae</v>
          </cell>
          <cell r="I13628" t="str">
            <v>s__unclassified_f__Lachnospiraceae</v>
          </cell>
        </row>
        <row r="13629">
          <cell r="G13629" t="str">
            <v>ASV8828</v>
          </cell>
          <cell r="H13629" t="str">
            <v>g__Rikenellaceae_RC9_gut_group</v>
          </cell>
          <cell r="I13629" t="str">
            <v>s__uncultured_bacterium_g__Rikenellaceae_RC9_gut_group</v>
          </cell>
        </row>
        <row r="13630">
          <cell r="G13630" t="str">
            <v>ASV4092</v>
          </cell>
          <cell r="H13630" t="str">
            <v>g__Eubacterium_oxidoreducens_group</v>
          </cell>
          <cell r="I13630" t="str">
            <v>s__uncultured_bacterium_g__Eubacterium_oxidoreducens_group</v>
          </cell>
        </row>
        <row r="13631">
          <cell r="G13631" t="str">
            <v>ASV10692</v>
          </cell>
          <cell r="H13631" t="str">
            <v>g__Holdemanella</v>
          </cell>
          <cell r="I13631" t="str">
            <v>s__uncultured_bacterium_g__Holdemanella</v>
          </cell>
        </row>
        <row r="13632">
          <cell r="G13632" t="str">
            <v>ASV3222</v>
          </cell>
          <cell r="H13632" t="str">
            <v>g__Bacteroides</v>
          </cell>
          <cell r="I13632" t="str">
            <v>s__Bacteroides_plebeius_DSM_17135</v>
          </cell>
        </row>
        <row r="13633">
          <cell r="G13633" t="str">
            <v>ASV21286</v>
          </cell>
          <cell r="H13633" t="str">
            <v>g__unclassified_f__Pasteurellaceae</v>
          </cell>
          <cell r="I13633" t="str">
            <v>s__unclassified_f__Pasteurellaceae</v>
          </cell>
        </row>
        <row r="13634">
          <cell r="G13634" t="str">
            <v>ASV22460</v>
          </cell>
          <cell r="H13634" t="str">
            <v>g__Christensenellaceae_R-7_group</v>
          </cell>
          <cell r="I13634" t="str">
            <v>s__unclassified_g__Christensenellaceae_R-7_group</v>
          </cell>
        </row>
        <row r="13635">
          <cell r="G13635" t="str">
            <v>ASV12988</v>
          </cell>
          <cell r="H13635" t="str">
            <v>g__Romboutsia</v>
          </cell>
          <cell r="I13635" t="str">
            <v>s__unclassified_g__Romboutsia</v>
          </cell>
        </row>
        <row r="13636">
          <cell r="G13636" t="str">
            <v>ASV22975</v>
          </cell>
          <cell r="H13636" t="str">
            <v>g__unclassified_c__Bacilli</v>
          </cell>
          <cell r="I13636" t="str">
            <v>s__unclassified_c__Bacilli</v>
          </cell>
        </row>
        <row r="13637">
          <cell r="G13637" t="str">
            <v>ASV6108</v>
          </cell>
          <cell r="H13637" t="str">
            <v>g__Rikenellaceae_RC9_gut_group</v>
          </cell>
          <cell r="I13637" t="str">
            <v>s__uncultured_bacterium_g__Rikenellaceae_RC9_gut_group</v>
          </cell>
        </row>
        <row r="13638">
          <cell r="G13638" t="str">
            <v>ASV10748</v>
          </cell>
          <cell r="H13638" t="str">
            <v>g__Lactobacillus</v>
          </cell>
          <cell r="I13638" t="str">
            <v>s__unclassified_g__Lactobacillus</v>
          </cell>
        </row>
        <row r="13639">
          <cell r="G13639" t="str">
            <v>ASV16544</v>
          </cell>
          <cell r="H13639" t="str">
            <v>g__Escherichia-Shigella</v>
          </cell>
          <cell r="I13639" t="str">
            <v>s__unclassified_g__Escherichia-Shigella</v>
          </cell>
        </row>
        <row r="13640">
          <cell r="G13640" t="str">
            <v>ASV23325</v>
          </cell>
          <cell r="H13640" t="str">
            <v>g__unclassified_c__Clostridia</v>
          </cell>
          <cell r="I13640" t="str">
            <v>s__unclassified_c__Clostridia</v>
          </cell>
        </row>
        <row r="13641">
          <cell r="G13641" t="str">
            <v>ASV2223</v>
          </cell>
          <cell r="H13641" t="str">
            <v>g__unclassified_k__norank_d__Bacteria</v>
          </cell>
          <cell r="I13641" t="str">
            <v>s__unclassified_k__norank_d__Bacteria</v>
          </cell>
        </row>
        <row r="13642">
          <cell r="G13642" t="str">
            <v>ASV23303</v>
          </cell>
          <cell r="H13642" t="str">
            <v>g__Bacteroides</v>
          </cell>
          <cell r="I13642" t="str">
            <v>s__unclassified_g__Bacteroides</v>
          </cell>
        </row>
        <row r="13643">
          <cell r="G13643" t="str">
            <v>ASV24179</v>
          </cell>
          <cell r="H13643" t="str">
            <v>g__norank_f__Erysipelotrichaceae</v>
          </cell>
          <cell r="I13643" t="str">
            <v>s__uncultured_bacterium_g__norank_f__Erysipelotrichaceae</v>
          </cell>
        </row>
        <row r="13644">
          <cell r="G13644" t="str">
            <v>ASV18064</v>
          </cell>
          <cell r="H13644" t="str">
            <v>g__unclassified_c__Clostridia</v>
          </cell>
          <cell r="I13644" t="str">
            <v>s__unclassified_c__Clostridia</v>
          </cell>
        </row>
        <row r="13645">
          <cell r="G13645" t="str">
            <v>ASV4960</v>
          </cell>
          <cell r="H13645" t="str">
            <v>g__Monoglobus</v>
          </cell>
          <cell r="I13645" t="str">
            <v>s__uncultured_bacterium_g__Monoglobus</v>
          </cell>
        </row>
        <row r="13646">
          <cell r="G13646" t="str">
            <v>ASV5054</v>
          </cell>
          <cell r="H13646" t="str">
            <v>g__unclassified_o__Oscillospirales</v>
          </cell>
          <cell r="I13646" t="str">
            <v>s__unclassified_o__Oscillospirales</v>
          </cell>
        </row>
        <row r="13647">
          <cell r="G13647" t="str">
            <v>ASV2278</v>
          </cell>
          <cell r="H13647" t="str">
            <v>g__unclassified_c__Clostridia</v>
          </cell>
          <cell r="I13647" t="str">
            <v>s__unclassified_c__Clostridia</v>
          </cell>
        </row>
        <row r="13648">
          <cell r="G13648" t="str">
            <v>ASV4886</v>
          </cell>
          <cell r="H13648" t="str">
            <v>g__unclassified_c__Actinobacteria</v>
          </cell>
          <cell r="I13648" t="str">
            <v>s__unclassified_c__Actinobacteria</v>
          </cell>
        </row>
        <row r="13649">
          <cell r="G13649" t="str">
            <v>ASV2237</v>
          </cell>
          <cell r="H13649" t="str">
            <v>g__unclassified_f__Lachnospiraceae</v>
          </cell>
          <cell r="I13649" t="str">
            <v>s__unclassified_f__Lachnospiraceae</v>
          </cell>
        </row>
        <row r="13650">
          <cell r="G13650" t="str">
            <v>ASV18210</v>
          </cell>
          <cell r="H13650" t="str">
            <v>g__Lactobacillus</v>
          </cell>
          <cell r="I13650" t="str">
            <v>s__unclassified_g__Lactobacillus</v>
          </cell>
        </row>
        <row r="13651">
          <cell r="G13651" t="str">
            <v>ASV15499</v>
          </cell>
          <cell r="H13651" t="str">
            <v>g__Collinsella</v>
          </cell>
          <cell r="I13651" t="str">
            <v>s__unclassified_g__Collinsella</v>
          </cell>
        </row>
        <row r="13652">
          <cell r="G13652" t="str">
            <v>ASV20947</v>
          </cell>
          <cell r="H13652" t="str">
            <v>g__unclassified_c__Clostridia</v>
          </cell>
          <cell r="I13652" t="str">
            <v>s__unclassified_c__Clostridia</v>
          </cell>
        </row>
        <row r="13653">
          <cell r="G13653" t="str">
            <v>ASV17572</v>
          </cell>
          <cell r="H13653" t="str">
            <v>g__Legionella</v>
          </cell>
          <cell r="I13653" t="str">
            <v>s__unclassified_g__Legionella</v>
          </cell>
        </row>
        <row r="13654">
          <cell r="G13654" t="str">
            <v>ASV11723</v>
          </cell>
          <cell r="H13654" t="str">
            <v>g__norank_f__Muribaculaceae</v>
          </cell>
          <cell r="I13654" t="str">
            <v>s__uncultured_bacterium_g__norank_f__Muribaculaceae</v>
          </cell>
        </row>
        <row r="13655">
          <cell r="G13655" t="str">
            <v>ASV10200</v>
          </cell>
          <cell r="H13655" t="str">
            <v>g__unclassified_c__Clostridia</v>
          </cell>
          <cell r="I13655" t="str">
            <v>s__unclassified_c__Clostridia</v>
          </cell>
        </row>
        <row r="13656">
          <cell r="G13656" t="str">
            <v>ASV7800</v>
          </cell>
          <cell r="H13656" t="str">
            <v>g__unclassified_k__norank_d__Bacteria</v>
          </cell>
          <cell r="I13656" t="str">
            <v>s__unclassified_k__norank_d__Bacteria</v>
          </cell>
        </row>
        <row r="13657">
          <cell r="G13657" t="str">
            <v>ASV9568</v>
          </cell>
          <cell r="H13657" t="str">
            <v>g__unclassified_c__Clostridia</v>
          </cell>
          <cell r="I13657" t="str">
            <v>s__unclassified_c__Clostridia</v>
          </cell>
        </row>
        <row r="13658">
          <cell r="G13658" t="str">
            <v>ASV3234</v>
          </cell>
          <cell r="H13658" t="str">
            <v>g__unclassified_f__Erysipelatoclostridiaceae</v>
          </cell>
          <cell r="I13658" t="str">
            <v>s__unclassified_f__Erysipelatoclostridiaceae</v>
          </cell>
        </row>
        <row r="13659">
          <cell r="G13659" t="str">
            <v>ASV18147</v>
          </cell>
          <cell r="H13659" t="str">
            <v>g__unclassified_f__Lachnospiraceae</v>
          </cell>
          <cell r="I13659" t="str">
            <v>s__unclassified_f__Lachnospiraceae</v>
          </cell>
        </row>
        <row r="13660">
          <cell r="G13660" t="str">
            <v>ASV15552</v>
          </cell>
          <cell r="H13660" t="str">
            <v>g__norank_f__Eubacterium_coprostanoligenes_group</v>
          </cell>
          <cell r="I13660" t="str">
            <v>s__uncultured_bacterium_g__norank_f__Eubacterium_coprostanoligenes_group</v>
          </cell>
        </row>
        <row r="13661">
          <cell r="G13661" t="str">
            <v>ASV20872</v>
          </cell>
          <cell r="H13661" t="str">
            <v>g__unclassified_f__Peptostreptococcaceae</v>
          </cell>
          <cell r="I13661" t="str">
            <v>s__unclassified_f__Peptostreptococcaceae</v>
          </cell>
        </row>
        <row r="13662">
          <cell r="G13662" t="str">
            <v>ASV8537</v>
          </cell>
          <cell r="H13662" t="str">
            <v>g__Phascolarctobacterium</v>
          </cell>
          <cell r="I13662" t="str">
            <v>s__unclassified_g__Phascolarctobacterium</v>
          </cell>
        </row>
        <row r="13663">
          <cell r="G13663" t="str">
            <v>ASV1695</v>
          </cell>
          <cell r="H13663" t="str">
            <v>g__Streptococcus</v>
          </cell>
          <cell r="I13663" t="str">
            <v>s__unclassified_g__Streptococcus</v>
          </cell>
        </row>
        <row r="13664">
          <cell r="G13664" t="str">
            <v>ASV10746</v>
          </cell>
          <cell r="H13664" t="str">
            <v>g__unclassified_c__Clostridia</v>
          </cell>
          <cell r="I13664" t="str">
            <v>s__unclassified_c__Clostridia</v>
          </cell>
        </row>
        <row r="13665">
          <cell r="G13665" t="str">
            <v>ASV23308</v>
          </cell>
          <cell r="H13665" t="str">
            <v>g__norank_f__F082</v>
          </cell>
          <cell r="I13665" t="str">
            <v>s__uncultured_bacterium_g__norank_f__F082</v>
          </cell>
        </row>
        <row r="13666">
          <cell r="G13666" t="str">
            <v>ASV16045</v>
          </cell>
          <cell r="H13666" t="str">
            <v>g__Lactobacillus</v>
          </cell>
          <cell r="I13666" t="str">
            <v>s__unclassified_g__Lactobacillus</v>
          </cell>
        </row>
        <row r="13667">
          <cell r="G13667" t="str">
            <v>ASV12007</v>
          </cell>
          <cell r="H13667" t="str">
            <v>g__unclassified_f__Lachnospiraceae</v>
          </cell>
          <cell r="I13667" t="str">
            <v>s__unclassified_f__Lachnospiraceae</v>
          </cell>
        </row>
        <row r="13668">
          <cell r="G13668" t="str">
            <v>ASV16520</v>
          </cell>
          <cell r="H13668" t="str">
            <v>g__unclassified_o__Bacteroidales</v>
          </cell>
          <cell r="I13668" t="str">
            <v>s__unclassified_o__Bacteroidales</v>
          </cell>
        </row>
        <row r="13669">
          <cell r="G13669" t="str">
            <v>ASV15811</v>
          </cell>
          <cell r="H13669" t="str">
            <v>g__Paraeggerthella</v>
          </cell>
          <cell r="I13669" t="str">
            <v>s__unclassified_g__Paraeggerthella</v>
          </cell>
        </row>
        <row r="13670">
          <cell r="G13670" t="str">
            <v>ASV6510</v>
          </cell>
          <cell r="H13670" t="str">
            <v>g__Streptococcus</v>
          </cell>
          <cell r="I13670" t="str">
            <v>s__unclassified_g__Streptococcus</v>
          </cell>
        </row>
        <row r="13671">
          <cell r="G13671" t="str">
            <v>ASV8533</v>
          </cell>
          <cell r="H13671" t="str">
            <v>g__unclassified_f__Selenomonadaceae</v>
          </cell>
          <cell r="I13671" t="str">
            <v>s__unclassified_f__Selenomonadaceae</v>
          </cell>
        </row>
        <row r="13672">
          <cell r="G13672" t="str">
            <v>ASV6764</v>
          </cell>
          <cell r="H13672" t="str">
            <v>g__unclassified_f__Ruminococcaceae</v>
          </cell>
          <cell r="I13672" t="str">
            <v>s__unclassified_f__Ruminococcaceae</v>
          </cell>
        </row>
        <row r="13673">
          <cell r="G13673" t="str">
            <v>ASV16926</v>
          </cell>
          <cell r="H13673" t="str">
            <v>g__unclassified_c__Bacilli</v>
          </cell>
          <cell r="I13673" t="str">
            <v>s__unclassified_c__Bacilli</v>
          </cell>
        </row>
        <row r="13674">
          <cell r="G13674" t="str">
            <v>ASV22305</v>
          </cell>
          <cell r="H13674" t="str">
            <v>g__unclassified_c__Clostridia</v>
          </cell>
          <cell r="I13674" t="str">
            <v>s__unclassified_c__Clostridia</v>
          </cell>
        </row>
        <row r="13675">
          <cell r="G13675" t="str">
            <v>ASV8827</v>
          </cell>
          <cell r="H13675" t="str">
            <v>g__Alloprevotella</v>
          </cell>
          <cell r="I13675" t="str">
            <v>s__unclassified_g__Alloprevotella</v>
          </cell>
        </row>
        <row r="13676">
          <cell r="G13676" t="str">
            <v>ASV8527</v>
          </cell>
          <cell r="H13676" t="str">
            <v>g__unclassified_k__norank_d__Bacteria</v>
          </cell>
          <cell r="I13676" t="str">
            <v>s__unclassified_k__norank_d__Bacteria</v>
          </cell>
        </row>
        <row r="13677">
          <cell r="G13677" t="str">
            <v>ASV5026</v>
          </cell>
          <cell r="H13677" t="str">
            <v>g__Parabacteroides</v>
          </cell>
          <cell r="I13677" t="str">
            <v>s__unclassified_g__Parabacteroides</v>
          </cell>
        </row>
        <row r="13678">
          <cell r="G13678" t="str">
            <v>ASV19691</v>
          </cell>
          <cell r="H13678" t="str">
            <v>g__unclassified_f__Prevotellaceae</v>
          </cell>
          <cell r="I13678" t="str">
            <v>s__unclassified_f__Prevotellaceae</v>
          </cell>
        </row>
        <row r="13679">
          <cell r="G13679" t="str">
            <v>ASV18155</v>
          </cell>
          <cell r="H13679" t="str">
            <v>g__unclassified_k__norank_d__Bacteria</v>
          </cell>
          <cell r="I13679" t="str">
            <v>s__unclassified_k__norank_d__Bacteria</v>
          </cell>
        </row>
        <row r="13680">
          <cell r="G13680" t="str">
            <v>ASV3672</v>
          </cell>
          <cell r="H13680" t="str">
            <v>g__Rothia</v>
          </cell>
          <cell r="I13680" t="str">
            <v>s__unclassified_g__Rothia</v>
          </cell>
        </row>
        <row r="13681">
          <cell r="G13681" t="str">
            <v>ASV853</v>
          </cell>
          <cell r="H13681" t="str">
            <v>g__unclassified_c__Clostridia</v>
          </cell>
          <cell r="I13681" t="str">
            <v>s__unclassified_c__Clostridia</v>
          </cell>
        </row>
        <row r="13682">
          <cell r="G13682" t="str">
            <v>ASV16008</v>
          </cell>
          <cell r="H13682" t="str">
            <v>g__UBA1819</v>
          </cell>
          <cell r="I13682" t="str">
            <v>s__unclassified_g__UBA1819</v>
          </cell>
        </row>
        <row r="13683">
          <cell r="G13683" t="str">
            <v>ASV14439</v>
          </cell>
          <cell r="H13683" t="str">
            <v>g__Lactobacillus</v>
          </cell>
          <cell r="I13683" t="str">
            <v>s__unclassified_g__Lactobacillus</v>
          </cell>
        </row>
        <row r="13684">
          <cell r="G13684" t="str">
            <v>ASV23981</v>
          </cell>
          <cell r="H13684" t="str">
            <v>g__norank_f__Muribaculaceae</v>
          </cell>
          <cell r="I13684" t="str">
            <v>s__unclassified_g__norank_f__Muribaculaceae</v>
          </cell>
        </row>
        <row r="13685">
          <cell r="G13685" t="str">
            <v>ASV805</v>
          </cell>
          <cell r="H13685" t="str">
            <v>g__Lactobacillus</v>
          </cell>
          <cell r="I13685" t="str">
            <v>s__unclassified_g__Lactobacillus</v>
          </cell>
        </row>
        <row r="13686">
          <cell r="G13686" t="str">
            <v>ASV12919</v>
          </cell>
          <cell r="H13686" t="str">
            <v>g__unclassified_o__Oscillospirales</v>
          </cell>
          <cell r="I13686" t="str">
            <v>s__unclassified_o__Oscillospirales</v>
          </cell>
        </row>
        <row r="13687">
          <cell r="G13687" t="str">
            <v>ASV7085</v>
          </cell>
          <cell r="H13687" t="str">
            <v>g__unclassified_o__Lactobacillales</v>
          </cell>
          <cell r="I13687" t="str">
            <v>s__unclassified_o__Lactobacillales</v>
          </cell>
        </row>
        <row r="13688">
          <cell r="G13688" t="str">
            <v>ASV18231</v>
          </cell>
          <cell r="H13688" t="str">
            <v>g__Christensenellaceae_R-7_group</v>
          </cell>
          <cell r="I13688" t="str">
            <v>s__unclassified_g__Christensenellaceae_R-7_group</v>
          </cell>
        </row>
        <row r="13689">
          <cell r="G13689" t="str">
            <v>ASV6096</v>
          </cell>
          <cell r="H13689" t="str">
            <v>g__Ruminococcus</v>
          </cell>
          <cell r="I13689" t="str">
            <v>s__uncultured_bacterium_g__Ruminococcus</v>
          </cell>
        </row>
        <row r="13690">
          <cell r="G13690" t="str">
            <v>ASV778</v>
          </cell>
          <cell r="H13690" t="str">
            <v>g__unclassified_o__Bacteroidales</v>
          </cell>
          <cell r="I13690" t="str">
            <v>s__unclassified_o__Bacteroidales</v>
          </cell>
        </row>
        <row r="13691">
          <cell r="G13691" t="str">
            <v>ASV17516</v>
          </cell>
          <cell r="H13691" t="str">
            <v>g__Escherichia-Shigella</v>
          </cell>
          <cell r="I13691" t="str">
            <v>s__unclassified_g__Escherichia-Shigella</v>
          </cell>
        </row>
        <row r="13692">
          <cell r="G13692" t="str">
            <v>ASV10682</v>
          </cell>
          <cell r="H13692" t="str">
            <v>g__Escherichia-Shigella</v>
          </cell>
          <cell r="I13692" t="str">
            <v>s__unclassified_g__Escherichia-Shigella</v>
          </cell>
        </row>
        <row r="13693">
          <cell r="G13693" t="str">
            <v>ASV19727</v>
          </cell>
          <cell r="H13693" t="str">
            <v>g__Phascolarctobacterium</v>
          </cell>
          <cell r="I13693" t="str">
            <v>s__uncultured_bacterium_g__Phascolarctobacterium</v>
          </cell>
        </row>
        <row r="13694">
          <cell r="G13694" t="str">
            <v>ASV12817</v>
          </cell>
          <cell r="H13694" t="str">
            <v>g__DNF00809</v>
          </cell>
          <cell r="I13694" t="str">
            <v>s__Coriobacteriaceae_bacterium_68-1-3</v>
          </cell>
        </row>
        <row r="13695">
          <cell r="G13695" t="str">
            <v>ASV3220</v>
          </cell>
          <cell r="H13695" t="str">
            <v>g__unclassified_p__Firmicutes</v>
          </cell>
          <cell r="I13695" t="str">
            <v>s__unclassified_p__Firmicutes</v>
          </cell>
        </row>
        <row r="13696">
          <cell r="G13696" t="str">
            <v>ASV5028</v>
          </cell>
          <cell r="H13696" t="str">
            <v>g__unclassified_f__Lachnospiraceae</v>
          </cell>
          <cell r="I13696" t="str">
            <v>s__unclassified_f__Lachnospiraceae</v>
          </cell>
        </row>
        <row r="13697">
          <cell r="G13697" t="str">
            <v>ASV4999</v>
          </cell>
          <cell r="H13697" t="str">
            <v>g__Enterococcus</v>
          </cell>
          <cell r="I13697" t="str">
            <v>s__unclassified_g__Enterococcus</v>
          </cell>
        </row>
        <row r="13698">
          <cell r="G13698" t="str">
            <v>ASV18056</v>
          </cell>
          <cell r="H13698" t="str">
            <v>g__unclassified_f__Lachnospiraceae</v>
          </cell>
          <cell r="I13698" t="str">
            <v>s__unclassified_f__Lachnospiraceae</v>
          </cell>
        </row>
        <row r="13699">
          <cell r="G13699" t="str">
            <v>ASV18602</v>
          </cell>
          <cell r="H13699" t="str">
            <v>g__Monoglobus</v>
          </cell>
          <cell r="I13699" t="str">
            <v>s__uncultured_bacterium_g__Monoglobus</v>
          </cell>
        </row>
        <row r="13700">
          <cell r="G13700" t="str">
            <v>ASV16039</v>
          </cell>
          <cell r="H13700" t="str">
            <v>g__unclassified_c__Clostridia</v>
          </cell>
          <cell r="I13700" t="str">
            <v>s__unclassified_c__Clostridia</v>
          </cell>
        </row>
        <row r="13701">
          <cell r="G13701" t="str">
            <v>ASV18898</v>
          </cell>
          <cell r="H13701" t="str">
            <v>g__Peptostreptococcus</v>
          </cell>
          <cell r="I13701" t="str">
            <v>s__unclassified_g__Peptostreptococcus</v>
          </cell>
        </row>
        <row r="13702">
          <cell r="G13702" t="str">
            <v>ASV24183</v>
          </cell>
          <cell r="H13702" t="str">
            <v>g__Candidatus_Soleaferrea</v>
          </cell>
          <cell r="I13702" t="str">
            <v>s__uncultured_bacterium_g__Candidatus_Soleaferrea</v>
          </cell>
        </row>
        <row r="13703">
          <cell r="G13703" t="str">
            <v>ASV830</v>
          </cell>
          <cell r="H13703" t="str">
            <v>g__norank_f__UCG-010</v>
          </cell>
          <cell r="I13703" t="str">
            <v>s__uncultured_bacterium_g__norank_f__UCG-010</v>
          </cell>
        </row>
        <row r="13704">
          <cell r="G13704" t="str">
            <v>ASV16565</v>
          </cell>
          <cell r="H13704" t="str">
            <v>g__unclassified_c__Clostridia</v>
          </cell>
          <cell r="I13704" t="str">
            <v>s__unclassified_c__Clostridia</v>
          </cell>
        </row>
        <row r="13705">
          <cell r="G13705" t="str">
            <v>ASV6080</v>
          </cell>
          <cell r="H13705" t="str">
            <v>g__norank_f__UCG-010</v>
          </cell>
          <cell r="I13705" t="str">
            <v>s__unclassified_g__norank_f__UCG-010</v>
          </cell>
        </row>
        <row r="13706">
          <cell r="G13706" t="str">
            <v>ASV22388</v>
          </cell>
          <cell r="H13706" t="str">
            <v>g__unclassified_f__Lachnospiraceae</v>
          </cell>
          <cell r="I13706" t="str">
            <v>s__unclassified_f__Lachnospiraceae</v>
          </cell>
        </row>
        <row r="13707">
          <cell r="G13707" t="str">
            <v>ASV4122</v>
          </cell>
          <cell r="H13707" t="str">
            <v>g__unclassified_p__Firmicutes</v>
          </cell>
          <cell r="I13707" t="str">
            <v>s__unclassified_p__Firmicutes</v>
          </cell>
        </row>
        <row r="13708">
          <cell r="G13708" t="str">
            <v>ASV17523</v>
          </cell>
          <cell r="H13708" t="str">
            <v>g__Bacillus</v>
          </cell>
          <cell r="I13708" t="str">
            <v>s__Lactobacillus_vaginalis_g__Bacillus</v>
          </cell>
        </row>
        <row r="13709">
          <cell r="G13709" t="str">
            <v>ASV7805</v>
          </cell>
          <cell r="H13709" t="str">
            <v>g__norank_f__Erysipelotrichaceae</v>
          </cell>
          <cell r="I13709" t="str">
            <v>s__uncultured_bacterium_g__norank_f__Erysipelotrichaceae</v>
          </cell>
        </row>
        <row r="13710">
          <cell r="G13710" t="str">
            <v>ASV7954</v>
          </cell>
          <cell r="H13710" t="str">
            <v>g__unclassified_f__Lachnospiraceae</v>
          </cell>
          <cell r="I13710" t="str">
            <v>s__unclassified_f__Lachnospiraceae</v>
          </cell>
        </row>
        <row r="13711">
          <cell r="G13711" t="str">
            <v>ASV13716</v>
          </cell>
          <cell r="H13711" t="str">
            <v>g__Lactobacillus</v>
          </cell>
          <cell r="I13711" t="str">
            <v>s__unclassified_g__Lactobacillus</v>
          </cell>
        </row>
        <row r="13712">
          <cell r="G13712" t="str">
            <v>ASV7977</v>
          </cell>
          <cell r="H13712" t="str">
            <v>g__unclassified_p__Firmicutes</v>
          </cell>
          <cell r="I13712" t="str">
            <v>s__unclassified_p__Firmicutes</v>
          </cell>
        </row>
        <row r="13713">
          <cell r="G13713" t="str">
            <v>ASV12002</v>
          </cell>
          <cell r="H13713" t="str">
            <v>g__norank_f__Muribaculaceae</v>
          </cell>
          <cell r="I13713" t="str">
            <v>s__uncultured_bacterium_g__norank_f__Muribaculaceae</v>
          </cell>
        </row>
        <row r="13714">
          <cell r="G13714" t="str">
            <v>ASV15544</v>
          </cell>
          <cell r="H13714" t="str">
            <v>g__Clostridium_sensu_stricto_1</v>
          </cell>
          <cell r="I13714" t="str">
            <v>s__unclassified_g__Clostridium_sensu_stricto_1</v>
          </cell>
        </row>
        <row r="13715">
          <cell r="G13715" t="str">
            <v>ASV16458</v>
          </cell>
          <cell r="H13715" t="str">
            <v>g__UCG-005</v>
          </cell>
          <cell r="I13715" t="str">
            <v>s__human_gut_metagenome_g__UCG-005</v>
          </cell>
        </row>
        <row r="13716">
          <cell r="G13716" t="str">
            <v>ASV6024</v>
          </cell>
          <cell r="H13716" t="str">
            <v>g__unclassified_f__Lachnospiraceae</v>
          </cell>
          <cell r="I13716" t="str">
            <v>s__unclassified_f__Lachnospiraceae</v>
          </cell>
        </row>
        <row r="13717">
          <cell r="G13717" t="str">
            <v>ASV13485</v>
          </cell>
          <cell r="H13717" t="str">
            <v>g__Lactobacillus</v>
          </cell>
          <cell r="I13717" t="str">
            <v>s__unclassified_g__Lactobacillus</v>
          </cell>
        </row>
        <row r="13718">
          <cell r="G13718" t="str">
            <v>ASV14514</v>
          </cell>
          <cell r="H13718" t="str">
            <v>g__unclassified_c__Clostridia</v>
          </cell>
          <cell r="I13718" t="str">
            <v>s__unclassified_c__Clostridia</v>
          </cell>
        </row>
        <row r="13719">
          <cell r="G13719" t="str">
            <v>ASV24206</v>
          </cell>
          <cell r="H13719" t="str">
            <v>g__unclassified_c__Clostridia</v>
          </cell>
          <cell r="I13719" t="str">
            <v>s__unclassified_c__Clostridia</v>
          </cell>
        </row>
        <row r="13720">
          <cell r="G13720" t="str">
            <v>ASV10833</v>
          </cell>
          <cell r="H13720" t="str">
            <v>g__Clostridium_sensu_stricto_1</v>
          </cell>
          <cell r="I13720" t="str">
            <v>s__unclassified_g__Clostridium_sensu_stricto_1</v>
          </cell>
        </row>
        <row r="13721">
          <cell r="G13721" t="str">
            <v>ASV5075</v>
          </cell>
          <cell r="H13721" t="str">
            <v>g__Treponema</v>
          </cell>
          <cell r="I13721" t="str">
            <v>s__Treponema_porcinum</v>
          </cell>
        </row>
        <row r="13722">
          <cell r="G13722" t="str">
            <v>ASV5993</v>
          </cell>
          <cell r="H13722" t="str">
            <v>g__unclassified_o__Oscillospirales</v>
          </cell>
          <cell r="I13722" t="str">
            <v>s__unclassified_o__Oscillospirales</v>
          </cell>
        </row>
        <row r="13723">
          <cell r="G13723" t="str">
            <v>ASV16961</v>
          </cell>
          <cell r="H13723" t="str">
            <v>g__norank_f__Erysipelotrichaceae</v>
          </cell>
          <cell r="I13723" t="str">
            <v>s__uncultured_bacterium_g__norank_f__Erysipelotrichaceae</v>
          </cell>
        </row>
        <row r="13724">
          <cell r="G13724" t="str">
            <v>ASV24194</v>
          </cell>
          <cell r="H13724" t="str">
            <v>g__unclassified_f__Lachnospiraceae</v>
          </cell>
          <cell r="I13724" t="str">
            <v>s__unclassified_f__Lachnospiraceae</v>
          </cell>
        </row>
        <row r="13725">
          <cell r="G13725" t="str">
            <v>ASV22512</v>
          </cell>
          <cell r="H13725" t="str">
            <v>g__Christensenellaceae_R-7_group</v>
          </cell>
          <cell r="I13725" t="str">
            <v>s__uncultured_bacterium_g__Christensenellaceae_R-7_group</v>
          </cell>
        </row>
        <row r="13726">
          <cell r="G13726" t="str">
            <v>ASV18136</v>
          </cell>
          <cell r="H13726" t="str">
            <v>g__SP3-e08</v>
          </cell>
          <cell r="I13726" t="str">
            <v>s__uncultured_bacterium_g__SP3-e08</v>
          </cell>
        </row>
        <row r="13727">
          <cell r="G13727" t="str">
            <v>ASV12945</v>
          </cell>
          <cell r="H13727" t="str">
            <v>g__Rikenellaceae_RC9_gut_group</v>
          </cell>
          <cell r="I13727" t="str">
            <v>s__uncultured_bacterium_g__Rikenellaceae_RC9_gut_group</v>
          </cell>
        </row>
        <row r="13728">
          <cell r="G13728" t="str">
            <v>ASV11866</v>
          </cell>
          <cell r="H13728" t="str">
            <v>g__unclassified_c__Clostridia</v>
          </cell>
          <cell r="I13728" t="str">
            <v>s__unclassified_c__Clostridia</v>
          </cell>
        </row>
        <row r="13729">
          <cell r="G13729" t="str">
            <v>ASV14511</v>
          </cell>
          <cell r="H13729" t="str">
            <v>g__Lactobacillus</v>
          </cell>
          <cell r="I13729" t="str">
            <v>s__unclassified_g__Lactobacillus</v>
          </cell>
        </row>
        <row r="13730">
          <cell r="G13730" t="str">
            <v>ASV7095</v>
          </cell>
          <cell r="H13730" t="str">
            <v>g__unclassified_p__Firmicutes</v>
          </cell>
          <cell r="I13730" t="str">
            <v>s__unclassified_p__Firmicutes</v>
          </cell>
        </row>
        <row r="13731">
          <cell r="G13731" t="str">
            <v>ASV875</v>
          </cell>
          <cell r="H13731" t="str">
            <v>g__norank_f__norank_o__Saccharimonadales</v>
          </cell>
          <cell r="I13731" t="str">
            <v>s__TM7_phylum_sp._oral_clone_FR058</v>
          </cell>
        </row>
        <row r="13732">
          <cell r="G13732" t="str">
            <v>ASV19858</v>
          </cell>
          <cell r="H13732" t="str">
            <v>g__unclassified_f__Lachnospiraceae</v>
          </cell>
          <cell r="I13732" t="str">
            <v>s__unclassified_f__Lachnospiraceae</v>
          </cell>
        </row>
        <row r="13733">
          <cell r="G13733" t="str">
            <v>ASV1075</v>
          </cell>
          <cell r="H13733" t="str">
            <v>g__unclassified_f__Christensenellaceae</v>
          </cell>
          <cell r="I13733" t="str">
            <v>s__unclassified_f__Christensenellaceae</v>
          </cell>
        </row>
        <row r="13734">
          <cell r="G13734" t="str">
            <v>ASV7094</v>
          </cell>
          <cell r="H13734" t="str">
            <v>g__unclassified_p__Firmicutes</v>
          </cell>
          <cell r="I13734" t="str">
            <v>s__unclassified_p__Firmicutes</v>
          </cell>
        </row>
        <row r="13735">
          <cell r="G13735" t="str">
            <v>ASV24259</v>
          </cell>
          <cell r="H13735" t="str">
            <v>g__Eubacterium_oxidoreducens_group</v>
          </cell>
          <cell r="I13735" t="str">
            <v>s__uncultured_bacterium_g__Eubacterium_oxidoreducens_group</v>
          </cell>
        </row>
        <row r="13736">
          <cell r="G13736" t="str">
            <v>ASV7875</v>
          </cell>
          <cell r="H13736" t="str">
            <v>g__Escherichia-Shigella</v>
          </cell>
          <cell r="I13736" t="str">
            <v>s__unclassified_g__Escherichia-Shigella</v>
          </cell>
        </row>
        <row r="13737">
          <cell r="G13737" t="str">
            <v>ASV7087</v>
          </cell>
          <cell r="H13737" t="str">
            <v>g__Lactobacillus</v>
          </cell>
          <cell r="I13737" t="str">
            <v>s__unclassified_g__Lactobacillus</v>
          </cell>
        </row>
        <row r="13738">
          <cell r="G13738" t="str">
            <v>ASV12915</v>
          </cell>
          <cell r="H13738" t="str">
            <v>g__Lactobacillus</v>
          </cell>
          <cell r="I13738" t="str">
            <v>s__unclassified_g__Lactobacillus</v>
          </cell>
        </row>
        <row r="13739">
          <cell r="G13739" t="str">
            <v>ASV886</v>
          </cell>
          <cell r="H13739" t="str">
            <v>g__unclassified_c__Clostridia</v>
          </cell>
          <cell r="I13739" t="str">
            <v>s__unclassified_c__Clostridia</v>
          </cell>
        </row>
        <row r="13740">
          <cell r="G13740" t="str">
            <v>ASV10794</v>
          </cell>
          <cell r="H13740" t="str">
            <v>g__unclassified_f__Lachnospiraceae</v>
          </cell>
          <cell r="I13740" t="str">
            <v>s__unclassified_f__Lachnospiraceae</v>
          </cell>
        </row>
        <row r="13741">
          <cell r="G13741" t="str">
            <v>ASV11749</v>
          </cell>
          <cell r="H13741" t="str">
            <v>g__unclassified_f__Lachnospiraceae</v>
          </cell>
          <cell r="I13741" t="str">
            <v>s__unclassified_f__Lachnospiraceae</v>
          </cell>
        </row>
        <row r="13742">
          <cell r="G13742" t="str">
            <v>ASV24189</v>
          </cell>
          <cell r="H13742" t="str">
            <v>g__Cloacibacillus</v>
          </cell>
          <cell r="I13742" t="str">
            <v>s__unclassified_g__Cloacibacillus</v>
          </cell>
        </row>
        <row r="13743">
          <cell r="G13743" t="str">
            <v>ASV12892</v>
          </cell>
          <cell r="H13743" t="str">
            <v>g__unclassified_c__Clostridia</v>
          </cell>
          <cell r="I13743" t="str">
            <v>s__unclassified_c__Clostridia</v>
          </cell>
        </row>
        <row r="13744">
          <cell r="G13744" t="str">
            <v>ASV18926</v>
          </cell>
          <cell r="H13744" t="str">
            <v>g__unclassified_p__Firmicutes</v>
          </cell>
          <cell r="I13744" t="str">
            <v>s__unclassified_p__Firmicutes</v>
          </cell>
        </row>
        <row r="13745">
          <cell r="G13745" t="str">
            <v>ASV929</v>
          </cell>
          <cell r="H13745" t="str">
            <v>g__unclassified_f__Ruminococcaceae</v>
          </cell>
          <cell r="I13745" t="str">
            <v>s__unclassified_f__Ruminococcaceae</v>
          </cell>
        </row>
        <row r="13746">
          <cell r="G13746" t="str">
            <v>ASV4194</v>
          </cell>
          <cell r="H13746" t="str">
            <v>g__Phascolarctobacterium</v>
          </cell>
          <cell r="I13746" t="str">
            <v>s__unclassified_g__Phascolarctobacterium</v>
          </cell>
        </row>
        <row r="13747">
          <cell r="G13747" t="str">
            <v>ASV22392</v>
          </cell>
          <cell r="H13747" t="str">
            <v>g__Lactobacillus</v>
          </cell>
          <cell r="I13747" t="str">
            <v>s__unclassified_g__Lactobacillus</v>
          </cell>
        </row>
        <row r="13748">
          <cell r="G13748" t="str">
            <v>ASV19099</v>
          </cell>
          <cell r="H13748" t="str">
            <v>g__Lactobacillus</v>
          </cell>
          <cell r="I13748" t="str">
            <v>s__unclassified_g__Lactobacillus</v>
          </cell>
        </row>
        <row r="13749">
          <cell r="G13749" t="str">
            <v>ASV14410</v>
          </cell>
          <cell r="H13749" t="str">
            <v>g__Lactobacillus</v>
          </cell>
          <cell r="I13749" t="str">
            <v>s__unclassified_g__Lactobacillus</v>
          </cell>
        </row>
        <row r="13750">
          <cell r="G13750" t="str">
            <v>ASV11896</v>
          </cell>
          <cell r="H13750" t="str">
            <v>g__unclassified_p__Firmicutes</v>
          </cell>
          <cell r="I13750" t="str">
            <v>s__unclassified_p__Firmicutes</v>
          </cell>
        </row>
        <row r="13751">
          <cell r="G13751" t="str">
            <v>ASV6111</v>
          </cell>
          <cell r="H13751" t="str">
            <v>g__unclassified_f__Lachnospiraceae</v>
          </cell>
          <cell r="I13751" t="str">
            <v>s__unclassified_f__Lachnospiraceae</v>
          </cell>
        </row>
        <row r="13752">
          <cell r="G13752" t="str">
            <v>ASV12835</v>
          </cell>
          <cell r="H13752" t="str">
            <v>g__unclassified_f__Lachnospiraceae</v>
          </cell>
          <cell r="I13752" t="str">
            <v>s__unclassified_f__Lachnospiraceae</v>
          </cell>
        </row>
        <row r="13753">
          <cell r="G13753" t="str">
            <v>ASV11958</v>
          </cell>
          <cell r="H13753" t="str">
            <v>g__Prevotella</v>
          </cell>
          <cell r="I13753" t="str">
            <v>s__unclassified_g__Prevotella</v>
          </cell>
        </row>
        <row r="13754">
          <cell r="G13754" t="str">
            <v>ASV3230</v>
          </cell>
          <cell r="H13754" t="str">
            <v>g__unclassified_p__Firmicutes</v>
          </cell>
          <cell r="I13754" t="str">
            <v>s__unclassified_p__Firmicutes</v>
          </cell>
        </row>
        <row r="13755">
          <cell r="G13755" t="str">
            <v>ASV19680</v>
          </cell>
          <cell r="H13755" t="str">
            <v>g__Alloprevotella</v>
          </cell>
          <cell r="I13755" t="str">
            <v>s__uncultured_bacterium_g__Alloprevotella</v>
          </cell>
        </row>
        <row r="13756">
          <cell r="G13756" t="str">
            <v>ASV20952</v>
          </cell>
          <cell r="H13756" t="str">
            <v>g__norank_f__Eubacterium_coprostanoligenes_group</v>
          </cell>
          <cell r="I13756" t="str">
            <v>s__unclassified_g__norank_f__Eubacterium_coprostanoligenes_group</v>
          </cell>
        </row>
        <row r="13757">
          <cell r="G13757" t="str">
            <v>ASV11687</v>
          </cell>
          <cell r="H13757" t="str">
            <v>g__Enterorhabdus</v>
          </cell>
          <cell r="I13757" t="str">
            <v>s__uncultured_bacterium_g__Enterorhabdus</v>
          </cell>
        </row>
        <row r="13758">
          <cell r="G13758" t="str">
            <v>ASV18644</v>
          </cell>
          <cell r="H13758" t="str">
            <v>g__Monoglobus</v>
          </cell>
          <cell r="I13758" t="str">
            <v>s__uncultured_rumen_bacterium_g__Monoglobus</v>
          </cell>
        </row>
        <row r="13759">
          <cell r="G13759" t="str">
            <v>ASV2769</v>
          </cell>
          <cell r="H13759" t="str">
            <v>g__Bacillus</v>
          </cell>
          <cell r="I13759" t="str">
            <v>s__Lactobacillus_vaginalis_g__Bacillus</v>
          </cell>
        </row>
        <row r="13760">
          <cell r="G13760" t="str">
            <v>ASV20876</v>
          </cell>
          <cell r="H13760" t="str">
            <v>g__Streptococcus</v>
          </cell>
          <cell r="I13760" t="str">
            <v>s__unclassified_g__Streptococcus</v>
          </cell>
        </row>
        <row r="13761">
          <cell r="G13761" t="str">
            <v>ASV2222</v>
          </cell>
          <cell r="H13761" t="str">
            <v>g__norank_f__Ruminococcaceae</v>
          </cell>
          <cell r="I13761" t="str">
            <v>s__unclassified_g__norank_f__Ruminococcaceae</v>
          </cell>
        </row>
        <row r="13762">
          <cell r="G13762" t="str">
            <v>ASV21282</v>
          </cell>
          <cell r="H13762" t="str">
            <v>g__unclassified_f__Lachnospiraceae</v>
          </cell>
          <cell r="I13762" t="str">
            <v>s__unclassified_f__Lachnospiraceae</v>
          </cell>
        </row>
        <row r="13763">
          <cell r="G13763" t="str">
            <v>ASV4151</v>
          </cell>
          <cell r="H13763" t="str">
            <v>g__unclassified_c__Bacilli</v>
          </cell>
          <cell r="I13763" t="str">
            <v>s__unclassified_c__Bacilli</v>
          </cell>
        </row>
        <row r="13764">
          <cell r="G13764" t="str">
            <v>ASV1730</v>
          </cell>
          <cell r="H13764" t="str">
            <v>g__Gemella</v>
          </cell>
          <cell r="I13764" t="str">
            <v>s__unclassified_g__Gemella</v>
          </cell>
        </row>
        <row r="13765">
          <cell r="G13765" t="str">
            <v>ASV14398</v>
          </cell>
          <cell r="H13765" t="str">
            <v>g__Lactobacillus</v>
          </cell>
          <cell r="I13765" t="str">
            <v>s__unclassified_g__Lactobacillus</v>
          </cell>
        </row>
        <row r="13766">
          <cell r="G13766" t="str">
            <v>ASV21274</v>
          </cell>
          <cell r="H13766" t="str">
            <v>g__unclassified_c__Bacilli</v>
          </cell>
          <cell r="I13766" t="str">
            <v>s__unclassified_c__Bacilli</v>
          </cell>
        </row>
        <row r="13767">
          <cell r="G13767" t="str">
            <v>ASV15480</v>
          </cell>
          <cell r="H13767" t="str">
            <v>g__unclassified_f__Lachnospiraceae</v>
          </cell>
          <cell r="I13767" t="str">
            <v>s__unclassified_f__Lachnospiraceae</v>
          </cell>
        </row>
        <row r="13768">
          <cell r="G13768" t="str">
            <v>ASV15472</v>
          </cell>
          <cell r="H13768" t="str">
            <v>g__unclassified_f__Lachnospiraceae</v>
          </cell>
          <cell r="I13768" t="str">
            <v>s__unclassified_f__Lachnospiraceae</v>
          </cell>
        </row>
        <row r="13769">
          <cell r="G13769" t="str">
            <v>ASV11907</v>
          </cell>
          <cell r="H13769" t="str">
            <v>g__unclassified_f__Lachnospiraceae</v>
          </cell>
          <cell r="I13769" t="str">
            <v>s__unclassified_f__Lachnospiraceae</v>
          </cell>
        </row>
        <row r="13770">
          <cell r="G13770" t="str">
            <v>ASV18651</v>
          </cell>
          <cell r="H13770" t="str">
            <v>g__Fusobacterium</v>
          </cell>
          <cell r="I13770" t="str">
            <v>s__unclassified_g__Fusobacterium</v>
          </cell>
        </row>
        <row r="13771">
          <cell r="G13771" t="str">
            <v>ASV10706</v>
          </cell>
          <cell r="H13771" t="str">
            <v>g__unclassified_o__Oscillospirales</v>
          </cell>
          <cell r="I13771" t="str">
            <v>s__unclassified_o__Oscillospirales</v>
          </cell>
        </row>
        <row r="13772">
          <cell r="G13772" t="str">
            <v>ASV2283</v>
          </cell>
          <cell r="H13772" t="str">
            <v>g__unclassified_p__Firmicutes</v>
          </cell>
          <cell r="I13772" t="str">
            <v>s__unclassified_p__Firmicutes</v>
          </cell>
        </row>
        <row r="13773">
          <cell r="G13773" t="str">
            <v>ASV5102</v>
          </cell>
          <cell r="H13773" t="str">
            <v>g__unclassified_c__Clostridia</v>
          </cell>
          <cell r="I13773" t="str">
            <v>s__unclassified_c__Clostridia</v>
          </cell>
        </row>
        <row r="13774">
          <cell r="G13774" t="str">
            <v>ASV14391</v>
          </cell>
          <cell r="H13774" t="str">
            <v>g__unclassified_o__Oscillospirales</v>
          </cell>
          <cell r="I13774" t="str">
            <v>s__unclassified_o__Oscillospirales</v>
          </cell>
        </row>
        <row r="13775">
          <cell r="G13775" t="str">
            <v>ASV10749</v>
          </cell>
          <cell r="H13775" t="str">
            <v>g__unclassified_c__Clostridia</v>
          </cell>
          <cell r="I13775" t="str">
            <v>s__unclassified_c__Clostridia</v>
          </cell>
        </row>
        <row r="13776">
          <cell r="G13776" t="str">
            <v>ASV21287</v>
          </cell>
          <cell r="H13776" t="str">
            <v>g__Lactobacillus</v>
          </cell>
          <cell r="I13776" t="str">
            <v>s__unclassified_g__Lactobacillus</v>
          </cell>
        </row>
        <row r="13777">
          <cell r="G13777" t="str">
            <v>ASV23970</v>
          </cell>
          <cell r="H13777" t="str">
            <v>g__norank_f__Oscillospiraceae</v>
          </cell>
          <cell r="I13777" t="str">
            <v>s__Pseudoflavonifractor_sp._Marseille-P3106</v>
          </cell>
        </row>
        <row r="13778">
          <cell r="G13778" t="str">
            <v>ASV16044</v>
          </cell>
          <cell r="H13778" t="str">
            <v>g__Lactobacillus</v>
          </cell>
          <cell r="I13778" t="str">
            <v>s__unclassified_g__Lactobacillus</v>
          </cell>
        </row>
        <row r="13779">
          <cell r="G13779" t="str">
            <v>ASV2361</v>
          </cell>
          <cell r="H13779" t="str">
            <v>g__Christensenellaceae_R-7_group</v>
          </cell>
          <cell r="I13779" t="str">
            <v>s__unclassified_g__Christensenellaceae_R-7_group</v>
          </cell>
        </row>
        <row r="13780">
          <cell r="G13780" t="str">
            <v>ASV24212</v>
          </cell>
          <cell r="H13780" t="str">
            <v>g__norank_f__Eubacterium_coprostanoligenes_group</v>
          </cell>
          <cell r="I13780" t="str">
            <v>s__uncultured_bacterium_g__norank_f__Eubacterium_coprostanoligenes_group</v>
          </cell>
        </row>
        <row r="13781">
          <cell r="G13781" t="str">
            <v>ASV1068</v>
          </cell>
          <cell r="H13781" t="str">
            <v>g__unclassified_c__Clostridia</v>
          </cell>
          <cell r="I13781" t="str">
            <v>s__unclassified_c__Clostridia</v>
          </cell>
        </row>
        <row r="13782">
          <cell r="G13782" t="str">
            <v>ASV20905</v>
          </cell>
          <cell r="H13782" t="str">
            <v>g__unclassified_f__Lachnospiraceae</v>
          </cell>
          <cell r="I13782" t="str">
            <v>s__unclassified_f__Lachnospiraceae</v>
          </cell>
        </row>
        <row r="13783">
          <cell r="G13783" t="str">
            <v>ASV13473</v>
          </cell>
          <cell r="H13783" t="str">
            <v>g__unclassified_f__Lachnospiraceae</v>
          </cell>
          <cell r="I13783" t="str">
            <v>s__unclassified_f__Lachnospiraceae</v>
          </cell>
        </row>
        <row r="13784">
          <cell r="G13784" t="str">
            <v>ASV14310</v>
          </cell>
          <cell r="H13784" t="str">
            <v>g__norank_f__Muribaculaceae</v>
          </cell>
          <cell r="I13784" t="str">
            <v>s__uncultured_bacterium_g__norank_f__Muribaculaceae</v>
          </cell>
        </row>
        <row r="13785">
          <cell r="G13785" t="str">
            <v>ASV11716</v>
          </cell>
          <cell r="H13785" t="str">
            <v>g__unclassified_f__Oscillospiraceae</v>
          </cell>
          <cell r="I13785" t="str">
            <v>s__unclassified_f__Oscillospiraceae</v>
          </cell>
        </row>
        <row r="13786">
          <cell r="G13786" t="str">
            <v>ASV23293</v>
          </cell>
          <cell r="H13786" t="str">
            <v>g__unclassified_f__Erysipelotrichaceae</v>
          </cell>
          <cell r="I13786" t="str">
            <v>s__unclassified_f__Erysipelotrichaceae</v>
          </cell>
        </row>
        <row r="13787">
          <cell r="G13787" t="str">
            <v>ASV8523</v>
          </cell>
          <cell r="H13787" t="str">
            <v>g__Megasphaera</v>
          </cell>
          <cell r="I13787" t="str">
            <v>s__unclassified_g__Megasphaera</v>
          </cell>
        </row>
        <row r="13788">
          <cell r="G13788" t="str">
            <v>ASV7808</v>
          </cell>
          <cell r="H13788" t="str">
            <v>g__unclassified_p__Firmicutes</v>
          </cell>
          <cell r="I13788" t="str">
            <v>s__unclassified_p__Firmicutes</v>
          </cell>
        </row>
        <row r="13789">
          <cell r="G13789" t="str">
            <v>ASV11867</v>
          </cell>
          <cell r="H13789" t="str">
            <v>g__Parabacteroides</v>
          </cell>
          <cell r="I13789" t="str">
            <v>s__Porphyromonadaceae_bacterium_DJF_B175</v>
          </cell>
        </row>
        <row r="13790">
          <cell r="G13790" t="str">
            <v>ASV19725</v>
          </cell>
          <cell r="H13790" t="str">
            <v>g__unclassified_p__Firmicutes</v>
          </cell>
          <cell r="I13790" t="str">
            <v>s__unclassified_p__Firmicutes</v>
          </cell>
        </row>
        <row r="13791">
          <cell r="G13791" t="str">
            <v>ASV1056</v>
          </cell>
          <cell r="H13791" t="str">
            <v>g__unclassified_f__Lachnospiraceae</v>
          </cell>
          <cell r="I13791" t="str">
            <v>s__unclassified_f__Lachnospiraceae</v>
          </cell>
        </row>
        <row r="13792">
          <cell r="G13792" t="str">
            <v>ASV7186</v>
          </cell>
          <cell r="H13792" t="str">
            <v>g__norank_f__norank_o__Saccharimonadales</v>
          </cell>
          <cell r="I13792" t="str">
            <v>s__metagenome_g__norank_f__norank_o__Saccharimonadales</v>
          </cell>
        </row>
        <row r="13793">
          <cell r="G13793" t="str">
            <v>ASV20939</v>
          </cell>
          <cell r="H13793" t="str">
            <v>g__norank_f__Eubacterium_coprostanoligenes_group</v>
          </cell>
          <cell r="I13793" t="str">
            <v>s__uncultured_bacterium_g__norank_f__Eubacterium_coprostanoligenes_group</v>
          </cell>
        </row>
        <row r="13794">
          <cell r="G13794" t="str">
            <v>ASV6120</v>
          </cell>
          <cell r="H13794" t="str">
            <v>g__Rikenellaceae_RC9_gut_group</v>
          </cell>
          <cell r="I13794" t="str">
            <v>s__uncultured_bacterium_g__Rikenellaceae_RC9_gut_group</v>
          </cell>
        </row>
        <row r="13795">
          <cell r="G13795" t="str">
            <v>ASV19648</v>
          </cell>
          <cell r="H13795" t="str">
            <v>g__Megasphaera</v>
          </cell>
          <cell r="I13795" t="str">
            <v>s__unclassified_g__Megasphaera</v>
          </cell>
        </row>
        <row r="13796">
          <cell r="G13796" t="str">
            <v>ASV24245</v>
          </cell>
          <cell r="H13796" t="str">
            <v>g__Lactobacillus</v>
          </cell>
          <cell r="I13796" t="str">
            <v>s__unclassified_g__Lactobacillus</v>
          </cell>
        </row>
        <row r="13797">
          <cell r="G13797" t="str">
            <v>ASV900</v>
          </cell>
          <cell r="H13797" t="str">
            <v>g__V9D2013_group</v>
          </cell>
          <cell r="I13797" t="str">
            <v>s__uncultured_rumen_bacterium_g__V9D2013_group</v>
          </cell>
        </row>
        <row r="13798">
          <cell r="G13798" t="str">
            <v>ASV15463</v>
          </cell>
          <cell r="H13798" t="str">
            <v>g__Terrisporobacter</v>
          </cell>
          <cell r="I13798" t="str">
            <v>s__unclassified_g__Terrisporobacter</v>
          </cell>
        </row>
        <row r="13799">
          <cell r="G13799" t="str">
            <v>ASV21610</v>
          </cell>
          <cell r="H13799" t="str">
            <v>g__unclassified_f__Lachnospiraceae</v>
          </cell>
          <cell r="I13799" t="str">
            <v>s__unclassified_f__Lachnospiraceae</v>
          </cell>
        </row>
        <row r="13800">
          <cell r="G13800" t="str">
            <v>ASV20851</v>
          </cell>
          <cell r="H13800" t="str">
            <v>g__unclassified_k__norank_d__Bacteria</v>
          </cell>
          <cell r="I13800" t="str">
            <v>s__unclassified_k__norank_d__Bacteria</v>
          </cell>
        </row>
        <row r="13801">
          <cell r="G13801" t="str">
            <v>ASV6154</v>
          </cell>
          <cell r="H13801" t="str">
            <v>g__unclassified_c__Clostridia</v>
          </cell>
          <cell r="I13801" t="str">
            <v>s__unclassified_c__Clostridia</v>
          </cell>
        </row>
        <row r="13802">
          <cell r="G13802" t="str">
            <v>ASV18083</v>
          </cell>
          <cell r="H13802" t="str">
            <v>g__Lachnospiraceae_UCG-004</v>
          </cell>
          <cell r="I13802" t="str">
            <v>s__uncultured_bacterium_g__Lachnospiraceae_UCG-004</v>
          </cell>
        </row>
        <row r="13803">
          <cell r="G13803" t="str">
            <v>ASV14477</v>
          </cell>
          <cell r="H13803" t="str">
            <v>g__unclassified_c__Clostridia</v>
          </cell>
          <cell r="I13803" t="str">
            <v>s__unclassified_c__Clostridia</v>
          </cell>
        </row>
        <row r="13804">
          <cell r="G13804" t="str">
            <v>ASV14306</v>
          </cell>
          <cell r="H13804" t="str">
            <v>g__Fibrobacter</v>
          </cell>
          <cell r="I13804" t="str">
            <v>s__Fibrobacter_intestinalis</v>
          </cell>
        </row>
        <row r="13805">
          <cell r="G13805" t="str">
            <v>ASV1009</v>
          </cell>
          <cell r="H13805" t="str">
            <v>g__unclassified_f__Oscillospiraceae</v>
          </cell>
          <cell r="I13805" t="str">
            <v>s__unclassified_f__Oscillospiraceae</v>
          </cell>
        </row>
        <row r="13806">
          <cell r="G13806" t="str">
            <v>ASV13529</v>
          </cell>
          <cell r="H13806" t="str">
            <v>g__Lactobacillus</v>
          </cell>
          <cell r="I13806" t="str">
            <v>s__unclassified_g__Lactobacillus</v>
          </cell>
        </row>
        <row r="13807">
          <cell r="G13807" t="str">
            <v>ASV22316</v>
          </cell>
          <cell r="H13807" t="str">
            <v>g__unclassified_c__Clostridia</v>
          </cell>
          <cell r="I13807" t="str">
            <v>s__unclassified_c__Clostridia</v>
          </cell>
        </row>
        <row r="13808">
          <cell r="G13808" t="str">
            <v>ASV4968</v>
          </cell>
          <cell r="H13808" t="str">
            <v>g__norank_f__Erysipelotrichaceae</v>
          </cell>
          <cell r="I13808" t="str">
            <v>s__uncultured_bacterium_g__norank_f__Erysipelotrichaceae</v>
          </cell>
        </row>
        <row r="13809">
          <cell r="G13809" t="str">
            <v>ASV1013</v>
          </cell>
          <cell r="H13809" t="str">
            <v>g__Lactobacillus</v>
          </cell>
          <cell r="I13809" t="str">
            <v>s__unclassified_g__Lactobacillus</v>
          </cell>
        </row>
        <row r="13810">
          <cell r="G13810" t="str">
            <v>ASV3236</v>
          </cell>
          <cell r="H13810" t="str">
            <v>g__Bacillus</v>
          </cell>
          <cell r="I13810" t="str">
            <v>s__Lactobacillus_vaginalis_g__Bacillus</v>
          </cell>
        </row>
        <row r="13811">
          <cell r="G13811" t="str">
            <v>ASV5101</v>
          </cell>
          <cell r="H13811" t="str">
            <v>g__unclassified_c__Clostridia</v>
          </cell>
          <cell r="I13811" t="str">
            <v>s__unclassified_c__Clostridia</v>
          </cell>
        </row>
        <row r="13812">
          <cell r="G13812" t="str">
            <v>ASV19687</v>
          </cell>
          <cell r="H13812" t="str">
            <v>g__unclassified_o__Peptostreptococcales-Tissierellales</v>
          </cell>
          <cell r="I13812" t="str">
            <v>s__unclassified_o__Peptostreptococcales-Tissierellales</v>
          </cell>
        </row>
        <row r="13813">
          <cell r="G13813" t="str">
            <v>ASV19631</v>
          </cell>
          <cell r="H13813" t="str">
            <v>g__unclassified_c__Clostridia</v>
          </cell>
          <cell r="I13813" t="str">
            <v>s__unclassified_c__Clostridia</v>
          </cell>
        </row>
        <row r="13814">
          <cell r="G13814" t="str">
            <v>ASV18075</v>
          </cell>
          <cell r="H13814" t="str">
            <v>g__Christensenellaceae_R-7_group</v>
          </cell>
          <cell r="I13814" t="str">
            <v>s__unclassified_g__Christensenellaceae_R-7_group</v>
          </cell>
        </row>
        <row r="13815">
          <cell r="G13815" t="str">
            <v>ASV19775</v>
          </cell>
          <cell r="H13815" t="str">
            <v>g__Streptococcus</v>
          </cell>
          <cell r="I13815" t="str">
            <v>s__unclassified_g__Streptococcus</v>
          </cell>
        </row>
        <row r="13816">
          <cell r="G13816" t="str">
            <v>ASV24199</v>
          </cell>
          <cell r="H13816" t="str">
            <v>g__Ruminococcus</v>
          </cell>
          <cell r="I13816" t="str">
            <v>s__unclassified_g__Ruminococcus</v>
          </cell>
        </row>
        <row r="13817">
          <cell r="G13817" t="str">
            <v>ASV2255</v>
          </cell>
          <cell r="H13817" t="str">
            <v>g__Lactobacillus</v>
          </cell>
          <cell r="I13817" t="str">
            <v>s__unclassified_g__Lactobacillus</v>
          </cell>
        </row>
        <row r="13818">
          <cell r="G13818" t="str">
            <v>ASV17496</v>
          </cell>
          <cell r="H13818" t="str">
            <v>g__Bacillus</v>
          </cell>
          <cell r="I13818" t="str">
            <v>s__Lactobacillus_vaginalis_g__Bacillus</v>
          </cell>
        </row>
        <row r="13819">
          <cell r="G13819" t="str">
            <v>ASV19085</v>
          </cell>
          <cell r="H13819" t="str">
            <v>g__Mitsuokella</v>
          </cell>
          <cell r="I13819" t="str">
            <v>s__unclassified_g__Mitsuokella</v>
          </cell>
        </row>
        <row r="13820">
          <cell r="G13820" t="str">
            <v>ASV3042</v>
          </cell>
          <cell r="H13820" t="str">
            <v>g__Veillonella</v>
          </cell>
          <cell r="I13820" t="str">
            <v>s__unclassified_g__Veillonella</v>
          </cell>
        </row>
        <row r="13821">
          <cell r="G13821" t="str">
            <v>ASV13528</v>
          </cell>
          <cell r="H13821" t="str">
            <v>g__unclassified_f__Lachnospiraceae</v>
          </cell>
          <cell r="I13821" t="str">
            <v>s__unclassified_f__Lachnospiraceae</v>
          </cell>
        </row>
        <row r="13822">
          <cell r="G13822" t="str">
            <v>ASV1742</v>
          </cell>
          <cell r="H13822" t="str">
            <v>g__unclassified_f__Peptostreptococcaceae</v>
          </cell>
          <cell r="I13822" t="str">
            <v>s__unclassified_f__Peptostreptococcaceae</v>
          </cell>
        </row>
        <row r="13823">
          <cell r="G13823" t="str">
            <v>ASV9004</v>
          </cell>
          <cell r="H13823" t="str">
            <v>g__norank_f__Muribaculaceae</v>
          </cell>
          <cell r="I13823" t="str">
            <v>s__uncultured_bacterium_g__norank_f__Muribaculaceae</v>
          </cell>
        </row>
        <row r="13824">
          <cell r="G13824" t="str">
            <v>ASV876</v>
          </cell>
          <cell r="H13824" t="str">
            <v>g__unclassified_f__Lachnospiraceae</v>
          </cell>
          <cell r="I13824" t="str">
            <v>s__unclassified_f__Lachnospiraceae</v>
          </cell>
        </row>
        <row r="13825">
          <cell r="G13825" t="str">
            <v>ASV21771</v>
          </cell>
          <cell r="H13825" t="str">
            <v>g__Streptococcus</v>
          </cell>
          <cell r="I13825" t="str">
            <v>s__Streptococcus_hyointestinalis</v>
          </cell>
        </row>
        <row r="13826">
          <cell r="G13826" t="str">
            <v>ASV17425</v>
          </cell>
          <cell r="H13826" t="str">
            <v>g__Lactobacillus</v>
          </cell>
          <cell r="I13826" t="str">
            <v>s__unclassified_g__Lactobacillus</v>
          </cell>
        </row>
        <row r="13827">
          <cell r="G13827" t="str">
            <v>ASV16437</v>
          </cell>
          <cell r="H13827" t="str">
            <v>g__Ruminococcus</v>
          </cell>
          <cell r="I13827" t="str">
            <v>s__unclassified_g__Ruminococcus</v>
          </cell>
        </row>
        <row r="13828">
          <cell r="G13828" t="str">
            <v>ASV18137</v>
          </cell>
          <cell r="H13828" t="str">
            <v>g__Collinsella</v>
          </cell>
          <cell r="I13828" t="str">
            <v>s__unclassified_g__Collinsella</v>
          </cell>
        </row>
        <row r="13829">
          <cell r="G13829" t="str">
            <v>ASV23299</v>
          </cell>
          <cell r="H13829" t="str">
            <v>g__unclassified_k__norank_d__Bacteria</v>
          </cell>
          <cell r="I13829" t="str">
            <v>s__unclassified_k__norank_d__Bacteria</v>
          </cell>
        </row>
        <row r="13830">
          <cell r="G13830" t="str">
            <v>ASV14330</v>
          </cell>
          <cell r="H13830" t="str">
            <v>g__unclassified_o__Bacteroidales</v>
          </cell>
          <cell r="I13830" t="str">
            <v>s__unclassified_o__Bacteroidales</v>
          </cell>
        </row>
        <row r="13831">
          <cell r="G13831" t="str">
            <v>ASV5062</v>
          </cell>
          <cell r="H13831" t="str">
            <v>g__unclassified_f__Lachnospiraceae</v>
          </cell>
          <cell r="I13831" t="str">
            <v>s__unclassified_f__Lachnospiraceae</v>
          </cell>
        </row>
        <row r="13832">
          <cell r="G13832" t="str">
            <v>ASV8511</v>
          </cell>
          <cell r="H13832" t="str">
            <v>g__unclassified_o__Enterobacterales</v>
          </cell>
          <cell r="I13832" t="str">
            <v>s__unclassified_o__Enterobacterales</v>
          </cell>
        </row>
        <row r="13833">
          <cell r="G13833" t="str">
            <v>ASV20865</v>
          </cell>
          <cell r="H13833" t="str">
            <v>g__unclassified_f__Ruminococcaceae</v>
          </cell>
          <cell r="I13833" t="str">
            <v>s__unclassified_f__Ruminococcaceae</v>
          </cell>
        </row>
        <row r="13834">
          <cell r="G13834" t="str">
            <v>ASV18594</v>
          </cell>
          <cell r="H13834" t="str">
            <v>g__unclassified_k__norank_d__Bacteria</v>
          </cell>
          <cell r="I13834" t="str">
            <v>s__unclassified_k__norank_d__Bacteria</v>
          </cell>
        </row>
        <row r="13835">
          <cell r="G13835" t="str">
            <v>ASV4056</v>
          </cell>
          <cell r="H13835" t="str">
            <v>g__unclassified_o__Enterobacterales</v>
          </cell>
          <cell r="I13835" t="str">
            <v>s__unclassified_o__Enterobacterales</v>
          </cell>
        </row>
        <row r="13836">
          <cell r="G13836" t="str">
            <v>ASV11067</v>
          </cell>
          <cell r="H13836" t="str">
            <v>g__Clostridium_sensu_stricto_1</v>
          </cell>
          <cell r="I13836" t="str">
            <v>s__unclassified_g__Clostridium_sensu_stricto_1</v>
          </cell>
        </row>
        <row r="13837">
          <cell r="G13837" t="str">
            <v>ASV16950</v>
          </cell>
          <cell r="H13837" t="str">
            <v>g__unclassified_f__Prevotellaceae</v>
          </cell>
          <cell r="I13837" t="str">
            <v>s__unclassified_f__Prevotellaceae</v>
          </cell>
        </row>
        <row r="13838">
          <cell r="G13838" t="str">
            <v>ASV16548</v>
          </cell>
          <cell r="H13838" t="str">
            <v>g__unclassified_k__norank_d__Bacteria</v>
          </cell>
          <cell r="I13838" t="str">
            <v>s__unclassified_k__norank_d__Bacteria</v>
          </cell>
        </row>
        <row r="13839">
          <cell r="G13839" t="str">
            <v>ASV5947</v>
          </cell>
          <cell r="H13839" t="str">
            <v>g__norank_f__Erysipelotrichaceae</v>
          </cell>
          <cell r="I13839" t="str">
            <v>s__uncultured_bacterium_g__norank_f__Erysipelotrichaceae</v>
          </cell>
        </row>
        <row r="13840">
          <cell r="G13840" t="str">
            <v>ASV23465</v>
          </cell>
          <cell r="H13840" t="str">
            <v>g__unclassified_f__Ruminococcaceae</v>
          </cell>
          <cell r="I13840" t="str">
            <v>s__unclassified_f__Ruminococcaceae</v>
          </cell>
        </row>
        <row r="13841">
          <cell r="G13841" t="str">
            <v>ASV18131</v>
          </cell>
          <cell r="H13841" t="str">
            <v>g__Faecalicoccus</v>
          </cell>
          <cell r="I13841" t="str">
            <v>s__unclassified_g__Faecalicoccus</v>
          </cell>
        </row>
        <row r="13842">
          <cell r="G13842" t="str">
            <v>ASV12025</v>
          </cell>
          <cell r="H13842" t="str">
            <v>g__unclassified_p__Firmicutes</v>
          </cell>
          <cell r="I13842" t="str">
            <v>s__unclassified_p__Firmicutes</v>
          </cell>
        </row>
        <row r="13843">
          <cell r="G13843" t="str">
            <v>ASV17227</v>
          </cell>
          <cell r="H13843" t="str">
            <v>g__Lactobacillus</v>
          </cell>
          <cell r="I13843" t="str">
            <v>s__unclassified_g__Lactobacillus</v>
          </cell>
        </row>
        <row r="13844">
          <cell r="G13844" t="str">
            <v>ASV22430</v>
          </cell>
          <cell r="H13844" t="str">
            <v>g__unclassified_c__Clostridia</v>
          </cell>
          <cell r="I13844" t="str">
            <v>s__unclassified_c__Clostridia</v>
          </cell>
        </row>
        <row r="13845">
          <cell r="G13845" t="str">
            <v>ASV887</v>
          </cell>
          <cell r="H13845" t="str">
            <v>g__unclassified_f__Oscillospiraceae</v>
          </cell>
          <cell r="I13845" t="str">
            <v>s__unclassified_f__Oscillospiraceae</v>
          </cell>
        </row>
        <row r="13846">
          <cell r="G13846" t="str">
            <v>ASV11744</v>
          </cell>
          <cell r="H13846" t="str">
            <v>g__Lactobacillus</v>
          </cell>
          <cell r="I13846" t="str">
            <v>s__unclassified_g__Lactobacillus</v>
          </cell>
        </row>
        <row r="13847">
          <cell r="G13847" t="str">
            <v>ASV15999</v>
          </cell>
          <cell r="H13847" t="str">
            <v>g__Lactobacillus</v>
          </cell>
          <cell r="I13847" t="str">
            <v>s__unclassified_g__Lactobacillus</v>
          </cell>
        </row>
        <row r="13848">
          <cell r="G13848" t="str">
            <v>ASV19770</v>
          </cell>
          <cell r="H13848" t="str">
            <v>g__unclassified_f__Lachnospiraceae</v>
          </cell>
          <cell r="I13848" t="str">
            <v>s__unclassified_f__Lachnospiraceae</v>
          </cell>
        </row>
        <row r="13849">
          <cell r="G13849" t="str">
            <v>ASV8721</v>
          </cell>
          <cell r="H13849" t="str">
            <v>g__Turicibacter</v>
          </cell>
          <cell r="I13849" t="str">
            <v>s__unclassified_g__Turicibacter</v>
          </cell>
        </row>
        <row r="13850">
          <cell r="G13850" t="str">
            <v>ASV7833</v>
          </cell>
          <cell r="H13850" t="str">
            <v>g__Christensenellaceae_R-7_group</v>
          </cell>
          <cell r="I13850" t="str">
            <v>s__unclassified_g__Christensenellaceae_R-7_group</v>
          </cell>
        </row>
        <row r="13851">
          <cell r="G13851" t="str">
            <v>ASV14340</v>
          </cell>
          <cell r="H13851" t="str">
            <v>g__Christensenellaceae_R-7_group</v>
          </cell>
          <cell r="I13851" t="str">
            <v>s__unclassified_g__Christensenellaceae_R-7_group</v>
          </cell>
        </row>
        <row r="13852">
          <cell r="G13852" t="str">
            <v>ASV9016</v>
          </cell>
          <cell r="H13852" t="str">
            <v>g__Lactobacillus</v>
          </cell>
          <cell r="I13852" t="str">
            <v>s__unclassified_g__Lactobacillus</v>
          </cell>
        </row>
        <row r="13853">
          <cell r="G13853" t="str">
            <v>ASV5053</v>
          </cell>
          <cell r="H13853" t="str">
            <v>g__norank_f__UCG-011</v>
          </cell>
          <cell r="I13853" t="str">
            <v>s__uncultured_bacterium_g__norank_f__UCG-011</v>
          </cell>
        </row>
        <row r="13854">
          <cell r="G13854" t="str">
            <v>ASV17674</v>
          </cell>
          <cell r="H13854" t="str">
            <v>g__unclassified_o__Lactobacillales</v>
          </cell>
          <cell r="I13854" t="str">
            <v>s__unclassified_o__Lactobacillales</v>
          </cell>
        </row>
        <row r="13855">
          <cell r="G13855" t="str">
            <v>ASV3241</v>
          </cell>
          <cell r="H13855" t="str">
            <v>g__Lactobacillus</v>
          </cell>
          <cell r="I13855" t="str">
            <v>s__unclassified_g__Lactobacillus</v>
          </cell>
        </row>
        <row r="13856">
          <cell r="G13856" t="str">
            <v>ASV8521</v>
          </cell>
          <cell r="H13856" t="str">
            <v>g__unclassified_c__Bacilli</v>
          </cell>
          <cell r="I13856" t="str">
            <v>s__unclassified_c__Bacilli</v>
          </cell>
        </row>
        <row r="13857">
          <cell r="G13857" t="str">
            <v>ASV3495</v>
          </cell>
          <cell r="H13857" t="str">
            <v>g__Clostridium_sensu_stricto_1</v>
          </cell>
          <cell r="I13857" t="str">
            <v>s__unclassified_g__Clostridium_sensu_stricto_1</v>
          </cell>
        </row>
        <row r="13858">
          <cell r="G13858" t="str">
            <v>ASV6796</v>
          </cell>
          <cell r="H13858" t="str">
            <v>g__Escherichia-Shigella</v>
          </cell>
          <cell r="I13858" t="str">
            <v>s__unclassified_g__Escherichia-Shigella</v>
          </cell>
        </row>
        <row r="13859">
          <cell r="G13859" t="str">
            <v>ASV14478</v>
          </cell>
          <cell r="H13859" t="str">
            <v>g__UCG-002</v>
          </cell>
          <cell r="I13859" t="str">
            <v>s__uncultured_bacterium_g__UCG-002</v>
          </cell>
        </row>
        <row r="13860">
          <cell r="G13860" t="str">
            <v>ASV23471</v>
          </cell>
          <cell r="H13860" t="str">
            <v>g__Lactobacillus</v>
          </cell>
          <cell r="I13860" t="str">
            <v>s__uncultured_bacterium_g__Lactobacillus</v>
          </cell>
        </row>
        <row r="13861">
          <cell r="G13861" t="str">
            <v>ASV12972</v>
          </cell>
          <cell r="H13861" t="str">
            <v>g__Ruminococcus</v>
          </cell>
          <cell r="I13861" t="str">
            <v>s__unclassified_g__Ruminococcus</v>
          </cell>
        </row>
        <row r="13862">
          <cell r="G13862" t="str">
            <v>ASV18078</v>
          </cell>
          <cell r="H13862" t="str">
            <v>g__unclassified_c__Clostridia</v>
          </cell>
          <cell r="I13862" t="str">
            <v>s__unclassified_c__Clostridia</v>
          </cell>
        </row>
        <row r="13863">
          <cell r="G13863" t="str">
            <v>ASV23429</v>
          </cell>
          <cell r="H13863" t="str">
            <v>g__unclassified_k__norank_d__Bacteria</v>
          </cell>
          <cell r="I13863" t="str">
            <v>s__unclassified_k__norank_d__Bacteria</v>
          </cell>
        </row>
        <row r="13864">
          <cell r="G13864" t="str">
            <v>ASV19713</v>
          </cell>
          <cell r="H13864" t="str">
            <v>g__unclassified_f__Oscillospiraceae</v>
          </cell>
          <cell r="I13864" t="str">
            <v>s__unclassified_f__Oscillospiraceae</v>
          </cell>
        </row>
        <row r="13865">
          <cell r="G13865" t="str">
            <v>ASV5966</v>
          </cell>
          <cell r="H13865" t="str">
            <v>g__unclassified_k__norank_d__Bacteria</v>
          </cell>
          <cell r="I13865" t="str">
            <v>s__unclassified_k__norank_d__Bacteria</v>
          </cell>
        </row>
        <row r="13866">
          <cell r="G13866" t="str">
            <v>ASV19670</v>
          </cell>
          <cell r="H13866" t="str">
            <v>g__unclassified_c__Bacilli</v>
          </cell>
          <cell r="I13866" t="str">
            <v>s__unclassified_c__Bacilli</v>
          </cell>
        </row>
        <row r="13867">
          <cell r="G13867" t="str">
            <v>ASV11743</v>
          </cell>
          <cell r="H13867" t="str">
            <v>g__unclassified_o__Oscillospirales</v>
          </cell>
          <cell r="I13867" t="str">
            <v>s__unclassified_o__Oscillospirales</v>
          </cell>
        </row>
        <row r="13868">
          <cell r="G13868" t="str">
            <v>ASV19640</v>
          </cell>
          <cell r="H13868" t="str">
            <v>g__unclassified_f__Lachnospiraceae</v>
          </cell>
          <cell r="I13868" t="str">
            <v>s__unclassified_f__Lachnospiraceae</v>
          </cell>
        </row>
        <row r="13869">
          <cell r="G13869" t="str">
            <v>ASV6783</v>
          </cell>
          <cell r="H13869" t="str">
            <v>g__unclassified_c__Gammaproteobacteria</v>
          </cell>
          <cell r="I13869" t="str">
            <v>s__unclassified_c__Gammaproteobacteria</v>
          </cell>
        </row>
        <row r="13870">
          <cell r="G13870" t="str">
            <v>ASV19183</v>
          </cell>
          <cell r="H13870" t="str">
            <v>g__norank_f__UCG-010</v>
          </cell>
          <cell r="I13870" t="str">
            <v>s__unclassified_g__norank_f__UCG-010</v>
          </cell>
        </row>
        <row r="13871">
          <cell r="G13871" t="str">
            <v>ASV19715</v>
          </cell>
          <cell r="H13871" t="str">
            <v>g__norank_f__Eubacterium_coprostanoligenes_group</v>
          </cell>
          <cell r="I13871" t="str">
            <v>s__uncultured_bacterium_g__norank_f__Eubacterium_coprostanoligenes_group</v>
          </cell>
        </row>
        <row r="13872">
          <cell r="G13872" t="str">
            <v>ASV20465</v>
          </cell>
          <cell r="H13872" t="str">
            <v>g__Rufibacter</v>
          </cell>
          <cell r="I13872" t="str">
            <v>s__uncultured_bacterium_g__Rufibacter</v>
          </cell>
        </row>
        <row r="13873">
          <cell r="G13873" t="str">
            <v>ASV6072</v>
          </cell>
          <cell r="H13873" t="str">
            <v>g__unclassified_k__norank_d__Bacteria</v>
          </cell>
          <cell r="I13873" t="str">
            <v>s__unclassified_k__norank_d__Bacteria</v>
          </cell>
        </row>
        <row r="13874">
          <cell r="G13874" t="str">
            <v>ASV4132</v>
          </cell>
          <cell r="H13874" t="str">
            <v>g__unclassified_f__Lachnospiraceae</v>
          </cell>
          <cell r="I13874" t="str">
            <v>s__unclassified_f__Lachnospiraceae</v>
          </cell>
        </row>
        <row r="13875">
          <cell r="G13875" t="str">
            <v>ASV14459</v>
          </cell>
          <cell r="H13875" t="str">
            <v>g__unclassified_f__Lachnospiraceae</v>
          </cell>
          <cell r="I13875" t="str">
            <v>s__unclassified_f__Lachnospiraceae</v>
          </cell>
        </row>
        <row r="13876">
          <cell r="G13876" t="str">
            <v>ASV18648</v>
          </cell>
          <cell r="H13876" t="str">
            <v>g__CAG-873</v>
          </cell>
          <cell r="I13876" t="str">
            <v>s__unclassified_g__CAG-873</v>
          </cell>
        </row>
        <row r="13877">
          <cell r="G13877" t="str">
            <v>ASV12863</v>
          </cell>
          <cell r="H13877" t="str">
            <v>g__unclassified_p__Firmicutes</v>
          </cell>
          <cell r="I13877" t="str">
            <v>s__unclassified_p__Firmicutes</v>
          </cell>
        </row>
        <row r="13878">
          <cell r="G13878" t="str">
            <v>ASV22463</v>
          </cell>
          <cell r="H13878" t="str">
            <v>g__unclassified_o__Oscillospirales</v>
          </cell>
          <cell r="I13878" t="str">
            <v>s__unclassified_o__Oscillospirales</v>
          </cell>
        </row>
        <row r="13879">
          <cell r="G13879" t="str">
            <v>ASV4928</v>
          </cell>
          <cell r="H13879" t="str">
            <v>g__norank_f__Eubacterium_coprostanoligenes_group</v>
          </cell>
          <cell r="I13879" t="str">
            <v>s__uncultured_bacterium_g__norank_f__Eubacterium_coprostanoligenes_group</v>
          </cell>
        </row>
        <row r="13880">
          <cell r="G13880" t="str">
            <v>ASV15546</v>
          </cell>
          <cell r="H13880" t="str">
            <v>g__unclassified_f__Ruminococcaceae</v>
          </cell>
          <cell r="I13880" t="str">
            <v>s__unclassified_f__Ruminococcaceae</v>
          </cell>
        </row>
        <row r="13881">
          <cell r="G13881" t="str">
            <v>ASV2240</v>
          </cell>
          <cell r="H13881" t="str">
            <v>g__unclassified_p__Firmicutes</v>
          </cell>
          <cell r="I13881" t="str">
            <v>s__unclassified_p__Firmicutes</v>
          </cell>
        </row>
        <row r="13882">
          <cell r="G13882" t="str">
            <v>ASV11988</v>
          </cell>
          <cell r="H13882" t="str">
            <v>g__Clostridium_sensu_stricto_1</v>
          </cell>
          <cell r="I13882" t="str">
            <v>s__unclassified_g__Clostridium_sensu_stricto_1</v>
          </cell>
        </row>
        <row r="13883">
          <cell r="G13883" t="str">
            <v>ASV989</v>
          </cell>
          <cell r="H13883" t="str">
            <v>g__Lachnospiraceae_UCG-004</v>
          </cell>
          <cell r="I13883" t="str">
            <v>s__unclassified_g__Lachnospiraceae_UCG-004</v>
          </cell>
        </row>
        <row r="13884">
          <cell r="G13884" t="str">
            <v>ASV19677</v>
          </cell>
          <cell r="H13884" t="str">
            <v>g__unclassified_p__Firmicutes</v>
          </cell>
          <cell r="I13884" t="str">
            <v>s__unclassified_p__Firmicutes</v>
          </cell>
        </row>
        <row r="13885">
          <cell r="G13885" t="str">
            <v>ASV18034</v>
          </cell>
          <cell r="H13885" t="str">
            <v>g__unclassified_k__norank_d__Bacteria</v>
          </cell>
          <cell r="I13885" t="str">
            <v>s__unclassified_k__norank_d__Bacteria</v>
          </cell>
        </row>
        <row r="13886">
          <cell r="G13886" t="str">
            <v>ASV6803</v>
          </cell>
          <cell r="H13886" t="str">
            <v>g__unclassified_o__Lactobacillales</v>
          </cell>
          <cell r="I13886" t="str">
            <v>s__unclassified_o__Lactobacillales</v>
          </cell>
        </row>
        <row r="13887">
          <cell r="G13887" t="str">
            <v>ASV24249</v>
          </cell>
          <cell r="H13887" t="str">
            <v>g__unclassified_f__Peptostreptococcaceae</v>
          </cell>
          <cell r="I13887" t="str">
            <v>s__unclassified_f__Peptostreptococcaceae</v>
          </cell>
        </row>
        <row r="13888">
          <cell r="G13888" t="str">
            <v>ASV22465</v>
          </cell>
          <cell r="H13888" t="str">
            <v>g__Lactobacillus</v>
          </cell>
          <cell r="I13888" t="str">
            <v>s__unclassified_g__Lactobacillus</v>
          </cell>
        </row>
        <row r="13889">
          <cell r="G13889" t="str">
            <v>ASV16524</v>
          </cell>
          <cell r="H13889" t="str">
            <v>g__Lachnoclostridium</v>
          </cell>
          <cell r="I13889" t="str">
            <v>s__unclassified_g__Lachnoclostridium</v>
          </cell>
        </row>
        <row r="13890">
          <cell r="G13890" t="str">
            <v>ASV21746</v>
          </cell>
          <cell r="H13890" t="str">
            <v>g__Nocardioides</v>
          </cell>
          <cell r="I13890" t="str">
            <v>s__unclassified_g__Nocardioides</v>
          </cell>
        </row>
        <row r="13891">
          <cell r="G13891" t="str">
            <v>ASV20859</v>
          </cell>
          <cell r="H13891" t="str">
            <v>g__unclassified_f__Peptostreptococcaceae</v>
          </cell>
          <cell r="I13891" t="str">
            <v>s__unclassified_f__Peptostreptococcaceae</v>
          </cell>
        </row>
        <row r="13892">
          <cell r="G13892" t="str">
            <v>ASV21744</v>
          </cell>
          <cell r="H13892" t="str">
            <v>g__Peptoniphilus</v>
          </cell>
          <cell r="I13892" t="str">
            <v>s__unclassified_g__Peptoniphilus</v>
          </cell>
        </row>
        <row r="13893">
          <cell r="G13893" t="str">
            <v>ASV11869</v>
          </cell>
          <cell r="H13893" t="str">
            <v>g__Prevotella</v>
          </cell>
          <cell r="I13893" t="str">
            <v>s__uncultured_bacterium_g__Prevotella</v>
          </cell>
        </row>
        <row r="13894">
          <cell r="G13894" t="str">
            <v>ASV18760</v>
          </cell>
          <cell r="H13894" t="str">
            <v>g__TM7a</v>
          </cell>
          <cell r="I13894" t="str">
            <v>s__uncultured_bacterium_g__TM7a</v>
          </cell>
        </row>
        <row r="13895">
          <cell r="G13895" t="str">
            <v>ASV21461</v>
          </cell>
          <cell r="H13895" t="str">
            <v>g__Lactobacillus</v>
          </cell>
          <cell r="I13895" t="str">
            <v>s__unclassified_g__Lactobacillus</v>
          </cell>
        </row>
        <row r="13896">
          <cell r="G13896" t="str">
            <v>ASV12832</v>
          </cell>
          <cell r="H13896" t="str">
            <v>g__Lactobacillus</v>
          </cell>
          <cell r="I13896" t="str">
            <v>s__unclassified_g__Lactobacillus</v>
          </cell>
        </row>
        <row r="13897">
          <cell r="G13897" t="str">
            <v>ASV11854</v>
          </cell>
          <cell r="H13897" t="str">
            <v>g__unclassified_f__Lachnospiraceae</v>
          </cell>
          <cell r="I13897" t="str">
            <v>s__unclassified_f__Lachnospiraceae</v>
          </cell>
        </row>
        <row r="13898">
          <cell r="G13898" t="str">
            <v>ASV2319</v>
          </cell>
          <cell r="H13898" t="str">
            <v>g__unclassified_p__Firmicutes</v>
          </cell>
          <cell r="I13898" t="str">
            <v>s__unclassified_p__Firmicutes</v>
          </cell>
        </row>
        <row r="13899">
          <cell r="G13899" t="str">
            <v>ASV2367</v>
          </cell>
          <cell r="H13899" t="str">
            <v>g__Christensenellaceae_R-7_group</v>
          </cell>
          <cell r="I13899" t="str">
            <v>s__unclassified_g__Christensenellaceae_R-7_group</v>
          </cell>
        </row>
        <row r="13900">
          <cell r="G13900" t="str">
            <v>ASV9037</v>
          </cell>
          <cell r="H13900" t="str">
            <v>g__Lactobacillus</v>
          </cell>
          <cell r="I13900" t="str">
            <v>s__unclassified_g__Lactobacillus</v>
          </cell>
        </row>
        <row r="13901">
          <cell r="G13901" t="str">
            <v>ASV11915</v>
          </cell>
          <cell r="H13901" t="str">
            <v>g__norank_f__Ruminococcaceae</v>
          </cell>
          <cell r="I13901" t="str">
            <v>s__unclassified_g__norank_f__Ruminococcaceae</v>
          </cell>
        </row>
        <row r="13902">
          <cell r="G13902" t="str">
            <v>ASV10779</v>
          </cell>
          <cell r="H13902" t="str">
            <v>g__unclassified_f__Lachnospiraceae</v>
          </cell>
          <cell r="I13902" t="str">
            <v>s__unclassified_f__Lachnospiraceae</v>
          </cell>
        </row>
        <row r="13903">
          <cell r="G13903" t="str">
            <v>ASV23445</v>
          </cell>
          <cell r="H13903" t="str">
            <v>g__unclassified_f__Lachnospiraceae</v>
          </cell>
          <cell r="I13903" t="str">
            <v>s__unclassified_f__Lachnospiraceae</v>
          </cell>
        </row>
        <row r="13904">
          <cell r="G13904" t="str">
            <v>ASV15821</v>
          </cell>
          <cell r="H13904" t="str">
            <v>g__Megasphaera</v>
          </cell>
          <cell r="I13904" t="str">
            <v>s__unclassified_g__Megasphaera</v>
          </cell>
        </row>
        <row r="13905">
          <cell r="G13905" t="str">
            <v>ASV865</v>
          </cell>
          <cell r="H13905" t="str">
            <v>g__unclassified_c__Clostridia</v>
          </cell>
          <cell r="I13905" t="str">
            <v>s__unclassified_c__Clostridia</v>
          </cell>
        </row>
        <row r="13906">
          <cell r="G13906" t="str">
            <v>ASV16984</v>
          </cell>
          <cell r="H13906" t="str">
            <v>g__unclassified_f__Lachnospiraceae</v>
          </cell>
          <cell r="I13906" t="str">
            <v>s__unclassified_f__Lachnospiraceae</v>
          </cell>
        </row>
        <row r="13907">
          <cell r="G13907" t="str">
            <v>ASV22342</v>
          </cell>
          <cell r="H13907" t="str">
            <v>g__unclassified_f__Oscillospiraceae</v>
          </cell>
          <cell r="I13907" t="str">
            <v>s__unclassified_f__Oscillospiraceae</v>
          </cell>
        </row>
        <row r="13908">
          <cell r="G13908" t="str">
            <v>ASV12811</v>
          </cell>
          <cell r="H13908" t="str">
            <v>g__norank_f__norank_o__Clostridia_vadinBB60_group</v>
          </cell>
          <cell r="I13908" t="str">
            <v>s__uncultured_bacterium_g__norank_f__norank_o__Clostridia_vadinBB60_group</v>
          </cell>
        </row>
        <row r="13909">
          <cell r="G13909" t="str">
            <v>ASV21478</v>
          </cell>
          <cell r="H13909" t="str">
            <v>g__unclassified_c__Bacilli</v>
          </cell>
          <cell r="I13909" t="str">
            <v>s__unclassified_c__Bacilli</v>
          </cell>
        </row>
        <row r="13910">
          <cell r="G13910" t="str">
            <v>ASV11936</v>
          </cell>
          <cell r="H13910" t="str">
            <v>g__Treponema</v>
          </cell>
          <cell r="I13910" t="str">
            <v>s__unclassified_g__Treponema</v>
          </cell>
        </row>
        <row r="13911">
          <cell r="G13911" t="str">
            <v>ASV18046</v>
          </cell>
          <cell r="H13911" t="str">
            <v>g__Pseudoflavonifractor</v>
          </cell>
          <cell r="I13911" t="str">
            <v>s__Pseudoflavonifractor_capillosus</v>
          </cell>
        </row>
        <row r="13912">
          <cell r="G13912" t="str">
            <v>ASV8546</v>
          </cell>
          <cell r="H13912" t="str">
            <v>g__unclassified_k__norank_d__Bacteria</v>
          </cell>
          <cell r="I13912" t="str">
            <v>s__unclassified_k__norank_d__Bacteria</v>
          </cell>
        </row>
        <row r="13913">
          <cell r="G13913" t="str">
            <v>ASV10213</v>
          </cell>
          <cell r="H13913" t="str">
            <v>g__Veillonella</v>
          </cell>
          <cell r="I13913" t="str">
            <v>s__unclassified_g__Veillonella</v>
          </cell>
        </row>
        <row r="13914">
          <cell r="G13914" t="str">
            <v>ASV11985</v>
          </cell>
          <cell r="H13914" t="str">
            <v>g__Terrisporobacter</v>
          </cell>
          <cell r="I13914" t="str">
            <v>s__unclassified_g__Terrisporobacter</v>
          </cell>
        </row>
        <row r="13915">
          <cell r="G13915" t="str">
            <v>ASV20924</v>
          </cell>
          <cell r="H13915" t="str">
            <v>g__unclassified_c__Clostridia</v>
          </cell>
          <cell r="I13915" t="str">
            <v>s__unclassified_c__Clostridia</v>
          </cell>
        </row>
        <row r="13916">
          <cell r="G13916" t="str">
            <v>ASV792</v>
          </cell>
          <cell r="H13916" t="str">
            <v>g__norank_f__norank_o__WCHB1-41</v>
          </cell>
          <cell r="I13916" t="str">
            <v>s__uncultured_bacterium_g__norank_f__norank_o__WCHB1-41</v>
          </cell>
        </row>
        <row r="13917">
          <cell r="G13917" t="str">
            <v>ASV7865</v>
          </cell>
          <cell r="H13917" t="str">
            <v>g__unclassified_f__Lachnospiraceae</v>
          </cell>
          <cell r="I13917" t="str">
            <v>s__unclassified_f__Lachnospiraceae</v>
          </cell>
        </row>
        <row r="13918">
          <cell r="G13918" t="str">
            <v>ASV9466</v>
          </cell>
          <cell r="H13918" t="str">
            <v>g__unclassified_p__Firmicutes</v>
          </cell>
          <cell r="I13918" t="str">
            <v>s__unclassified_p__Firmicutes</v>
          </cell>
        </row>
        <row r="13919">
          <cell r="G13919" t="str">
            <v>ASV6007</v>
          </cell>
          <cell r="H13919" t="str">
            <v>g__unclassified_f__Lachnospiraceae</v>
          </cell>
          <cell r="I13919" t="str">
            <v>s__unclassified_f__Lachnospiraceae</v>
          </cell>
        </row>
        <row r="13920">
          <cell r="G13920" t="str">
            <v>ASV23328</v>
          </cell>
          <cell r="H13920" t="str">
            <v>g__unclassified_k__norank_d__Bacteria</v>
          </cell>
          <cell r="I13920" t="str">
            <v>s__unclassified_k__norank_d__Bacteria</v>
          </cell>
        </row>
        <row r="13921">
          <cell r="G13921" t="str">
            <v>ASV7868</v>
          </cell>
          <cell r="H13921" t="str">
            <v>g__unclassified_f__Christensenellaceae</v>
          </cell>
          <cell r="I13921" t="str">
            <v>s__unclassified_f__Christensenellaceae</v>
          </cell>
        </row>
        <row r="13922">
          <cell r="G13922" t="str">
            <v>ASV16954</v>
          </cell>
          <cell r="H13922" t="str">
            <v>g__unclassified_f__Lachnospiraceae</v>
          </cell>
          <cell r="I13922" t="str">
            <v>s__unclassified_f__Lachnospiraceae</v>
          </cell>
        </row>
        <row r="13923">
          <cell r="G13923" t="str">
            <v>ASV16927</v>
          </cell>
          <cell r="H13923" t="str">
            <v>g__Eubacterium_oxidoreducens_group</v>
          </cell>
          <cell r="I13923" t="str">
            <v>s__uncultured_bacterium_g__Eubacterium_oxidoreducens_group</v>
          </cell>
        </row>
        <row r="13924">
          <cell r="G13924" t="str">
            <v>ASV7361</v>
          </cell>
          <cell r="H13924" t="str">
            <v>g__unclassified_c__Clostridia</v>
          </cell>
          <cell r="I13924" t="str">
            <v>s__unclassified_c__Clostridia</v>
          </cell>
        </row>
        <row r="13925">
          <cell r="G13925" t="str">
            <v>ASV12895</v>
          </cell>
          <cell r="H13925" t="str">
            <v>g__Clostridium_sensu_stricto_1</v>
          </cell>
          <cell r="I13925" t="str">
            <v>s__unclassified_g__Clostridium_sensu_stricto_1</v>
          </cell>
        </row>
        <row r="13926">
          <cell r="G13926" t="str">
            <v>ASV5982</v>
          </cell>
          <cell r="H13926" t="str">
            <v>g__Christensenellaceae_R-7_group</v>
          </cell>
          <cell r="I13926" t="str">
            <v>s__uncultured_bacterium_g__Christensenellaceae_R-7_group</v>
          </cell>
        </row>
        <row r="13927">
          <cell r="G13927" t="str">
            <v>ASV13717</v>
          </cell>
          <cell r="H13927" t="str">
            <v>g__unclassified_f__Lachnospiraceae</v>
          </cell>
          <cell r="I13927" t="str">
            <v>s__unclassified_f__Lachnospiraceae</v>
          </cell>
        </row>
        <row r="13928">
          <cell r="G13928" t="str">
            <v>ASV6767</v>
          </cell>
          <cell r="H13928" t="str">
            <v>g__unclassified_f__Peptostreptococcaceae</v>
          </cell>
          <cell r="I13928" t="str">
            <v>s__unclassified_f__Peptostreptococcaceae</v>
          </cell>
        </row>
        <row r="13929">
          <cell r="G13929" t="str">
            <v>ASV6050</v>
          </cell>
          <cell r="H13929" t="str">
            <v>g__Bacteroides</v>
          </cell>
          <cell r="I13929" t="str">
            <v>s__unclassified_g__Bacteroides</v>
          </cell>
        </row>
        <row r="13930">
          <cell r="G13930" t="str">
            <v>ASV16020</v>
          </cell>
          <cell r="H13930" t="str">
            <v>g__unclassified_f__Lachnospiraceae</v>
          </cell>
          <cell r="I13930" t="str">
            <v>s__unclassified_f__Lachnospiraceae</v>
          </cell>
        </row>
        <row r="13931">
          <cell r="G13931" t="str">
            <v>ASV19813</v>
          </cell>
          <cell r="H13931" t="str">
            <v>g__unclassified_p__Firmicutes</v>
          </cell>
          <cell r="I13931" t="str">
            <v>s__unclassified_p__Firmicutes</v>
          </cell>
        </row>
        <row r="13932">
          <cell r="G13932" t="str">
            <v>ASV21612</v>
          </cell>
          <cell r="H13932" t="str">
            <v>g__Enterococcus</v>
          </cell>
          <cell r="I13932" t="str">
            <v>s__unclassified_g__Enterococcus</v>
          </cell>
        </row>
        <row r="13933">
          <cell r="G13933" t="str">
            <v>ASV4988</v>
          </cell>
          <cell r="H13933" t="str">
            <v>g__unclassified_f__Prevotellaceae</v>
          </cell>
          <cell r="I13933" t="str">
            <v>s__unclassified_f__Prevotellaceae</v>
          </cell>
        </row>
        <row r="13934">
          <cell r="G13934" t="str">
            <v>ASV6757</v>
          </cell>
          <cell r="H13934" t="str">
            <v>g__unclassified_f__Peptostreptococcaceae</v>
          </cell>
          <cell r="I13934" t="str">
            <v>s__unclassified_f__Peptostreptococcaceae</v>
          </cell>
        </row>
        <row r="13935">
          <cell r="G13935" t="str">
            <v>ASV22422</v>
          </cell>
          <cell r="H13935" t="str">
            <v>g__unclassified_f__Oscillospiraceae</v>
          </cell>
          <cell r="I13935" t="str">
            <v>s__unclassified_f__Oscillospiraceae</v>
          </cell>
        </row>
        <row r="13936">
          <cell r="G13936" t="str">
            <v>ASV7822</v>
          </cell>
          <cell r="H13936" t="str">
            <v>g__unclassified_k__norank_d__Bacteria</v>
          </cell>
          <cell r="I13936" t="str">
            <v>s__unclassified_k__norank_d__Bacteria</v>
          </cell>
        </row>
        <row r="13937">
          <cell r="G13937" t="str">
            <v>ASV21279</v>
          </cell>
          <cell r="H13937" t="str">
            <v>g__Mogibacterium</v>
          </cell>
          <cell r="I13937" t="str">
            <v>s__uncultured_bacterium_g__Mogibacterium</v>
          </cell>
        </row>
        <row r="13938">
          <cell r="G13938" t="str">
            <v>ASV13472</v>
          </cell>
          <cell r="H13938" t="str">
            <v>g__Ruminococcus</v>
          </cell>
          <cell r="I13938" t="str">
            <v>s__unclassified_g__Ruminococcus</v>
          </cell>
        </row>
        <row r="13939">
          <cell r="G13939" t="str">
            <v>ASV24186</v>
          </cell>
          <cell r="H13939" t="str">
            <v>g__unclassified_p__Firmicutes</v>
          </cell>
          <cell r="I13939" t="str">
            <v>s__unclassified_p__Firmicutes</v>
          </cell>
        </row>
        <row r="13940">
          <cell r="G13940" t="str">
            <v>ASV18650</v>
          </cell>
          <cell r="H13940" t="str">
            <v>g__unclassified_f__Lachnospiraceae</v>
          </cell>
          <cell r="I13940" t="str">
            <v>s__unclassified_f__Lachnospiraceae</v>
          </cell>
        </row>
        <row r="13941">
          <cell r="G13941" t="str">
            <v>ASV19087</v>
          </cell>
          <cell r="H13941" t="str">
            <v>g__unclassified_f__Lachnospiraceae</v>
          </cell>
          <cell r="I13941" t="str">
            <v>s__unclassified_f__Lachnospiraceae</v>
          </cell>
        </row>
        <row r="13942">
          <cell r="G13942" t="str">
            <v>ASV16970</v>
          </cell>
          <cell r="H13942" t="str">
            <v>g__unclassified_f__Ruminococcaceae</v>
          </cell>
          <cell r="I13942" t="str">
            <v>s__unclassified_f__Ruminococcaceae</v>
          </cell>
        </row>
        <row r="13943">
          <cell r="G13943" t="str">
            <v>ASV6061</v>
          </cell>
          <cell r="H13943" t="str">
            <v>g__unclassified_f__Peptostreptococcaceae</v>
          </cell>
          <cell r="I13943" t="str">
            <v>s__unclassified_f__Peptostreptococcaceae</v>
          </cell>
        </row>
        <row r="13944">
          <cell r="G13944" t="str">
            <v>ASV5963</v>
          </cell>
          <cell r="H13944" t="str">
            <v>g__Turicibacter</v>
          </cell>
          <cell r="I13944" t="str">
            <v>s__unclassified_g__Turicibacter</v>
          </cell>
        </row>
        <row r="13945">
          <cell r="G13945" t="str">
            <v>ASV2356</v>
          </cell>
          <cell r="H13945" t="str">
            <v>g__Lactobacillus</v>
          </cell>
          <cell r="I13945" t="str">
            <v>s__unclassified_g__Lactobacillus</v>
          </cell>
        </row>
        <row r="13946">
          <cell r="G13946" t="str">
            <v>ASV22446</v>
          </cell>
          <cell r="H13946" t="str">
            <v>g__Lactobacillus</v>
          </cell>
          <cell r="I13946" t="str">
            <v>s__unclassified_g__Lactobacillus</v>
          </cell>
        </row>
        <row r="13947">
          <cell r="G13947" t="str">
            <v>ASV11904</v>
          </cell>
          <cell r="H13947" t="str">
            <v>g__unclassified_c__Clostridia</v>
          </cell>
          <cell r="I13947" t="str">
            <v>s__unclassified_c__Clostridia</v>
          </cell>
        </row>
        <row r="13948">
          <cell r="G13948" t="str">
            <v>ASV16561</v>
          </cell>
          <cell r="H13948" t="str">
            <v>g__Clostridium_sensu_stricto_1</v>
          </cell>
          <cell r="I13948" t="str">
            <v>s__unclassified_g__Clostridium_sensu_stricto_1</v>
          </cell>
        </row>
        <row r="13949">
          <cell r="G13949" t="str">
            <v>ASV9582</v>
          </cell>
          <cell r="H13949" t="str">
            <v>g__Lachnospiraceae_NC2004_group</v>
          </cell>
          <cell r="I13949" t="str">
            <v>s__unclassified_g__Lachnospiraceae_NC2004_group</v>
          </cell>
        </row>
        <row r="13950">
          <cell r="G13950" t="str">
            <v>ASV23980</v>
          </cell>
          <cell r="H13950" t="str">
            <v>g__unclassified_f__Ruminococcaceae</v>
          </cell>
          <cell r="I13950" t="str">
            <v>s__unclassified_f__Ruminococcaceae</v>
          </cell>
        </row>
        <row r="13951">
          <cell r="G13951" t="str">
            <v>ASV4148</v>
          </cell>
          <cell r="H13951" t="str">
            <v>g__unclassified_c__Clostridia</v>
          </cell>
          <cell r="I13951" t="str">
            <v>s__unclassified_c__Clostridia</v>
          </cell>
        </row>
        <row r="13952">
          <cell r="G13952" t="str">
            <v>ASV6141</v>
          </cell>
          <cell r="H13952" t="str">
            <v>g__unclassified_f__Christensenellaceae</v>
          </cell>
          <cell r="I13952" t="str">
            <v>s__unclassified_f__Christensenellaceae</v>
          </cell>
        </row>
        <row r="13953">
          <cell r="G13953" t="str">
            <v>ASV5965</v>
          </cell>
          <cell r="H13953" t="str">
            <v>g__unclassified_f__Oscillospiraceae</v>
          </cell>
          <cell r="I13953" t="str">
            <v>s__unclassified_f__Oscillospiraceae</v>
          </cell>
        </row>
        <row r="13954">
          <cell r="G13954" t="str">
            <v>ASV12843</v>
          </cell>
          <cell r="H13954" t="str">
            <v>g__unclassified_k__norank_d__Bacteria</v>
          </cell>
          <cell r="I13954" t="str">
            <v>s__unclassified_k__norank_d__Bacteria</v>
          </cell>
        </row>
        <row r="13955">
          <cell r="G13955" t="str">
            <v>ASV16499</v>
          </cell>
          <cell r="H13955" t="str">
            <v>g__Escherichia-Shigella</v>
          </cell>
          <cell r="I13955" t="str">
            <v>s__unclassified_g__Escherichia-Shigella</v>
          </cell>
        </row>
        <row r="13956">
          <cell r="G13956" t="str">
            <v>ASV22506</v>
          </cell>
          <cell r="H13956" t="str">
            <v>g__Lactobacillus</v>
          </cell>
          <cell r="I13956" t="str">
            <v>s__unclassified_g__Lactobacillus</v>
          </cell>
        </row>
        <row r="13957">
          <cell r="G13957" t="str">
            <v>ASV20845</v>
          </cell>
          <cell r="H13957" t="str">
            <v>g__unclassified_f__Anaerovoracaceae</v>
          </cell>
          <cell r="I13957" t="str">
            <v>s__unclassified_f__Anaerovoracaceae</v>
          </cell>
        </row>
        <row r="13958">
          <cell r="G13958" t="str">
            <v>ASV22467</v>
          </cell>
          <cell r="H13958" t="str">
            <v>g__unclassified_c__Clostridia</v>
          </cell>
          <cell r="I13958" t="str">
            <v>s__unclassified_c__Clostridia</v>
          </cell>
        </row>
        <row r="13959">
          <cell r="G13959" t="str">
            <v>ASV23323</v>
          </cell>
          <cell r="H13959" t="str">
            <v>g__Bifidobacterium</v>
          </cell>
          <cell r="I13959" t="str">
            <v>s__unclassified_g__Bifidobacterium</v>
          </cell>
        </row>
        <row r="13960">
          <cell r="G13960" t="str">
            <v>ASV13477</v>
          </cell>
          <cell r="H13960" t="str">
            <v>g__unclassified_c__Clostridia</v>
          </cell>
          <cell r="I13960" t="str">
            <v>s__unclassified_c__Clostridia</v>
          </cell>
        </row>
        <row r="13961">
          <cell r="G13961" t="str">
            <v>ASV9485</v>
          </cell>
          <cell r="H13961" t="str">
            <v>g__unclassified_f__Lachnospiraceae</v>
          </cell>
          <cell r="I13961" t="str">
            <v>s__unclassified_f__Lachnospiraceae</v>
          </cell>
        </row>
        <row r="13962">
          <cell r="G13962" t="str">
            <v>ASV8509</v>
          </cell>
          <cell r="H13962" t="str">
            <v>g__unclassified_o__Bacteroidales</v>
          </cell>
          <cell r="I13962" t="str">
            <v>s__unclassified_o__Bacteroidales</v>
          </cell>
        </row>
        <row r="13963">
          <cell r="G13963" t="str">
            <v>ASV13817</v>
          </cell>
          <cell r="H13963" t="str">
            <v>g__Fusobacterium</v>
          </cell>
          <cell r="I13963" t="str">
            <v>s__unclassified_g__Fusobacterium</v>
          </cell>
        </row>
        <row r="13964">
          <cell r="G13964" t="str">
            <v>ASV16040</v>
          </cell>
          <cell r="H13964" t="str">
            <v>g__unclassified_c__Bacilli</v>
          </cell>
          <cell r="I13964" t="str">
            <v>s__unclassified_c__Bacilli</v>
          </cell>
        </row>
        <row r="13965">
          <cell r="G13965" t="str">
            <v>ASV22386</v>
          </cell>
          <cell r="H13965" t="str">
            <v>g__unclassified_c__Clostridia</v>
          </cell>
          <cell r="I13965" t="str">
            <v>s__unclassified_c__Clostridia</v>
          </cell>
        </row>
        <row r="13966">
          <cell r="G13966" t="str">
            <v>ASV4922</v>
          </cell>
          <cell r="H13966" t="str">
            <v>g__unclassified_c__Clostridia</v>
          </cell>
          <cell r="I13966" t="str">
            <v>s__unclassified_c__Clostridia</v>
          </cell>
        </row>
        <row r="13967">
          <cell r="G13967" t="str">
            <v>ASV24185</v>
          </cell>
          <cell r="H13967" t="str">
            <v>g__unclassified_f__Ruminococcaceae</v>
          </cell>
          <cell r="I13967" t="str">
            <v>s__unclassified_f__Ruminococcaceae</v>
          </cell>
        </row>
        <row r="13968">
          <cell r="G13968" t="str">
            <v>ASV14300</v>
          </cell>
          <cell r="H13968" t="str">
            <v>g__Prevotellaceae_UCG-003</v>
          </cell>
          <cell r="I13968" t="str">
            <v>s__unclassified_g__Prevotellaceae_UCG-003</v>
          </cell>
        </row>
        <row r="13969">
          <cell r="G13969" t="str">
            <v>ASV9448</v>
          </cell>
          <cell r="H13969" t="str">
            <v>g__unclassified_c__Clostridia</v>
          </cell>
          <cell r="I13969" t="str">
            <v>s__unclassified_c__Clostridia</v>
          </cell>
        </row>
        <row r="13970">
          <cell r="G13970" t="str">
            <v>ASV16956</v>
          </cell>
          <cell r="H13970" t="str">
            <v>g__unclassified_f__Lachnospiraceae</v>
          </cell>
          <cell r="I13970" t="str">
            <v>s__unclassified_f__Lachnospiraceae</v>
          </cell>
        </row>
        <row r="13971">
          <cell r="G13971" t="str">
            <v>ASV16063</v>
          </cell>
          <cell r="H13971" t="str">
            <v>g__Lactobacillus</v>
          </cell>
          <cell r="I13971" t="str">
            <v>s__unclassified_g__Lactobacillus</v>
          </cell>
        </row>
        <row r="13972">
          <cell r="G13972" t="str">
            <v>ASV14546</v>
          </cell>
          <cell r="H13972" t="str">
            <v>g__norank_f__Muribaculaceae</v>
          </cell>
          <cell r="I13972" t="str">
            <v>s__uncultured_bacterium_g__norank_f__Muribaculaceae</v>
          </cell>
        </row>
        <row r="13973">
          <cell r="G13973" t="str">
            <v>ASV19668</v>
          </cell>
          <cell r="H13973" t="str">
            <v>g__unclassified_f__Lachnospiraceae</v>
          </cell>
          <cell r="I13973" t="str">
            <v>s__unclassified_f__Lachnospiraceae</v>
          </cell>
        </row>
        <row r="13974">
          <cell r="G13974" t="str">
            <v>ASV22359</v>
          </cell>
          <cell r="H13974" t="str">
            <v>g__Prevotellaceae_UCG-001</v>
          </cell>
          <cell r="I13974" t="str">
            <v>s__uncultured_rumen_bacterium_g__Prevotellaceae_UCG-001</v>
          </cell>
        </row>
        <row r="13975">
          <cell r="G13975" t="str">
            <v>ASV12971</v>
          </cell>
          <cell r="H13975" t="str">
            <v>g__UCG-005</v>
          </cell>
          <cell r="I13975" t="str">
            <v>s__unclassified_g__UCG-005</v>
          </cell>
        </row>
        <row r="13976">
          <cell r="G13976" t="str">
            <v>ASV19098</v>
          </cell>
          <cell r="H13976" t="str">
            <v>g__CAG-873</v>
          </cell>
          <cell r="I13976" t="str">
            <v>s__unclassified_g__CAG-873</v>
          </cell>
        </row>
        <row r="13977">
          <cell r="G13977" t="str">
            <v>ASV10751</v>
          </cell>
          <cell r="H13977" t="str">
            <v>g__unclassified_p__Firmicutes</v>
          </cell>
          <cell r="I13977" t="str">
            <v>s__unclassified_p__Firmicutes</v>
          </cell>
        </row>
        <row r="13978">
          <cell r="G13978" t="str">
            <v>ASV2216</v>
          </cell>
          <cell r="H13978" t="str">
            <v>g__unclassified_c__Clostridia</v>
          </cell>
          <cell r="I13978" t="str">
            <v>s__unclassified_c__Clostridia</v>
          </cell>
        </row>
        <row r="13979">
          <cell r="G13979" t="str">
            <v>ASV11898</v>
          </cell>
          <cell r="H13979" t="str">
            <v>g__unclassified_c__Clostridia</v>
          </cell>
          <cell r="I13979" t="str">
            <v>s__unclassified_c__Clostridia</v>
          </cell>
        </row>
        <row r="13980">
          <cell r="G13980" t="str">
            <v>ASV11796</v>
          </cell>
          <cell r="H13980" t="str">
            <v>g__Parabacteroides</v>
          </cell>
          <cell r="I13980" t="str">
            <v>s__Porphyromonadaceae_bacterium_DJF_B175</v>
          </cell>
        </row>
        <row r="13981">
          <cell r="G13981" t="str">
            <v>ASV9458</v>
          </cell>
          <cell r="H13981" t="str">
            <v>g__norank_f__Erysipelotrichaceae</v>
          </cell>
          <cell r="I13981" t="str">
            <v>s__uncultured_bacterium_g__norank_f__Erysipelotrichaceae</v>
          </cell>
        </row>
        <row r="13982">
          <cell r="G13982" t="str">
            <v>ASV2335</v>
          </cell>
          <cell r="H13982" t="str">
            <v>g__unclassified_f__Enterobacteriaceae</v>
          </cell>
          <cell r="I13982" t="str">
            <v>s__unclassified_f__Enterobacteriaceae</v>
          </cell>
        </row>
        <row r="13983">
          <cell r="G13983" t="str">
            <v>ASV19809</v>
          </cell>
          <cell r="H13983" t="str">
            <v>g__unclassified_p__Firmicutes</v>
          </cell>
          <cell r="I13983" t="str">
            <v>s__unclassified_p__Firmicutes</v>
          </cell>
        </row>
        <row r="13984">
          <cell r="G13984" t="str">
            <v>ASV18636</v>
          </cell>
          <cell r="H13984" t="str">
            <v>g__Lactobacillus</v>
          </cell>
          <cell r="I13984" t="str">
            <v>s__unclassified_g__Lactobacillus</v>
          </cell>
        </row>
        <row r="13985">
          <cell r="G13985" t="str">
            <v>ASV14520</v>
          </cell>
          <cell r="H13985" t="str">
            <v>g__unclassified_c__Clostridia</v>
          </cell>
          <cell r="I13985" t="str">
            <v>s__unclassified_c__Clostridia</v>
          </cell>
        </row>
        <row r="13986">
          <cell r="G13986" t="str">
            <v>ASV19686</v>
          </cell>
          <cell r="H13986" t="str">
            <v>g__unclassified_f__Anaerovoracaceae</v>
          </cell>
          <cell r="I13986" t="str">
            <v>s__unclassified_f__Anaerovoracaceae</v>
          </cell>
        </row>
        <row r="13987">
          <cell r="G13987" t="str">
            <v>ASV14453</v>
          </cell>
          <cell r="H13987" t="str">
            <v>g__unclassified_f__Oscillospiraceae</v>
          </cell>
          <cell r="I13987" t="str">
            <v>s__unclassified_f__Oscillospiraceae</v>
          </cell>
        </row>
        <row r="13988">
          <cell r="G13988" t="str">
            <v>ASV9043</v>
          </cell>
          <cell r="H13988" t="str">
            <v>g__Streptococcus</v>
          </cell>
          <cell r="I13988" t="str">
            <v>s__unclassified_g__Streptococcus</v>
          </cell>
        </row>
        <row r="13989">
          <cell r="G13989" t="str">
            <v>ASV7191</v>
          </cell>
          <cell r="H13989" t="str">
            <v>g__norank_f__Selenomonadaceae</v>
          </cell>
          <cell r="I13989" t="str">
            <v>s__unclassified_g__norank_f__Selenomonadaceae</v>
          </cell>
        </row>
        <row r="13990">
          <cell r="G13990" t="str">
            <v>ASV21625</v>
          </cell>
          <cell r="H13990" t="str">
            <v>g__unclassified_f__Lachnospiraceae</v>
          </cell>
          <cell r="I13990" t="str">
            <v>s__unclassified_f__Lachnospiraceae</v>
          </cell>
        </row>
        <row r="13991">
          <cell r="G13991" t="str">
            <v>ASV23312</v>
          </cell>
          <cell r="H13991" t="str">
            <v>g__unclassified_o__Oscillospirales</v>
          </cell>
          <cell r="I13991" t="str">
            <v>s__unclassified_o__Oscillospirales</v>
          </cell>
        </row>
        <row r="13992">
          <cell r="G13992" t="str">
            <v>ASV3499</v>
          </cell>
          <cell r="H13992" t="str">
            <v>g__unclassified_f__Selenomonadaceae</v>
          </cell>
          <cell r="I13992" t="str">
            <v>s__unclassified_f__Selenomonadaceae</v>
          </cell>
        </row>
        <row r="13993">
          <cell r="G13993" t="str">
            <v>ASV23388</v>
          </cell>
          <cell r="H13993" t="str">
            <v>g__unclassified_p__Firmicutes</v>
          </cell>
          <cell r="I13993" t="str">
            <v>s__unclassified_p__Firmicutes</v>
          </cell>
        </row>
        <row r="13994">
          <cell r="G13994" t="str">
            <v>ASV23775</v>
          </cell>
          <cell r="H13994" t="str">
            <v>g__unclassified_f__Ruminococcaceae</v>
          </cell>
          <cell r="I13994" t="str">
            <v>s__unclassified_f__Ruminococcaceae</v>
          </cell>
        </row>
        <row r="13995">
          <cell r="G13995" t="str">
            <v>ASV19678</v>
          </cell>
          <cell r="H13995" t="str">
            <v>g__unclassified_f__Ruminococcaceae</v>
          </cell>
          <cell r="I13995" t="str">
            <v>s__unclassified_f__Ruminococcaceae</v>
          </cell>
        </row>
        <row r="13996">
          <cell r="G13996" t="str">
            <v>ASV11754</v>
          </cell>
          <cell r="H13996" t="str">
            <v>g__Lachnoclostridium</v>
          </cell>
          <cell r="I13996" t="str">
            <v>s__unclassified_g__Lachnoclostridium</v>
          </cell>
        </row>
        <row r="13997">
          <cell r="G13997" t="str">
            <v>ASV6821</v>
          </cell>
          <cell r="H13997" t="str">
            <v>g__Phascolarctobacterium</v>
          </cell>
          <cell r="I13997" t="str">
            <v>s__uncultured_bacterium_g__Phascolarctobacterium</v>
          </cell>
        </row>
        <row r="13998">
          <cell r="G13998" t="str">
            <v>ASV2923</v>
          </cell>
          <cell r="H13998" t="str">
            <v>g__Anoxybacillus</v>
          </cell>
          <cell r="I13998" t="str">
            <v>s__unclassified_g__Anoxybacillus</v>
          </cell>
        </row>
        <row r="13999">
          <cell r="G13999" t="str">
            <v>ASV21470</v>
          </cell>
          <cell r="H13999" t="str">
            <v>g__Allisonella</v>
          </cell>
          <cell r="I13999" t="str">
            <v>s__unclassified_g__Allisonella</v>
          </cell>
        </row>
        <row r="14000">
          <cell r="G14000" t="str">
            <v>ASV22508</v>
          </cell>
          <cell r="H14000" t="str">
            <v>g__unclassified_f__Lachnospiraceae</v>
          </cell>
          <cell r="I14000" t="str">
            <v>s__unclassified_f__Lachnospiraceae</v>
          </cell>
        </row>
        <row r="14001">
          <cell r="G14001" t="str">
            <v>ASV11764</v>
          </cell>
          <cell r="H14001" t="str">
            <v>g__Prevotella</v>
          </cell>
          <cell r="I14001" t="str">
            <v>s__uncultured_bacterium_g__Prevotella</v>
          </cell>
        </row>
        <row r="14002">
          <cell r="G14002" t="str">
            <v>ASV23983</v>
          </cell>
          <cell r="H14002" t="str">
            <v>g__unclassified_f__Lachnospiraceae</v>
          </cell>
          <cell r="I14002" t="str">
            <v>s__unclassified_f__Lachnospiraceae</v>
          </cell>
        </row>
        <row r="14003">
          <cell r="G14003" t="str">
            <v>ASV7967</v>
          </cell>
          <cell r="H14003" t="str">
            <v>g__unclassified_f__Lachnospiraceae</v>
          </cell>
          <cell r="I14003" t="str">
            <v>s__unclassified_f__Lachnospiraceae</v>
          </cell>
        </row>
        <row r="14004">
          <cell r="G14004" t="str">
            <v>ASV21494</v>
          </cell>
          <cell r="H14004" t="str">
            <v>g__Megasphaera</v>
          </cell>
          <cell r="I14004" t="str">
            <v>s__unclassified_g__Megasphaera</v>
          </cell>
        </row>
        <row r="14005">
          <cell r="G14005" t="str">
            <v>ASV18916</v>
          </cell>
          <cell r="H14005" t="str">
            <v>g__Fusobacterium</v>
          </cell>
          <cell r="I14005" t="str">
            <v>s__Bacillus_bogoriensis_ATCC_BAA-922</v>
          </cell>
        </row>
        <row r="14006">
          <cell r="G14006" t="str">
            <v>ASV11950</v>
          </cell>
          <cell r="H14006" t="str">
            <v>g__Clostridium_sensu_stricto_1</v>
          </cell>
          <cell r="I14006" t="str">
            <v>s__uncultured_bacterium_g__Clostridium_sensu_stricto_1</v>
          </cell>
        </row>
        <row r="14007">
          <cell r="G14007" t="str">
            <v>ASV6756</v>
          </cell>
          <cell r="H14007" t="str">
            <v>g__norank_f__Erysipelotrichaceae</v>
          </cell>
          <cell r="I14007" t="str">
            <v>s__uncultured_bacterium_g__norank_f__Erysipelotrichaceae</v>
          </cell>
        </row>
        <row r="14008">
          <cell r="G14008" t="str">
            <v>ASV20463</v>
          </cell>
          <cell r="H14008" t="str">
            <v>g__Sphingobacterium</v>
          </cell>
          <cell r="I14008" t="str">
            <v>s__unclassified_g__Sphingobacterium</v>
          </cell>
        </row>
        <row r="14009">
          <cell r="G14009" t="str">
            <v>ASV5946</v>
          </cell>
          <cell r="H14009" t="str">
            <v>g__unclassified_c__Clostridia</v>
          </cell>
          <cell r="I14009" t="str">
            <v>s__unclassified_c__Clostridia</v>
          </cell>
        </row>
        <row r="14010">
          <cell r="G14010" t="str">
            <v>ASV18927</v>
          </cell>
          <cell r="H14010" t="str">
            <v>g__Sutterella</v>
          </cell>
          <cell r="I14010" t="str">
            <v>s__unclassified_g__Sutterella</v>
          </cell>
        </row>
        <row r="14011">
          <cell r="G14011" t="str">
            <v>ASV9862</v>
          </cell>
          <cell r="H14011" t="str">
            <v>g__Actinomyces</v>
          </cell>
          <cell r="I14011" t="str">
            <v>s__Actinomyces_howellii</v>
          </cell>
        </row>
        <row r="14012">
          <cell r="G14012" t="str">
            <v>ASV19822</v>
          </cell>
          <cell r="H14012" t="str">
            <v>g__norank_f__Muribaculaceae</v>
          </cell>
          <cell r="I14012" t="str">
            <v>s__unclassified_g__norank_f__Muribaculaceae</v>
          </cell>
        </row>
        <row r="14013">
          <cell r="G14013" t="str">
            <v>ASV14389</v>
          </cell>
          <cell r="H14013" t="str">
            <v>g__unclassified_f__Christensenellaceae</v>
          </cell>
          <cell r="I14013" t="str">
            <v>s__unclassified_f__Christensenellaceae</v>
          </cell>
        </row>
        <row r="14014">
          <cell r="G14014" t="str">
            <v>ASV809</v>
          </cell>
          <cell r="H14014" t="str">
            <v>g__unclassified_k__norank_d__Bacteria</v>
          </cell>
          <cell r="I14014" t="str">
            <v>s__unclassified_k__norank_d__Bacteria</v>
          </cell>
        </row>
        <row r="14015">
          <cell r="G14015" t="str">
            <v>ASV23405</v>
          </cell>
          <cell r="H14015" t="str">
            <v>g__Christensenellaceae_R-7_group</v>
          </cell>
          <cell r="I14015" t="str">
            <v>s__unclassified_g__Christensenellaceae_R-7_group</v>
          </cell>
        </row>
        <row r="14016">
          <cell r="G14016" t="str">
            <v>ASV16557</v>
          </cell>
          <cell r="H14016" t="str">
            <v>g__Bacteroides</v>
          </cell>
          <cell r="I14016" t="str">
            <v>s__uncultured_bacterium_g__Bacteroides</v>
          </cell>
        </row>
        <row r="14017">
          <cell r="G14017" t="str">
            <v>ASV15824</v>
          </cell>
          <cell r="H14017" t="str">
            <v>g__unclassified_o__Lactobacillales</v>
          </cell>
          <cell r="I14017" t="str">
            <v>s__unclassified_o__Lactobacillales</v>
          </cell>
        </row>
        <row r="14018">
          <cell r="G14018" t="str">
            <v>ASV13815</v>
          </cell>
          <cell r="H14018" t="str">
            <v>g__unclassified_f__Pasteurellaceae</v>
          </cell>
          <cell r="I14018" t="str">
            <v>s__unclassified_f__Pasteurellaceae</v>
          </cell>
        </row>
        <row r="14019">
          <cell r="G14019" t="str">
            <v>ASV13526</v>
          </cell>
          <cell r="H14019" t="str">
            <v>g__Ruminococcus</v>
          </cell>
          <cell r="I14019" t="str">
            <v>s__uncultured_bacterium_g__Ruminococcus</v>
          </cell>
        </row>
        <row r="14020">
          <cell r="G14020" t="str">
            <v>ASV1031</v>
          </cell>
          <cell r="H14020" t="str">
            <v>g__unclassified_f__Ruminococcaceae</v>
          </cell>
          <cell r="I14020" t="str">
            <v>s__unclassified_f__Ruminococcaceae</v>
          </cell>
        </row>
        <row r="14021">
          <cell r="G14021" t="str">
            <v>ASV9442</v>
          </cell>
          <cell r="H14021" t="str">
            <v>g__unclassified_c__Clostridia</v>
          </cell>
          <cell r="I14021" t="str">
            <v>s__unclassified_c__Clostridia</v>
          </cell>
        </row>
        <row r="14022">
          <cell r="G14022" t="str">
            <v>ASV8719</v>
          </cell>
          <cell r="H14022" t="str">
            <v>g__Clostridium_sensu_stricto_1</v>
          </cell>
          <cell r="I14022" t="str">
            <v>s__unclassified_g__Clostridium_sensu_stricto_1</v>
          </cell>
        </row>
        <row r="14023">
          <cell r="G14023" t="str">
            <v>ASV959</v>
          </cell>
          <cell r="H14023" t="str">
            <v>g__Christensenellaceae_R-7_group</v>
          </cell>
          <cell r="I14023" t="str">
            <v>s__unclassified_g__Christensenellaceae_R-7_group</v>
          </cell>
        </row>
        <row r="14024">
          <cell r="G14024" t="str">
            <v>ASV18145</v>
          </cell>
          <cell r="H14024" t="str">
            <v>g__unclassified_f__Oscillospiraceae</v>
          </cell>
          <cell r="I14024" t="str">
            <v>s__unclassified_f__Oscillospiraceae</v>
          </cell>
        </row>
        <row r="14025">
          <cell r="G14025" t="str">
            <v>ASV2381</v>
          </cell>
          <cell r="H14025" t="str">
            <v>g__Veillonella</v>
          </cell>
          <cell r="I14025" t="str">
            <v>s__Veillonella_seminalis</v>
          </cell>
        </row>
        <row r="14026">
          <cell r="G14026" t="str">
            <v>ASV1048</v>
          </cell>
          <cell r="H14026" t="str">
            <v>g__unclassified_f__Oscillospiraceae</v>
          </cell>
          <cell r="I14026" t="str">
            <v>s__unclassified_f__Oscillospiraceae</v>
          </cell>
        </row>
        <row r="14027">
          <cell r="G14027" t="str">
            <v>ASV11963</v>
          </cell>
          <cell r="H14027" t="str">
            <v>g__unclassified_c__Clostridia</v>
          </cell>
          <cell r="I14027" t="str">
            <v>s__unclassified_c__Clostridia</v>
          </cell>
        </row>
        <row r="14028">
          <cell r="G14028" t="str">
            <v>ASV11967</v>
          </cell>
          <cell r="H14028" t="str">
            <v>g__Subdoligranulum</v>
          </cell>
          <cell r="I14028" t="str">
            <v>s__unclassified_g__Subdoligranulum</v>
          </cell>
        </row>
        <row r="14029">
          <cell r="G14029" t="str">
            <v>ASV4180</v>
          </cell>
          <cell r="H14029" t="str">
            <v>g__unclassified_f__Lachnospiraceae</v>
          </cell>
          <cell r="I14029" t="str">
            <v>s__unclassified_f__Lachnospiraceae</v>
          </cell>
        </row>
        <row r="14030">
          <cell r="G14030" t="str">
            <v>ASV5119</v>
          </cell>
          <cell r="H14030" t="str">
            <v>g__unclassified_f__Lachnospiraceae</v>
          </cell>
          <cell r="I14030" t="str">
            <v>s__unclassified_f__Lachnospiraceae</v>
          </cell>
        </row>
        <row r="14031">
          <cell r="G14031" t="str">
            <v>ASV7893</v>
          </cell>
          <cell r="H14031" t="str">
            <v>g__Prevotellaceae_NK3B31_group</v>
          </cell>
          <cell r="I14031" t="str">
            <v>s__uncultured_bacterium_g__Prevotellaceae_NK3B31_group</v>
          </cell>
        </row>
        <row r="14032">
          <cell r="G14032" t="str">
            <v>ASV6127</v>
          </cell>
          <cell r="H14032" t="str">
            <v>g__UCG-005</v>
          </cell>
          <cell r="I14032" t="str">
            <v>s__uncultured_bacterium_g__UCG-005</v>
          </cell>
        </row>
        <row r="14033">
          <cell r="G14033" t="str">
            <v>ASV6084</v>
          </cell>
          <cell r="H14033" t="str">
            <v>g__unclassified_k__norank_d__Bacteria</v>
          </cell>
          <cell r="I14033" t="str">
            <v>s__unclassified_k__norank_d__Bacteria</v>
          </cell>
        </row>
        <row r="14034">
          <cell r="G14034" t="str">
            <v>ASV18237</v>
          </cell>
          <cell r="H14034" t="str">
            <v>g__unclassified_f__Lachnospiraceae</v>
          </cell>
          <cell r="I14034" t="str">
            <v>s__unclassified_f__Lachnospiraceae</v>
          </cell>
        </row>
        <row r="14035">
          <cell r="G14035" t="str">
            <v>ASV11929</v>
          </cell>
          <cell r="H14035" t="str">
            <v>g__Megasphaera</v>
          </cell>
          <cell r="I14035" t="str">
            <v>s__unclassified_g__Megasphaera</v>
          </cell>
        </row>
        <row r="14036">
          <cell r="G14036" t="str">
            <v>ASV18146</v>
          </cell>
          <cell r="H14036" t="str">
            <v>g__Lachnospiraceae_UCG-004</v>
          </cell>
          <cell r="I14036" t="str">
            <v>s__uncultured_bacterium_g__Lachnospiraceae_UCG-004</v>
          </cell>
        </row>
        <row r="14037">
          <cell r="G14037" t="str">
            <v>ASV16051</v>
          </cell>
          <cell r="H14037" t="str">
            <v>g__unclassified_f__Lachnospiraceae</v>
          </cell>
          <cell r="I14037" t="str">
            <v>s__unclassified_f__Lachnospiraceae</v>
          </cell>
        </row>
        <row r="14038">
          <cell r="G14038" t="str">
            <v>ASV824</v>
          </cell>
          <cell r="H14038" t="str">
            <v>g__norank_f__Erysipelotrichaceae</v>
          </cell>
          <cell r="I14038" t="str">
            <v>s__uncultured_bacterium_g__norank_f__Erysipelotrichaceae</v>
          </cell>
        </row>
        <row r="14039">
          <cell r="G14039" t="str">
            <v>ASV9558</v>
          </cell>
          <cell r="H14039" t="str">
            <v>g__unclassified_c__Clostridia</v>
          </cell>
          <cell r="I14039" t="str">
            <v>s__unclassified_c__Clostridia</v>
          </cell>
        </row>
        <row r="14040">
          <cell r="G14040" t="str">
            <v>ASV13516</v>
          </cell>
          <cell r="H14040" t="str">
            <v>g__unclassified_c__Bacilli</v>
          </cell>
          <cell r="I14040" t="str">
            <v>s__unclassified_c__Bacilli</v>
          </cell>
        </row>
        <row r="14041">
          <cell r="G14041" t="str">
            <v>ASV19689</v>
          </cell>
          <cell r="H14041" t="str">
            <v>g__norank_f__Eubacterium_coprostanoligenes_group</v>
          </cell>
          <cell r="I14041" t="str">
            <v>s__unclassified_g__norank_f__Eubacterium_coprostanoligenes_group</v>
          </cell>
        </row>
        <row r="14042">
          <cell r="G14042" t="str">
            <v>ASV20860</v>
          </cell>
          <cell r="H14042" t="str">
            <v>g__Christensenellaceae_R-7_group</v>
          </cell>
          <cell r="I14042" t="str">
            <v>s__unclassified_g__Christensenellaceae_R-7_group</v>
          </cell>
        </row>
        <row r="14043">
          <cell r="G14043" t="str">
            <v>ASV6140</v>
          </cell>
          <cell r="H14043" t="str">
            <v>g__Escherichia-Shigella</v>
          </cell>
          <cell r="I14043" t="str">
            <v>s__unclassified_g__Escherichia-Shigella</v>
          </cell>
        </row>
        <row r="14044">
          <cell r="G14044" t="str">
            <v>ASV7082</v>
          </cell>
          <cell r="H14044" t="str">
            <v>g__unclassified_k__norank_d__Bacteria</v>
          </cell>
          <cell r="I14044" t="str">
            <v>s__unclassified_k__norank_d__Bacteria</v>
          </cell>
        </row>
        <row r="14045">
          <cell r="G14045" t="str">
            <v>ASV22361</v>
          </cell>
          <cell r="H14045" t="str">
            <v>g__unclassified_p__Firmicutes</v>
          </cell>
          <cell r="I14045" t="str">
            <v>s__unclassified_p__Firmicutes</v>
          </cell>
        </row>
        <row r="14046">
          <cell r="G14046" t="str">
            <v>ASV18596</v>
          </cell>
          <cell r="H14046" t="str">
            <v>g__Peptostreptococcus</v>
          </cell>
          <cell r="I14046" t="str">
            <v>s__unclassified_g__Peptostreptococcus</v>
          </cell>
        </row>
        <row r="14047">
          <cell r="G14047" t="str">
            <v>ASV18133</v>
          </cell>
          <cell r="H14047" t="str">
            <v>g__unclassified_c__Clostridia</v>
          </cell>
          <cell r="I14047" t="str">
            <v>s__unclassified_c__Clostridia</v>
          </cell>
        </row>
        <row r="14048">
          <cell r="G14048" t="str">
            <v>ASV14351</v>
          </cell>
          <cell r="H14048" t="str">
            <v>g__unclassified_c__Clostridia</v>
          </cell>
          <cell r="I14048" t="str">
            <v>s__unclassified_c__Clostridia</v>
          </cell>
        </row>
        <row r="14049">
          <cell r="G14049" t="str">
            <v>ASV17301</v>
          </cell>
          <cell r="H14049" t="str">
            <v>g__Lactobacillus</v>
          </cell>
          <cell r="I14049" t="str">
            <v>s__uncultured_bacterium_g__Lactobacillus</v>
          </cell>
        </row>
        <row r="14050">
          <cell r="G14050" t="str">
            <v>ASV21611</v>
          </cell>
          <cell r="H14050" t="str">
            <v>g__Prevotella</v>
          </cell>
          <cell r="I14050" t="str">
            <v>s__unclassified_g__Prevotella</v>
          </cell>
        </row>
        <row r="14051">
          <cell r="G14051" t="str">
            <v>ASV20925</v>
          </cell>
          <cell r="H14051" t="str">
            <v>g__unclassified_c__Clostridia</v>
          </cell>
          <cell r="I14051" t="str">
            <v>s__unclassified_c__Clostridia</v>
          </cell>
        </row>
        <row r="14052">
          <cell r="G14052" t="str">
            <v>ASV12021</v>
          </cell>
          <cell r="H14052" t="str">
            <v>g__unclassified_f__Lachnospiraceae</v>
          </cell>
          <cell r="I14052" t="str">
            <v>s__unclassified_f__Lachnospiraceae</v>
          </cell>
        </row>
        <row r="14053">
          <cell r="G14053" t="str">
            <v>ASV18194</v>
          </cell>
          <cell r="H14053" t="str">
            <v>g__Colidextribacter</v>
          </cell>
          <cell r="I14053" t="str">
            <v>s__unclassified_g__Colidextribacter</v>
          </cell>
        </row>
        <row r="14054">
          <cell r="G14054" t="str">
            <v>ASV18058</v>
          </cell>
          <cell r="H14054" t="str">
            <v>g__unclassified_f__Lachnospiraceae</v>
          </cell>
          <cell r="I14054" t="str">
            <v>s__unclassified_f__Lachnospiraceae</v>
          </cell>
        </row>
        <row r="14055">
          <cell r="G14055" t="str">
            <v>ASV14503</v>
          </cell>
          <cell r="H14055" t="str">
            <v>g__unclassified_f__Lachnospiraceae</v>
          </cell>
          <cell r="I14055" t="str">
            <v>s__unclassified_f__Lachnospiraceae</v>
          </cell>
        </row>
        <row r="14056">
          <cell r="G14056" t="str">
            <v>ASV22283</v>
          </cell>
          <cell r="H14056" t="str">
            <v>g__Lactobacillus</v>
          </cell>
          <cell r="I14056" t="str">
            <v>s__unclassified_g__Lactobacillus</v>
          </cell>
        </row>
        <row r="14057">
          <cell r="G14057" t="str">
            <v>ASV4188</v>
          </cell>
          <cell r="H14057" t="str">
            <v>g__unclassified_k__norank_d__Bacteria</v>
          </cell>
          <cell r="I14057" t="str">
            <v>s__unclassified_k__norank_d__Bacteria</v>
          </cell>
        </row>
        <row r="14058">
          <cell r="G14058" t="str">
            <v>ASV11778</v>
          </cell>
          <cell r="H14058" t="str">
            <v>g__Streptococcus</v>
          </cell>
          <cell r="I14058" t="str">
            <v>s__unclassified_g__Streptococcus</v>
          </cell>
        </row>
        <row r="14059">
          <cell r="G14059" t="str">
            <v>ASV21255</v>
          </cell>
          <cell r="H14059" t="str">
            <v>g__unclassified_f__Lachnospiraceae</v>
          </cell>
          <cell r="I14059" t="str">
            <v>s__unclassified_f__Lachnospiraceae</v>
          </cell>
        </row>
        <row r="14060">
          <cell r="G14060" t="str">
            <v>ASV10819</v>
          </cell>
          <cell r="H14060" t="str">
            <v>g__Lactobacillus</v>
          </cell>
          <cell r="I14060" t="str">
            <v>s__unclassified_g__Lactobacillus</v>
          </cell>
        </row>
        <row r="14061">
          <cell r="G14061" t="str">
            <v>ASV4914</v>
          </cell>
          <cell r="H14061" t="str">
            <v>g__unclassified_f__Prevotellaceae</v>
          </cell>
          <cell r="I14061" t="str">
            <v>s__unclassified_f__Prevotellaceae</v>
          </cell>
        </row>
        <row r="14062">
          <cell r="G14062" t="str">
            <v>ASV4087</v>
          </cell>
          <cell r="H14062" t="str">
            <v>g__Oscillibacter</v>
          </cell>
          <cell r="I14062" t="str">
            <v>s__human_gut_metagenome_g__Oscillibacter</v>
          </cell>
        </row>
        <row r="14063">
          <cell r="G14063" t="str">
            <v>ASV10214</v>
          </cell>
          <cell r="H14063" t="str">
            <v>g__Sharpea</v>
          </cell>
          <cell r="I14063" t="str">
            <v>s__unclassified_g__Sharpea</v>
          </cell>
        </row>
        <row r="14064">
          <cell r="G14064" t="str">
            <v>ASV22321</v>
          </cell>
          <cell r="H14064" t="str">
            <v>g__unclassified_c__Clostridia</v>
          </cell>
          <cell r="I14064" t="str">
            <v>s__unclassified_c__Clostridia</v>
          </cell>
        </row>
        <row r="14065">
          <cell r="G14065" t="str">
            <v>ASV13436</v>
          </cell>
          <cell r="H14065" t="str">
            <v>g__Acetanaerobacterium</v>
          </cell>
          <cell r="I14065" t="str">
            <v>s__uncultured_rumen_bacterium_g__Acetanaerobacterium</v>
          </cell>
        </row>
        <row r="14066">
          <cell r="G14066" t="str">
            <v>ASV21277</v>
          </cell>
          <cell r="H14066" t="str">
            <v>g__Lactobacillus</v>
          </cell>
          <cell r="I14066" t="str">
            <v>s__unclassified_g__Lactobacillus</v>
          </cell>
        </row>
        <row r="14067">
          <cell r="G14067" t="str">
            <v>ASV21241</v>
          </cell>
          <cell r="H14067" t="str">
            <v>g__Prevotella</v>
          </cell>
          <cell r="I14067" t="str">
            <v>s__unclassified_g__Prevotella</v>
          </cell>
        </row>
        <row r="14068">
          <cell r="G14068" t="str">
            <v>ASV16432</v>
          </cell>
          <cell r="H14068" t="str">
            <v>g__Turicibacter</v>
          </cell>
          <cell r="I14068" t="str">
            <v>s__unclassified_g__Turicibacter</v>
          </cell>
        </row>
        <row r="14069">
          <cell r="G14069" t="str">
            <v>ASV11688</v>
          </cell>
          <cell r="H14069" t="str">
            <v>g__norank_f__Muribaculaceae</v>
          </cell>
          <cell r="I14069" t="str">
            <v>s__uncultured_bacterium_g__norank_f__Muribaculaceae</v>
          </cell>
        </row>
        <row r="14070">
          <cell r="G14070" t="str">
            <v>ASV15469</v>
          </cell>
          <cell r="H14070" t="str">
            <v>g__unclassified_o__Oscillospirales</v>
          </cell>
          <cell r="I14070" t="str">
            <v>s__unclassified_o__Oscillospirales</v>
          </cell>
        </row>
        <row r="14071">
          <cell r="G14071" t="str">
            <v>ASV18925</v>
          </cell>
          <cell r="H14071" t="str">
            <v>g__unclassified_c__Clostridia</v>
          </cell>
          <cell r="I14071" t="str">
            <v>s__unclassified_c__Clostridia</v>
          </cell>
        </row>
        <row r="14072">
          <cell r="G14072" t="str">
            <v>ASV23349</v>
          </cell>
          <cell r="H14072" t="str">
            <v>g__unclassified_c__Clostridia</v>
          </cell>
          <cell r="I14072" t="str">
            <v>s__unclassified_c__Clostridia</v>
          </cell>
        </row>
        <row r="14073">
          <cell r="G14073" t="str">
            <v>ASV9572</v>
          </cell>
          <cell r="H14073" t="str">
            <v>g__unclassified_f__Peptostreptococcaceae</v>
          </cell>
          <cell r="I14073" t="str">
            <v>s__unclassified_f__Peptostreptococcaceae</v>
          </cell>
        </row>
        <row r="14074">
          <cell r="G14074" t="str">
            <v>ASV14433</v>
          </cell>
          <cell r="H14074" t="str">
            <v>g__unclassified_c__Clostridia</v>
          </cell>
          <cell r="I14074" t="str">
            <v>s__unclassified_c__Clostridia</v>
          </cell>
        </row>
        <row r="14075">
          <cell r="G14075" t="str">
            <v>ASV9594</v>
          </cell>
          <cell r="H14075" t="str">
            <v>g__unclassified_f__Lachnospiraceae</v>
          </cell>
          <cell r="I14075" t="str">
            <v>s__unclassified_f__Lachnospiraceae</v>
          </cell>
        </row>
        <row r="14076">
          <cell r="G14076" t="str">
            <v>ASV14458</v>
          </cell>
          <cell r="H14076" t="str">
            <v>g__unclassified_f__Lachnospiraceae</v>
          </cell>
          <cell r="I14076" t="str">
            <v>s__unclassified_f__Lachnospiraceae</v>
          </cell>
        </row>
        <row r="14077">
          <cell r="G14077" t="str">
            <v>ASV11837</v>
          </cell>
          <cell r="H14077" t="str">
            <v>g__unclassified_f__Ruminococcaceae</v>
          </cell>
          <cell r="I14077" t="str">
            <v>s__unclassified_f__Ruminococcaceae</v>
          </cell>
        </row>
        <row r="14078">
          <cell r="G14078" t="str">
            <v>ASV15826</v>
          </cell>
          <cell r="H14078" t="str">
            <v>g__unclassified_f__Lachnospiraceae</v>
          </cell>
          <cell r="I14078" t="str">
            <v>s__unclassified_f__Lachnospiraceae</v>
          </cell>
        </row>
        <row r="14079">
          <cell r="G14079" t="str">
            <v>ASV4198</v>
          </cell>
          <cell r="H14079" t="str">
            <v>g__Cloacibacillus</v>
          </cell>
          <cell r="I14079" t="str">
            <v>s__unclassified_g__Cloacibacillus</v>
          </cell>
        </row>
        <row r="14080">
          <cell r="G14080" t="str">
            <v>ASV16957</v>
          </cell>
          <cell r="H14080" t="str">
            <v>g__Prevotella</v>
          </cell>
          <cell r="I14080" t="str">
            <v>s__uncultured_bacterium_g__Prevotella</v>
          </cell>
        </row>
        <row r="14081">
          <cell r="G14081" t="str">
            <v>ASV14417</v>
          </cell>
          <cell r="H14081" t="str">
            <v>g__norank_f__F082</v>
          </cell>
          <cell r="I14081" t="str">
            <v>s__uncultured_bacterium_g__norank_f__F082</v>
          </cell>
        </row>
        <row r="14082">
          <cell r="G14082" t="str">
            <v>ASV11704</v>
          </cell>
          <cell r="H14082" t="str">
            <v>g__unclassified_c__Clostridia</v>
          </cell>
          <cell r="I14082" t="str">
            <v>s__unclassified_c__Clostridia</v>
          </cell>
        </row>
        <row r="14083">
          <cell r="G14083" t="str">
            <v>ASV22337</v>
          </cell>
          <cell r="H14083" t="str">
            <v>g__norank_f__Ruminococcaceae</v>
          </cell>
          <cell r="I14083" t="str">
            <v>s__uncultured_organism_g__norank_f__Ruminococcaceae</v>
          </cell>
        </row>
        <row r="14084">
          <cell r="G14084" t="str">
            <v>ASV14395</v>
          </cell>
          <cell r="H14084" t="str">
            <v>g__Clostridium_sensu_stricto_1</v>
          </cell>
          <cell r="I14084" t="str">
            <v>s__unclassified_g__Clostridium_sensu_stricto_1</v>
          </cell>
        </row>
        <row r="14085">
          <cell r="G14085" t="str">
            <v>ASV23481</v>
          </cell>
          <cell r="H14085" t="str">
            <v>g__unclassified_c__Clostridia</v>
          </cell>
          <cell r="I14085" t="str">
            <v>s__unclassified_c__Clostridia</v>
          </cell>
        </row>
        <row r="14086">
          <cell r="G14086" t="str">
            <v>ASV3384</v>
          </cell>
          <cell r="H14086" t="str">
            <v>g__unclassified_f__Lachnospiraceae</v>
          </cell>
          <cell r="I14086" t="str">
            <v>s__unclassified_f__Lachnospiraceae</v>
          </cell>
        </row>
        <row r="14087">
          <cell r="G14087" t="str">
            <v>ASV21299</v>
          </cell>
          <cell r="H14087" t="str">
            <v>g__unclassified_c__Clostridia</v>
          </cell>
          <cell r="I14087" t="str">
            <v>s__unclassified_c__Clostridia</v>
          </cell>
        </row>
        <row r="14088">
          <cell r="G14088" t="str">
            <v>ASV16459</v>
          </cell>
          <cell r="H14088" t="str">
            <v>g__norank_f__Muribaculaceae</v>
          </cell>
          <cell r="I14088" t="str">
            <v>s__uncultured_bacterium_g__norank_f__Muribaculaceae</v>
          </cell>
        </row>
        <row r="14089">
          <cell r="G14089" t="str">
            <v>ASV17375</v>
          </cell>
          <cell r="H14089" t="str">
            <v>g__Veillonella</v>
          </cell>
          <cell r="I14089" t="str">
            <v>s__unclassified_g__Veillonella</v>
          </cell>
        </row>
        <row r="14090">
          <cell r="G14090" t="str">
            <v>ASV18220</v>
          </cell>
          <cell r="H14090" t="str">
            <v>g__unclassified_o__Oscillospirales</v>
          </cell>
          <cell r="I14090" t="str">
            <v>s__unclassified_o__Oscillospirales</v>
          </cell>
        </row>
        <row r="14091">
          <cell r="G14091" t="str">
            <v>ASV6104</v>
          </cell>
          <cell r="H14091" t="str">
            <v>g__unclassified_c__Clostridia</v>
          </cell>
          <cell r="I14091" t="str">
            <v>s__unclassified_c__Clostridia</v>
          </cell>
        </row>
        <row r="14092">
          <cell r="G14092" t="str">
            <v>ASV7370</v>
          </cell>
          <cell r="H14092" t="str">
            <v>g__Megasphaera</v>
          </cell>
          <cell r="I14092" t="str">
            <v>s__unclassified_g__Megasphaera</v>
          </cell>
        </row>
        <row r="14093">
          <cell r="G14093" t="str">
            <v>ASV5093</v>
          </cell>
          <cell r="H14093" t="str">
            <v>g__unclassified_f__Peptostreptococcaceae</v>
          </cell>
          <cell r="I14093" t="str">
            <v>s__unclassified_f__Peptostreptococcaceae</v>
          </cell>
        </row>
        <row r="14094">
          <cell r="G14094" t="str">
            <v>ASV8293</v>
          </cell>
          <cell r="H14094" t="str">
            <v>g__Streptococcus</v>
          </cell>
          <cell r="I14094" t="str">
            <v>s__unclassified_g__Streptococcus</v>
          </cell>
        </row>
        <row r="14095">
          <cell r="G14095" t="str">
            <v>ASV17519</v>
          </cell>
          <cell r="H14095" t="str">
            <v>g__Subdoligranulum</v>
          </cell>
          <cell r="I14095" t="str">
            <v>s__uncultured_bacterium_g__Subdoligranulum</v>
          </cell>
        </row>
        <row r="14096">
          <cell r="G14096" t="str">
            <v>ASV21633</v>
          </cell>
          <cell r="H14096" t="str">
            <v>g__unclassified_f__Lachnospiraceae</v>
          </cell>
          <cell r="I14096" t="str">
            <v>s__unclassified_f__Lachnospiraceae</v>
          </cell>
        </row>
        <row r="14097">
          <cell r="G14097" t="str">
            <v>ASV965</v>
          </cell>
          <cell r="H14097" t="str">
            <v>g__norank_f__norank_o__Clostridia_vadinBB60_group</v>
          </cell>
          <cell r="I14097" t="str">
            <v>s__unclassified_g__norank_f__norank_o__Clostridia_vadinBB60_group</v>
          </cell>
        </row>
        <row r="14098">
          <cell r="G14098" t="str">
            <v>ASV16436</v>
          </cell>
          <cell r="H14098" t="str">
            <v>g__Alistipes</v>
          </cell>
          <cell r="I14098" t="str">
            <v>s__unclassified_g__Alistipes</v>
          </cell>
        </row>
        <row r="14099">
          <cell r="G14099" t="str">
            <v>ASV22492</v>
          </cell>
          <cell r="H14099" t="str">
            <v>g__Ruminococcus</v>
          </cell>
          <cell r="I14099" t="str">
            <v>s__unclassified_g__Ruminococcus</v>
          </cell>
        </row>
        <row r="14100">
          <cell r="G14100" t="str">
            <v>ASV16938</v>
          </cell>
          <cell r="H14100" t="str">
            <v>g__norank_f__norank_o__Clostridia_UCG-014</v>
          </cell>
          <cell r="I14100" t="str">
            <v>s__unclassified_g__norank_f__norank_o__Clostridia_UCG-014</v>
          </cell>
        </row>
        <row r="14101">
          <cell r="G14101" t="str">
            <v>ASV6070</v>
          </cell>
          <cell r="H14101" t="str">
            <v>g__unclassified_c__Clostridia</v>
          </cell>
          <cell r="I14101" t="str">
            <v>s__unclassified_c__Clostridia</v>
          </cell>
        </row>
        <row r="14102">
          <cell r="G14102" t="str">
            <v>ASV11903</v>
          </cell>
          <cell r="H14102" t="str">
            <v>g__unclassified_p__Firmicutes</v>
          </cell>
          <cell r="I14102" t="str">
            <v>s__unclassified_p__Firmicutes</v>
          </cell>
        </row>
        <row r="14103">
          <cell r="G14103" t="str">
            <v>ASV7849</v>
          </cell>
          <cell r="H14103" t="str">
            <v>g__Megasphaera</v>
          </cell>
          <cell r="I14103" t="str">
            <v>s__unclassified_g__Megasphaera</v>
          </cell>
        </row>
        <row r="14104">
          <cell r="G14104" t="str">
            <v>ASV9443</v>
          </cell>
          <cell r="H14104" t="str">
            <v>g__unclassified_c__Clostridia</v>
          </cell>
          <cell r="I14104" t="str">
            <v>s__unclassified_c__Clostridia</v>
          </cell>
        </row>
        <row r="14105">
          <cell r="G14105" t="str">
            <v>ASV17124</v>
          </cell>
          <cell r="H14105" t="str">
            <v>g__Terrisporobacter</v>
          </cell>
          <cell r="I14105" t="str">
            <v>s__unclassified_g__Terrisporobacter</v>
          </cell>
        </row>
        <row r="14106">
          <cell r="G14106" t="str">
            <v>ASV23423</v>
          </cell>
          <cell r="H14106" t="str">
            <v>g__SP3-e08</v>
          </cell>
          <cell r="I14106" t="str">
            <v>s__uncultured_bacterium_g__SP3-e08</v>
          </cell>
        </row>
        <row r="14107">
          <cell r="G14107" t="str">
            <v>ASV13523</v>
          </cell>
          <cell r="H14107" t="str">
            <v>g__Christensenellaceae_R-7_group</v>
          </cell>
          <cell r="I14107" t="str">
            <v>s__unclassified_g__Christensenellaceae_R-7_group</v>
          </cell>
        </row>
        <row r="14108">
          <cell r="G14108" t="str">
            <v>ASV9545</v>
          </cell>
          <cell r="H14108" t="str">
            <v>g__Blautia</v>
          </cell>
          <cell r="I14108" t="str">
            <v>s__unclassified_g__Blautia</v>
          </cell>
        </row>
        <row r="14109">
          <cell r="G14109" t="str">
            <v>ASV23316</v>
          </cell>
          <cell r="H14109" t="str">
            <v>g__unclassified_f__Enterobacteriaceae</v>
          </cell>
          <cell r="I14109" t="str">
            <v>s__unclassified_f__Enterobacteriaceae</v>
          </cell>
        </row>
        <row r="14110">
          <cell r="G14110" t="str">
            <v>ASV5961</v>
          </cell>
          <cell r="H14110" t="str">
            <v>g__unclassified_f__Lachnospiraceae</v>
          </cell>
          <cell r="I14110" t="str">
            <v>s__unclassified_f__Lachnospiraceae</v>
          </cell>
        </row>
        <row r="14111">
          <cell r="G14111" t="str">
            <v>ASV11977</v>
          </cell>
          <cell r="H14111" t="str">
            <v>g__norank_f__Ruminococcaceae</v>
          </cell>
          <cell r="I14111" t="str">
            <v>s__unclassified_g__norank_f__Ruminococcaceae</v>
          </cell>
        </row>
        <row r="14112">
          <cell r="G14112" t="str">
            <v>ASV18094</v>
          </cell>
          <cell r="H14112" t="str">
            <v>g__unclassified_k__norank_d__Bacteria</v>
          </cell>
          <cell r="I14112" t="str">
            <v>s__unclassified_k__norank_d__Bacteria</v>
          </cell>
        </row>
        <row r="14113">
          <cell r="G14113" t="str">
            <v>ASV20284</v>
          </cell>
          <cell r="H14113" t="str">
            <v>g__Lactobacillus</v>
          </cell>
          <cell r="I14113" t="str">
            <v>s__unclassified_g__Lactobacillus</v>
          </cell>
        </row>
        <row r="14114">
          <cell r="G14114" t="str">
            <v>ASV9019</v>
          </cell>
          <cell r="H14114" t="str">
            <v>g__unclassified_c__Bacilli</v>
          </cell>
          <cell r="I14114" t="str">
            <v>s__unclassified_c__Bacilli</v>
          </cell>
        </row>
        <row r="14115">
          <cell r="G14115" t="str">
            <v>ASV11690</v>
          </cell>
          <cell r="H14115" t="str">
            <v>g__unclassified_f__Lachnospiraceae</v>
          </cell>
          <cell r="I14115" t="str">
            <v>s__unclassified_f__Lachnospiraceae</v>
          </cell>
        </row>
        <row r="14116">
          <cell r="G14116" t="str">
            <v>ASV17224</v>
          </cell>
          <cell r="H14116" t="str">
            <v>g__unclassified_f__Peptostreptococcaceae</v>
          </cell>
          <cell r="I14116" t="str">
            <v>s__unclassified_f__Peptostreptococcaceae</v>
          </cell>
        </row>
        <row r="14117">
          <cell r="G14117" t="str">
            <v>ASV2328</v>
          </cell>
          <cell r="H14117" t="str">
            <v>g__unclassified_c__Clostridia</v>
          </cell>
          <cell r="I14117" t="str">
            <v>s__unclassified_c__Clostridia</v>
          </cell>
        </row>
        <row r="14118">
          <cell r="G14118" t="str">
            <v>ASV23487</v>
          </cell>
          <cell r="H14118" t="str">
            <v>g__Bifidobacterium</v>
          </cell>
          <cell r="I14118" t="str">
            <v>s__unclassified_g__Bifidobacterium</v>
          </cell>
        </row>
        <row r="14119">
          <cell r="G14119" t="str">
            <v>ASV6811</v>
          </cell>
          <cell r="H14119" t="str">
            <v>g__unclassified_f__Oscillospiraceae</v>
          </cell>
          <cell r="I14119" t="str">
            <v>s__unclassified_f__Oscillospiraceae</v>
          </cell>
        </row>
        <row r="14120">
          <cell r="G14120" t="str">
            <v>ASV18241</v>
          </cell>
          <cell r="H14120" t="str">
            <v>g__unclassified_o__Oscillospirales</v>
          </cell>
          <cell r="I14120" t="str">
            <v>s__unclassified_o__Oscillospirales</v>
          </cell>
        </row>
        <row r="14121">
          <cell r="G14121" t="str">
            <v>ASV22495</v>
          </cell>
          <cell r="H14121" t="str">
            <v>g__norank_f__Eubacterium_coprostanoligenes_group</v>
          </cell>
          <cell r="I14121" t="str">
            <v>s__Eubacterium_coprostanoligenes</v>
          </cell>
        </row>
        <row r="14122">
          <cell r="G14122" t="str">
            <v>ASV934</v>
          </cell>
          <cell r="H14122" t="str">
            <v>g__NK4A214_group</v>
          </cell>
          <cell r="I14122" t="str">
            <v>s__uncultured_bacterium_g__NK4A214_group</v>
          </cell>
        </row>
        <row r="14123">
          <cell r="G14123" t="str">
            <v>ASV6056</v>
          </cell>
          <cell r="H14123" t="str">
            <v>g__norank_f__norank_o__RF39</v>
          </cell>
          <cell r="I14123" t="str">
            <v>s__unclassified_g__norank_f__norank_o__RF39</v>
          </cell>
        </row>
        <row r="14124">
          <cell r="G14124" t="str">
            <v>ASV944</v>
          </cell>
          <cell r="H14124" t="str">
            <v>g__unclassified_c__Clostridia</v>
          </cell>
          <cell r="I14124" t="str">
            <v>s__unclassified_c__Clostridia</v>
          </cell>
        </row>
        <row r="14125">
          <cell r="G14125" t="str">
            <v>ASV5043</v>
          </cell>
          <cell r="H14125" t="str">
            <v>g__Christensenellaceae_R-7_group</v>
          </cell>
          <cell r="I14125" t="str">
            <v>s__unclassified_g__Christensenellaceae_R-7_group</v>
          </cell>
        </row>
        <row r="14126">
          <cell r="G14126" t="str">
            <v>ASV22444</v>
          </cell>
          <cell r="H14126" t="str">
            <v>g__norank_f__norank_o__RF39</v>
          </cell>
          <cell r="I14126" t="str">
            <v>s__uncultured_bacterium_g__norank_f__norank_o__RF39</v>
          </cell>
        </row>
        <row r="14127">
          <cell r="G14127" t="str">
            <v>ASV8817</v>
          </cell>
          <cell r="H14127" t="str">
            <v>g__unclassified_f__Pasteurellaceae</v>
          </cell>
          <cell r="I14127" t="str">
            <v>s__unclassified_f__Pasteurellaceae</v>
          </cell>
        </row>
        <row r="14128">
          <cell r="G14128" t="str">
            <v>ASV17373</v>
          </cell>
          <cell r="H14128" t="str">
            <v>g__Lactobacillus</v>
          </cell>
          <cell r="I14128" t="str">
            <v>s__unclassified_g__Lactobacillus</v>
          </cell>
        </row>
        <row r="14129">
          <cell r="G14129" t="str">
            <v>ASV9028</v>
          </cell>
          <cell r="H14129" t="str">
            <v>g__Veillonella</v>
          </cell>
          <cell r="I14129" t="str">
            <v>s__unclassified_g__Veillonella</v>
          </cell>
        </row>
        <row r="14130">
          <cell r="G14130" t="str">
            <v>ASV12921</v>
          </cell>
          <cell r="H14130" t="str">
            <v>g__norank_f__UCG-011</v>
          </cell>
          <cell r="I14130" t="str">
            <v>s__uncultured_bacterium_g__norank_f__UCG-011</v>
          </cell>
        </row>
        <row r="14131">
          <cell r="G14131" t="str">
            <v>ASV18634</v>
          </cell>
          <cell r="H14131" t="str">
            <v>g__Lactobacillus</v>
          </cell>
          <cell r="I14131" t="str">
            <v>s__unclassified_g__Lactobacillus</v>
          </cell>
        </row>
        <row r="14132">
          <cell r="G14132" t="str">
            <v>ASV14407</v>
          </cell>
          <cell r="H14132" t="str">
            <v>g__unclassified_p__Firmicutes</v>
          </cell>
          <cell r="I14132" t="str">
            <v>s__unclassified_p__Firmicutes</v>
          </cell>
        </row>
        <row r="14133">
          <cell r="G14133" t="str">
            <v>ASV21264</v>
          </cell>
          <cell r="H14133" t="str">
            <v>g__unclassified_k__norank_d__Bacteria</v>
          </cell>
          <cell r="I14133" t="str">
            <v>s__unclassified_k__norank_d__Bacteria</v>
          </cell>
        </row>
        <row r="14134">
          <cell r="G14134" t="str">
            <v>ASV11883</v>
          </cell>
          <cell r="H14134" t="str">
            <v>g__unclassified_c__Clostridia</v>
          </cell>
          <cell r="I14134" t="str">
            <v>s__unclassified_c__Clostridia</v>
          </cell>
        </row>
        <row r="14135">
          <cell r="G14135" t="str">
            <v>ASV10205</v>
          </cell>
          <cell r="H14135" t="str">
            <v>g__Peptostreptococcus</v>
          </cell>
          <cell r="I14135" t="str">
            <v>s__unclassified_g__Peptostreptococcus</v>
          </cell>
        </row>
        <row r="14136">
          <cell r="G14136" t="str">
            <v>ASV18905</v>
          </cell>
          <cell r="H14136" t="str">
            <v>g__unclassified_k__norank_d__Bacteria</v>
          </cell>
          <cell r="I14136" t="str">
            <v>s__unclassified_k__norank_d__Bacteria</v>
          </cell>
        </row>
        <row r="14137">
          <cell r="G14137" t="str">
            <v>ASV953</v>
          </cell>
          <cell r="H14137" t="str">
            <v>g__Clostridium_sensu_stricto_1</v>
          </cell>
          <cell r="I14137" t="str">
            <v>s__unclassified_g__Clostridium_sensu_stricto_1</v>
          </cell>
        </row>
        <row r="14138">
          <cell r="G14138" t="str">
            <v>ASV11774</v>
          </cell>
          <cell r="H14138" t="str">
            <v>g__unclassified_p__Firmicutes</v>
          </cell>
          <cell r="I14138" t="str">
            <v>s__unclassified_p__Firmicutes</v>
          </cell>
        </row>
        <row r="14139">
          <cell r="G14139" t="str">
            <v>ASV23997</v>
          </cell>
          <cell r="H14139" t="str">
            <v>g__Veillonella</v>
          </cell>
          <cell r="I14139" t="str">
            <v>s__unclassified_g__Veillonella</v>
          </cell>
        </row>
        <row r="14140">
          <cell r="G14140" t="str">
            <v>ASV907</v>
          </cell>
          <cell r="H14140" t="str">
            <v>g__Eubacterium_oxidoreducens_group</v>
          </cell>
          <cell r="I14140" t="str">
            <v>s__uncultured_bacterium_g__Eubacterium_oxidoreducens_group</v>
          </cell>
        </row>
        <row r="14141">
          <cell r="G14141" t="str">
            <v>ASV23437</v>
          </cell>
          <cell r="H14141" t="str">
            <v>g__Christensenellaceae_R-7_group</v>
          </cell>
          <cell r="I14141" t="str">
            <v>s__uncultured_bacterium_g__Christensenellaceae_R-7_group</v>
          </cell>
        </row>
        <row r="14142">
          <cell r="G14142" t="str">
            <v>ASV833</v>
          </cell>
          <cell r="H14142" t="str">
            <v>g__unclassified_f__Lachnospiraceae</v>
          </cell>
          <cell r="I14142" t="str">
            <v>s__unclassified_f__Lachnospiraceae</v>
          </cell>
        </row>
        <row r="14143">
          <cell r="G14143" t="str">
            <v>ASV7989</v>
          </cell>
          <cell r="H14143" t="str">
            <v>g__Christensenellaceae_R-7_group</v>
          </cell>
          <cell r="I14143" t="str">
            <v>s__unclassified_g__Christensenellaceae_R-7_group</v>
          </cell>
        </row>
        <row r="14144">
          <cell r="G14144" t="str">
            <v>ASV10828</v>
          </cell>
          <cell r="H14144" t="str">
            <v>g__unclassified_f__Lachnospiraceae</v>
          </cell>
          <cell r="I14144" t="str">
            <v>s__unclassified_f__Lachnospiraceae</v>
          </cell>
        </row>
        <row r="14145">
          <cell r="G14145" t="str">
            <v>ASV11980</v>
          </cell>
          <cell r="H14145" t="str">
            <v>g__NK4A214_group</v>
          </cell>
          <cell r="I14145" t="str">
            <v>s__unclassified_g__NK4A214_group</v>
          </cell>
        </row>
        <row r="14146">
          <cell r="G14146" t="str">
            <v>ASV16032</v>
          </cell>
          <cell r="H14146" t="str">
            <v>g__Fusobacterium</v>
          </cell>
          <cell r="I14146" t="str">
            <v>s__Bacillus_bogoriensis_ATCC_BAA-922</v>
          </cell>
        </row>
        <row r="14147">
          <cell r="G14147" t="str">
            <v>ASV14442</v>
          </cell>
          <cell r="H14147" t="str">
            <v>g__Clostridium_sensu_stricto_1</v>
          </cell>
          <cell r="I14147" t="str">
            <v>s__unclassified_g__Clostridium_sensu_stricto_1</v>
          </cell>
        </row>
        <row r="14148">
          <cell r="G14148" t="str">
            <v>ASV12987</v>
          </cell>
          <cell r="H14148" t="str">
            <v>g__unclassified_f__Lachnospiraceae</v>
          </cell>
          <cell r="I14148" t="str">
            <v>s__unclassified_f__Lachnospiraceae</v>
          </cell>
        </row>
        <row r="14149">
          <cell r="G14149" t="str">
            <v>ASV15413</v>
          </cell>
          <cell r="H14149" t="str">
            <v>g__unclassified_k__norank_d__Bacteria</v>
          </cell>
          <cell r="I14149" t="str">
            <v>s__unclassified_k__norank_d__Bacteria</v>
          </cell>
        </row>
        <row r="14150">
          <cell r="G14150" t="str">
            <v>ASV819</v>
          </cell>
          <cell r="H14150" t="str">
            <v>g__unclassified_c__Clostridia</v>
          </cell>
          <cell r="I14150" t="str">
            <v>s__unclassified_c__Clostridia</v>
          </cell>
        </row>
        <row r="14151">
          <cell r="G14151" t="str">
            <v>ASV13450</v>
          </cell>
          <cell r="H14151" t="str">
            <v>g__Clostridium_sensu_stricto_1</v>
          </cell>
          <cell r="I14151" t="str">
            <v>s__unclassified_g__Clostridium_sensu_stricto_1</v>
          </cell>
        </row>
        <row r="14152">
          <cell r="G14152" t="str">
            <v>ASV23845</v>
          </cell>
          <cell r="H14152" t="str">
            <v>g__Acidaminococcus</v>
          </cell>
          <cell r="I14152" t="str">
            <v>s__unclassified_g__Acidaminococcus</v>
          </cell>
        </row>
        <row r="14153">
          <cell r="G14153" t="str">
            <v>ASV21641</v>
          </cell>
          <cell r="H14153" t="str">
            <v>g__unclassified_o__Lactobacillales</v>
          </cell>
          <cell r="I14153" t="str">
            <v>s__unclassified_o__Lactobacillales</v>
          </cell>
        </row>
        <row r="14154">
          <cell r="G14154" t="str">
            <v>ASV4937</v>
          </cell>
          <cell r="H14154" t="str">
            <v>g__unclassified_c__Clostridia</v>
          </cell>
          <cell r="I14154" t="str">
            <v>s__unclassified_c__Clostridia</v>
          </cell>
        </row>
        <row r="14155">
          <cell r="G14155" t="str">
            <v>ASV11759</v>
          </cell>
          <cell r="H14155" t="str">
            <v>g__unclassified_f__Oscillospiraceae</v>
          </cell>
          <cell r="I14155" t="str">
            <v>s__unclassified_f__Oscillospiraceae</v>
          </cell>
        </row>
        <row r="14156">
          <cell r="G14156" t="str">
            <v>ASV10031</v>
          </cell>
          <cell r="H14156" t="str">
            <v>g__norank_f__norank_o__Bradymonadales</v>
          </cell>
          <cell r="I14156" t="str">
            <v>s__uncultured_rumen_bacterium_g__norank_f__norank_o__Bradymonadales</v>
          </cell>
        </row>
        <row r="14157">
          <cell r="G14157" t="str">
            <v>ASV14531</v>
          </cell>
          <cell r="H14157" t="str">
            <v>g__Christensenellaceae_R-7_group</v>
          </cell>
          <cell r="I14157" t="str">
            <v>s__unclassified_g__Christensenellaceae_R-7_group</v>
          </cell>
        </row>
        <row r="14158">
          <cell r="G14158" t="str">
            <v>ASV9593</v>
          </cell>
          <cell r="H14158" t="str">
            <v>g__unclassified_c__Clostridia</v>
          </cell>
          <cell r="I14158" t="str">
            <v>s__unclassified_c__Clostridia</v>
          </cell>
        </row>
        <row r="14159">
          <cell r="G14159" t="str">
            <v>ASV9493</v>
          </cell>
          <cell r="H14159" t="str">
            <v>g__Lactobacillus</v>
          </cell>
          <cell r="I14159" t="str">
            <v>s__unclassified_g__Lactobacillus</v>
          </cell>
        </row>
        <row r="14160">
          <cell r="G14160" t="str">
            <v>ASV18637</v>
          </cell>
          <cell r="H14160" t="str">
            <v>g__unclassified_f__Lachnospiraceae</v>
          </cell>
          <cell r="I14160" t="str">
            <v>s__unclassified_f__Lachnospiraceae</v>
          </cell>
        </row>
        <row r="14161">
          <cell r="G14161" t="str">
            <v>ASV20951</v>
          </cell>
          <cell r="H14161" t="str">
            <v>g__unclassified_c__Clostridia</v>
          </cell>
          <cell r="I14161" t="str">
            <v>s__unclassified_c__Clostridia</v>
          </cell>
        </row>
        <row r="14162">
          <cell r="G14162" t="str">
            <v>ASV11797</v>
          </cell>
          <cell r="H14162" t="str">
            <v>g__unclassified_o__Peptostreptococcales-Tissierellales</v>
          </cell>
          <cell r="I14162" t="str">
            <v>s__unclassified_o__Peptostreptococcales-Tissierellales</v>
          </cell>
        </row>
        <row r="14163">
          <cell r="G14163" t="str">
            <v>ASV4882</v>
          </cell>
          <cell r="H14163" t="str">
            <v>g__Rikenellaceae_RC9_gut_group</v>
          </cell>
          <cell r="I14163" t="str">
            <v>s__uncultured_bacterium_g__Rikenellaceae_RC9_gut_group</v>
          </cell>
        </row>
        <row r="14164">
          <cell r="G14164" t="str">
            <v>ASV6802</v>
          </cell>
          <cell r="H14164" t="str">
            <v>g__Escherichia-Shigella</v>
          </cell>
          <cell r="I14164" t="str">
            <v>s__unclassified_g__Escherichia-Shigella</v>
          </cell>
        </row>
        <row r="14165">
          <cell r="G14165" t="str">
            <v>ASV17620</v>
          </cell>
          <cell r="H14165" t="str">
            <v>g__Staphylococcus</v>
          </cell>
          <cell r="I14165" t="str">
            <v>s__unclassified_g__Staphylococcus</v>
          </cell>
        </row>
        <row r="14166">
          <cell r="G14166" t="str">
            <v>ASV10791</v>
          </cell>
          <cell r="H14166" t="str">
            <v>g__Lactobacillus</v>
          </cell>
          <cell r="I14166" t="str">
            <v>s__unclassified_g__Lactobacillus</v>
          </cell>
        </row>
        <row r="14167">
          <cell r="G14167" t="str">
            <v>ASV21459</v>
          </cell>
          <cell r="H14167" t="str">
            <v>g__norank_f__Erysipelotrichaceae</v>
          </cell>
          <cell r="I14167" t="str">
            <v>s__uncultured_bacterium_g__norank_f__Erysipelotrichaceae</v>
          </cell>
        </row>
        <row r="14168">
          <cell r="G14168" t="str">
            <v>ASV18914</v>
          </cell>
          <cell r="H14168" t="str">
            <v>g__Clostridium_sensu_stricto_1</v>
          </cell>
          <cell r="I14168" t="str">
            <v>s__unclassified_g__Clostridium_sensu_stricto_1</v>
          </cell>
        </row>
        <row r="14169">
          <cell r="G14169" t="str">
            <v>ASV13493</v>
          </cell>
          <cell r="H14169" t="str">
            <v>g__Lactobacillus</v>
          </cell>
          <cell r="I14169" t="str">
            <v>s__unclassified_g__Lactobacillus</v>
          </cell>
        </row>
        <row r="14170">
          <cell r="G14170" t="str">
            <v>ASV835</v>
          </cell>
          <cell r="H14170" t="str">
            <v>g__unclassified_f__Erysipelatoclostridiaceae</v>
          </cell>
          <cell r="I14170" t="str">
            <v>s__unclassified_f__Erysipelatoclostridiaceae</v>
          </cell>
        </row>
        <row r="14171">
          <cell r="G14171" t="str">
            <v>ASV22320</v>
          </cell>
          <cell r="H14171" t="str">
            <v>g__norank_f__Eubacterium_coprostanoligenes_group</v>
          </cell>
          <cell r="I14171" t="str">
            <v>s__unclassified_g__norank_f__Eubacterium_coprostanoligenes_group</v>
          </cell>
        </row>
        <row r="14172">
          <cell r="G14172" t="str">
            <v>ASV16526</v>
          </cell>
          <cell r="H14172" t="str">
            <v>g__unclassified_f__Prevotellaceae</v>
          </cell>
          <cell r="I14172" t="str">
            <v>s__unclassified_f__Prevotellaceae</v>
          </cell>
        </row>
        <row r="14173">
          <cell r="G14173" t="str">
            <v>ASV9889</v>
          </cell>
          <cell r="H14173" t="str">
            <v>g__Bacteroides</v>
          </cell>
          <cell r="I14173" t="str">
            <v>s__unclassified_g__Bacteroides</v>
          </cell>
        </row>
        <row r="14174">
          <cell r="G14174" t="str">
            <v>ASV23389</v>
          </cell>
          <cell r="H14174" t="str">
            <v>g__norank_f__Ruminococcaceae</v>
          </cell>
          <cell r="I14174" t="str">
            <v>s__unclassified_g__norank_f__Ruminococcaceae</v>
          </cell>
        </row>
        <row r="14175">
          <cell r="G14175" t="str">
            <v>ASV1078</v>
          </cell>
          <cell r="H14175" t="str">
            <v>g__unclassified_f__Oscillospiraceae</v>
          </cell>
          <cell r="I14175" t="str">
            <v>s__unclassified_f__Oscillospiraceae</v>
          </cell>
        </row>
        <row r="14176">
          <cell r="G14176" t="str">
            <v>ASV2353</v>
          </cell>
          <cell r="H14176" t="str">
            <v>g__Christensenellaceae_R-7_group</v>
          </cell>
          <cell r="I14176" t="str">
            <v>s__unclassified_g__Christensenellaceae_R-7_group</v>
          </cell>
        </row>
        <row r="14177">
          <cell r="G14177" t="str">
            <v>ASV8295</v>
          </cell>
          <cell r="H14177" t="str">
            <v>g__Lactobacillus</v>
          </cell>
          <cell r="I14177" t="str">
            <v>s__unclassified_g__Lactobacillus</v>
          </cell>
        </row>
        <row r="14178">
          <cell r="G14178" t="str">
            <v>ASV9551</v>
          </cell>
          <cell r="H14178" t="str">
            <v>g__Lactobacillus</v>
          </cell>
          <cell r="I14178" t="str">
            <v>s__unclassified_g__Lactobacillus</v>
          </cell>
        </row>
        <row r="14179">
          <cell r="G14179" t="str">
            <v>ASV7907</v>
          </cell>
          <cell r="H14179" t="str">
            <v>g__unclassified_f__Clostridiaceae</v>
          </cell>
          <cell r="I14179" t="str">
            <v>s__unclassified_f__Clostridiaceae</v>
          </cell>
        </row>
        <row r="14180">
          <cell r="G14180" t="str">
            <v>ASV15454</v>
          </cell>
          <cell r="H14180" t="str">
            <v>g__unclassified_c__Clostridia</v>
          </cell>
          <cell r="I14180" t="str">
            <v>s__unclassified_c__Clostridia</v>
          </cell>
        </row>
        <row r="14181">
          <cell r="G14181" t="str">
            <v>ASV2332</v>
          </cell>
          <cell r="H14181" t="str">
            <v>g__Enterococcus</v>
          </cell>
          <cell r="I14181" t="str">
            <v>s__unclassified_g__Enterococcus</v>
          </cell>
        </row>
        <row r="14182">
          <cell r="G14182" t="str">
            <v>ASV18911</v>
          </cell>
          <cell r="H14182" t="str">
            <v>g__Butyricimonas</v>
          </cell>
          <cell r="I14182" t="str">
            <v>s__unclassified_g__Butyricimonas</v>
          </cell>
        </row>
        <row r="14183">
          <cell r="G14183" t="str">
            <v>ASV2310</v>
          </cell>
          <cell r="H14183" t="str">
            <v>g__norank_f__Eubacterium_coprostanoligenes_group</v>
          </cell>
          <cell r="I14183" t="str">
            <v>s__unclassified_g__norank_f__Eubacterium_coprostanoligenes_group</v>
          </cell>
        </row>
        <row r="14184">
          <cell r="G14184" t="str">
            <v>ASV18170</v>
          </cell>
          <cell r="H14184" t="str">
            <v>g__unclassified_f__Synergistaceae</v>
          </cell>
          <cell r="I14184" t="str">
            <v>s__unclassified_f__Synergistaceae</v>
          </cell>
        </row>
        <row r="14185">
          <cell r="G14185" t="str">
            <v>ASV8540</v>
          </cell>
          <cell r="H14185" t="str">
            <v>g__Lactobacillus</v>
          </cell>
          <cell r="I14185" t="str">
            <v>s__unclassified_g__Lactobacillus</v>
          </cell>
        </row>
        <row r="14186">
          <cell r="G14186" t="str">
            <v>ASV11730</v>
          </cell>
          <cell r="H14186" t="str">
            <v>g__unclassified_o__Oscillospirales</v>
          </cell>
          <cell r="I14186" t="str">
            <v>s__unclassified_o__Oscillospirales</v>
          </cell>
        </row>
        <row r="14187">
          <cell r="G14187" t="str">
            <v>ASV17219</v>
          </cell>
          <cell r="H14187" t="str">
            <v>g__Eubacterium</v>
          </cell>
          <cell r="I14187" t="str">
            <v>s__unclassified_g__Eubacterium</v>
          </cell>
        </row>
        <row r="14188">
          <cell r="G14188" t="str">
            <v>ASV22310</v>
          </cell>
          <cell r="H14188" t="str">
            <v>g__Lactobacillus</v>
          </cell>
          <cell r="I14188" t="str">
            <v>s__unclassified_g__Lactobacillus</v>
          </cell>
        </row>
        <row r="14189">
          <cell r="G14189" t="str">
            <v>ASV18621</v>
          </cell>
          <cell r="H14189" t="str">
            <v>g__unclassified_p__Firmicutes</v>
          </cell>
          <cell r="I14189" t="str">
            <v>s__unclassified_p__Firmicutes</v>
          </cell>
        </row>
        <row r="14190">
          <cell r="G14190" t="str">
            <v>ASV7811</v>
          </cell>
          <cell r="H14190" t="str">
            <v>g__Bifidobacterium</v>
          </cell>
          <cell r="I14190" t="str">
            <v>s__unclassified_g__Bifidobacterium</v>
          </cell>
        </row>
        <row r="14191">
          <cell r="G14191" t="str">
            <v>ASV16474</v>
          </cell>
          <cell r="H14191" t="str">
            <v>g__Bacteroides</v>
          </cell>
          <cell r="I14191" t="str">
            <v>s__Bacteroides_caecigallinarum</v>
          </cell>
        </row>
        <row r="14192">
          <cell r="G14192" t="str">
            <v>ASV7809</v>
          </cell>
          <cell r="H14192" t="str">
            <v>g__unclassified_c__Clostridia</v>
          </cell>
          <cell r="I14192" t="str">
            <v>s__unclassified_c__Clostridia</v>
          </cell>
        </row>
        <row r="14193">
          <cell r="G14193" t="str">
            <v>ASV8662</v>
          </cell>
          <cell r="H14193" t="str">
            <v>g__Aquabacterium</v>
          </cell>
          <cell r="I14193" t="str">
            <v>s__unclassified_g__Aquabacterium</v>
          </cell>
        </row>
        <row r="14194">
          <cell r="G14194" t="str">
            <v>ASV978</v>
          </cell>
          <cell r="H14194" t="str">
            <v>g__Colidextribacter</v>
          </cell>
          <cell r="I14194" t="str">
            <v>s__unclassified_g__Colidextribacter</v>
          </cell>
        </row>
        <row r="14195">
          <cell r="G14195" t="str">
            <v>ASV5035</v>
          </cell>
          <cell r="H14195" t="str">
            <v>g__UCG-005</v>
          </cell>
          <cell r="I14195" t="str">
            <v>s__unclassified_g__UCG-005</v>
          </cell>
        </row>
        <row r="14196">
          <cell r="G14196" t="str">
            <v>ASV5991</v>
          </cell>
          <cell r="H14196" t="str">
            <v>g__unclassified_c__Clostridia</v>
          </cell>
          <cell r="I14196" t="str">
            <v>s__unclassified_c__Clostridia</v>
          </cell>
        </row>
        <row r="14197">
          <cell r="G14197" t="str">
            <v>ASV16958</v>
          </cell>
          <cell r="H14197" t="str">
            <v>g__Lactobacillus</v>
          </cell>
          <cell r="I14197" t="str">
            <v>s__unclassified_g__Lactobacillus</v>
          </cell>
        </row>
        <row r="14198">
          <cell r="G14198" t="str">
            <v>ASV22284</v>
          </cell>
          <cell r="H14198" t="str">
            <v>g__unclassified_o__Oscillospirales</v>
          </cell>
          <cell r="I14198" t="str">
            <v>s__unclassified_o__Oscillospirales</v>
          </cell>
        </row>
        <row r="14199">
          <cell r="G14199" t="str">
            <v>ASV10690</v>
          </cell>
          <cell r="H14199" t="str">
            <v>g__Eubacterium_oxidoreducens_group</v>
          </cell>
          <cell r="I14199" t="str">
            <v>s__uncultured_bacterium_g__Eubacterium_oxidoreducens_group</v>
          </cell>
        </row>
        <row r="14200">
          <cell r="G14200" t="str">
            <v>ASV18040</v>
          </cell>
          <cell r="H14200" t="str">
            <v>g__norank_f__Eubacterium_coprostanoligenes_group</v>
          </cell>
          <cell r="I14200" t="str">
            <v>s__unclassified_g__norank_f__Eubacterium_coprostanoligenes_group</v>
          </cell>
        </row>
        <row r="14201">
          <cell r="G14201" t="str">
            <v>ASV13827</v>
          </cell>
          <cell r="H14201" t="str">
            <v>g__Enterococcus</v>
          </cell>
          <cell r="I14201" t="str">
            <v>s__unclassified_g__Enterococcus</v>
          </cell>
        </row>
        <row r="14202">
          <cell r="G14202" t="str">
            <v>ASV9469</v>
          </cell>
          <cell r="H14202" t="str">
            <v>g__unclassified_p__Firmicutes</v>
          </cell>
          <cell r="I14202" t="str">
            <v>s__unclassified_p__Firmicutes</v>
          </cell>
        </row>
        <row r="14203">
          <cell r="G14203" t="str">
            <v>ASV14535</v>
          </cell>
          <cell r="H14203" t="str">
            <v>g__Clostridium_sensu_stricto_1</v>
          </cell>
          <cell r="I14203" t="str">
            <v>s__unclassified_g__Clostridium_sensu_stricto_1</v>
          </cell>
        </row>
        <row r="14204">
          <cell r="G14204" t="str">
            <v>ASV16073</v>
          </cell>
          <cell r="H14204" t="str">
            <v>g__Bacteroides</v>
          </cell>
          <cell r="I14204" t="str">
            <v>s__unclassified_g__Bacteroides</v>
          </cell>
        </row>
        <row r="14205">
          <cell r="G14205" t="str">
            <v>ASV16560</v>
          </cell>
          <cell r="H14205" t="str">
            <v>g__Christensenellaceae_R-7_group</v>
          </cell>
          <cell r="I14205" t="str">
            <v>s__unclassified_g__Christensenellaceae_R-7_group</v>
          </cell>
        </row>
        <row r="14206">
          <cell r="G14206" t="str">
            <v>ASV22325</v>
          </cell>
          <cell r="H14206" t="str">
            <v>g__UCG-003</v>
          </cell>
          <cell r="I14206" t="str">
            <v>s__unclassified_g__UCG-003</v>
          </cell>
        </row>
        <row r="14207">
          <cell r="G14207" t="str">
            <v>ASV23304</v>
          </cell>
          <cell r="H14207" t="str">
            <v>g__unclassified_c__Clostridia</v>
          </cell>
          <cell r="I14207" t="str">
            <v>s__unclassified_c__Clostridia</v>
          </cell>
        </row>
        <row r="14208">
          <cell r="G14208" t="str">
            <v>ASV8522</v>
          </cell>
          <cell r="H14208" t="str">
            <v>g__Acidaminococcus</v>
          </cell>
          <cell r="I14208" t="str">
            <v>s__unclassified_g__Acidaminococcus</v>
          </cell>
        </row>
        <row r="14209">
          <cell r="G14209" t="str">
            <v>ASV5024</v>
          </cell>
          <cell r="H14209" t="str">
            <v>g__unclassified_k__norank_d__Bacteria</v>
          </cell>
          <cell r="I14209" t="str">
            <v>s__unclassified_k__norank_d__Bacteria</v>
          </cell>
        </row>
        <row r="14210">
          <cell r="G14210" t="str">
            <v>ASV14490</v>
          </cell>
          <cell r="H14210" t="str">
            <v>g__unclassified_o__Oscillospirales</v>
          </cell>
          <cell r="I14210" t="str">
            <v>s__unclassified_o__Oscillospirales</v>
          </cell>
        </row>
        <row r="14211">
          <cell r="G14211" t="str">
            <v>ASV10729</v>
          </cell>
          <cell r="H14211" t="str">
            <v>g__unclassified_c__Clostridia</v>
          </cell>
          <cell r="I14211" t="str">
            <v>s__unclassified_c__Clostridia</v>
          </cell>
        </row>
        <row r="14212">
          <cell r="G14212" t="str">
            <v>ASV15403</v>
          </cell>
          <cell r="H14212" t="str">
            <v>g__SP3-e08</v>
          </cell>
          <cell r="I14212" t="str">
            <v>s__uncultured_bacterium_g__SP3-e08</v>
          </cell>
        </row>
        <row r="14213">
          <cell r="G14213" t="str">
            <v>ASV843</v>
          </cell>
          <cell r="H14213" t="str">
            <v>g__Lactobacillus</v>
          </cell>
          <cell r="I14213" t="str">
            <v>s__unclassified_g__Lactobacillus</v>
          </cell>
        </row>
        <row r="14214">
          <cell r="G14214" t="str">
            <v>ASV19830</v>
          </cell>
          <cell r="H14214" t="str">
            <v>g__unclassified_c__Bacilli</v>
          </cell>
          <cell r="I14214" t="str">
            <v>s__unclassified_c__Bacilli</v>
          </cell>
        </row>
        <row r="14215">
          <cell r="G14215" t="str">
            <v>ASV18226</v>
          </cell>
          <cell r="H14215" t="str">
            <v>g__unclassified_o__Oscillospirales</v>
          </cell>
          <cell r="I14215" t="str">
            <v>s__unclassified_o__Oscillospirales</v>
          </cell>
        </row>
        <row r="14216">
          <cell r="G14216" t="str">
            <v>ASV10320</v>
          </cell>
          <cell r="H14216" t="str">
            <v>g__unclassified_f__Lachnospiraceae</v>
          </cell>
          <cell r="I14216" t="str">
            <v>s__unclassified_f__Lachnospiraceae</v>
          </cell>
        </row>
        <row r="14217">
          <cell r="G14217" t="str">
            <v>ASV7798</v>
          </cell>
          <cell r="H14217" t="str">
            <v>g__unclassified_k__norank_d__Bacteria</v>
          </cell>
          <cell r="I14217" t="str">
            <v>s__unclassified_k__norank_d__Bacteria</v>
          </cell>
        </row>
        <row r="14218">
          <cell r="G14218" t="str">
            <v>ASV9538</v>
          </cell>
          <cell r="H14218" t="str">
            <v>g__unclassified_o__Lactobacillales</v>
          </cell>
          <cell r="I14218" t="str">
            <v>s__unclassified_o__Lactobacillales</v>
          </cell>
        </row>
        <row r="14219">
          <cell r="G14219" t="str">
            <v>ASV6735</v>
          </cell>
          <cell r="H14219" t="str">
            <v>g__norank_f__Ruminococcaceae</v>
          </cell>
          <cell r="I14219" t="str">
            <v>s__uncultured_bacterium_g__norank_f__Ruminococcaceae</v>
          </cell>
        </row>
        <row r="14220">
          <cell r="G14220" t="str">
            <v>ASV1034</v>
          </cell>
          <cell r="H14220" t="str">
            <v>g__unclassified_c__Bacilli</v>
          </cell>
          <cell r="I14220" t="str">
            <v>s__unclassified_c__Bacilli</v>
          </cell>
        </row>
        <row r="14221">
          <cell r="G14221" t="str">
            <v>ASV18179</v>
          </cell>
          <cell r="H14221" t="str">
            <v>g__Ruminococcus</v>
          </cell>
          <cell r="I14221" t="str">
            <v>s__unclassified_g__Ruminococcus</v>
          </cell>
        </row>
        <row r="14222">
          <cell r="G14222" t="str">
            <v>ASV14393</v>
          </cell>
          <cell r="H14222" t="str">
            <v>g__Christensenellaceae_R-7_group</v>
          </cell>
          <cell r="I14222" t="str">
            <v>s__unclassified_g__Christensenellaceae_R-7_group</v>
          </cell>
        </row>
        <row r="14223">
          <cell r="G14223" t="str">
            <v>ASV6090</v>
          </cell>
          <cell r="H14223" t="str">
            <v>g__unclassified_f__Lachnospiraceae</v>
          </cell>
          <cell r="I14223" t="str">
            <v>s__unclassified_f__Lachnospiraceae</v>
          </cell>
        </row>
        <row r="14224">
          <cell r="G14224" t="str">
            <v>ASV23453</v>
          </cell>
          <cell r="H14224" t="str">
            <v>g__unclassified_c__Clostridia</v>
          </cell>
          <cell r="I14224" t="str">
            <v>s__unclassified_c__Clostridia</v>
          </cell>
        </row>
        <row r="14225">
          <cell r="G14225" t="str">
            <v>ASV21643</v>
          </cell>
          <cell r="H14225" t="str">
            <v>g__Escherichia-Shigella</v>
          </cell>
          <cell r="I14225" t="str">
            <v>s__unclassified_g__Escherichia-Shigella</v>
          </cell>
        </row>
        <row r="14226">
          <cell r="G14226" t="str">
            <v>ASV6136</v>
          </cell>
          <cell r="H14226" t="str">
            <v>g__unclassified_f__Clostridiaceae</v>
          </cell>
          <cell r="I14226" t="str">
            <v>s__unclassified_f__Clostridiaceae</v>
          </cell>
        </row>
        <row r="14227">
          <cell r="G14227" t="str">
            <v>ASV4191</v>
          </cell>
          <cell r="H14227" t="str">
            <v>g__unclassified_f__Peptostreptococcaceae</v>
          </cell>
          <cell r="I14227" t="str">
            <v>s__unclassified_f__Peptostreptococcaceae</v>
          </cell>
        </row>
        <row r="14228">
          <cell r="G14228" t="str">
            <v>ASV15410</v>
          </cell>
          <cell r="H14228" t="str">
            <v>g__unclassified_c__Clostridia</v>
          </cell>
          <cell r="I14228" t="str">
            <v>s__unclassified_c__Clostridia</v>
          </cell>
        </row>
        <row r="14229">
          <cell r="G14229" t="str">
            <v>ASV985</v>
          </cell>
          <cell r="H14229" t="str">
            <v>g__unclassified_c__Clostridia</v>
          </cell>
          <cell r="I14229" t="str">
            <v>s__unclassified_c__Clostridia</v>
          </cell>
        </row>
        <row r="14230">
          <cell r="G14230" t="str">
            <v>ASV971</v>
          </cell>
          <cell r="H14230" t="str">
            <v>g__unclassified_c__Clostridia</v>
          </cell>
          <cell r="I14230" t="str">
            <v>s__unclassified_c__Clostridia</v>
          </cell>
        </row>
        <row r="14231">
          <cell r="G14231" t="str">
            <v>ASV15812</v>
          </cell>
          <cell r="H14231" t="str">
            <v>g__Streptococcus</v>
          </cell>
          <cell r="I14231" t="str">
            <v>s__unclassified_g__Streptococcus</v>
          </cell>
        </row>
        <row r="14232">
          <cell r="G14232" t="str">
            <v>ASV11691</v>
          </cell>
          <cell r="H14232" t="str">
            <v>g__unclassified_f__Lachnospiraceae</v>
          </cell>
          <cell r="I14232" t="str">
            <v>s__unclassified_f__Lachnospiraceae</v>
          </cell>
        </row>
        <row r="14233">
          <cell r="G14233" t="str">
            <v>ASV20928</v>
          </cell>
          <cell r="H14233" t="str">
            <v>g__Eubacterium_oxidoreducens_group</v>
          </cell>
          <cell r="I14233" t="str">
            <v>s__uncultured_bacterium_g__Eubacterium_oxidoreducens_group</v>
          </cell>
        </row>
        <row r="14234">
          <cell r="G14234" t="str">
            <v>ASV11973</v>
          </cell>
          <cell r="H14234" t="str">
            <v>g__Olsenella</v>
          </cell>
          <cell r="I14234" t="str">
            <v>s__unclassified_g__Olsenella</v>
          </cell>
        </row>
        <row r="14235">
          <cell r="G14235" t="str">
            <v>ASV17225</v>
          </cell>
          <cell r="H14235" t="str">
            <v>g__Terrisporobacter</v>
          </cell>
          <cell r="I14235" t="str">
            <v>s__unclassified_g__Terrisporobacter</v>
          </cell>
        </row>
        <row r="14236">
          <cell r="G14236" t="str">
            <v>ASV22282</v>
          </cell>
          <cell r="H14236" t="str">
            <v>g__unclassified_f__Lachnospiraceae</v>
          </cell>
          <cell r="I14236" t="str">
            <v>s__unclassified_f__Lachnospiraceae</v>
          </cell>
        </row>
        <row r="14237">
          <cell r="G14237" t="str">
            <v>ASV17511</v>
          </cell>
          <cell r="H14237" t="str">
            <v>g__Prevotella</v>
          </cell>
          <cell r="I14237" t="str">
            <v>s__Prevotella_sp._RS2</v>
          </cell>
        </row>
        <row r="14238">
          <cell r="G14238" t="str">
            <v>ASV16937</v>
          </cell>
          <cell r="H14238" t="str">
            <v>g__unclassified_k__norank_d__Bacteria</v>
          </cell>
          <cell r="I14238" t="str">
            <v>s__unclassified_k__norank_d__Bacteria</v>
          </cell>
        </row>
        <row r="14239">
          <cell r="G14239" t="str">
            <v>ASV18070</v>
          </cell>
          <cell r="H14239" t="str">
            <v>g__Clostridium_sensu_stricto_1</v>
          </cell>
          <cell r="I14239" t="str">
            <v>s__uncultured_bacterium_g__Clostridium_sensu_stricto_1</v>
          </cell>
        </row>
        <row r="14240">
          <cell r="G14240" t="str">
            <v>ASV22336</v>
          </cell>
          <cell r="H14240" t="str">
            <v>g__Lactobacillus</v>
          </cell>
          <cell r="I14240" t="str">
            <v>s__unclassified_g__Lactobacillus</v>
          </cell>
        </row>
        <row r="14241">
          <cell r="G14241" t="str">
            <v>ASV7298</v>
          </cell>
          <cell r="H14241" t="str">
            <v>g__Mesorhizobium</v>
          </cell>
          <cell r="I14241" t="str">
            <v>s__unclassified_g__Mesorhizobium</v>
          </cell>
        </row>
        <row r="14242">
          <cell r="G14242" t="str">
            <v>ASV22490</v>
          </cell>
          <cell r="H14242" t="str">
            <v>g__unclassified_f__Lachnospiraceae</v>
          </cell>
          <cell r="I14242" t="str">
            <v>s__unclassified_f__Lachnospiraceae</v>
          </cell>
        </row>
        <row r="14243">
          <cell r="G14243" t="str">
            <v>ASV19606</v>
          </cell>
          <cell r="H14243" t="str">
            <v>g__Sphaerochaeta</v>
          </cell>
          <cell r="I14243" t="str">
            <v>s__unclassified_g__Sphaerochaeta</v>
          </cell>
        </row>
        <row r="14244">
          <cell r="G14244" t="str">
            <v>ASV2329</v>
          </cell>
          <cell r="H14244" t="str">
            <v>g__norank_f__norank_o__Clostridia_UCG-014</v>
          </cell>
          <cell r="I14244" t="str">
            <v>s__unclassified_g__norank_f__norank_o__Clostridia_UCG-014</v>
          </cell>
        </row>
        <row r="14245">
          <cell r="G14245" t="str">
            <v>ASV13500</v>
          </cell>
          <cell r="H14245" t="str">
            <v>g__unclassified_f__Ruminococcaceae</v>
          </cell>
          <cell r="I14245" t="str">
            <v>s__unclassified_f__Ruminococcaceae</v>
          </cell>
        </row>
        <row r="14246">
          <cell r="G14246" t="str">
            <v>ASV6788</v>
          </cell>
          <cell r="H14246" t="str">
            <v>g__unclassified_f__Lachnospiraceae</v>
          </cell>
          <cell r="I14246" t="str">
            <v>s__unclassified_f__Lachnospiraceae</v>
          </cell>
        </row>
        <row r="14247">
          <cell r="G14247" t="str">
            <v>ASV12964</v>
          </cell>
          <cell r="H14247" t="str">
            <v>g__unclassified_p__Firmicutes</v>
          </cell>
          <cell r="I14247" t="str">
            <v>s__unclassified_p__Firmicutes</v>
          </cell>
        </row>
        <row r="14248">
          <cell r="G14248" t="str">
            <v>ASV6509</v>
          </cell>
          <cell r="H14248" t="str">
            <v>g__norank_f__Mitochondria</v>
          </cell>
          <cell r="I14248" t="str">
            <v>s__uncultured_bacterium_g__norank_f__Mitochondria</v>
          </cell>
        </row>
        <row r="14249">
          <cell r="G14249" t="str">
            <v>ASV13488</v>
          </cell>
          <cell r="H14249" t="str">
            <v>g__unclassified_c__Clostridia</v>
          </cell>
          <cell r="I14249" t="str">
            <v>s__unclassified_c__Clostridia</v>
          </cell>
        </row>
        <row r="14250">
          <cell r="G14250" t="str">
            <v>ASV13490</v>
          </cell>
          <cell r="H14250" t="str">
            <v>g__NK4A214_group</v>
          </cell>
          <cell r="I14250" t="str">
            <v>s__unclassified_g__NK4A214_group</v>
          </cell>
        </row>
        <row r="14251">
          <cell r="G14251" t="str">
            <v>ASV16076</v>
          </cell>
          <cell r="H14251" t="str">
            <v>g__Fusobacterium</v>
          </cell>
          <cell r="I14251" t="str">
            <v>s__Bacillus_bogoriensis_ATCC_BAA-922</v>
          </cell>
        </row>
        <row r="14252">
          <cell r="G14252" t="str">
            <v>ASV15535</v>
          </cell>
          <cell r="H14252" t="str">
            <v>g__unclassified_f__Anaerovoracaceae</v>
          </cell>
          <cell r="I14252" t="str">
            <v>s__unclassified_f__Anaerovoracaceae</v>
          </cell>
        </row>
        <row r="14253">
          <cell r="G14253" t="str">
            <v>ASV18163</v>
          </cell>
          <cell r="H14253" t="str">
            <v>g__unclassified_k__norank_d__Bacteria</v>
          </cell>
          <cell r="I14253" t="str">
            <v>s__unclassified_k__norank_d__Bacteria</v>
          </cell>
        </row>
        <row r="14254">
          <cell r="G14254" t="str">
            <v>ASV16505</v>
          </cell>
          <cell r="H14254" t="str">
            <v>g__Escherichia-Shigella</v>
          </cell>
          <cell r="I14254" t="str">
            <v>s__unclassified_g__Escherichia-Shigella</v>
          </cell>
        </row>
        <row r="14255">
          <cell r="G14255" t="str">
            <v>ASV6734</v>
          </cell>
          <cell r="H14255" t="str">
            <v>g__Peptoniphilus</v>
          </cell>
          <cell r="I14255" t="str">
            <v>s__unclassified_g__Peptoniphilus</v>
          </cell>
        </row>
        <row r="14256">
          <cell r="G14256" t="str">
            <v>ASV18144</v>
          </cell>
          <cell r="H14256" t="str">
            <v>g__unclassified_c__Clostridia</v>
          </cell>
          <cell r="I14256" t="str">
            <v>s__unclassified_c__Clostridia</v>
          </cell>
        </row>
        <row r="14257">
          <cell r="G14257" t="str">
            <v>ASV19803</v>
          </cell>
          <cell r="H14257" t="str">
            <v>g__unclassified_c__Clostridia</v>
          </cell>
          <cell r="I14257" t="str">
            <v>s__unclassified_c__Clostridia</v>
          </cell>
        </row>
        <row r="14258">
          <cell r="G14258" t="str">
            <v>ASV14945</v>
          </cell>
          <cell r="H14258" t="str">
            <v>g__unclassified_f__Peptostreptococcaceae</v>
          </cell>
          <cell r="I14258" t="str">
            <v>s__unclassified_f__Peptostreptococcaceae</v>
          </cell>
        </row>
        <row r="14259">
          <cell r="G14259" t="str">
            <v>ASV2276</v>
          </cell>
          <cell r="H14259" t="str">
            <v>g__norank_f__Eubacterium_coprostanoligenes_group</v>
          </cell>
          <cell r="I14259" t="str">
            <v>s__unclassified_g__norank_f__Eubacterium_coprostanoligenes_group</v>
          </cell>
        </row>
        <row r="14260">
          <cell r="G14260" t="str">
            <v>ASV18775</v>
          </cell>
          <cell r="H14260" t="str">
            <v>g__DNF00809</v>
          </cell>
          <cell r="I14260" t="str">
            <v>s__Coriobacteriaceae_bacterium_68-1-3</v>
          </cell>
        </row>
        <row r="14261">
          <cell r="G14261" t="str">
            <v>ASV16538</v>
          </cell>
          <cell r="H14261" t="str">
            <v>g__Enterococcus</v>
          </cell>
          <cell r="I14261" t="str">
            <v>s__unclassified_g__Enterococcus</v>
          </cell>
        </row>
        <row r="14262">
          <cell r="G14262" t="str">
            <v>ASV18216</v>
          </cell>
          <cell r="H14262" t="str">
            <v>g__unclassified_o__Oscillospirales</v>
          </cell>
          <cell r="I14262" t="str">
            <v>s__unclassified_o__Oscillospirales</v>
          </cell>
        </row>
        <row r="14263">
          <cell r="G14263" t="str">
            <v>ASV15995</v>
          </cell>
          <cell r="H14263" t="str">
            <v>g__Lachnoclostridium</v>
          </cell>
          <cell r="I14263" t="str">
            <v>s__unclassified_g__Lachnoclostridium</v>
          </cell>
        </row>
        <row r="14264">
          <cell r="G14264" t="str">
            <v>ASV4048</v>
          </cell>
          <cell r="H14264" t="str">
            <v>g__Solobacterium</v>
          </cell>
          <cell r="I14264" t="str">
            <v>s__uncultured_organism_g__Solobacterium</v>
          </cell>
        </row>
        <row r="14265">
          <cell r="G14265" t="str">
            <v>ASV16019</v>
          </cell>
          <cell r="H14265" t="str">
            <v>g__Fusobacterium</v>
          </cell>
          <cell r="I14265" t="str">
            <v>s__unclassified_g__Fusobacterium</v>
          </cell>
        </row>
        <row r="14266">
          <cell r="G14266" t="str">
            <v>ASV16442</v>
          </cell>
          <cell r="H14266" t="str">
            <v>g__Clostridium_sensu_stricto_1</v>
          </cell>
          <cell r="I14266" t="str">
            <v>s__unclassified_g__Clostridium_sensu_stricto_1</v>
          </cell>
        </row>
        <row r="14267">
          <cell r="G14267" t="str">
            <v>ASV4133</v>
          </cell>
          <cell r="H14267" t="str">
            <v>g__Akkermansia</v>
          </cell>
          <cell r="I14267" t="str">
            <v>s__uncultured_bacterium_g__Akkermansia</v>
          </cell>
        </row>
        <row r="14268">
          <cell r="G14268" t="str">
            <v>ASV5074</v>
          </cell>
          <cell r="H14268" t="str">
            <v>g__Mitsuokella</v>
          </cell>
          <cell r="I14268" t="str">
            <v>s__unclassified_g__Mitsuokella</v>
          </cell>
        </row>
        <row r="14269">
          <cell r="G14269" t="str">
            <v>ASV22378</v>
          </cell>
          <cell r="H14269" t="str">
            <v>g__unclassified_f__Lachnospiraceae</v>
          </cell>
          <cell r="I14269" t="str">
            <v>s__unclassified_f__Lachnospiraceae</v>
          </cell>
        </row>
        <row r="14270">
          <cell r="G14270" t="str">
            <v>ASV15506</v>
          </cell>
          <cell r="H14270" t="str">
            <v>g__unclassified_c__Clostridia</v>
          </cell>
          <cell r="I14270" t="str">
            <v>s__unclassified_c__Clostridia</v>
          </cell>
        </row>
        <row r="14271">
          <cell r="G14271" t="str">
            <v>ASV17307</v>
          </cell>
          <cell r="H14271" t="str">
            <v>g__Lactobacillus</v>
          </cell>
          <cell r="I14271" t="str">
            <v>s__unclassified_g__Lactobacillus</v>
          </cell>
        </row>
        <row r="14272">
          <cell r="G14272" t="str">
            <v>ASV7901</v>
          </cell>
          <cell r="H14272" t="str">
            <v>g__unclassified_f__Lachnospiraceae</v>
          </cell>
          <cell r="I14272" t="str">
            <v>s__unclassified_f__Lachnospiraceae</v>
          </cell>
        </row>
        <row r="14273">
          <cell r="G14273" t="str">
            <v>ASV14388</v>
          </cell>
          <cell r="H14273" t="str">
            <v>g__Lactobacillus</v>
          </cell>
          <cell r="I14273" t="str">
            <v>s__unclassified_g__Lactobacillus</v>
          </cell>
        </row>
        <row r="14274">
          <cell r="G14274" t="str">
            <v>ASV14522</v>
          </cell>
          <cell r="H14274" t="str">
            <v>g__unclassified_c__Clostridia</v>
          </cell>
          <cell r="I14274" t="str">
            <v>s__unclassified_c__Clostridia</v>
          </cell>
        </row>
        <row r="14275">
          <cell r="G14275" t="str">
            <v>ASV16535</v>
          </cell>
          <cell r="H14275" t="str">
            <v>g__unclassified_p__Firmicutes</v>
          </cell>
          <cell r="I14275" t="str">
            <v>s__unclassified_p__Firmicutes</v>
          </cell>
        </row>
        <row r="14276">
          <cell r="G14276" t="str">
            <v>ASV22452</v>
          </cell>
          <cell r="H14276" t="str">
            <v>g__unclassified_f__Lachnospiraceae</v>
          </cell>
          <cell r="I14276" t="str">
            <v>s__unclassified_f__Lachnospiraceae</v>
          </cell>
        </row>
        <row r="14277">
          <cell r="G14277" t="str">
            <v>ASV11825</v>
          </cell>
          <cell r="H14277" t="str">
            <v>g__Treponema</v>
          </cell>
          <cell r="I14277" t="str">
            <v>s__unclassified_g__Treponema</v>
          </cell>
        </row>
        <row r="14278">
          <cell r="G14278" t="str">
            <v>ASV13499</v>
          </cell>
          <cell r="H14278" t="str">
            <v>g__unclassified_f__Lachnospiraceae</v>
          </cell>
          <cell r="I14278" t="str">
            <v>s__unclassified_f__Lachnospiraceae</v>
          </cell>
        </row>
        <row r="14279">
          <cell r="G14279" t="str">
            <v>ASV17507</v>
          </cell>
          <cell r="H14279" t="str">
            <v>g__unclassified_f__Lachnospiraceae</v>
          </cell>
          <cell r="I14279" t="str">
            <v>s__unclassified_f__Lachnospiraceae</v>
          </cell>
        </row>
        <row r="14280">
          <cell r="G14280" t="str">
            <v>ASV11928</v>
          </cell>
          <cell r="H14280" t="str">
            <v>g__unclassified_k__norank_d__Bacteria</v>
          </cell>
          <cell r="I14280" t="str">
            <v>s__unclassified_k__norank_d__Bacteria</v>
          </cell>
        </row>
        <row r="14281">
          <cell r="G14281" t="str">
            <v>ASV14476</v>
          </cell>
          <cell r="H14281" t="str">
            <v>g__Candidatus_Soleaferrea</v>
          </cell>
          <cell r="I14281" t="str">
            <v>s__uncultured_bacterium_g__Candidatus_Soleaferrea</v>
          </cell>
        </row>
        <row r="14282">
          <cell r="G14282" t="str">
            <v>ASV20945</v>
          </cell>
          <cell r="H14282" t="str">
            <v>g__unclassified_f__Lachnospiraceae</v>
          </cell>
          <cell r="I14282" t="str">
            <v>s__unclassified_f__Lachnospiraceae</v>
          </cell>
        </row>
        <row r="14283">
          <cell r="G14283" t="str">
            <v>ASV11849</v>
          </cell>
          <cell r="H14283" t="str">
            <v>g__norank_f__Muribaculaceae</v>
          </cell>
          <cell r="I14283" t="str">
            <v>s__uncultured_bacterium_g__norank_f__Muribaculaceae</v>
          </cell>
        </row>
        <row r="14284">
          <cell r="G14284" t="str">
            <v>ASV22274</v>
          </cell>
          <cell r="H14284" t="str">
            <v>g__Prevotella</v>
          </cell>
          <cell r="I14284" t="str">
            <v>s__uncultured_bacterium_g__Prevotella</v>
          </cell>
        </row>
        <row r="14285">
          <cell r="G14285" t="str">
            <v>ASV15554</v>
          </cell>
          <cell r="H14285" t="str">
            <v>g__unclassified_c__Clostridia</v>
          </cell>
          <cell r="I14285" t="str">
            <v>s__unclassified_c__Clostridia</v>
          </cell>
        </row>
        <row r="14286">
          <cell r="G14286" t="str">
            <v>ASV5950</v>
          </cell>
          <cell r="H14286" t="str">
            <v>g__unclassified_f__Peptostreptococcaceae</v>
          </cell>
          <cell r="I14286" t="str">
            <v>s__unclassified_f__Peptostreptococcaceae</v>
          </cell>
        </row>
        <row r="14287">
          <cell r="G14287" t="str">
            <v>ASV16539</v>
          </cell>
          <cell r="H14287" t="str">
            <v>g__Pseudoflavonifractor</v>
          </cell>
          <cell r="I14287" t="str">
            <v>s__unclassified_g__Pseudoflavonifractor</v>
          </cell>
        </row>
        <row r="14288">
          <cell r="G14288" t="str">
            <v>ASV9548</v>
          </cell>
          <cell r="H14288" t="str">
            <v>g__Collinsella</v>
          </cell>
          <cell r="I14288" t="str">
            <v>s__uncultured_bacterium_g__Collinsella</v>
          </cell>
        </row>
        <row r="14289">
          <cell r="G14289" t="str">
            <v>ASV1001</v>
          </cell>
          <cell r="H14289" t="str">
            <v>g__norank_f__Ruminococcaceae</v>
          </cell>
          <cell r="I14289" t="str">
            <v>s__gut_metagenome_g__norank_f__Ruminococcaceae</v>
          </cell>
        </row>
        <row r="14290">
          <cell r="G14290" t="str">
            <v>ASV12812</v>
          </cell>
          <cell r="H14290" t="str">
            <v>g__norank_f__Muribaculaceae</v>
          </cell>
          <cell r="I14290" t="str">
            <v>s__uncultured_bacterium_g__norank_f__Muribaculaceae</v>
          </cell>
        </row>
        <row r="14291">
          <cell r="G14291" t="str">
            <v>ASV19723</v>
          </cell>
          <cell r="H14291" t="str">
            <v>g__norank_f__Eubacterium_coprostanoligenes_group</v>
          </cell>
          <cell r="I14291" t="str">
            <v>s__unclassified_g__norank_f__Eubacterium_coprostanoligenes_group</v>
          </cell>
        </row>
        <row r="14292">
          <cell r="G14292" t="str">
            <v>ASV14356</v>
          </cell>
          <cell r="H14292" t="str">
            <v>g__Candidatus_Soleaferrea</v>
          </cell>
          <cell r="I14292" t="str">
            <v>s__uncultured_bacterium_g__Candidatus_Soleaferrea</v>
          </cell>
        </row>
        <row r="14293">
          <cell r="G14293" t="str">
            <v>ASV3498</v>
          </cell>
          <cell r="H14293" t="str">
            <v>g__Arthrobacter</v>
          </cell>
          <cell r="I14293" t="str">
            <v>s__unclassified_g__Arthrobacter</v>
          </cell>
        </row>
        <row r="14294">
          <cell r="G14294" t="str">
            <v>ASV14471</v>
          </cell>
          <cell r="H14294" t="str">
            <v>g__unclassified_f__Ruminococcaceae</v>
          </cell>
          <cell r="I14294" t="str">
            <v>s__unclassified_f__Ruminococcaceae</v>
          </cell>
        </row>
        <row r="14295">
          <cell r="G14295" t="str">
            <v>ASV13534</v>
          </cell>
          <cell r="H14295" t="str">
            <v>g__unclassified_f__Lachnospiraceae</v>
          </cell>
          <cell r="I14295" t="str">
            <v>s__unclassified_f__Lachnospiraceae</v>
          </cell>
        </row>
        <row r="14296">
          <cell r="G14296" t="str">
            <v>ASV11824</v>
          </cell>
          <cell r="H14296" t="str">
            <v>g__Collinsella</v>
          </cell>
          <cell r="I14296" t="str">
            <v>s__unclassified_g__Collinsella</v>
          </cell>
        </row>
        <row r="14297">
          <cell r="G14297" t="str">
            <v>ASV22401</v>
          </cell>
          <cell r="H14297" t="str">
            <v>g__unclassified_c__Clostridia</v>
          </cell>
          <cell r="I14297" t="str">
            <v>s__unclassified_c__Clostridia</v>
          </cell>
        </row>
        <row r="14298">
          <cell r="G14298" t="str">
            <v>ASV12020</v>
          </cell>
          <cell r="H14298" t="str">
            <v>g__Phascolarctobacterium</v>
          </cell>
          <cell r="I14298" t="str">
            <v>s__uncultured_bacterium_g__Phascolarctobacterium</v>
          </cell>
        </row>
        <row r="14299">
          <cell r="G14299" t="str">
            <v>ASV12008</v>
          </cell>
          <cell r="H14299" t="str">
            <v>g__unclassified_c__Clostridia</v>
          </cell>
          <cell r="I14299" t="str">
            <v>s__unclassified_c__Clostridia</v>
          </cell>
        </row>
        <row r="14300">
          <cell r="G14300" t="str">
            <v>ASV18206</v>
          </cell>
          <cell r="H14300" t="str">
            <v>g__Oscillibacter</v>
          </cell>
          <cell r="I14300" t="str">
            <v>s__unclassified_g__Oscillibacter</v>
          </cell>
        </row>
        <row r="14301">
          <cell r="G14301" t="str">
            <v>ASV796</v>
          </cell>
          <cell r="H14301" t="str">
            <v>g__unclassified_c__Clostridia</v>
          </cell>
          <cell r="I14301" t="str">
            <v>s__unclassified_c__Clostridia</v>
          </cell>
        </row>
        <row r="14302">
          <cell r="G14302" t="str">
            <v>ASV16503</v>
          </cell>
          <cell r="H14302" t="str">
            <v>g__Ruminococcus</v>
          </cell>
          <cell r="I14302" t="str">
            <v>s__uncultured_bacterium_g__Ruminococcus</v>
          </cell>
        </row>
        <row r="14303">
          <cell r="G14303" t="str">
            <v>ASV19868</v>
          </cell>
          <cell r="H14303" t="str">
            <v>g__unclassified_c__Clostridia</v>
          </cell>
          <cell r="I14303" t="str">
            <v>s__unclassified_c__Clostridia</v>
          </cell>
        </row>
        <row r="14304">
          <cell r="G14304" t="str">
            <v>ASV21310</v>
          </cell>
          <cell r="H14304" t="str">
            <v>g__Bifidobacterium</v>
          </cell>
          <cell r="I14304" t="str">
            <v>s__unclassified_g__Bifidobacterium</v>
          </cell>
        </row>
        <row r="14305">
          <cell r="G14305" t="str">
            <v>ASV23478</v>
          </cell>
          <cell r="H14305" t="str">
            <v>g__unclassified_c__Clostridia</v>
          </cell>
          <cell r="I14305" t="str">
            <v>s__unclassified_c__Clostridia</v>
          </cell>
        </row>
        <row r="14306">
          <cell r="G14306" t="str">
            <v>ASV9512</v>
          </cell>
          <cell r="H14306" t="str">
            <v>g__unclassified_f__Lachnospiraceae</v>
          </cell>
          <cell r="I14306" t="str">
            <v>s__unclassified_f__Lachnospiraceae</v>
          </cell>
        </row>
        <row r="14307">
          <cell r="G14307" t="str">
            <v>ASV15996</v>
          </cell>
          <cell r="H14307" t="str">
            <v>g__norank_f__Muribaculaceae</v>
          </cell>
          <cell r="I14307" t="str">
            <v>s__uncultured_bacterium_g__norank_f__Muribaculaceae</v>
          </cell>
        </row>
        <row r="14308">
          <cell r="G14308" t="str">
            <v>ASV15450</v>
          </cell>
          <cell r="H14308" t="str">
            <v>g__unclassified_c__Clostridia</v>
          </cell>
          <cell r="I14308" t="str">
            <v>s__unclassified_c__Clostridia</v>
          </cell>
        </row>
        <row r="14309">
          <cell r="G14309" t="str">
            <v>ASV20866</v>
          </cell>
          <cell r="H14309" t="str">
            <v>g__unclassified_o__Oscillospirales</v>
          </cell>
          <cell r="I14309" t="str">
            <v>s__unclassified_o__Oscillospirales</v>
          </cell>
        </row>
        <row r="14310">
          <cell r="G14310" t="str">
            <v>ASV21471</v>
          </cell>
          <cell r="H14310" t="str">
            <v>g__Sharpea</v>
          </cell>
          <cell r="I14310" t="str">
            <v>s__unclassified_g__Sharpea</v>
          </cell>
        </row>
        <row r="14311">
          <cell r="G14311" t="str">
            <v>ASV23476</v>
          </cell>
          <cell r="H14311" t="str">
            <v>g__unclassified_c__Clostridia</v>
          </cell>
          <cell r="I14311" t="str">
            <v>s__unclassified_c__Clostridia</v>
          </cell>
        </row>
        <row r="14312">
          <cell r="G14312" t="str">
            <v>ASV6784</v>
          </cell>
          <cell r="H14312" t="str">
            <v>g__Phascolarctobacterium</v>
          </cell>
          <cell r="I14312" t="str">
            <v>s__unclassified_g__Phascolarctobacterium</v>
          </cell>
        </row>
        <row r="14313">
          <cell r="G14313" t="str">
            <v>ASV8848</v>
          </cell>
          <cell r="H14313" t="str">
            <v>g__Prevotella</v>
          </cell>
          <cell r="I14313" t="str">
            <v>s__unclassified_g__Prevotella</v>
          </cell>
        </row>
        <row r="14314">
          <cell r="G14314" t="str">
            <v>ASV9519</v>
          </cell>
          <cell r="H14314" t="str">
            <v>g__UCG-002</v>
          </cell>
          <cell r="I14314" t="str">
            <v>s__uncultured_bacterium_g__UCG-002</v>
          </cell>
        </row>
        <row r="14315">
          <cell r="G14315" t="str">
            <v>ASV812</v>
          </cell>
          <cell r="H14315" t="str">
            <v>g__unclassified_c__Clostridia</v>
          </cell>
          <cell r="I14315" t="str">
            <v>s__unclassified_c__Clostridia</v>
          </cell>
        </row>
        <row r="14316">
          <cell r="G14316" t="str">
            <v>ASV4157</v>
          </cell>
          <cell r="H14316" t="str">
            <v>g__Cloacibacillus</v>
          </cell>
          <cell r="I14316" t="str">
            <v>s__unclassified_g__Cloacibacillus</v>
          </cell>
        </row>
        <row r="14317">
          <cell r="G14317" t="str">
            <v>ASV3215</v>
          </cell>
          <cell r="H14317" t="str">
            <v>g__unclassified_f__Lachnospiraceae</v>
          </cell>
          <cell r="I14317" t="str">
            <v>s__unclassified_f__Lachnospiraceae</v>
          </cell>
        </row>
        <row r="14318">
          <cell r="G14318" t="str">
            <v>ASV16985</v>
          </cell>
          <cell r="H14318" t="str">
            <v>g__Lactobacillus</v>
          </cell>
          <cell r="I14318" t="str">
            <v>s__unclassified_g__Lactobacillus</v>
          </cell>
        </row>
        <row r="14319">
          <cell r="G14319" t="str">
            <v>ASV15481</v>
          </cell>
          <cell r="H14319" t="str">
            <v>g__NK4A214_group</v>
          </cell>
          <cell r="I14319" t="str">
            <v>s__unclassified_g__NK4A214_group</v>
          </cell>
        </row>
        <row r="14320">
          <cell r="G14320" t="str">
            <v>ASV11698</v>
          </cell>
          <cell r="H14320" t="str">
            <v>g__norank_f__Muribaculaceae</v>
          </cell>
          <cell r="I14320" t="str">
            <v>s__uncultured_bacterium_g__norank_f__Muribaculaceae</v>
          </cell>
        </row>
        <row r="14321">
          <cell r="G14321" t="str">
            <v>ASV18079</v>
          </cell>
          <cell r="H14321" t="str">
            <v>g__Christensenellaceae_R-7_group</v>
          </cell>
          <cell r="I14321" t="str">
            <v>s__unclassified_g__Christensenellaceae_R-7_group</v>
          </cell>
        </row>
        <row r="14322">
          <cell r="G14322" t="str">
            <v>ASV22513</v>
          </cell>
          <cell r="H14322" t="str">
            <v>g__unclassified_c__Clostridia</v>
          </cell>
          <cell r="I14322" t="str">
            <v>s__unclassified_c__Clostridia</v>
          </cell>
        </row>
        <row r="14323">
          <cell r="G14323" t="str">
            <v>ASV14508</v>
          </cell>
          <cell r="H14323" t="str">
            <v>g__Christensenellaceae_R-7_group</v>
          </cell>
          <cell r="I14323" t="str">
            <v>s__unclassified_g__Christensenellaceae_R-7_group</v>
          </cell>
        </row>
        <row r="14324">
          <cell r="G14324" t="str">
            <v>ASV7943</v>
          </cell>
          <cell r="H14324" t="str">
            <v>g__unclassified_f__Peptostreptococcaceae</v>
          </cell>
          <cell r="I14324" t="str">
            <v>s__unclassified_f__Peptostreptococcaceae</v>
          </cell>
        </row>
        <row r="14325">
          <cell r="G14325" t="str">
            <v>ASV18076</v>
          </cell>
          <cell r="H14325" t="str">
            <v>g__unclassified_c__Clostridia</v>
          </cell>
          <cell r="I14325" t="str">
            <v>s__unclassified_c__Clostridia</v>
          </cell>
        </row>
        <row r="14326">
          <cell r="G14326" t="str">
            <v>ASV18922</v>
          </cell>
          <cell r="H14326" t="str">
            <v>g__unclassified_c__Clostridia</v>
          </cell>
          <cell r="I14326" t="str">
            <v>s__unclassified_c__Clostridia</v>
          </cell>
        </row>
        <row r="14327">
          <cell r="G14327" t="str">
            <v>ASV15453</v>
          </cell>
          <cell r="H14327" t="str">
            <v>g__unclassified_c__Clostridia</v>
          </cell>
          <cell r="I14327" t="str">
            <v>s__unclassified_c__Clostridia</v>
          </cell>
        </row>
        <row r="14328">
          <cell r="G14328" t="str">
            <v>ASV7877</v>
          </cell>
          <cell r="H14328" t="str">
            <v>g__norank_f__Peptococcaceae</v>
          </cell>
          <cell r="I14328" t="str">
            <v>s__uncultured_bacterium_g__norank_f__Peptococcaceae</v>
          </cell>
        </row>
        <row r="14329">
          <cell r="G14329" t="str">
            <v>ASV4967</v>
          </cell>
          <cell r="H14329" t="str">
            <v>g__norank_f__Oscillospiraceae</v>
          </cell>
          <cell r="I14329" t="str">
            <v>s__unclassified_g__norank_f__Oscillospiraceae</v>
          </cell>
        </row>
        <row r="14330">
          <cell r="G14330" t="str">
            <v>ASV2364</v>
          </cell>
          <cell r="H14330" t="str">
            <v>g__norank_f__Oscillospiraceae</v>
          </cell>
          <cell r="I14330" t="str">
            <v>s__unclassified_g__norank_f__Oscillospiraceae</v>
          </cell>
        </row>
        <row r="14331">
          <cell r="G14331" t="str">
            <v>ASV15542</v>
          </cell>
          <cell r="H14331" t="str">
            <v>g__Parabacteroides</v>
          </cell>
          <cell r="I14331" t="str">
            <v>s__Porphyromonadaceae_bacterium_DJF_B175</v>
          </cell>
        </row>
        <row r="14332">
          <cell r="G14332" t="str">
            <v>ASV19081</v>
          </cell>
          <cell r="H14332" t="str">
            <v>g__unclassified_f__Lachnospiraceae</v>
          </cell>
          <cell r="I14332" t="str">
            <v>s__unclassified_f__Lachnospiraceae</v>
          </cell>
        </row>
        <row r="14333">
          <cell r="G14333" t="str">
            <v>ASV16960</v>
          </cell>
          <cell r="H14333" t="str">
            <v>g__norank_f__Peptostreptococcaceae</v>
          </cell>
          <cell r="I14333" t="str">
            <v>s__uncultured_bacterium_g__norank_f__Peptostreptococcaceae</v>
          </cell>
        </row>
        <row r="14334">
          <cell r="G14334" t="str">
            <v>ASV5099</v>
          </cell>
          <cell r="H14334" t="str">
            <v>g__UCG-009</v>
          </cell>
          <cell r="I14334" t="str">
            <v>s__uncultured_bacterium_g__UCG-009</v>
          </cell>
        </row>
        <row r="14335">
          <cell r="G14335" t="str">
            <v>ASV15406</v>
          </cell>
          <cell r="H14335" t="str">
            <v>g__Clostridium_sensu_stricto_1</v>
          </cell>
          <cell r="I14335" t="str">
            <v>s__unclassified_g__Clostridium_sensu_stricto_1</v>
          </cell>
        </row>
        <row r="14336">
          <cell r="G14336" t="str">
            <v>ASV19748</v>
          </cell>
          <cell r="H14336" t="str">
            <v>g__unclassified_f__Lachnospiraceae</v>
          </cell>
          <cell r="I14336" t="str">
            <v>s__unclassified_f__Lachnospiraceae</v>
          </cell>
        </row>
        <row r="14337">
          <cell r="G14337" t="str">
            <v>ASV18933</v>
          </cell>
          <cell r="H14337" t="str">
            <v>g__unclassified_o__Burkholderiales</v>
          </cell>
          <cell r="I14337" t="str">
            <v>s__unclassified_o__Burkholderiales</v>
          </cell>
        </row>
        <row r="14338">
          <cell r="G14338" t="str">
            <v>ASV9031</v>
          </cell>
          <cell r="H14338" t="str">
            <v>g__Prevotella</v>
          </cell>
          <cell r="I14338" t="str">
            <v>s__uncultured_Prevotellaceae_bacterium_g__Prevotella</v>
          </cell>
        </row>
        <row r="14339">
          <cell r="G14339" t="str">
            <v>ASV21268</v>
          </cell>
          <cell r="H14339" t="str">
            <v>g__Collinsella</v>
          </cell>
          <cell r="I14339" t="str">
            <v>s__uncultured_bacterium_g__Collinsella</v>
          </cell>
        </row>
        <row r="14340">
          <cell r="G14340" t="str">
            <v>ASV2226</v>
          </cell>
          <cell r="H14340" t="str">
            <v>g__unclassified_c__Clostridia</v>
          </cell>
          <cell r="I14340" t="str">
            <v>s__unclassified_c__Clostridia</v>
          </cell>
        </row>
        <row r="14341">
          <cell r="G14341" t="str">
            <v>ASV17313</v>
          </cell>
          <cell r="H14341" t="str">
            <v>g__Sharpea</v>
          </cell>
          <cell r="I14341" t="str">
            <v>s__unclassified_g__Sharpea</v>
          </cell>
        </row>
        <row r="14342">
          <cell r="G14342" t="str">
            <v>ASV12878</v>
          </cell>
          <cell r="H14342" t="str">
            <v>g__norank_f__Eubacterium_coprostanoligenes_group</v>
          </cell>
          <cell r="I14342" t="str">
            <v>s__unclassified_g__norank_f__Eubacterium_coprostanoligenes_group</v>
          </cell>
        </row>
        <row r="14343">
          <cell r="G14343" t="str">
            <v>ASV10215</v>
          </cell>
          <cell r="H14343" t="str">
            <v>g__Megasphaera</v>
          </cell>
          <cell r="I14343" t="str">
            <v>s__unclassified_g__Megasphaera</v>
          </cell>
        </row>
        <row r="14344">
          <cell r="G14344" t="str">
            <v>ASV24217</v>
          </cell>
          <cell r="H14344" t="str">
            <v>g__norank_f__Eubacterium_coprostanoligenes_group</v>
          </cell>
          <cell r="I14344" t="str">
            <v>s__uncultured_bacterium_g__norank_f__Eubacterium_coprostanoligenes_group</v>
          </cell>
        </row>
        <row r="14345">
          <cell r="G14345" t="str">
            <v>ASV10826</v>
          </cell>
          <cell r="H14345" t="str">
            <v>g__unclassified_f__Anaerovoracaceae</v>
          </cell>
          <cell r="I14345" t="str">
            <v>s__unclassified_f__Anaerovoracaceae</v>
          </cell>
        </row>
        <row r="14346">
          <cell r="G14346" t="str">
            <v>ASV19856</v>
          </cell>
          <cell r="H14346" t="str">
            <v>g__unclassified_f__Lachnospiraceae</v>
          </cell>
          <cell r="I14346" t="str">
            <v>s__unclassified_f__Lachnospiraceae</v>
          </cell>
        </row>
        <row r="14347">
          <cell r="G14347" t="str">
            <v>ASV11878</v>
          </cell>
          <cell r="H14347" t="str">
            <v>g__Holdemanella</v>
          </cell>
          <cell r="I14347" t="str">
            <v>s__uncultured_bacterium_g__Holdemanella</v>
          </cell>
        </row>
        <row r="14348">
          <cell r="G14348" t="str">
            <v>ASV16497</v>
          </cell>
          <cell r="H14348" t="str">
            <v>g__unclassified_c__Clostridia</v>
          </cell>
          <cell r="I14348" t="str">
            <v>s__unclassified_c__Clostridia</v>
          </cell>
        </row>
        <row r="14349">
          <cell r="G14349" t="str">
            <v>ASV16077</v>
          </cell>
          <cell r="H14349" t="str">
            <v>g__Eubacterium_oxidoreducens_group</v>
          </cell>
          <cell r="I14349" t="str">
            <v>s__uncultured_bacterium_g__Eubacterium_oxidoreducens_group</v>
          </cell>
        </row>
        <row r="14350">
          <cell r="G14350" t="str">
            <v>ASV7911</v>
          </cell>
          <cell r="H14350" t="str">
            <v>g__unclassified_p__Firmicutes</v>
          </cell>
          <cell r="I14350" t="str">
            <v>s__unclassified_p__Firmicutes</v>
          </cell>
        </row>
        <row r="14351">
          <cell r="G14351" t="str">
            <v>ASV13447</v>
          </cell>
          <cell r="H14351" t="str">
            <v>g__norank_f__Eubacterium_coprostanoligenes_group</v>
          </cell>
          <cell r="I14351" t="str">
            <v>s__unclassified_g__norank_f__Eubacterium_coprostanoligenes_group</v>
          </cell>
        </row>
        <row r="14352">
          <cell r="G14352" t="str">
            <v>ASV18233</v>
          </cell>
          <cell r="H14352" t="str">
            <v>g__unclassified_f__Christensenellaceae</v>
          </cell>
          <cell r="I14352" t="str">
            <v>s__unclassified_f__Christensenellaceae</v>
          </cell>
        </row>
        <row r="14353">
          <cell r="G14353" t="str">
            <v>ASV14392</v>
          </cell>
          <cell r="H14353" t="str">
            <v>g__unclassified_f__Oscillospiraceae</v>
          </cell>
          <cell r="I14353" t="str">
            <v>s__unclassified_f__Oscillospiraceae</v>
          </cell>
        </row>
        <row r="14354">
          <cell r="G14354" t="str">
            <v>ASV5997</v>
          </cell>
          <cell r="H14354" t="str">
            <v>g__unclassified_f__Lachnospiraceae</v>
          </cell>
          <cell r="I14354" t="str">
            <v>s__unclassified_f__Lachnospiraceae</v>
          </cell>
        </row>
        <row r="14355">
          <cell r="G14355" t="str">
            <v>ASV7364</v>
          </cell>
          <cell r="H14355" t="str">
            <v>g__Lactobacillus</v>
          </cell>
          <cell r="I14355" t="str">
            <v>s__unclassified_g__Lactobacillus</v>
          </cell>
        </row>
        <row r="14356">
          <cell r="G14356" t="str">
            <v>ASV22354</v>
          </cell>
          <cell r="H14356" t="str">
            <v>g__unclassified_o__Oscillospirales</v>
          </cell>
          <cell r="I14356" t="str">
            <v>s__unclassified_o__Oscillospirales</v>
          </cell>
        </row>
        <row r="14357">
          <cell r="G14357" t="str">
            <v>ASV12888</v>
          </cell>
          <cell r="H14357" t="str">
            <v>g__Clostridium_sensu_stricto_1</v>
          </cell>
          <cell r="I14357" t="str">
            <v>s__unclassified_g__Clostridium_sensu_stricto_1</v>
          </cell>
        </row>
        <row r="14358">
          <cell r="G14358" t="str">
            <v>ASV9550</v>
          </cell>
          <cell r="H14358" t="str">
            <v>g__norank_f__Eubacterium_coprostanoligenes_group</v>
          </cell>
          <cell r="I14358" t="str">
            <v>s__unclassified_g__norank_f__Eubacterium_coprostanoligenes_group</v>
          </cell>
        </row>
        <row r="14359">
          <cell r="G14359" t="str">
            <v>ASV6787</v>
          </cell>
          <cell r="H14359" t="str">
            <v>g__unclassified_f__Lachnospiraceae</v>
          </cell>
          <cell r="I14359" t="str">
            <v>s__unclassified_f__Lachnospiraceae</v>
          </cell>
        </row>
        <row r="14360">
          <cell r="G14360" t="str">
            <v>ASV4173</v>
          </cell>
          <cell r="H14360" t="str">
            <v>g__unclassified_o__Oscillospirales</v>
          </cell>
          <cell r="I14360" t="str">
            <v>s__unclassified_o__Oscillospirales</v>
          </cell>
        </row>
        <row r="14361">
          <cell r="G14361" t="str">
            <v>ASV22932</v>
          </cell>
          <cell r="H14361" t="str">
            <v>g__unclassified_o__Saccharimonadales</v>
          </cell>
          <cell r="I14361" t="str">
            <v>s__unclassified_o__Saccharimonadales</v>
          </cell>
        </row>
        <row r="14362">
          <cell r="G14362" t="str">
            <v>ASV19771</v>
          </cell>
          <cell r="H14362" t="str">
            <v>g__unclassified_p__Firmicutes</v>
          </cell>
          <cell r="I14362" t="str">
            <v>s__unclassified_p__Firmicutes</v>
          </cell>
        </row>
        <row r="14363">
          <cell r="G14363" t="str">
            <v>ASV12928</v>
          </cell>
          <cell r="H14363" t="str">
            <v>g__unclassified_f__Ruminococcaceae</v>
          </cell>
          <cell r="I14363" t="str">
            <v>s__unclassified_f__Ruminococcaceae</v>
          </cell>
        </row>
        <row r="14364">
          <cell r="G14364" t="str">
            <v>ASV2313</v>
          </cell>
          <cell r="H14364" t="str">
            <v>g__unclassified_c__Bacilli</v>
          </cell>
          <cell r="I14364" t="str">
            <v>s__unclassified_c__Bacilli</v>
          </cell>
        </row>
        <row r="14365">
          <cell r="G14365" t="str">
            <v>ASV16935</v>
          </cell>
          <cell r="H14365" t="str">
            <v>g__Escherichia-Shigella</v>
          </cell>
          <cell r="I14365" t="str">
            <v>s__unclassified_g__Escherichia-Shigella</v>
          </cell>
        </row>
        <row r="14366">
          <cell r="G14366" t="str">
            <v>ASV22352</v>
          </cell>
          <cell r="H14366" t="str">
            <v>g__unclassified_c__Clostridia</v>
          </cell>
          <cell r="I14366" t="str">
            <v>s__unclassified_c__Clostridia</v>
          </cell>
        </row>
        <row r="14367">
          <cell r="G14367" t="str">
            <v>ASV23990</v>
          </cell>
          <cell r="H14367" t="str">
            <v>g__Lactobacillus</v>
          </cell>
          <cell r="I14367" t="str">
            <v>s__unclassified_g__Lactobacillus</v>
          </cell>
        </row>
        <row r="14368">
          <cell r="G14368" t="str">
            <v>ASV7795</v>
          </cell>
          <cell r="H14368" t="str">
            <v>g__unclassified_k__norank_d__Bacteria</v>
          </cell>
          <cell r="I14368" t="str">
            <v>s__unclassified_k__norank_d__Bacteria</v>
          </cell>
        </row>
        <row r="14369">
          <cell r="G14369" t="str">
            <v>ASV18645</v>
          </cell>
          <cell r="H14369" t="str">
            <v>g__unclassified_f__Lachnospiraceae</v>
          </cell>
          <cell r="I14369" t="str">
            <v>s__unclassified_f__Lachnospiraceae</v>
          </cell>
        </row>
        <row r="14370">
          <cell r="G14370" t="str">
            <v>ASV23310</v>
          </cell>
          <cell r="H14370" t="str">
            <v>g__unclassified_f__Christensenellaceae</v>
          </cell>
          <cell r="I14370" t="str">
            <v>s__unclassified_f__Christensenellaceae</v>
          </cell>
        </row>
        <row r="14371">
          <cell r="G14371" t="str">
            <v>ASV18181</v>
          </cell>
          <cell r="H14371" t="str">
            <v>g__unclassified_c__Clostridia</v>
          </cell>
          <cell r="I14371" t="str">
            <v>s__unclassified_c__Clostridia</v>
          </cell>
        </row>
        <row r="14372">
          <cell r="G14372" t="str">
            <v>ASV19719</v>
          </cell>
          <cell r="H14372" t="str">
            <v>g__unclassified_c__Clostridia</v>
          </cell>
          <cell r="I14372" t="str">
            <v>s__unclassified_c__Clostridia</v>
          </cell>
        </row>
        <row r="14373">
          <cell r="G14373" t="str">
            <v>ASV16968</v>
          </cell>
          <cell r="H14373" t="str">
            <v>g__norank_f__Erysipelotrichaceae</v>
          </cell>
          <cell r="I14373" t="str">
            <v>s__uncultured_bacterium_g__norank_f__Erysipelotrichaceae</v>
          </cell>
        </row>
        <row r="14374">
          <cell r="G14374" t="str">
            <v>ASV23290</v>
          </cell>
          <cell r="H14374" t="str">
            <v>g__Lactobacillus</v>
          </cell>
          <cell r="I14374" t="str">
            <v>s__unclassified_g__Lactobacillus</v>
          </cell>
        </row>
        <row r="14375">
          <cell r="G14375" t="str">
            <v>ASV923</v>
          </cell>
          <cell r="H14375" t="str">
            <v>g__unclassified_f__Oscillospiraceae</v>
          </cell>
          <cell r="I14375" t="str">
            <v>s__unclassified_f__Oscillospiraceae</v>
          </cell>
        </row>
        <row r="14376">
          <cell r="G14376" t="str">
            <v>ASV23467</v>
          </cell>
          <cell r="H14376" t="str">
            <v>g__unclassified_o__Lactobacillales</v>
          </cell>
          <cell r="I14376" t="str">
            <v>s__unclassified_o__Lactobacillales</v>
          </cell>
        </row>
        <row r="14377">
          <cell r="G14377" t="str">
            <v>ASV17209</v>
          </cell>
          <cell r="H14377" t="str">
            <v>g__Lactobacillus</v>
          </cell>
          <cell r="I14377" t="str">
            <v>s__unclassified_g__Lactobacillus</v>
          </cell>
        </row>
        <row r="14378">
          <cell r="G14378" t="str">
            <v>ASV17518</v>
          </cell>
          <cell r="H14378" t="str">
            <v>g__Lactobacillus</v>
          </cell>
          <cell r="I14378" t="str">
            <v>s__unclassified_g__Lactobacillus</v>
          </cell>
        </row>
        <row r="14379">
          <cell r="G14379" t="str">
            <v>ASV2334</v>
          </cell>
          <cell r="H14379" t="str">
            <v>g__unclassified_f__Lachnospiraceae</v>
          </cell>
          <cell r="I14379" t="str">
            <v>s__unclassified_f__Lachnospiraceae</v>
          </cell>
        </row>
        <row r="14380">
          <cell r="G14380" t="str">
            <v>ASV15493</v>
          </cell>
          <cell r="H14380" t="str">
            <v>g__Collinsella</v>
          </cell>
          <cell r="I14380" t="str">
            <v>s__unclassified_g__Collinsella</v>
          </cell>
        </row>
        <row r="14381">
          <cell r="G14381" t="str">
            <v>ASV17510</v>
          </cell>
          <cell r="H14381" t="str">
            <v>g__Parabacteroides</v>
          </cell>
          <cell r="I14381" t="str">
            <v>s__unclassified_g__Parabacteroides</v>
          </cell>
        </row>
        <row r="14382">
          <cell r="G14382" t="str">
            <v>ASV2366</v>
          </cell>
          <cell r="H14382" t="str">
            <v>g__unclassified_f__Oscillospiraceae</v>
          </cell>
          <cell r="I14382" t="str">
            <v>s__unclassified_f__Oscillospiraceae</v>
          </cell>
        </row>
        <row r="14383">
          <cell r="G14383" t="str">
            <v>ASV18100</v>
          </cell>
          <cell r="H14383" t="str">
            <v>g__unclassified_f__Ruminococcaceae</v>
          </cell>
          <cell r="I14383" t="str">
            <v>s__unclassified_f__Ruminococcaceae</v>
          </cell>
        </row>
        <row r="14384">
          <cell r="G14384" t="str">
            <v>ASV23967</v>
          </cell>
          <cell r="H14384" t="str">
            <v>g__Bilophila</v>
          </cell>
          <cell r="I14384" t="str">
            <v>s__unclassified_g__Bilophila</v>
          </cell>
        </row>
        <row r="14385">
          <cell r="G14385" t="str">
            <v>ASV14550</v>
          </cell>
          <cell r="H14385" t="str">
            <v>g__norank_f__Oscillospiraceae</v>
          </cell>
          <cell r="I14385" t="str">
            <v>s__metagenome_g__norank_f__Oscillospiraceae</v>
          </cell>
        </row>
        <row r="14386">
          <cell r="G14386" t="str">
            <v>ASV9498</v>
          </cell>
          <cell r="H14386" t="str">
            <v>g__Alloprevotella</v>
          </cell>
          <cell r="I14386" t="str">
            <v>s__uncultured_bacterium_g__Alloprevotella</v>
          </cell>
        </row>
        <row r="14387">
          <cell r="G14387" t="str">
            <v>ASV16925</v>
          </cell>
          <cell r="H14387" t="str">
            <v>g__Odoribacter</v>
          </cell>
          <cell r="I14387" t="str">
            <v>s__uncultured_bacterium_g__Odoribacter</v>
          </cell>
        </row>
        <row r="14388">
          <cell r="G14388" t="str">
            <v>ASV6814</v>
          </cell>
          <cell r="H14388" t="str">
            <v>g__unclassified_f__Lachnospiraceae</v>
          </cell>
          <cell r="I14388" t="str">
            <v>s__unclassified_f__Lachnospiraceae</v>
          </cell>
        </row>
        <row r="14389">
          <cell r="G14389" t="str">
            <v>ASV16969</v>
          </cell>
          <cell r="H14389" t="str">
            <v>g__unclassified_f__Lachnospiraceae</v>
          </cell>
          <cell r="I14389" t="str">
            <v>s__unclassified_f__Lachnospiraceae</v>
          </cell>
        </row>
        <row r="14390">
          <cell r="G14390" t="str">
            <v>ASV24182</v>
          </cell>
          <cell r="H14390" t="str">
            <v>g__norank_f__norank_o__WCHB1-41</v>
          </cell>
          <cell r="I14390" t="str">
            <v>s__unclassified_g__norank_f__norank_o__WCHB1-41</v>
          </cell>
        </row>
        <row r="14391">
          <cell r="G14391" t="str">
            <v>ASV3224</v>
          </cell>
          <cell r="H14391" t="str">
            <v>g__Ruminococcus_torques_group</v>
          </cell>
          <cell r="I14391" t="str">
            <v>s__unclassified_g__Ruminococcus_torques_group</v>
          </cell>
        </row>
        <row r="14392">
          <cell r="G14392" t="str">
            <v>ASV20870</v>
          </cell>
          <cell r="H14392" t="str">
            <v>g__unclassified_c__Clostridia</v>
          </cell>
          <cell r="I14392" t="str">
            <v>s__unclassified_c__Clostridia</v>
          </cell>
        </row>
        <row r="14393">
          <cell r="G14393" t="str">
            <v>ASV14494</v>
          </cell>
          <cell r="H14393" t="str">
            <v>g__Eubacterium_oxidoreducens_group</v>
          </cell>
          <cell r="I14393" t="str">
            <v>s__uncultured_bacterium_g__Eubacterium_oxidoreducens_group</v>
          </cell>
        </row>
        <row r="14394">
          <cell r="G14394" t="str">
            <v>ASV22355</v>
          </cell>
          <cell r="H14394" t="str">
            <v>g__UCG-002</v>
          </cell>
          <cell r="I14394" t="str">
            <v>s__unclassified_g__UCG-002</v>
          </cell>
        </row>
        <row r="14395">
          <cell r="G14395" t="str">
            <v>ASV1049</v>
          </cell>
          <cell r="H14395" t="str">
            <v>g__unclassified_c__Clostridia</v>
          </cell>
          <cell r="I14395" t="str">
            <v>s__unclassified_c__Clostridia</v>
          </cell>
        </row>
        <row r="14396">
          <cell r="G14396" t="str">
            <v>ASV2281</v>
          </cell>
          <cell r="H14396" t="str">
            <v>g__unclassified_f__Lachnospiraceae</v>
          </cell>
          <cell r="I14396" t="str">
            <v>s__unclassified_f__Lachnospiraceae</v>
          </cell>
        </row>
        <row r="14397">
          <cell r="G14397" t="str">
            <v>ASV16509</v>
          </cell>
          <cell r="H14397" t="str">
            <v>g__unclassified_f__Ruminococcaceae</v>
          </cell>
          <cell r="I14397" t="str">
            <v>s__unclassified_f__Ruminococcaceae</v>
          </cell>
        </row>
        <row r="14398">
          <cell r="G14398" t="str">
            <v>ASV14412</v>
          </cell>
          <cell r="H14398" t="str">
            <v>g__unclassified_p__Firmicutes</v>
          </cell>
          <cell r="I14398" t="str">
            <v>s__unclassified_p__Firmicutes</v>
          </cell>
        </row>
        <row r="14399">
          <cell r="G14399" t="str">
            <v>ASV18036</v>
          </cell>
          <cell r="H14399" t="str">
            <v>g__unclassified_p__Firmicutes</v>
          </cell>
          <cell r="I14399" t="str">
            <v>s__unclassified_p__Firmicutes</v>
          </cell>
        </row>
        <row r="14400">
          <cell r="G14400" t="str">
            <v>ASV1072</v>
          </cell>
          <cell r="H14400" t="str">
            <v>g__unclassified_f__Lachnospiraceae</v>
          </cell>
          <cell r="I14400" t="str">
            <v>s__unclassified_f__Lachnospiraceae</v>
          </cell>
        </row>
        <row r="14401">
          <cell r="G14401" t="str">
            <v>ASV16036</v>
          </cell>
          <cell r="H14401" t="str">
            <v>g__unclassified_k__norank_d__Bacteria</v>
          </cell>
          <cell r="I14401" t="str">
            <v>s__unclassified_k__norank_d__Bacteria</v>
          </cell>
        </row>
        <row r="14402">
          <cell r="G14402" t="str">
            <v>ASV13812</v>
          </cell>
          <cell r="H14402" t="str">
            <v>g__Fusobacterium</v>
          </cell>
          <cell r="I14402" t="str">
            <v>s__unclassified_g__Fusobacterium</v>
          </cell>
        </row>
        <row r="14403">
          <cell r="G14403" t="str">
            <v>ASV23485</v>
          </cell>
          <cell r="H14403" t="str">
            <v>g__unclassified_f__Lachnospiraceae</v>
          </cell>
          <cell r="I14403" t="str">
            <v>s__unclassified_f__Lachnospiraceae</v>
          </cell>
        </row>
        <row r="14404">
          <cell r="G14404" t="str">
            <v>ASV890</v>
          </cell>
          <cell r="H14404" t="str">
            <v>g__unclassified_f__Lachnospiraceae</v>
          </cell>
          <cell r="I14404" t="str">
            <v>s__unclassified_f__Lachnospiraceae</v>
          </cell>
        </row>
        <row r="14405">
          <cell r="G14405" t="str">
            <v>ASV2379</v>
          </cell>
          <cell r="H14405" t="str">
            <v>g__norank_f__Eubacterium_coprostanoligenes_group</v>
          </cell>
          <cell r="I14405" t="str">
            <v>s__unclassified_g__norank_f__Eubacterium_coprostanoligenes_group</v>
          </cell>
        </row>
        <row r="14406">
          <cell r="G14406" t="str">
            <v>ASV2254</v>
          </cell>
          <cell r="H14406" t="str">
            <v>g__unclassified_c__Clostridia</v>
          </cell>
          <cell r="I14406" t="str">
            <v>s__unclassified_c__Clostridia</v>
          </cell>
        </row>
        <row r="14407">
          <cell r="G14407" t="str">
            <v>ASV14436</v>
          </cell>
          <cell r="H14407" t="str">
            <v>g__unclassified_f__Lachnospiraceae</v>
          </cell>
          <cell r="I14407" t="str">
            <v>s__unclassified_f__Lachnospiraceae</v>
          </cell>
        </row>
        <row r="14408">
          <cell r="G14408" t="str">
            <v>ASV6064</v>
          </cell>
          <cell r="H14408" t="str">
            <v>g__Ruminococcus_gauvreauii_group</v>
          </cell>
          <cell r="I14408" t="str">
            <v>s__uncultured_organism_g__Ruminococcus_gauvreauii_group</v>
          </cell>
        </row>
        <row r="14409">
          <cell r="G14409" t="str">
            <v>ASV21307</v>
          </cell>
          <cell r="H14409" t="str">
            <v>g__unclassified_c__Bacilli</v>
          </cell>
          <cell r="I14409" t="str">
            <v>s__unclassified_c__Bacilli</v>
          </cell>
        </row>
        <row r="14410">
          <cell r="G14410" t="str">
            <v>ASV11897</v>
          </cell>
          <cell r="H14410" t="str">
            <v>g__unclassified_o__Oscillospirales</v>
          </cell>
          <cell r="I14410" t="str">
            <v>s__unclassified_o__Oscillospirales</v>
          </cell>
        </row>
        <row r="14411">
          <cell r="G14411" t="str">
            <v>ASV6838</v>
          </cell>
          <cell r="H14411" t="str">
            <v>g__unclassified_k__norank_d__Bacteria</v>
          </cell>
          <cell r="I14411" t="str">
            <v>s__unclassified_k__norank_d__Bacteria</v>
          </cell>
        </row>
        <row r="14412">
          <cell r="G14412" t="str">
            <v>ASV18888</v>
          </cell>
          <cell r="H14412" t="str">
            <v>g__unclassified_p__Firmicutes</v>
          </cell>
          <cell r="I14412" t="str">
            <v>s__unclassified_p__Firmicutes</v>
          </cell>
        </row>
        <row r="14413">
          <cell r="G14413" t="str">
            <v>ASV12808</v>
          </cell>
          <cell r="H14413" t="str">
            <v>g__norank_f__Paludibacteraceae</v>
          </cell>
          <cell r="I14413" t="str">
            <v>s__uncultured_bacterium_g__norank_f__Paludibacteraceae</v>
          </cell>
        </row>
        <row r="14414">
          <cell r="G14414" t="str">
            <v>ASV11793</v>
          </cell>
          <cell r="H14414" t="str">
            <v>g__norank_f__Ruminococcaceae</v>
          </cell>
          <cell r="I14414" t="str">
            <v>s__uncultured_bacterium_g__norank_f__Ruminococcaceae</v>
          </cell>
        </row>
        <row r="14415">
          <cell r="G14415" t="str">
            <v>ASV2307</v>
          </cell>
          <cell r="H14415" t="str">
            <v>g__unclassified_o__Peptostreptococcales-Tissierellales</v>
          </cell>
          <cell r="I14415" t="str">
            <v>s__unclassified_o__Peptostreptococcales-Tissierellales</v>
          </cell>
        </row>
        <row r="14416">
          <cell r="G14416" t="str">
            <v>ASV22259</v>
          </cell>
          <cell r="H14416" t="str">
            <v>g__Bacteroides</v>
          </cell>
          <cell r="I14416" t="str">
            <v>s__unclassified_g__Bacteroides</v>
          </cell>
        </row>
        <row r="14417">
          <cell r="G14417" t="str">
            <v>ASV20264</v>
          </cell>
          <cell r="H14417" t="str">
            <v>g__unclassified_o__Lactobacillales</v>
          </cell>
          <cell r="I14417" t="str">
            <v>s__unclassified_o__Lactobacillales</v>
          </cell>
        </row>
        <row r="14418">
          <cell r="G14418" t="str">
            <v>ASV21748</v>
          </cell>
          <cell r="H14418" t="str">
            <v>g__Chryseobacterium</v>
          </cell>
          <cell r="I14418" t="str">
            <v>s__unclassified_g__Chryseobacterium</v>
          </cell>
        </row>
        <row r="14419">
          <cell r="G14419" t="str">
            <v>ASV2277</v>
          </cell>
          <cell r="H14419" t="str">
            <v>g__norank_f__Eubacterium_coprostanoligenes_group</v>
          </cell>
          <cell r="I14419" t="str">
            <v>s__uncultured_bacterium_g__norank_f__Eubacterium_coprostanoligenes_group</v>
          </cell>
        </row>
        <row r="14420">
          <cell r="G14420" t="str">
            <v>ASV23416</v>
          </cell>
          <cell r="H14420" t="str">
            <v>g__Megasphaera</v>
          </cell>
          <cell r="I14420" t="str">
            <v>s__unclassified_g__Megasphaera</v>
          </cell>
        </row>
        <row r="14421">
          <cell r="G14421" t="str">
            <v>ASV23350</v>
          </cell>
          <cell r="H14421" t="str">
            <v>g__unclassified_f__Oscillospiraceae</v>
          </cell>
          <cell r="I14421" t="str">
            <v>s__unclassified_f__Oscillospiraceae</v>
          </cell>
        </row>
        <row r="14422">
          <cell r="G14422" t="str">
            <v>ASV14342</v>
          </cell>
          <cell r="H14422" t="str">
            <v>g__unclassified_c__Clostridia</v>
          </cell>
          <cell r="I14422" t="str">
            <v>s__unclassified_c__Clostridia</v>
          </cell>
        </row>
        <row r="14423">
          <cell r="G14423" t="str">
            <v>ASV863</v>
          </cell>
          <cell r="H14423" t="str">
            <v>g__unclassified_c__Clostridia</v>
          </cell>
          <cell r="I14423" t="str">
            <v>s__unclassified_c__Clostridia</v>
          </cell>
        </row>
        <row r="14424">
          <cell r="G14424" t="str">
            <v>ASV13471</v>
          </cell>
          <cell r="H14424" t="str">
            <v>g__norank_f__Eubacterium_coprostanoligenes_group</v>
          </cell>
          <cell r="I14424" t="str">
            <v>s__uncultured_bacterium_g__norank_f__Eubacterium_coprostanoligenes_group</v>
          </cell>
        </row>
        <row r="14425">
          <cell r="G14425" t="str">
            <v>ASV3212</v>
          </cell>
          <cell r="H14425" t="str">
            <v>g__Bifidobacterium</v>
          </cell>
          <cell r="I14425" t="str">
            <v>s__unclassified_g__Bifidobacterium</v>
          </cell>
        </row>
        <row r="14426">
          <cell r="G14426" t="str">
            <v>ASV6115</v>
          </cell>
          <cell r="H14426" t="str">
            <v>g__unclassified_c__Clostridia</v>
          </cell>
          <cell r="I14426" t="str">
            <v>s__unclassified_c__Clostridia</v>
          </cell>
        </row>
        <row r="14427">
          <cell r="G14427" t="str">
            <v>ASV14501</v>
          </cell>
          <cell r="H14427" t="str">
            <v>g__unclassified_c__Clostridia</v>
          </cell>
          <cell r="I14427" t="str">
            <v>s__unclassified_c__Clostridia</v>
          </cell>
        </row>
        <row r="14428">
          <cell r="G14428" t="str">
            <v>ASV5103</v>
          </cell>
          <cell r="H14428" t="str">
            <v>g__Ruminococcus</v>
          </cell>
          <cell r="I14428" t="str">
            <v>s__unclassified_g__Ruminococcus</v>
          </cell>
        </row>
        <row r="14429">
          <cell r="G14429" t="str">
            <v>ASV18638</v>
          </cell>
          <cell r="H14429" t="str">
            <v>g__Lactobacillus</v>
          </cell>
          <cell r="I14429" t="str">
            <v>s__unclassified_g__Lactobacillus</v>
          </cell>
        </row>
        <row r="14430">
          <cell r="G14430" t="str">
            <v>ASV19810</v>
          </cell>
          <cell r="H14430" t="str">
            <v>g__unclassified_f__Lachnospiraceae</v>
          </cell>
          <cell r="I14430" t="str">
            <v>s__unclassified_f__Lachnospiraceae</v>
          </cell>
        </row>
        <row r="14431">
          <cell r="G14431" t="str">
            <v>ASV18067</v>
          </cell>
          <cell r="H14431" t="str">
            <v>g__unclassified_o__Oscillospirales</v>
          </cell>
          <cell r="I14431" t="str">
            <v>s__unclassified_o__Oscillospirales</v>
          </cell>
        </row>
        <row r="14432">
          <cell r="G14432" t="str">
            <v>ASV18639</v>
          </cell>
          <cell r="H14432" t="str">
            <v>g__Lactobacillus</v>
          </cell>
          <cell r="I14432" t="str">
            <v>s__unclassified_g__Lactobacillus</v>
          </cell>
        </row>
        <row r="14433">
          <cell r="G14433" t="str">
            <v>ASV1022</v>
          </cell>
          <cell r="H14433" t="str">
            <v>g__unclassified_c__Clostridia</v>
          </cell>
          <cell r="I14433" t="str">
            <v>s__unclassified_c__Clostridia</v>
          </cell>
        </row>
        <row r="14434">
          <cell r="G14434" t="str">
            <v>ASV20293</v>
          </cell>
          <cell r="H14434" t="str">
            <v>g__Blautia</v>
          </cell>
          <cell r="I14434" t="str">
            <v>s__unclassified_g__Blautia</v>
          </cell>
        </row>
        <row r="14435">
          <cell r="G14435" t="str">
            <v>ASV6071</v>
          </cell>
          <cell r="H14435" t="str">
            <v>g__unclassified_k__norank_d__Bacteria</v>
          </cell>
          <cell r="I14435" t="str">
            <v>s__unclassified_k__norank_d__Bacteria</v>
          </cell>
        </row>
        <row r="14436">
          <cell r="G14436" t="str">
            <v>ASV4202</v>
          </cell>
          <cell r="H14436" t="str">
            <v>g__Phascolarctobacterium</v>
          </cell>
          <cell r="I14436" t="str">
            <v>s__Ruminococcus_sp._N15.MGS-57_g__Phascolarctobacterium</v>
          </cell>
        </row>
        <row r="14437">
          <cell r="G14437" t="str">
            <v>ASV19732</v>
          </cell>
          <cell r="H14437" t="str">
            <v>g__Lachnospiraceae_NC2004_group</v>
          </cell>
          <cell r="I14437" t="str">
            <v>s__unclassified_g__Lachnospiraceae_NC2004_group</v>
          </cell>
        </row>
        <row r="14438">
          <cell r="G14438" t="str">
            <v>ASV902</v>
          </cell>
          <cell r="H14438" t="str">
            <v>g__unclassified_f__Oscillospiraceae</v>
          </cell>
          <cell r="I14438" t="str">
            <v>s__unclassified_f__Oscillospiraceae</v>
          </cell>
        </row>
        <row r="14439">
          <cell r="G14439" t="str">
            <v>ASV19657</v>
          </cell>
          <cell r="H14439" t="str">
            <v>g__Christensenellaceae_R-7_group</v>
          </cell>
          <cell r="I14439" t="str">
            <v>s__unclassified_g__Christensenellaceae_R-7_group</v>
          </cell>
        </row>
        <row r="14440">
          <cell r="G14440" t="str">
            <v>ASV18938</v>
          </cell>
          <cell r="H14440" t="str">
            <v>g__Fusobacterium</v>
          </cell>
          <cell r="I14440" t="str">
            <v>s__unclassified_g__Fusobacterium</v>
          </cell>
        </row>
        <row r="14441">
          <cell r="G14441" t="str">
            <v>ASV15545</v>
          </cell>
          <cell r="H14441" t="str">
            <v>g__Lachnospiraceae_NC2004_group</v>
          </cell>
          <cell r="I14441" t="str">
            <v>s__uncultured_bacterium_g__Lachnospiraceae_NC2004_group</v>
          </cell>
        </row>
        <row r="14442">
          <cell r="G14442" t="str">
            <v>ASV13536</v>
          </cell>
          <cell r="H14442" t="str">
            <v>g__unclassified_f__Peptostreptococcaceae</v>
          </cell>
          <cell r="I14442" t="str">
            <v>s__unclassified_f__Peptostreptococcaceae</v>
          </cell>
        </row>
        <row r="14443">
          <cell r="G14443" t="str">
            <v>ASV13737</v>
          </cell>
          <cell r="H14443" t="str">
            <v>g__unclassified_f__Veillonellaceae</v>
          </cell>
          <cell r="I14443" t="str">
            <v>s__unclassified_f__Veillonellaceae</v>
          </cell>
        </row>
        <row r="14444">
          <cell r="G14444" t="str">
            <v>ASV18904</v>
          </cell>
          <cell r="H14444" t="str">
            <v>g__unclassified_p__Firmicutes</v>
          </cell>
          <cell r="I14444" t="str">
            <v>s__unclassified_p__Firmicutes</v>
          </cell>
        </row>
        <row r="14445">
          <cell r="G14445" t="str">
            <v>ASV18892</v>
          </cell>
          <cell r="H14445" t="str">
            <v>g__unclassified_f__Lachnospiraceae</v>
          </cell>
          <cell r="I14445" t="str">
            <v>s__unclassified_f__Lachnospiraceae</v>
          </cell>
        </row>
        <row r="14446">
          <cell r="G14446" t="str">
            <v>ASV21473</v>
          </cell>
          <cell r="H14446" t="str">
            <v>g__Veillonella</v>
          </cell>
          <cell r="I14446" t="str">
            <v>s__unclassified_g__Veillonella</v>
          </cell>
        </row>
        <row r="14447">
          <cell r="G14447" t="str">
            <v>ASV8339</v>
          </cell>
          <cell r="H14447" t="str">
            <v>g__unclassified_f__Lachnospiraceae</v>
          </cell>
          <cell r="I14447" t="str">
            <v>s__unclassified_f__Lachnospiraceae</v>
          </cell>
        </row>
        <row r="14448">
          <cell r="G14448" t="str">
            <v>ASV12899</v>
          </cell>
          <cell r="H14448" t="str">
            <v>g__Clostridium_sensu_stricto_1</v>
          </cell>
          <cell r="I14448" t="str">
            <v>s__unclassified_g__Clostridium_sensu_stricto_1</v>
          </cell>
        </row>
        <row r="14449">
          <cell r="G14449" t="str">
            <v>ASV13489</v>
          </cell>
          <cell r="H14449" t="str">
            <v>g__unclassified_f__Peptostreptococcaceae</v>
          </cell>
          <cell r="I14449" t="str">
            <v>s__unclassified_f__Peptostreptococcaceae</v>
          </cell>
        </row>
        <row r="14450">
          <cell r="G14450" t="str">
            <v>ASV7988</v>
          </cell>
          <cell r="H14450" t="str">
            <v>g__Christensenellaceae_R-7_group</v>
          </cell>
          <cell r="I14450" t="str">
            <v>s__uncultured_bacterium_g__Christensenellaceae_R-7_group</v>
          </cell>
        </row>
        <row r="14451">
          <cell r="G14451" t="str">
            <v>ASV22510</v>
          </cell>
          <cell r="H14451" t="str">
            <v>g__Christensenellaceae_R-7_group</v>
          </cell>
          <cell r="I14451" t="str">
            <v>s__unclassified_g__Christensenellaceae_R-7_group</v>
          </cell>
        </row>
        <row r="14452">
          <cell r="G14452" t="str">
            <v>ASV14488</v>
          </cell>
          <cell r="H14452" t="str">
            <v>g__unclassified_c__Clostridia</v>
          </cell>
          <cell r="I14452" t="str">
            <v>s__unclassified_c__Clostridia</v>
          </cell>
        </row>
        <row r="14453">
          <cell r="G14453" t="str">
            <v>ASV7821</v>
          </cell>
          <cell r="H14453" t="str">
            <v>g__unclassified_c__Clostridia</v>
          </cell>
          <cell r="I14453" t="str">
            <v>s__unclassified_c__Clostridia</v>
          </cell>
        </row>
        <row r="14454">
          <cell r="G14454" t="str">
            <v>ASV9491</v>
          </cell>
          <cell r="H14454" t="str">
            <v>g__unclassified_c__Clostridia</v>
          </cell>
          <cell r="I14454" t="str">
            <v>s__unclassified_c__Clostridia</v>
          </cell>
        </row>
        <row r="14455">
          <cell r="G14455" t="str">
            <v>ASV11679</v>
          </cell>
          <cell r="H14455" t="str">
            <v>g__unclassified_k__norank_d__Bacteria</v>
          </cell>
          <cell r="I14455" t="str">
            <v>s__unclassified_k__norank_d__Bacteria</v>
          </cell>
        </row>
        <row r="14456">
          <cell r="G14456" t="str">
            <v>ASV18601</v>
          </cell>
          <cell r="H14456" t="str">
            <v>g__unclassified_f__Selenomonadaceae</v>
          </cell>
          <cell r="I14456" t="str">
            <v>s__unclassified_f__Selenomonadaceae</v>
          </cell>
        </row>
        <row r="14457">
          <cell r="G14457" t="str">
            <v>ASV22464</v>
          </cell>
          <cell r="H14457" t="str">
            <v>g__unclassified_f__Lachnospiraceae</v>
          </cell>
          <cell r="I14457" t="str">
            <v>s__unclassified_f__Lachnospiraceae</v>
          </cell>
        </row>
        <row r="14458">
          <cell r="G14458" t="str">
            <v>ASV11982</v>
          </cell>
          <cell r="H14458" t="str">
            <v>g__Christensenellaceae_R-7_group</v>
          </cell>
          <cell r="I14458" t="str">
            <v>s__unclassified_g__Christensenellaceae_R-7_group</v>
          </cell>
        </row>
        <row r="14459">
          <cell r="G14459" t="str">
            <v>ASV10693</v>
          </cell>
          <cell r="H14459" t="str">
            <v>g__unclassified_c__Clostridia</v>
          </cell>
          <cell r="I14459" t="str">
            <v>s__unclassified_c__Clostridia</v>
          </cell>
        </row>
        <row r="14460">
          <cell r="G14460" t="str">
            <v>ASV2228</v>
          </cell>
          <cell r="H14460" t="str">
            <v>g__unclassified_f__Lachnospiraceae</v>
          </cell>
          <cell r="I14460" t="str">
            <v>s__unclassified_f__Lachnospiraceae</v>
          </cell>
        </row>
        <row r="14461">
          <cell r="G14461" t="str">
            <v>ASV19700</v>
          </cell>
          <cell r="H14461" t="str">
            <v>g__UCG-005</v>
          </cell>
          <cell r="I14461" t="str">
            <v>s__unclassified_g__UCG-005</v>
          </cell>
        </row>
        <row r="14462">
          <cell r="G14462" t="str">
            <v>ASV4876</v>
          </cell>
          <cell r="H14462" t="str">
            <v>g__Rikenellaceae_RC9_gut_group</v>
          </cell>
          <cell r="I14462" t="str">
            <v>s__uncultured_Rikenella_sp._g__Rikenellaceae_RC9_gut_group</v>
          </cell>
        </row>
        <row r="14463">
          <cell r="G14463" t="str">
            <v>ASV5044</v>
          </cell>
          <cell r="H14463" t="str">
            <v>g__Christensenellaceae_R-7_group</v>
          </cell>
          <cell r="I14463" t="str">
            <v>s__unclassified_g__Christensenellaceae_R-7_group</v>
          </cell>
        </row>
        <row r="14464">
          <cell r="G14464" t="str">
            <v>ASV10742</v>
          </cell>
          <cell r="H14464" t="str">
            <v>g__UCG-005</v>
          </cell>
          <cell r="I14464" t="str">
            <v>s__unclassified_g__UCG-005</v>
          </cell>
        </row>
        <row r="14465">
          <cell r="G14465" t="str">
            <v>ASV3502</v>
          </cell>
          <cell r="H14465" t="str">
            <v>g__Lactobacillus</v>
          </cell>
          <cell r="I14465" t="str">
            <v>s__unclassified_g__Lactobacillus</v>
          </cell>
        </row>
        <row r="14466">
          <cell r="G14466" t="str">
            <v>ASV6126</v>
          </cell>
          <cell r="H14466" t="str">
            <v>g__unclassified_c__Clostridia</v>
          </cell>
          <cell r="I14466" t="str">
            <v>s__unclassified_c__Clostridia</v>
          </cell>
        </row>
        <row r="14467">
          <cell r="G14467" t="str">
            <v>ASV1711</v>
          </cell>
          <cell r="H14467" t="str">
            <v>g__norank_f__Eubacterium_coprostanoligenes_group</v>
          </cell>
          <cell r="I14467" t="str">
            <v>s__unclassified_g__norank_f__Eubacterium_coprostanoligenes_group</v>
          </cell>
        </row>
        <row r="14468">
          <cell r="G14468" t="str">
            <v>ASV9859</v>
          </cell>
          <cell r="H14468" t="str">
            <v>g__Bacteroides</v>
          </cell>
          <cell r="I14468" t="str">
            <v>s__Prevotella_heparinolytica</v>
          </cell>
        </row>
        <row r="14469">
          <cell r="G14469" t="str">
            <v>ASV15408</v>
          </cell>
          <cell r="H14469" t="str">
            <v>g__Campylobacter</v>
          </cell>
          <cell r="I14469" t="str">
            <v>s__unclassified_g__Campylobacter</v>
          </cell>
        </row>
        <row r="14470">
          <cell r="G14470" t="str">
            <v>ASV22893</v>
          </cell>
          <cell r="H14470" t="str">
            <v>g__Chroococcidiopsis_SAG_2023</v>
          </cell>
          <cell r="I14470" t="str">
            <v>s__uncultured_bacterium_g__Chroococcidiopsis_SAG_2023</v>
          </cell>
        </row>
        <row r="14471">
          <cell r="G14471" t="str">
            <v>ASV3510</v>
          </cell>
          <cell r="H14471" t="str">
            <v>g__Veillonella</v>
          </cell>
          <cell r="I14471" t="str">
            <v>s__unclassified_g__Veillonella</v>
          </cell>
        </row>
        <row r="14472">
          <cell r="G14472" t="str">
            <v>ASV10727</v>
          </cell>
          <cell r="H14472" t="str">
            <v>g__Clostridium_sensu_stricto_1</v>
          </cell>
          <cell r="I14472" t="str">
            <v>s__unclassified_g__Clostridium_sensu_stricto_1</v>
          </cell>
        </row>
        <row r="14473">
          <cell r="G14473" t="str">
            <v>ASV18112</v>
          </cell>
          <cell r="H14473" t="str">
            <v>g__unclassified_f__Peptostreptococcaceae</v>
          </cell>
          <cell r="I14473" t="str">
            <v>s__unclassified_f__Peptostreptococcaceae</v>
          </cell>
        </row>
        <row r="14474">
          <cell r="G14474" t="str">
            <v>ASV8514</v>
          </cell>
          <cell r="H14474" t="str">
            <v>g__Escherichia-Shigella</v>
          </cell>
          <cell r="I14474" t="str">
            <v>s__unclassified_g__Escherichia-Shigella</v>
          </cell>
        </row>
        <row r="14475">
          <cell r="G14475" t="str">
            <v>ASV6755</v>
          </cell>
          <cell r="H14475" t="str">
            <v>g__unclassified_f__Lachnospiraceae</v>
          </cell>
          <cell r="I14475" t="str">
            <v>s__unclassified_f__Lachnospiraceae</v>
          </cell>
        </row>
        <row r="14476">
          <cell r="G14476" t="str">
            <v>ASV20823</v>
          </cell>
          <cell r="H14476" t="str">
            <v>g__Eubacterium_oxidoreducens_group</v>
          </cell>
          <cell r="I14476" t="str">
            <v>s__uncultured_bacterium_g__Eubacterium_oxidoreducens_group</v>
          </cell>
        </row>
        <row r="14477">
          <cell r="G14477" t="str">
            <v>ASV18897</v>
          </cell>
          <cell r="H14477" t="str">
            <v>g__Lactobacillus</v>
          </cell>
          <cell r="I14477" t="str">
            <v>s__unclassified_g__Lactobacillus</v>
          </cell>
        </row>
        <row r="14478">
          <cell r="G14478" t="str">
            <v>ASV18203</v>
          </cell>
          <cell r="H14478" t="str">
            <v>g__unclassified_c__Clostridia</v>
          </cell>
          <cell r="I14478" t="str">
            <v>s__unclassified_c__Clostridia</v>
          </cell>
        </row>
        <row r="14479">
          <cell r="G14479" t="str">
            <v>ASV14403</v>
          </cell>
          <cell r="H14479" t="str">
            <v>g__Lactobacillus</v>
          </cell>
          <cell r="I14479" t="str">
            <v>s__unclassified_g__Lactobacillus</v>
          </cell>
        </row>
        <row r="14480">
          <cell r="G14480" t="str">
            <v>ASV15444</v>
          </cell>
          <cell r="H14480" t="str">
            <v>g__unclassified_o__Oscillospirales</v>
          </cell>
          <cell r="I14480" t="str">
            <v>s__unclassified_o__Oscillospirales</v>
          </cell>
        </row>
        <row r="14481">
          <cell r="G14481" t="str">
            <v>ASV14454</v>
          </cell>
          <cell r="H14481" t="str">
            <v>g__Lactobacillus</v>
          </cell>
          <cell r="I14481" t="str">
            <v>s__unclassified_g__Lactobacillus</v>
          </cell>
        </row>
        <row r="14482">
          <cell r="G14482" t="str">
            <v>ASV4900</v>
          </cell>
          <cell r="H14482" t="str">
            <v>g__norank_f__Muribaculaceae</v>
          </cell>
          <cell r="I14482" t="str">
            <v>s__uncultured_bacterium_g__norank_f__Muribaculaceae</v>
          </cell>
        </row>
        <row r="14483">
          <cell r="G14483" t="str">
            <v>ASV4918</v>
          </cell>
          <cell r="H14483" t="str">
            <v>g__Peptococcus</v>
          </cell>
          <cell r="I14483" t="str">
            <v>s__uncultured_bacterium_g__Peptococcus</v>
          </cell>
        </row>
        <row r="14484">
          <cell r="G14484" t="str">
            <v>ASV8840</v>
          </cell>
          <cell r="H14484" t="str">
            <v>g__Colidextribacter</v>
          </cell>
          <cell r="I14484" t="str">
            <v>s__unclassified_g__Colidextribacter</v>
          </cell>
        </row>
        <row r="14485">
          <cell r="G14485" t="str">
            <v>ASV14947</v>
          </cell>
          <cell r="H14485" t="str">
            <v>g__Bacillus</v>
          </cell>
          <cell r="I14485" t="str">
            <v>s__Lactobacillus_vaginalis_g__Bacillus</v>
          </cell>
        </row>
        <row r="14486">
          <cell r="G14486" t="str">
            <v>ASV7940</v>
          </cell>
          <cell r="H14486" t="str">
            <v>g__Bifidobacterium</v>
          </cell>
          <cell r="I14486" t="str">
            <v>s__unclassified_g__Bifidobacterium</v>
          </cell>
        </row>
        <row r="14487">
          <cell r="G14487" t="str">
            <v>ASV16530</v>
          </cell>
          <cell r="H14487" t="str">
            <v>g__Escherichia-Shigella</v>
          </cell>
          <cell r="I14487" t="str">
            <v>s__unclassified_g__Escherichia-Shigella</v>
          </cell>
        </row>
        <row r="14488">
          <cell r="G14488" t="str">
            <v>ASV3678</v>
          </cell>
          <cell r="H14488" t="str">
            <v>g__Acinetobacter</v>
          </cell>
          <cell r="I14488" t="str">
            <v>s__unclassified_g__Acinetobacter</v>
          </cell>
        </row>
        <row r="14489">
          <cell r="G14489" t="str">
            <v>ASV20852</v>
          </cell>
          <cell r="H14489" t="str">
            <v>g__Enterococcus</v>
          </cell>
          <cell r="I14489" t="str">
            <v>s__unclassified_g__Enterococcus</v>
          </cell>
        </row>
        <row r="14490">
          <cell r="G14490" t="str">
            <v>ASV11682</v>
          </cell>
          <cell r="H14490" t="str">
            <v>g__unclassified_c__Clostridia</v>
          </cell>
          <cell r="I14490" t="str">
            <v>s__unclassified_c__Clostridia</v>
          </cell>
        </row>
        <row r="14491">
          <cell r="G14491" t="str">
            <v>ASV19735</v>
          </cell>
          <cell r="H14491" t="str">
            <v>g__unclassified_c__Clostridia</v>
          </cell>
          <cell r="I14491" t="str">
            <v>s__unclassified_c__Clostridia</v>
          </cell>
        </row>
        <row r="14492">
          <cell r="G14492" t="str">
            <v>ASV7904</v>
          </cell>
          <cell r="H14492" t="str">
            <v>g__unclassified_f__Clostridiaceae</v>
          </cell>
          <cell r="I14492" t="str">
            <v>s__unclassified_f__Clostridiaceae</v>
          </cell>
        </row>
        <row r="14493">
          <cell r="G14493" t="str">
            <v>ASV19824</v>
          </cell>
          <cell r="H14493" t="str">
            <v>g__unclassified_c__Clostridia</v>
          </cell>
          <cell r="I14493" t="str">
            <v>s__unclassified_c__Clostridia</v>
          </cell>
        </row>
        <row r="14494">
          <cell r="G14494" t="str">
            <v>ASV20287</v>
          </cell>
          <cell r="H14494" t="str">
            <v>g__Lachnospiraceae_UCG-004</v>
          </cell>
          <cell r="I14494" t="str">
            <v>s__uncultured_bacterium_g__Lachnospiraceae_UCG-004</v>
          </cell>
        </row>
        <row r="14495">
          <cell r="G14495" t="str">
            <v>ASV24205</v>
          </cell>
          <cell r="H14495" t="str">
            <v>g__unclassified_k__norank_d__Bacteria</v>
          </cell>
          <cell r="I14495" t="str">
            <v>s__unclassified_k__norank_d__Bacteria</v>
          </cell>
        </row>
        <row r="14496">
          <cell r="G14496" t="str">
            <v>ASV10199</v>
          </cell>
          <cell r="H14496" t="str">
            <v>g__Fusobacterium</v>
          </cell>
          <cell r="I14496" t="str">
            <v>s__unclassified_g__Fusobacterium</v>
          </cell>
        </row>
        <row r="14497">
          <cell r="G14497" t="str">
            <v>ASV18158</v>
          </cell>
          <cell r="H14497" t="str">
            <v>g__unclassified_k__norank_d__Bacteria</v>
          </cell>
          <cell r="I14497" t="str">
            <v>s__unclassified_k__norank_d__Bacteria</v>
          </cell>
        </row>
        <row r="14498">
          <cell r="G14498" t="str">
            <v>ASV877</v>
          </cell>
          <cell r="H14498" t="str">
            <v>g__unclassified_c__Clostridia</v>
          </cell>
          <cell r="I14498" t="str">
            <v>s__unclassified_c__Clostridia</v>
          </cell>
        </row>
        <row r="14499">
          <cell r="G14499" t="str">
            <v>ASV9561</v>
          </cell>
          <cell r="H14499" t="str">
            <v>g__unclassified_f__Oscillospiraceae</v>
          </cell>
          <cell r="I14499" t="str">
            <v>s__unclassified_f__Oscillospiraceae</v>
          </cell>
        </row>
        <row r="14500">
          <cell r="G14500" t="str">
            <v>ASV19703</v>
          </cell>
          <cell r="H14500" t="str">
            <v>g__Ruminococcus</v>
          </cell>
          <cell r="I14500" t="str">
            <v>s__unclassified_g__Ruminococcus</v>
          </cell>
        </row>
        <row r="14501">
          <cell r="G14501" t="str">
            <v>ASV22290</v>
          </cell>
          <cell r="H14501" t="str">
            <v>g__Eubacterium_oxidoreducens_group</v>
          </cell>
          <cell r="I14501" t="str">
            <v>s__uncultured_bacterium_g__Eubacterium_oxidoreducens_group</v>
          </cell>
        </row>
        <row r="14502">
          <cell r="G14502" t="str">
            <v>ASV827</v>
          </cell>
          <cell r="H14502" t="str">
            <v>g__unclassified_f__Lachnospiraceae</v>
          </cell>
          <cell r="I14502" t="str">
            <v>s__unclassified_f__Lachnospiraceae</v>
          </cell>
        </row>
        <row r="14503">
          <cell r="G14503" t="str">
            <v>ASV4952</v>
          </cell>
          <cell r="H14503" t="str">
            <v>g__unclassified_f__Lachnospiraceae</v>
          </cell>
          <cell r="I14503" t="str">
            <v>s__unclassified_f__Lachnospiraceae</v>
          </cell>
        </row>
        <row r="14504">
          <cell r="G14504" t="str">
            <v>ASV10811</v>
          </cell>
          <cell r="H14504" t="str">
            <v>g__unclassified_f__Lachnospiraceae</v>
          </cell>
          <cell r="I14504" t="str">
            <v>s__unclassified_f__Lachnospiraceae</v>
          </cell>
        </row>
        <row r="14505">
          <cell r="G14505" t="str">
            <v>ASV17416</v>
          </cell>
          <cell r="H14505" t="str">
            <v>g__Lactobacillus</v>
          </cell>
          <cell r="I14505" t="str">
            <v>s__unclassified_g__Lactobacillus</v>
          </cell>
        </row>
        <row r="14506">
          <cell r="G14506" t="str">
            <v>ASV12887</v>
          </cell>
          <cell r="H14506" t="str">
            <v>g__unclassified_o__Saccharimonadales</v>
          </cell>
          <cell r="I14506" t="str">
            <v>s__unclassified_o__Saccharimonadales</v>
          </cell>
        </row>
        <row r="14507">
          <cell r="G14507" t="str">
            <v>ASV11802</v>
          </cell>
          <cell r="H14507" t="str">
            <v>g__Clostridium_sensu_stricto_1</v>
          </cell>
          <cell r="I14507" t="str">
            <v>s__unclassified_g__Clostridium_sensu_stricto_1</v>
          </cell>
        </row>
        <row r="14508">
          <cell r="G14508" t="str">
            <v>ASV22449</v>
          </cell>
          <cell r="H14508" t="str">
            <v>g__unclassified_f__Oscillospiraceae</v>
          </cell>
          <cell r="I14508" t="str">
            <v>s__unclassified_f__Oscillospiraceae</v>
          </cell>
        </row>
        <row r="14509">
          <cell r="G14509" t="str">
            <v>ASV2247</v>
          </cell>
          <cell r="H14509" t="str">
            <v>g__Christensenellaceae_R-7_group</v>
          </cell>
          <cell r="I14509" t="str">
            <v>s__unclassified_g__Christensenellaceae_R-7_group</v>
          </cell>
        </row>
        <row r="14510">
          <cell r="G14510" t="str">
            <v>ASV18038</v>
          </cell>
          <cell r="H14510" t="str">
            <v>g__unclassified_c__Clostridia</v>
          </cell>
          <cell r="I14510" t="str">
            <v>s__unclassified_c__Clostridia</v>
          </cell>
        </row>
        <row r="14511">
          <cell r="G14511" t="str">
            <v>ASV8538</v>
          </cell>
          <cell r="H14511" t="str">
            <v>g__unclassified_p__Firmicutes</v>
          </cell>
          <cell r="I14511" t="str">
            <v>s__unclassified_p__Firmicutes</v>
          </cell>
        </row>
        <row r="14512">
          <cell r="G14512" t="str">
            <v>ASV10696</v>
          </cell>
          <cell r="H14512" t="str">
            <v>g__Lactobacillus</v>
          </cell>
          <cell r="I14512" t="str">
            <v>s__unclassified_g__Lactobacillus</v>
          </cell>
        </row>
        <row r="14513">
          <cell r="G14513" t="str">
            <v>ASV16529</v>
          </cell>
          <cell r="H14513" t="str">
            <v>g__dgA-11_gut_group</v>
          </cell>
          <cell r="I14513" t="str">
            <v>s__uncultured_Bacteroidales_bacterium_g__dgA-11_gut_group</v>
          </cell>
        </row>
        <row r="14514">
          <cell r="G14514" t="str">
            <v>ASV11998</v>
          </cell>
          <cell r="H14514" t="str">
            <v>g__Prevotella</v>
          </cell>
          <cell r="I14514" t="str">
            <v>s__unclassified_g__Prevotella</v>
          </cell>
        </row>
        <row r="14515">
          <cell r="G14515" t="str">
            <v>ASV6749</v>
          </cell>
          <cell r="H14515" t="str">
            <v>g__unclassified_f__Lachnospiraceae</v>
          </cell>
          <cell r="I14515" t="str">
            <v>s__unclassified_f__Lachnospiraceae</v>
          </cell>
        </row>
        <row r="14516">
          <cell r="G14516" t="str">
            <v>ASV20283</v>
          </cell>
          <cell r="H14516" t="str">
            <v>g__Colidextribacter</v>
          </cell>
          <cell r="I14516" t="str">
            <v>s__uncultured_bacterium_g__Colidextribacter</v>
          </cell>
        </row>
        <row r="14517">
          <cell r="G14517" t="str">
            <v>ASV7854</v>
          </cell>
          <cell r="H14517" t="str">
            <v>g__unclassified_f__Peptostreptococcaceae</v>
          </cell>
          <cell r="I14517" t="str">
            <v>s__unclassified_f__Peptostreptococcaceae</v>
          </cell>
        </row>
        <row r="14518">
          <cell r="G14518" t="str">
            <v>ASV18230</v>
          </cell>
          <cell r="H14518" t="str">
            <v>g__unclassified_o__Oscillospirales</v>
          </cell>
          <cell r="I14518" t="str">
            <v>s__unclassified_o__Oscillospirales</v>
          </cell>
        </row>
        <row r="14519">
          <cell r="G14519" t="str">
            <v>ASV15446</v>
          </cell>
          <cell r="H14519" t="str">
            <v>g__unclassified_c__Clostridia</v>
          </cell>
          <cell r="I14519" t="str">
            <v>s__unclassified_c__Clostridia</v>
          </cell>
        </row>
        <row r="14520">
          <cell r="G14520" t="str">
            <v>ASV19794</v>
          </cell>
          <cell r="H14520" t="str">
            <v>g__Prevotella</v>
          </cell>
          <cell r="I14520" t="str">
            <v>s__unclassified_g__Prevotella</v>
          </cell>
        </row>
        <row r="14521">
          <cell r="G14521" t="str">
            <v>ASV23965</v>
          </cell>
          <cell r="H14521" t="str">
            <v>g__unclassified_c__Bacilli</v>
          </cell>
          <cell r="I14521" t="str">
            <v>s__unclassified_c__Bacilli</v>
          </cell>
        </row>
        <row r="14522">
          <cell r="G14522" t="str">
            <v>ASV12859</v>
          </cell>
          <cell r="H14522" t="str">
            <v>g__unclassified_c__Clostridia</v>
          </cell>
          <cell r="I14522" t="str">
            <v>s__unclassified_c__Clostridia</v>
          </cell>
        </row>
        <row r="14523">
          <cell r="G14523" t="str">
            <v>ASV2349</v>
          </cell>
          <cell r="H14523" t="str">
            <v>g__unclassified_p__Firmicutes</v>
          </cell>
          <cell r="I14523" t="str">
            <v>s__unclassified_p__Firmicutes</v>
          </cell>
        </row>
        <row r="14524">
          <cell r="G14524" t="str">
            <v>ASV8361</v>
          </cell>
          <cell r="H14524" t="str">
            <v>g__Clostridium_sensu_stricto_1</v>
          </cell>
          <cell r="I14524" t="str">
            <v>s__unclassified_g__Clostridium_sensu_stricto_1</v>
          </cell>
        </row>
        <row r="14525">
          <cell r="G14525" t="str">
            <v>ASV4082</v>
          </cell>
          <cell r="H14525" t="str">
            <v>g__unclassified_k__norank_d__Bacteria</v>
          </cell>
          <cell r="I14525" t="str">
            <v>s__unclassified_k__norank_d__Bacteria</v>
          </cell>
        </row>
        <row r="14526">
          <cell r="G14526" t="str">
            <v>ASV23305</v>
          </cell>
          <cell r="H14526" t="str">
            <v>g__Fusobacterium</v>
          </cell>
          <cell r="I14526" t="str">
            <v>s__unclassified_g__Fusobacterium</v>
          </cell>
        </row>
        <row r="14527">
          <cell r="G14527" t="str">
            <v>ASV9033</v>
          </cell>
          <cell r="H14527" t="str">
            <v>g__unclassified_f__Lachnospiraceae</v>
          </cell>
          <cell r="I14527" t="str">
            <v>s__unclassified_f__Lachnospiraceae</v>
          </cell>
        </row>
        <row r="14528">
          <cell r="G14528" t="str">
            <v>ASV16025</v>
          </cell>
          <cell r="H14528" t="str">
            <v>g__Fusobacterium</v>
          </cell>
          <cell r="I14528" t="str">
            <v>s__unclassified_g__Fusobacterium</v>
          </cell>
        </row>
        <row r="14529">
          <cell r="G14529" t="str">
            <v>ASV6102</v>
          </cell>
          <cell r="H14529" t="str">
            <v>g__unclassified_p__Firmicutes</v>
          </cell>
          <cell r="I14529" t="str">
            <v>s__unclassified_p__Firmicutes</v>
          </cell>
        </row>
        <row r="14530">
          <cell r="G14530" t="str">
            <v>ASV24240</v>
          </cell>
          <cell r="H14530" t="str">
            <v>g__unclassified_c__Clostridia</v>
          </cell>
          <cell r="I14530" t="str">
            <v>s__unclassified_c__Clostridia</v>
          </cell>
        </row>
        <row r="14531">
          <cell r="G14531" t="str">
            <v>ASV7879</v>
          </cell>
          <cell r="H14531" t="str">
            <v>g__unclassified_f__Peptostreptococcaceae</v>
          </cell>
          <cell r="I14531" t="str">
            <v>s__unclassified_f__Peptostreptococcaceae</v>
          </cell>
        </row>
        <row r="14532">
          <cell r="G14532" t="str">
            <v>ASV4060</v>
          </cell>
          <cell r="H14532" t="str">
            <v>g__unclassified_c__Clostridia</v>
          </cell>
          <cell r="I14532" t="str">
            <v>s__unclassified_c__Clostridia</v>
          </cell>
        </row>
        <row r="14533">
          <cell r="G14533" t="str">
            <v>ASV4969</v>
          </cell>
          <cell r="H14533" t="str">
            <v>g__Enterococcus</v>
          </cell>
          <cell r="I14533" t="str">
            <v>s__unclassified_g__Enterococcus</v>
          </cell>
        </row>
        <row r="14534">
          <cell r="G14534" t="str">
            <v>ASV1030</v>
          </cell>
          <cell r="H14534" t="str">
            <v>g__unclassified_o__Oscillospirales</v>
          </cell>
          <cell r="I14534" t="str">
            <v>s__unclassified_o__Oscillospirales</v>
          </cell>
        </row>
        <row r="14535">
          <cell r="G14535" t="str">
            <v>ASV9510</v>
          </cell>
          <cell r="H14535" t="str">
            <v>g__unclassified_f__Oscillospiraceae</v>
          </cell>
          <cell r="I14535" t="str">
            <v>s__unclassified_f__Oscillospiraceae</v>
          </cell>
        </row>
        <row r="14536">
          <cell r="G14536" t="str">
            <v>ASV19841</v>
          </cell>
          <cell r="H14536" t="str">
            <v>g__unclassified_c__Bacilli</v>
          </cell>
          <cell r="I14536" t="str">
            <v>s__unclassified_c__Bacilli</v>
          </cell>
        </row>
        <row r="14537">
          <cell r="G14537" t="str">
            <v>ASV18167</v>
          </cell>
          <cell r="H14537" t="str">
            <v>g__Bacteroides</v>
          </cell>
          <cell r="I14537" t="str">
            <v>s__unclassified_g__Bacteroides</v>
          </cell>
        </row>
        <row r="14538">
          <cell r="G14538" t="str">
            <v>ASV872</v>
          </cell>
          <cell r="H14538" t="str">
            <v>g__unclassified_p__Firmicutes</v>
          </cell>
          <cell r="I14538" t="str">
            <v>s__unclassified_p__Firmicutes</v>
          </cell>
        </row>
        <row r="14539">
          <cell r="G14539" t="str">
            <v>ASV18042</v>
          </cell>
          <cell r="H14539" t="str">
            <v>g__Streptococcus</v>
          </cell>
          <cell r="I14539" t="str">
            <v>s__unclassified_g__Streptococcus</v>
          </cell>
        </row>
        <row r="14540">
          <cell r="G14540" t="str">
            <v>ASV22412</v>
          </cell>
          <cell r="H14540" t="str">
            <v>g__unclassified_c__Clostridia</v>
          </cell>
          <cell r="I14540" t="str">
            <v>s__unclassified_c__Clostridia</v>
          </cell>
        </row>
        <row r="14541">
          <cell r="G14541" t="str">
            <v>ASV13503</v>
          </cell>
          <cell r="H14541" t="str">
            <v>g__unclassified_p__Firmicutes</v>
          </cell>
          <cell r="I14541" t="str">
            <v>s__unclassified_p__Firmicutes</v>
          </cell>
        </row>
        <row r="14542">
          <cell r="G14542" t="str">
            <v>ASV7813</v>
          </cell>
          <cell r="H14542" t="str">
            <v>g__Eubacterium_oxidoreducens_group</v>
          </cell>
          <cell r="I14542" t="str">
            <v>s__uncultured_bacterium_g__Eubacterium_oxidoreducens_group</v>
          </cell>
        </row>
        <row r="14543">
          <cell r="G14543" t="str">
            <v>ASV16948</v>
          </cell>
          <cell r="H14543" t="str">
            <v>g__Lactobacillus</v>
          </cell>
          <cell r="I14543" t="str">
            <v>s__unclassified_g__Lactobacillus</v>
          </cell>
        </row>
        <row r="14544">
          <cell r="G14544" t="str">
            <v>ASV4971</v>
          </cell>
          <cell r="H14544" t="str">
            <v>g__unclassified_f__Lachnospiraceae</v>
          </cell>
          <cell r="I14544" t="str">
            <v>s__unclassified_f__Lachnospiraceae</v>
          </cell>
        </row>
        <row r="14545">
          <cell r="G14545" t="str">
            <v>ASV9021</v>
          </cell>
          <cell r="H14545" t="str">
            <v>g__Lactobacillus</v>
          </cell>
          <cell r="I14545" t="str">
            <v>s__unclassified_g__Lactobacillus</v>
          </cell>
        </row>
        <row r="14546">
          <cell r="G14546" t="str">
            <v>ASV5056</v>
          </cell>
          <cell r="H14546" t="str">
            <v>g__unclassified_f__Lachnospiraceae</v>
          </cell>
          <cell r="I14546" t="str">
            <v>s__unclassified_f__Lachnospiraceae</v>
          </cell>
        </row>
        <row r="14547">
          <cell r="G14547" t="str">
            <v>ASV14543</v>
          </cell>
          <cell r="H14547" t="str">
            <v>g__NK4A214_group</v>
          </cell>
          <cell r="I14547" t="str">
            <v>s__uncultured_bacterium_g__NK4A214_group</v>
          </cell>
        </row>
        <row r="14548">
          <cell r="G14548" t="str">
            <v>ASV9544</v>
          </cell>
          <cell r="H14548" t="str">
            <v>g__Lactobacillus</v>
          </cell>
          <cell r="I14548" t="str">
            <v>s__unclassified_g__Lactobacillus</v>
          </cell>
        </row>
        <row r="14549">
          <cell r="G14549" t="str">
            <v>ASV19632</v>
          </cell>
          <cell r="H14549" t="str">
            <v>g__unclassified_p__Firmicutes</v>
          </cell>
          <cell r="I14549" t="str">
            <v>s__unclassified_p__Firmicutes</v>
          </cell>
        </row>
        <row r="14550">
          <cell r="G14550" t="str">
            <v>ASV12976</v>
          </cell>
          <cell r="H14550" t="str">
            <v>g__unclassified_c__Clostridia</v>
          </cell>
          <cell r="I14550" t="str">
            <v>s__unclassified_c__Clostridia</v>
          </cell>
        </row>
        <row r="14551">
          <cell r="G14551" t="str">
            <v>ASV23291</v>
          </cell>
          <cell r="H14551" t="str">
            <v>g__Escherichia-Shigella</v>
          </cell>
          <cell r="I14551" t="str">
            <v>s__unclassified_g__Escherichia-Shigella</v>
          </cell>
        </row>
        <row r="14552">
          <cell r="G14552" t="str">
            <v>ASV19094</v>
          </cell>
          <cell r="H14552" t="str">
            <v>g__UCG-002</v>
          </cell>
          <cell r="I14552" t="str">
            <v>s__uncultured_bacterium_g__UCG-002</v>
          </cell>
        </row>
        <row r="14553">
          <cell r="G14553" t="str">
            <v>ASV11748</v>
          </cell>
          <cell r="H14553" t="str">
            <v>g__unclassified_c__Clostridia</v>
          </cell>
          <cell r="I14553" t="str">
            <v>s__unclassified_c__Clostridia</v>
          </cell>
        </row>
        <row r="14554">
          <cell r="G14554" t="str">
            <v>ASV19628</v>
          </cell>
          <cell r="H14554" t="str">
            <v>g__unclassified_f__Lachnospiraceae</v>
          </cell>
          <cell r="I14554" t="str">
            <v>s__unclassified_f__Lachnospiraceae</v>
          </cell>
        </row>
        <row r="14555">
          <cell r="G14555" t="str">
            <v>ASV3265</v>
          </cell>
          <cell r="H14555" t="str">
            <v>g__unclassified_p__Firmicutes</v>
          </cell>
          <cell r="I14555" t="str">
            <v>s__unclassified_p__Firmicutes</v>
          </cell>
        </row>
        <row r="14556">
          <cell r="G14556" t="str">
            <v>ASV15407</v>
          </cell>
          <cell r="H14556" t="str">
            <v>g__unclassified_k__norank_d__Bacteria</v>
          </cell>
          <cell r="I14556" t="str">
            <v>s__unclassified_k__norank_d__Bacteria</v>
          </cell>
        </row>
        <row r="14557">
          <cell r="G14557" t="str">
            <v>ASV7982</v>
          </cell>
          <cell r="H14557" t="str">
            <v>g__UCG-002</v>
          </cell>
          <cell r="I14557" t="str">
            <v>s__unclassified_g__UCG-002</v>
          </cell>
        </row>
        <row r="14558">
          <cell r="G14558" t="str">
            <v>ASV3218</v>
          </cell>
          <cell r="H14558" t="str">
            <v>g__Lactobacillus</v>
          </cell>
          <cell r="I14558" t="str">
            <v>s__unclassified_g__Lactobacillus</v>
          </cell>
        </row>
        <row r="14559">
          <cell r="G14559" t="str">
            <v>ASV20936</v>
          </cell>
          <cell r="H14559" t="str">
            <v>g__unclassified_c__Clostridia</v>
          </cell>
          <cell r="I14559" t="str">
            <v>s__unclassified_c__Clostridia</v>
          </cell>
        </row>
        <row r="14560">
          <cell r="G14560" t="str">
            <v>ASV7863</v>
          </cell>
          <cell r="H14560" t="str">
            <v>g__unclassified_k__norank_d__Bacteria</v>
          </cell>
          <cell r="I14560" t="str">
            <v>s__unclassified_k__norank_d__Bacteria</v>
          </cell>
        </row>
        <row r="14561">
          <cell r="G14561" t="str">
            <v>ASV9577</v>
          </cell>
          <cell r="H14561" t="str">
            <v>g__unclassified_f__Lachnospiraceae</v>
          </cell>
          <cell r="I14561" t="str">
            <v>s__unclassified_f__Lachnospiraceae</v>
          </cell>
        </row>
        <row r="14562">
          <cell r="G14562" t="str">
            <v>ASV19742</v>
          </cell>
          <cell r="H14562" t="str">
            <v>g__Subdoligranulum</v>
          </cell>
          <cell r="I14562" t="str">
            <v>s__unclassified_g__Subdoligranulum</v>
          </cell>
        </row>
        <row r="14563">
          <cell r="G14563" t="str">
            <v>ASV20260</v>
          </cell>
          <cell r="H14563" t="str">
            <v>g__unclassified_f__Lachnospiraceae</v>
          </cell>
          <cell r="I14563" t="str">
            <v>s__unclassified_f__Lachnospiraceae</v>
          </cell>
        </row>
        <row r="14564">
          <cell r="G14564" t="str">
            <v>ASV948</v>
          </cell>
          <cell r="H14564" t="str">
            <v>g__Parabacteroides</v>
          </cell>
          <cell r="I14564" t="str">
            <v>s__Porphyromonadaceae_bacterium_DJF_B175</v>
          </cell>
        </row>
        <row r="14565">
          <cell r="G14565" t="str">
            <v>ASV7426</v>
          </cell>
          <cell r="H14565" t="str">
            <v>g__unclassified_f__Lachnospiraceae</v>
          </cell>
          <cell r="I14565" t="str">
            <v>s__unclassified_f__Lachnospiraceae</v>
          </cell>
        </row>
        <row r="14566">
          <cell r="G14566" t="str">
            <v>ASV18126</v>
          </cell>
          <cell r="H14566" t="str">
            <v>g__Bacteroides</v>
          </cell>
          <cell r="I14566" t="str">
            <v>s__uncultured_bacterium_g__Bacteroides</v>
          </cell>
        </row>
        <row r="14567">
          <cell r="G14567" t="str">
            <v>ASV979</v>
          </cell>
          <cell r="H14567" t="str">
            <v>g__unclassified_c__Clostridia</v>
          </cell>
          <cell r="I14567" t="str">
            <v>s__unclassified_c__Clostridia</v>
          </cell>
        </row>
        <row r="14568">
          <cell r="G14568" t="str">
            <v>ASV1040</v>
          </cell>
          <cell r="H14568" t="str">
            <v>g__norank_f__Oscillospiraceae</v>
          </cell>
          <cell r="I14568" t="str">
            <v>s__unclassified_g__norank_f__Oscillospiraceae</v>
          </cell>
        </row>
        <row r="14569">
          <cell r="G14569" t="str">
            <v>ASV22497</v>
          </cell>
          <cell r="H14569" t="str">
            <v>g__unclassified_f__Lachnospiraceae</v>
          </cell>
          <cell r="I14569" t="str">
            <v>s__unclassified_f__Lachnospiraceae</v>
          </cell>
        </row>
        <row r="14570">
          <cell r="G14570" t="str">
            <v>ASV18186</v>
          </cell>
          <cell r="H14570" t="str">
            <v>g__Cloacibacillus</v>
          </cell>
          <cell r="I14570" t="str">
            <v>s__unclassified_g__Cloacibacillus</v>
          </cell>
        </row>
        <row r="14571">
          <cell r="G14571" t="str">
            <v>ASV24233</v>
          </cell>
          <cell r="H14571" t="str">
            <v>g__unclassified_c__Clostridia</v>
          </cell>
          <cell r="I14571" t="str">
            <v>s__unclassified_c__Clostridia</v>
          </cell>
        </row>
        <row r="14572">
          <cell r="G14572" t="str">
            <v>ASV2935</v>
          </cell>
          <cell r="H14572" t="str">
            <v>g__Brachybacterium</v>
          </cell>
          <cell r="I14572" t="str">
            <v>s__unclassified_g__Brachybacterium</v>
          </cell>
        </row>
        <row r="14573">
          <cell r="G14573" t="str">
            <v>ASV2294</v>
          </cell>
          <cell r="H14573" t="str">
            <v>g__Christensenellaceae_R-7_group</v>
          </cell>
          <cell r="I14573" t="str">
            <v>s__unclassified_g__Christensenellaceae_R-7_group</v>
          </cell>
        </row>
        <row r="14574">
          <cell r="G14574" t="str">
            <v>ASV13451</v>
          </cell>
          <cell r="H14574" t="str">
            <v>g__Collinsella</v>
          </cell>
          <cell r="I14574" t="str">
            <v>s__unclassified_g__Collinsella</v>
          </cell>
        </row>
        <row r="14575">
          <cell r="G14575" t="str">
            <v>ASV7889</v>
          </cell>
          <cell r="H14575" t="str">
            <v>g__Escherichia-Shigella</v>
          </cell>
          <cell r="I14575" t="str">
            <v>s__unclassified_g__Escherichia-Shigella</v>
          </cell>
        </row>
        <row r="14576">
          <cell r="G14576" t="str">
            <v>ASV9559</v>
          </cell>
          <cell r="H14576" t="str">
            <v>g__norank_f__Erysipelotrichaceae</v>
          </cell>
          <cell r="I14576" t="str">
            <v>s__uncultured_bacterium_g__norank_f__Erysipelotrichaceae</v>
          </cell>
        </row>
        <row r="14577">
          <cell r="G14577" t="str">
            <v>ASV20926</v>
          </cell>
          <cell r="H14577" t="str">
            <v>g__Enterococcus</v>
          </cell>
          <cell r="I14577" t="str">
            <v>s__unclassified_g__Enterococcus</v>
          </cell>
        </row>
        <row r="14578">
          <cell r="G14578" t="str">
            <v>ASV20937</v>
          </cell>
          <cell r="H14578" t="str">
            <v>g__unclassified_o__Oscillospirales</v>
          </cell>
          <cell r="I14578" t="str">
            <v>s__unclassified_o__Oscillospirales</v>
          </cell>
        </row>
        <row r="14579">
          <cell r="G14579" t="str">
            <v>ASV10810</v>
          </cell>
          <cell r="H14579" t="str">
            <v>g__unclassified_c__Clostridia</v>
          </cell>
          <cell r="I14579" t="str">
            <v>s__unclassified_c__Clostridia</v>
          </cell>
        </row>
        <row r="14580">
          <cell r="G14580" t="str">
            <v>ASV4943</v>
          </cell>
          <cell r="H14580" t="str">
            <v>g__unclassified_c__Clostridia</v>
          </cell>
          <cell r="I14580" t="str">
            <v>s__unclassified_c__Clostridia</v>
          </cell>
        </row>
        <row r="14581">
          <cell r="G14581" t="str">
            <v>ASV20282</v>
          </cell>
          <cell r="H14581" t="str">
            <v>g__Campylobacter</v>
          </cell>
          <cell r="I14581" t="str">
            <v>s__unclassified_g__Campylobacter</v>
          </cell>
        </row>
        <row r="14582">
          <cell r="G14582" t="str">
            <v>ASV7847</v>
          </cell>
          <cell r="H14582" t="str">
            <v>g__unclassified_c__Bacilli</v>
          </cell>
          <cell r="I14582" t="str">
            <v>s__unclassified_c__Bacilli</v>
          </cell>
        </row>
        <row r="14583">
          <cell r="G14583" t="str">
            <v>ASV7929</v>
          </cell>
          <cell r="H14583" t="str">
            <v>g__Parabacteroides</v>
          </cell>
          <cell r="I14583" t="str">
            <v>s__Porphyromonadaceae_bacterium_DJF_B175</v>
          </cell>
        </row>
        <row r="14584">
          <cell r="G14584" t="str">
            <v>ASV5090</v>
          </cell>
          <cell r="H14584" t="str">
            <v>g__unclassified_c__Clostridia</v>
          </cell>
          <cell r="I14584" t="str">
            <v>s__unclassified_c__Clostridia</v>
          </cell>
        </row>
        <row r="14585">
          <cell r="G14585" t="str">
            <v>ASV24228</v>
          </cell>
          <cell r="H14585" t="str">
            <v>g__Clostridium_sensu_stricto_1</v>
          </cell>
          <cell r="I14585" t="str">
            <v>s__unclassified_g__Clostridium_sensu_stricto_1</v>
          </cell>
        </row>
        <row r="14586">
          <cell r="G14586" t="str">
            <v>ASV12865</v>
          </cell>
          <cell r="H14586" t="str">
            <v>g__unclassified_c__Clostridia</v>
          </cell>
          <cell r="I14586" t="str">
            <v>s__unclassified_c__Clostridia</v>
          </cell>
        </row>
        <row r="14587">
          <cell r="G14587" t="str">
            <v>ASV22457</v>
          </cell>
          <cell r="H14587" t="str">
            <v>g__unclassified_c__Clostridia</v>
          </cell>
          <cell r="I14587" t="str">
            <v>s__unclassified_c__Clostridia</v>
          </cell>
        </row>
        <row r="14588">
          <cell r="G14588" t="str">
            <v>ASV16075</v>
          </cell>
          <cell r="H14588" t="str">
            <v>g__Allisonella</v>
          </cell>
          <cell r="I14588" t="str">
            <v>s__unclassified_g__Allisonella</v>
          </cell>
        </row>
        <row r="14589">
          <cell r="G14589" t="str">
            <v>ASV23472</v>
          </cell>
          <cell r="H14589" t="str">
            <v>g__unclassified_f__Peptostreptococcaceae</v>
          </cell>
          <cell r="I14589" t="str">
            <v>s__unclassified_f__Peptostreptococcaceae</v>
          </cell>
        </row>
        <row r="14590">
          <cell r="G14590" t="str">
            <v>ASV10697</v>
          </cell>
          <cell r="H14590" t="str">
            <v>g__unclassified_c__Clostridia</v>
          </cell>
          <cell r="I14590" t="str">
            <v>s__unclassified_c__Clostridia</v>
          </cell>
        </row>
        <row r="14591">
          <cell r="G14591" t="str">
            <v>ASV24238</v>
          </cell>
          <cell r="H14591" t="str">
            <v>g__unclassified_f__Clostridiaceae</v>
          </cell>
          <cell r="I14591" t="str">
            <v>s__unclassified_f__Clostridiaceae</v>
          </cell>
        </row>
        <row r="14592">
          <cell r="G14592" t="str">
            <v>ASV9588</v>
          </cell>
          <cell r="H14592" t="str">
            <v>g__unclassified_f__Lachnospiraceae</v>
          </cell>
          <cell r="I14592" t="str">
            <v>s__unclassified_f__Lachnospiraceae</v>
          </cell>
        </row>
        <row r="14593">
          <cell r="G14593" t="str">
            <v>ASV10699</v>
          </cell>
          <cell r="H14593" t="str">
            <v>g__unclassified_c__Clostridia</v>
          </cell>
          <cell r="I14593" t="str">
            <v>s__unclassified_c__Clostridia</v>
          </cell>
        </row>
        <row r="14594">
          <cell r="G14594" t="str">
            <v>ASV5990</v>
          </cell>
          <cell r="H14594" t="str">
            <v>g__norank_f__Christensenellaceae</v>
          </cell>
          <cell r="I14594" t="str">
            <v>s__unclassified_g__norank_f__Christensenellaceae</v>
          </cell>
        </row>
        <row r="14595">
          <cell r="G14595" t="str">
            <v>ASV6511</v>
          </cell>
          <cell r="H14595" t="str">
            <v>g__Caulobacter</v>
          </cell>
          <cell r="I14595" t="str">
            <v>s__unclassified_g__Caulobacter</v>
          </cell>
        </row>
        <row r="14596">
          <cell r="G14596" t="str">
            <v>ASV16522</v>
          </cell>
          <cell r="H14596" t="str">
            <v>g__unclassified_f__Peptostreptococcaceae</v>
          </cell>
          <cell r="I14596" t="str">
            <v>s__unclassified_f__Peptostreptococcaceae</v>
          </cell>
        </row>
        <row r="14597">
          <cell r="G14597" t="str">
            <v>ASV9501</v>
          </cell>
          <cell r="H14597" t="str">
            <v>g__unclassified_o__Bacteroidales</v>
          </cell>
          <cell r="I14597" t="str">
            <v>s__unclassified_o__Bacteroidales</v>
          </cell>
        </row>
        <row r="14598">
          <cell r="G14598" t="str">
            <v>ASV6151</v>
          </cell>
          <cell r="H14598" t="str">
            <v>g__unclassified_c__Clostridia</v>
          </cell>
          <cell r="I14598" t="str">
            <v>s__unclassified_c__Clostridia</v>
          </cell>
        </row>
        <row r="14599">
          <cell r="G14599" t="str">
            <v>ASV1684</v>
          </cell>
          <cell r="H14599" t="str">
            <v>g__Elusimicrobium</v>
          </cell>
          <cell r="I14599" t="str">
            <v>s__uncultured_bacterium_g__Elusimicrobium</v>
          </cell>
        </row>
        <row r="14600">
          <cell r="G14600" t="str">
            <v>ASV16508</v>
          </cell>
          <cell r="H14600" t="str">
            <v>g__Christensenellaceae_R-7_group</v>
          </cell>
          <cell r="I14600" t="str">
            <v>s__unclassified_g__Christensenellaceae_R-7_group</v>
          </cell>
        </row>
        <row r="14601">
          <cell r="G14601" t="str">
            <v>ASV4897</v>
          </cell>
          <cell r="H14601" t="str">
            <v>g__unclassified_f__Prevotellaceae</v>
          </cell>
          <cell r="I14601" t="str">
            <v>s__unclassified_f__Prevotellaceae</v>
          </cell>
        </row>
        <row r="14602">
          <cell r="G14602" t="str">
            <v>ASV20265</v>
          </cell>
          <cell r="H14602" t="str">
            <v>g__unclassified_f__Lachnospiraceae</v>
          </cell>
          <cell r="I14602" t="str">
            <v>s__unclassified_f__Lachnospiraceae</v>
          </cell>
        </row>
        <row r="14603">
          <cell r="G14603" t="str">
            <v>ASV13517</v>
          </cell>
          <cell r="H14603" t="str">
            <v>g__Parabacteroides</v>
          </cell>
          <cell r="I14603" t="str">
            <v>s__Porphyromonadaceae_bacterium_DJF_B175</v>
          </cell>
        </row>
        <row r="14604">
          <cell r="G14604" t="str">
            <v>ASV23319</v>
          </cell>
          <cell r="H14604" t="str">
            <v>g__unclassified_c__Clostridia</v>
          </cell>
          <cell r="I14604" t="str">
            <v>s__unclassified_c__Clostridia</v>
          </cell>
        </row>
        <row r="14605">
          <cell r="G14605" t="str">
            <v>ASV852</v>
          </cell>
          <cell r="H14605" t="str">
            <v>g__unclassified_c__Clostridia</v>
          </cell>
          <cell r="I14605" t="str">
            <v>s__unclassified_c__Clostridia</v>
          </cell>
        </row>
        <row r="14606">
          <cell r="G14606" t="str">
            <v>ASV7357</v>
          </cell>
          <cell r="H14606" t="str">
            <v>g__unclassified_f__Lachnospiraceae</v>
          </cell>
          <cell r="I14606" t="str">
            <v>s__unclassified_f__Lachnospiraceae</v>
          </cell>
        </row>
        <row r="14607">
          <cell r="G14607" t="str">
            <v>ASV7917</v>
          </cell>
          <cell r="H14607" t="str">
            <v>g__unclassified_c__Clostridia</v>
          </cell>
          <cell r="I14607" t="str">
            <v>s__unclassified_c__Clostridia</v>
          </cell>
        </row>
        <row r="14608">
          <cell r="G14608" t="str">
            <v>ASV10767</v>
          </cell>
          <cell r="H14608" t="str">
            <v>g__NK4A214_group</v>
          </cell>
          <cell r="I14608" t="str">
            <v>s__uncultured_bacterium_g__NK4A214_group</v>
          </cell>
        </row>
        <row r="14609">
          <cell r="G14609" t="str">
            <v>ASV940</v>
          </cell>
          <cell r="H14609" t="str">
            <v>g__unclassified_f__Selenomonadaceae</v>
          </cell>
          <cell r="I14609" t="str">
            <v>s__unclassified_f__Selenomonadaceae</v>
          </cell>
        </row>
        <row r="14610">
          <cell r="G14610" t="str">
            <v>ASV19861</v>
          </cell>
          <cell r="H14610" t="str">
            <v>g__Lactobacillus</v>
          </cell>
          <cell r="I14610" t="str">
            <v>s__unclassified_g__Lactobacillus</v>
          </cell>
        </row>
        <row r="14611">
          <cell r="G14611" t="str">
            <v>ASV12879</v>
          </cell>
          <cell r="H14611" t="str">
            <v>g__Christensenellaceae_R-7_group</v>
          </cell>
          <cell r="I14611" t="str">
            <v>s__unclassified_g__Christensenellaceae_R-7_group</v>
          </cell>
        </row>
        <row r="14612">
          <cell r="G14612" t="str">
            <v>ASV6044</v>
          </cell>
          <cell r="H14612" t="str">
            <v>g__unclassified_k__norank_d__Bacteria</v>
          </cell>
          <cell r="I14612" t="str">
            <v>s__unclassified_k__norank_d__Bacteria</v>
          </cell>
        </row>
        <row r="14613">
          <cell r="G14613" t="str">
            <v>ASV7931</v>
          </cell>
          <cell r="H14613" t="str">
            <v>g__Lactobacillus</v>
          </cell>
          <cell r="I14613" t="str">
            <v>s__unclassified_g__Lactobacillus</v>
          </cell>
        </row>
        <row r="14614">
          <cell r="G14614" t="str">
            <v>ASV13531</v>
          </cell>
          <cell r="H14614" t="str">
            <v>g__Clostridium_sensu_stricto_1</v>
          </cell>
          <cell r="I14614" t="str">
            <v>s__unclassified_g__Clostridium_sensu_stricto_1</v>
          </cell>
        </row>
        <row r="14615">
          <cell r="G14615" t="str">
            <v>ASV6748</v>
          </cell>
          <cell r="H14615" t="str">
            <v>g__unclassified_o__Enterobacterales</v>
          </cell>
          <cell r="I14615" t="str">
            <v>s__unclassified_o__Enterobacterales</v>
          </cell>
        </row>
        <row r="14616">
          <cell r="G14616" t="str">
            <v>ASV18936</v>
          </cell>
          <cell r="H14616" t="str">
            <v>g__Lactobacillus</v>
          </cell>
          <cell r="I14616" t="str">
            <v>s__unclassified_g__Lactobacillus</v>
          </cell>
        </row>
        <row r="14617">
          <cell r="G14617" t="str">
            <v>ASV7855</v>
          </cell>
          <cell r="H14617" t="str">
            <v>g__unclassified_p__Firmicutes</v>
          </cell>
          <cell r="I14617" t="str">
            <v>s__unclassified_p__Firmicutes</v>
          </cell>
        </row>
        <row r="14618">
          <cell r="G14618" t="str">
            <v>ASV16031</v>
          </cell>
          <cell r="H14618" t="str">
            <v>g__norank_f__Muribaculaceae</v>
          </cell>
          <cell r="I14618" t="str">
            <v>s__uncultured_bacterium_g__norank_f__Muribaculaceae</v>
          </cell>
        </row>
        <row r="14619">
          <cell r="G14619" t="str">
            <v>ASV11968</v>
          </cell>
          <cell r="H14619" t="str">
            <v>g__unclassified_f__Peptostreptococcaceae</v>
          </cell>
          <cell r="I14619" t="str">
            <v>s__unclassified_f__Peptostreptococcaceae</v>
          </cell>
        </row>
        <row r="14620">
          <cell r="G14620" t="str">
            <v>ASV22892</v>
          </cell>
          <cell r="H14620" t="str">
            <v>g__norank_f__norank_o__Saccharimonadales</v>
          </cell>
          <cell r="I14620" t="str">
            <v>s__uncultured_bacterium_SBR2113</v>
          </cell>
        </row>
        <row r="14621">
          <cell r="G14621" t="str">
            <v>ASV19685</v>
          </cell>
          <cell r="H14621" t="str">
            <v>g__Subdoligranulum</v>
          </cell>
          <cell r="I14621" t="str">
            <v>s__unclassified_g__Subdoligranulum</v>
          </cell>
        </row>
        <row r="14622">
          <cell r="G14622" t="str">
            <v>ASV11677</v>
          </cell>
          <cell r="H14622" t="str">
            <v>g__unclassified_c__Clostridia</v>
          </cell>
          <cell r="I14622" t="str">
            <v>s__unclassified_c__Clostridia</v>
          </cell>
        </row>
        <row r="14623">
          <cell r="G14623" t="str">
            <v>ASV7930</v>
          </cell>
          <cell r="H14623" t="str">
            <v>g__Lactobacillus</v>
          </cell>
          <cell r="I14623" t="str">
            <v>s__unclassified_g__Lactobacillus</v>
          </cell>
        </row>
        <row r="14624">
          <cell r="G14624" t="str">
            <v>ASV4986</v>
          </cell>
          <cell r="H14624" t="str">
            <v>g__unclassified_f__Lachnospiraceae</v>
          </cell>
          <cell r="I14624" t="str">
            <v>s__unclassified_f__Lachnospiraceae</v>
          </cell>
        </row>
        <row r="14625">
          <cell r="G14625" t="str">
            <v>ASV7100</v>
          </cell>
          <cell r="H14625" t="str">
            <v>g__unclassified_p__Firmicutes</v>
          </cell>
          <cell r="I14625" t="str">
            <v>s__unclassified_p__Firmicutes</v>
          </cell>
        </row>
        <row r="14626">
          <cell r="G14626" t="str">
            <v>ASV4201</v>
          </cell>
          <cell r="H14626" t="str">
            <v>g__norank_f__Eubacterium_coprostanoligenes_group</v>
          </cell>
          <cell r="I14626" t="str">
            <v>s__uncultured_organism_g__norank_f__Eubacterium_coprostanoligenes_group</v>
          </cell>
        </row>
        <row r="14627">
          <cell r="G14627" t="str">
            <v>ASV5115</v>
          </cell>
          <cell r="H14627" t="str">
            <v>g__Christensenellaceae_R-7_group</v>
          </cell>
          <cell r="I14627" t="str">
            <v>s__unclassified_g__Christensenellaceae_R-7_group</v>
          </cell>
        </row>
        <row r="14628">
          <cell r="G14628" t="str">
            <v>ASV18610</v>
          </cell>
          <cell r="H14628" t="str">
            <v>g__unclassified_c__Clostridia</v>
          </cell>
          <cell r="I14628" t="str">
            <v>s__unclassified_c__Clostridia</v>
          </cell>
        </row>
        <row r="14629">
          <cell r="G14629" t="str">
            <v>ASV21258</v>
          </cell>
          <cell r="H14629" t="str">
            <v>g__unclassified_c__Clostridia</v>
          </cell>
          <cell r="I14629" t="str">
            <v>s__unclassified_c__Clostridia</v>
          </cell>
        </row>
        <row r="14630">
          <cell r="G14630" t="str">
            <v>ASV911</v>
          </cell>
          <cell r="H14630" t="str">
            <v>g__unclassified_c__Clostridia</v>
          </cell>
          <cell r="I14630" t="str">
            <v>s__unclassified_c__Clostridia</v>
          </cell>
        </row>
        <row r="14631">
          <cell r="G14631" t="str">
            <v>ASV12839</v>
          </cell>
          <cell r="H14631" t="str">
            <v>g__unclassified_c__Bacilli</v>
          </cell>
          <cell r="I14631" t="str">
            <v>s__unclassified_c__Bacilli</v>
          </cell>
        </row>
        <row r="14632">
          <cell r="G14632" t="str">
            <v>ASV16932</v>
          </cell>
          <cell r="H14632" t="str">
            <v>g__unclassified_c__Clostridia</v>
          </cell>
          <cell r="I14632" t="str">
            <v>s__unclassified_c__Clostridia</v>
          </cell>
        </row>
        <row r="14633">
          <cell r="G14633" t="str">
            <v>ASV836</v>
          </cell>
          <cell r="H14633" t="str">
            <v>g__Subdoligranulum</v>
          </cell>
          <cell r="I14633" t="str">
            <v>s__unclassified_g__Subdoligranulum</v>
          </cell>
        </row>
        <row r="14634">
          <cell r="G14634" t="str">
            <v>ASV23966</v>
          </cell>
          <cell r="H14634" t="str">
            <v>g__unclassified_k__norank_d__Bacteria</v>
          </cell>
          <cell r="I14634" t="str">
            <v>s__unclassified_k__norank_d__Bacteria</v>
          </cell>
        </row>
        <row r="14635">
          <cell r="G14635" t="str">
            <v>ASV22498</v>
          </cell>
          <cell r="H14635" t="str">
            <v>g__unclassified_c__Clostridia</v>
          </cell>
          <cell r="I14635" t="str">
            <v>s__unclassified_c__Clostridia</v>
          </cell>
        </row>
        <row r="14636">
          <cell r="G14636" t="str">
            <v>ASV14443</v>
          </cell>
          <cell r="H14636" t="str">
            <v>g__unclassified_f__Lachnospiraceae</v>
          </cell>
          <cell r="I14636" t="str">
            <v>s__unclassified_f__Lachnospiraceae</v>
          </cell>
        </row>
        <row r="14637">
          <cell r="G14637" t="str">
            <v>ASV21298</v>
          </cell>
          <cell r="H14637" t="str">
            <v>g__Bacillus</v>
          </cell>
          <cell r="I14637" t="str">
            <v>s__Lactobacillus_vaginalis_g__Bacillus</v>
          </cell>
        </row>
        <row r="14638">
          <cell r="G14638" t="str">
            <v>ASV21649</v>
          </cell>
          <cell r="H14638" t="str">
            <v>g__Faecalibacterium</v>
          </cell>
          <cell r="I14638" t="str">
            <v>s__uncultured_bacterium_g__Faecalibacterium</v>
          </cell>
        </row>
        <row r="14639">
          <cell r="G14639" t="str">
            <v>ASV20258</v>
          </cell>
          <cell r="H14639" t="str">
            <v>g__Lactobacillus</v>
          </cell>
          <cell r="I14639" t="str">
            <v>s__unclassified_g__Lactobacillus</v>
          </cell>
        </row>
        <row r="14640">
          <cell r="G14640" t="str">
            <v>ASV22421</v>
          </cell>
          <cell r="H14640" t="str">
            <v>g__unclassified_f__Clostridiaceae</v>
          </cell>
          <cell r="I14640" t="str">
            <v>s__unclassified_f__Clostridiaceae</v>
          </cell>
        </row>
        <row r="14641">
          <cell r="G14641" t="str">
            <v>ASV19802</v>
          </cell>
          <cell r="H14641" t="str">
            <v>g__unclassified_f__Oscillospiraceae</v>
          </cell>
          <cell r="I14641" t="str">
            <v>s__unclassified_f__Oscillospiraceae</v>
          </cell>
        </row>
        <row r="14642">
          <cell r="G14642" t="str">
            <v>ASV17673</v>
          </cell>
          <cell r="H14642" t="str">
            <v>g__Lactobacillus</v>
          </cell>
          <cell r="I14642" t="str">
            <v>s__unclassified_g__Lactobacillus</v>
          </cell>
        </row>
        <row r="14643">
          <cell r="G14643" t="str">
            <v>ASV22398</v>
          </cell>
          <cell r="H14643" t="str">
            <v>g__Peptococcus</v>
          </cell>
          <cell r="I14643" t="str">
            <v>s__uncultured_bacterium_g__Peptococcus</v>
          </cell>
        </row>
        <row r="14644">
          <cell r="G14644" t="str">
            <v>ASV928</v>
          </cell>
          <cell r="H14644" t="str">
            <v>g__Lactobacillus</v>
          </cell>
          <cell r="I14644" t="str">
            <v>s__unclassified_g__Lactobacillus</v>
          </cell>
        </row>
        <row r="14645">
          <cell r="G14645" t="str">
            <v>ASV14448</v>
          </cell>
          <cell r="H14645" t="str">
            <v>g__unclassified_f__Christensenellaceae</v>
          </cell>
          <cell r="I14645" t="str">
            <v>s__unclassified_f__Christensenellaceae</v>
          </cell>
        </row>
        <row r="14646">
          <cell r="G14646" t="str">
            <v>ASV7908</v>
          </cell>
          <cell r="H14646" t="str">
            <v>g__unclassified_c__Clostridia</v>
          </cell>
          <cell r="I14646" t="str">
            <v>s__unclassified_c__Clostridia</v>
          </cell>
        </row>
        <row r="14647">
          <cell r="G14647" t="str">
            <v>ASV5045</v>
          </cell>
          <cell r="H14647" t="str">
            <v>g__norank_f__Erysipelotrichaceae</v>
          </cell>
          <cell r="I14647" t="str">
            <v>s__uncultured_bacterium_g__norank_f__Erysipelotrichaceae</v>
          </cell>
        </row>
        <row r="14648">
          <cell r="G14648" t="str">
            <v>ASV9885</v>
          </cell>
          <cell r="H14648" t="str">
            <v>g__Cellulosilyticum</v>
          </cell>
          <cell r="I14648" t="str">
            <v>s__unclassified_g__Cellulosilyticum</v>
          </cell>
        </row>
        <row r="14649">
          <cell r="G14649" t="str">
            <v>ASV2221</v>
          </cell>
          <cell r="H14649" t="str">
            <v>g__unclassified_c__Clostridia</v>
          </cell>
          <cell r="I14649" t="str">
            <v>s__unclassified_c__Clostridia</v>
          </cell>
        </row>
        <row r="14650">
          <cell r="G14650" t="str">
            <v>ASV855</v>
          </cell>
          <cell r="H14650" t="str">
            <v>g__norank_f__Muribaculaceae</v>
          </cell>
          <cell r="I14650" t="str">
            <v>s__unclassified_g__norank_f__Muribaculaceae</v>
          </cell>
        </row>
        <row r="14651">
          <cell r="G14651" t="str">
            <v>ASV18178</v>
          </cell>
          <cell r="H14651" t="str">
            <v>g__unclassified_f__Lachnospiraceae</v>
          </cell>
          <cell r="I14651" t="str">
            <v>s__unclassified_f__Lachnospiraceae</v>
          </cell>
        </row>
        <row r="14652">
          <cell r="G14652" t="str">
            <v>ASV9565</v>
          </cell>
          <cell r="H14652" t="str">
            <v>g__unclassified_o__Oscillospirales</v>
          </cell>
          <cell r="I14652" t="str">
            <v>s__unclassified_o__Oscillospirales</v>
          </cell>
        </row>
        <row r="14653">
          <cell r="G14653" t="str">
            <v>ASV5046</v>
          </cell>
          <cell r="H14653" t="str">
            <v>g__unclassified_p__Firmicutes</v>
          </cell>
          <cell r="I14653" t="str">
            <v>s__unclassified_p__Firmicutes</v>
          </cell>
        </row>
        <row r="14654">
          <cell r="G14654" t="str">
            <v>ASV11865</v>
          </cell>
          <cell r="H14654" t="str">
            <v>g__Escherichia-Shigella</v>
          </cell>
          <cell r="I14654" t="str">
            <v>s__unclassified_g__Escherichia-Shigella</v>
          </cell>
        </row>
        <row r="14655">
          <cell r="G14655" t="str">
            <v>ASV808</v>
          </cell>
          <cell r="H14655" t="str">
            <v>g__unclassified_f__Lachnospiraceae</v>
          </cell>
          <cell r="I14655" t="str">
            <v>s__unclassified_f__Lachnospiraceae</v>
          </cell>
        </row>
        <row r="14656">
          <cell r="G14656" t="str">
            <v>ASV14465</v>
          </cell>
          <cell r="H14656" t="str">
            <v>g__unclassified_f__Lachnospiraceae</v>
          </cell>
          <cell r="I14656" t="str">
            <v>s__unclassified_f__Lachnospiraceae</v>
          </cell>
        </row>
        <row r="14657">
          <cell r="G14657" t="str">
            <v>ASV8823</v>
          </cell>
          <cell r="H14657" t="str">
            <v>g__Luteimonas</v>
          </cell>
          <cell r="I14657" t="str">
            <v>s__unclassified_g__Luteimonas</v>
          </cell>
        </row>
        <row r="14658">
          <cell r="G14658" t="str">
            <v>ASV19622</v>
          </cell>
          <cell r="H14658" t="str">
            <v>g__Ruminococcus</v>
          </cell>
          <cell r="I14658" t="str">
            <v>s__unclassified_g__Ruminococcus</v>
          </cell>
        </row>
        <row r="14659">
          <cell r="G14659" t="str">
            <v>ASV7906</v>
          </cell>
          <cell r="H14659" t="str">
            <v>g__unclassified_f__Lachnospiraceae</v>
          </cell>
          <cell r="I14659" t="str">
            <v>s__unclassified_f__Lachnospiraceae</v>
          </cell>
        </row>
        <row r="14660">
          <cell r="G14660" t="str">
            <v>ASV16449</v>
          </cell>
          <cell r="H14660" t="str">
            <v>g__unclassified_c__Bacilli</v>
          </cell>
          <cell r="I14660" t="str">
            <v>s__unclassified_c__Bacilli</v>
          </cell>
        </row>
        <row r="14661">
          <cell r="G14661" t="str">
            <v>ASV11952</v>
          </cell>
          <cell r="H14661" t="str">
            <v>g__Ruminococcus</v>
          </cell>
          <cell r="I14661" t="str">
            <v>s__unclassified_g__Ruminococcus</v>
          </cell>
        </row>
        <row r="14662">
          <cell r="G14662" t="str">
            <v>ASV11808</v>
          </cell>
          <cell r="H14662" t="str">
            <v>g__unclassified_f__Lachnospiraceae</v>
          </cell>
          <cell r="I14662" t="str">
            <v>s__unclassified_f__Lachnospiraceae</v>
          </cell>
        </row>
        <row r="14663">
          <cell r="G14663" t="str">
            <v>ASV11771</v>
          </cell>
          <cell r="H14663" t="str">
            <v>g__unclassified_o__Lactobacillales</v>
          </cell>
          <cell r="I14663" t="str">
            <v>s__unclassified_o__Lactobacillales</v>
          </cell>
        </row>
        <row r="14664">
          <cell r="G14664" t="str">
            <v>ASV21301</v>
          </cell>
          <cell r="H14664" t="str">
            <v>g__Blautia</v>
          </cell>
          <cell r="I14664" t="str">
            <v>s__unclassified_g__Blautia</v>
          </cell>
        </row>
        <row r="14665">
          <cell r="G14665" t="str">
            <v>ASV22350</v>
          </cell>
          <cell r="H14665" t="str">
            <v>g__norank_f__Eubacterium_coprostanoligenes_group</v>
          </cell>
          <cell r="I14665" t="str">
            <v>s__unclassified_g__norank_f__Eubacterium_coprostanoligenes_group</v>
          </cell>
        </row>
        <row r="14666">
          <cell r="G14666" t="str">
            <v>ASV4178</v>
          </cell>
          <cell r="H14666" t="str">
            <v>g__unclassified_k__norank_d__Bacteria</v>
          </cell>
          <cell r="I14666" t="str">
            <v>s__unclassified_k__norank_d__Bacteria</v>
          </cell>
        </row>
        <row r="14667">
          <cell r="G14667" t="str">
            <v>ASV15835</v>
          </cell>
          <cell r="H14667" t="str">
            <v>g__Escherichia-Shigella</v>
          </cell>
          <cell r="I14667" t="str">
            <v>s__unclassified_g__Escherichia-Shigella</v>
          </cell>
        </row>
        <row r="14668">
          <cell r="G14668" t="str">
            <v>ASV10702</v>
          </cell>
          <cell r="H14668" t="str">
            <v>g__unclassified_c__Bacilli</v>
          </cell>
          <cell r="I14668" t="str">
            <v>s__unclassified_c__Bacilli</v>
          </cell>
        </row>
        <row r="14669">
          <cell r="G14669" t="str">
            <v>ASV23345</v>
          </cell>
          <cell r="H14669" t="str">
            <v>g__Rikenellaceae_RC9_gut_group</v>
          </cell>
          <cell r="I14669" t="str">
            <v>s__uncultured_bacterium_g__Rikenellaceae_RC9_gut_group</v>
          </cell>
        </row>
        <row r="14670">
          <cell r="G14670" t="str">
            <v>ASV19816</v>
          </cell>
          <cell r="H14670" t="str">
            <v>g__norank_f__Muribaculaceae</v>
          </cell>
          <cell r="I14670" t="str">
            <v>s__uncultured_bacterium_g__norank_f__Muribaculaceae</v>
          </cell>
        </row>
        <row r="14671">
          <cell r="G14671" t="str">
            <v>ASV19808</v>
          </cell>
          <cell r="H14671" t="str">
            <v>g__unclassified_c__Clostridia</v>
          </cell>
          <cell r="I14671" t="str">
            <v>s__unclassified_c__Clostridia</v>
          </cell>
        </row>
        <row r="14672">
          <cell r="G14672" t="str">
            <v>ASV20818</v>
          </cell>
          <cell r="H14672" t="str">
            <v>g__unclassified_p__Firmicutes</v>
          </cell>
          <cell r="I14672" t="str">
            <v>s__unclassified_p__Firmicutes</v>
          </cell>
        </row>
        <row r="14673">
          <cell r="G14673" t="str">
            <v>ASV23362</v>
          </cell>
          <cell r="H14673" t="str">
            <v>g__Prevotellaceae_NK3B31_group</v>
          </cell>
          <cell r="I14673" t="str">
            <v>s__uncultured_bacterium_g__Prevotellaceae_NK3B31_group</v>
          </cell>
        </row>
        <row r="14674">
          <cell r="G14674" t="str">
            <v>ASV22383</v>
          </cell>
          <cell r="H14674" t="str">
            <v>g__unclassified_c__Clostridia</v>
          </cell>
          <cell r="I14674" t="str">
            <v>s__unclassified_c__Clostridia</v>
          </cell>
        </row>
        <row r="14675">
          <cell r="G14675" t="str">
            <v>ASV11856</v>
          </cell>
          <cell r="H14675" t="str">
            <v>g__Peptococcus</v>
          </cell>
          <cell r="I14675" t="str">
            <v>s__uncultured_bacterium_g__Peptococcus</v>
          </cell>
        </row>
        <row r="14676">
          <cell r="G14676" t="str">
            <v>ASV18124</v>
          </cell>
          <cell r="H14676" t="str">
            <v>g__Sphaerochaeta</v>
          </cell>
          <cell r="I14676" t="str">
            <v>s__uncultured_bacterium_g__Sphaerochaeta</v>
          </cell>
        </row>
        <row r="14677">
          <cell r="G14677" t="str">
            <v>ASV19629</v>
          </cell>
          <cell r="H14677" t="str">
            <v>g__unclassified_p__Firmicutes</v>
          </cell>
          <cell r="I14677" t="str">
            <v>s__unclassified_p__Firmicutes</v>
          </cell>
        </row>
        <row r="14678">
          <cell r="G14678" t="str">
            <v>ASV18140</v>
          </cell>
          <cell r="H14678" t="str">
            <v>g__Christensenellaceae_R-7_group</v>
          </cell>
          <cell r="I14678" t="str">
            <v>s__unclassified_g__Christensenellaceae_R-7_group</v>
          </cell>
        </row>
        <row r="14679">
          <cell r="G14679" t="str">
            <v>ASV4128</v>
          </cell>
          <cell r="H14679" t="str">
            <v>g__unclassified_k__norank_d__Bacteria</v>
          </cell>
          <cell r="I14679" t="str">
            <v>s__unclassified_k__norank_d__Bacteria</v>
          </cell>
        </row>
        <row r="14680">
          <cell r="G14680" t="str">
            <v>ASV992</v>
          </cell>
          <cell r="H14680" t="str">
            <v>g__norank_f__Muribaculaceae</v>
          </cell>
          <cell r="I14680" t="str">
            <v>s__uncultured_bacterium_g__norank_f__Muribaculaceae</v>
          </cell>
        </row>
        <row r="14681">
          <cell r="G14681" t="str">
            <v>ASV7979</v>
          </cell>
          <cell r="H14681" t="str">
            <v>g__unclassified_f__Lachnospiraceae</v>
          </cell>
          <cell r="I14681" t="str">
            <v>s__unclassified_f__Lachnospiraceae</v>
          </cell>
        </row>
        <row r="14682">
          <cell r="G14682" t="str">
            <v>ASV4990</v>
          </cell>
          <cell r="H14682" t="str">
            <v>g__norank_f__Erysipelotrichaceae</v>
          </cell>
          <cell r="I14682" t="str">
            <v>s__uncultured_bacterium_g__norank_f__Erysipelotrichaceae</v>
          </cell>
        </row>
        <row r="14683">
          <cell r="G14683" t="str">
            <v>ASV5104</v>
          </cell>
          <cell r="H14683" t="str">
            <v>g__unclassified_c__Clostridia</v>
          </cell>
          <cell r="I14683" t="str">
            <v>s__unclassified_c__Clostridia</v>
          </cell>
        </row>
        <row r="14684">
          <cell r="G14684" t="str">
            <v>ASV24229</v>
          </cell>
          <cell r="H14684" t="str">
            <v>g__Lactobacillus</v>
          </cell>
          <cell r="I14684" t="str">
            <v>s__unclassified_g__Lactobacillus</v>
          </cell>
        </row>
        <row r="14685">
          <cell r="G14685" t="str">
            <v>ASV22341</v>
          </cell>
          <cell r="H14685" t="str">
            <v>g__Lactobacillus</v>
          </cell>
          <cell r="I14685" t="str">
            <v>s__unclassified_g__Lactobacillus</v>
          </cell>
        </row>
        <row r="14686">
          <cell r="G14686" t="str">
            <v>ASV11852</v>
          </cell>
          <cell r="H14686" t="str">
            <v>g__unclassified_k__norank_d__Bacteria</v>
          </cell>
          <cell r="I14686" t="str">
            <v>s__unclassified_k__norank_d__Bacteria</v>
          </cell>
        </row>
        <row r="14687">
          <cell r="G14687" t="str">
            <v>ASV1718</v>
          </cell>
          <cell r="H14687" t="str">
            <v>g__Streptococcus</v>
          </cell>
          <cell r="I14687" t="str">
            <v>s__unclassified_g__Streptococcus</v>
          </cell>
        </row>
        <row r="14688">
          <cell r="G14688" t="str">
            <v>ASV20946</v>
          </cell>
          <cell r="H14688" t="str">
            <v>g__Clostridium_sensu_stricto_1</v>
          </cell>
          <cell r="I14688" t="str">
            <v>s__unclassified_g__Clostridium_sensu_stricto_1</v>
          </cell>
        </row>
        <row r="14689">
          <cell r="G14689" t="str">
            <v>ASV7845</v>
          </cell>
          <cell r="H14689" t="str">
            <v>g__unclassified_o__Veillonellales-Selenomonadales</v>
          </cell>
          <cell r="I14689" t="str">
            <v>s__unclassified_o__Veillonellales-Selenomonadales</v>
          </cell>
        </row>
        <row r="14690">
          <cell r="G14690" t="str">
            <v>ASV2336</v>
          </cell>
          <cell r="H14690" t="str">
            <v>g__Mitsuokella</v>
          </cell>
          <cell r="I14690" t="str">
            <v>s__unclassified_g__Mitsuokella</v>
          </cell>
        </row>
        <row r="14691">
          <cell r="G14691" t="str">
            <v>ASV12942</v>
          </cell>
          <cell r="H14691" t="str">
            <v>g__Christensenellaceae_R-7_group</v>
          </cell>
          <cell r="I14691" t="str">
            <v>s__unclassified_g__Christensenellaceae_R-7_group</v>
          </cell>
        </row>
        <row r="14692">
          <cell r="G14692" t="str">
            <v>ASV6063</v>
          </cell>
          <cell r="H14692" t="str">
            <v>g__unclassified_f__Ruminococcaceae</v>
          </cell>
          <cell r="I14692" t="str">
            <v>s__unclassified_f__Ruminococcaceae</v>
          </cell>
        </row>
        <row r="14693">
          <cell r="G14693" t="str">
            <v>ASV11731</v>
          </cell>
          <cell r="H14693" t="str">
            <v>g__unclassified_c__Clostridia</v>
          </cell>
          <cell r="I14693" t="str">
            <v>s__unclassified_c__Clostridia</v>
          </cell>
        </row>
        <row r="14694">
          <cell r="G14694" t="str">
            <v>ASV12011</v>
          </cell>
          <cell r="H14694" t="str">
            <v>g__UCG-002</v>
          </cell>
          <cell r="I14694" t="str">
            <v>s__unclassified_g__UCG-002</v>
          </cell>
        </row>
        <row r="14695">
          <cell r="G14695" t="str">
            <v>ASV23973</v>
          </cell>
          <cell r="H14695" t="str">
            <v>g__unclassified_f__Lachnospiraceae</v>
          </cell>
          <cell r="I14695" t="str">
            <v>s__unclassified_f__Lachnospiraceae</v>
          </cell>
        </row>
        <row r="14696">
          <cell r="G14696" t="str">
            <v>ASV14460</v>
          </cell>
          <cell r="H14696" t="str">
            <v>g__unclassified_c__Clostridia</v>
          </cell>
          <cell r="I14696" t="str">
            <v>s__unclassified_c__Clostridia</v>
          </cell>
        </row>
        <row r="14697">
          <cell r="G14697" t="str">
            <v>ASV5065</v>
          </cell>
          <cell r="H14697" t="str">
            <v>g__Prevotellaceae_NK3B31_group</v>
          </cell>
          <cell r="I14697" t="str">
            <v>s__unclassified_g__Prevotellaceae_NK3B31_group</v>
          </cell>
        </row>
        <row r="14698">
          <cell r="G14698" t="str">
            <v>ASV6012</v>
          </cell>
          <cell r="H14698" t="str">
            <v>g__unclassified_f__Lachnospiraceae</v>
          </cell>
          <cell r="I14698" t="str">
            <v>s__unclassified_f__Lachnospiraceae</v>
          </cell>
        </row>
        <row r="14699">
          <cell r="G14699" t="str">
            <v>ASV19074</v>
          </cell>
          <cell r="H14699" t="str">
            <v>g__norank_f__Ruminococcaceae</v>
          </cell>
          <cell r="I14699" t="str">
            <v>s__unclassified_g__norank_f__Ruminococcaceae</v>
          </cell>
        </row>
        <row r="14700">
          <cell r="G14700" t="str">
            <v>ASV5116</v>
          </cell>
          <cell r="H14700" t="str">
            <v>g__unclassified_f__Lachnospiraceae</v>
          </cell>
          <cell r="I14700" t="str">
            <v>s__unclassified_f__Lachnospiraceae</v>
          </cell>
        </row>
        <row r="14701">
          <cell r="G14701" t="str">
            <v>ASV8712</v>
          </cell>
          <cell r="H14701" t="str">
            <v>g__norank_f__JG30-KF-CM45</v>
          </cell>
          <cell r="I14701" t="str">
            <v>s__uncultured_bacterium_g__norank_f__JG30-KF-CM45</v>
          </cell>
        </row>
        <row r="14702">
          <cell r="G14702" t="str">
            <v>ASV22358</v>
          </cell>
          <cell r="H14702" t="str">
            <v>g__unclassified_c__Clostridia</v>
          </cell>
          <cell r="I14702" t="str">
            <v>s__unclassified_c__Clostridia</v>
          </cell>
        </row>
        <row r="14703">
          <cell r="G14703" t="str">
            <v>ASV6766</v>
          </cell>
          <cell r="H14703" t="str">
            <v>g__Phascolarctobacterium</v>
          </cell>
          <cell r="I14703" t="str">
            <v>s__Ruminococcus_sp._N15.MGS-57_g__Phascolarctobacterium</v>
          </cell>
        </row>
        <row r="14704">
          <cell r="G14704" t="str">
            <v>ASV10208</v>
          </cell>
          <cell r="H14704" t="str">
            <v>g__Lactobacillus</v>
          </cell>
          <cell r="I14704" t="str">
            <v>s__unclassified_g__Lactobacillus</v>
          </cell>
        </row>
        <row r="14705">
          <cell r="G14705" t="str">
            <v>ASV12000</v>
          </cell>
          <cell r="H14705" t="str">
            <v>g__unclassified_c__Clostridia</v>
          </cell>
          <cell r="I14705" t="str">
            <v>s__unclassified_c__Clostridia</v>
          </cell>
        </row>
        <row r="14706">
          <cell r="G14706" t="str">
            <v>ASV16470</v>
          </cell>
          <cell r="H14706" t="str">
            <v>g__Negativibacillus</v>
          </cell>
          <cell r="I14706" t="str">
            <v>s__unclassified_g__Negativibacillus</v>
          </cell>
        </row>
        <row r="14707">
          <cell r="G14707" t="str">
            <v>ASV22466</v>
          </cell>
          <cell r="H14707" t="str">
            <v>g__Lactobacillus</v>
          </cell>
          <cell r="I14707" t="str">
            <v>s__unclassified_g__Lactobacillus</v>
          </cell>
        </row>
        <row r="14708">
          <cell r="G14708" t="str">
            <v>ASV18893</v>
          </cell>
          <cell r="H14708" t="str">
            <v>g__Staphylococcus</v>
          </cell>
          <cell r="I14708" t="str">
            <v>s__unclassified_g__Staphylococcus</v>
          </cell>
        </row>
        <row r="14709">
          <cell r="G14709" t="str">
            <v>ASV19681</v>
          </cell>
          <cell r="H14709" t="str">
            <v>g__unclassified_o__Oscillospirales</v>
          </cell>
          <cell r="I14709" t="str">
            <v>s__unclassified_o__Oscillospirales</v>
          </cell>
        </row>
        <row r="14710">
          <cell r="G14710" t="str">
            <v>ASV11720</v>
          </cell>
          <cell r="H14710" t="str">
            <v>g__unclassified_c__Clostridia</v>
          </cell>
          <cell r="I14710" t="str">
            <v>s__unclassified_c__Clostridia</v>
          </cell>
        </row>
        <row r="14711">
          <cell r="G14711" t="str">
            <v>ASV11811</v>
          </cell>
          <cell r="H14711" t="str">
            <v>g__norank_f__Muribaculaceae</v>
          </cell>
          <cell r="I14711" t="str">
            <v>s__uncultured_bacterium_g__norank_f__Muribaculaceae</v>
          </cell>
        </row>
        <row r="14712">
          <cell r="G14712" t="str">
            <v>ASV9472</v>
          </cell>
          <cell r="H14712" t="str">
            <v>g__unclassified_c__Clostridia</v>
          </cell>
          <cell r="I14712" t="str">
            <v>s__unclassified_c__Clostridia</v>
          </cell>
        </row>
        <row r="14713">
          <cell r="G14713" t="str">
            <v>ASV20829</v>
          </cell>
          <cell r="H14713" t="str">
            <v>g__Ruminococcus</v>
          </cell>
          <cell r="I14713" t="str">
            <v>s__unclassified_g__Ruminococcus</v>
          </cell>
        </row>
        <row r="14714">
          <cell r="G14714" t="str">
            <v>ASV987</v>
          </cell>
          <cell r="H14714" t="str">
            <v>g__unclassified_c__Clostridia</v>
          </cell>
          <cell r="I14714" t="str">
            <v>s__unclassified_c__Clostridia</v>
          </cell>
        </row>
        <row r="14715">
          <cell r="G14715" t="str">
            <v>ASV11787</v>
          </cell>
          <cell r="H14715" t="str">
            <v>g__Olsenella</v>
          </cell>
          <cell r="I14715" t="str">
            <v>s__unclassified_g__Olsenella</v>
          </cell>
        </row>
        <row r="14716">
          <cell r="G14716" t="str">
            <v>ASV11986</v>
          </cell>
          <cell r="H14716" t="str">
            <v>g__unclassified_f__Oscillospiraceae</v>
          </cell>
          <cell r="I14716" t="str">
            <v>s__unclassified_f__Oscillospiraceae</v>
          </cell>
        </row>
        <row r="14717">
          <cell r="G14717" t="str">
            <v>ASV13435</v>
          </cell>
          <cell r="H14717" t="str">
            <v>g__unclassified_k__norank_d__Bacteria</v>
          </cell>
          <cell r="I14717" t="str">
            <v>s__unclassified_k__norank_d__Bacteria</v>
          </cell>
        </row>
        <row r="14718">
          <cell r="G14718" t="str">
            <v>ASV12819</v>
          </cell>
          <cell r="H14718" t="str">
            <v>g__norank_f__UCG-010</v>
          </cell>
          <cell r="I14718" t="str">
            <v>s__unclassified_g__norank_f__UCG-010</v>
          </cell>
        </row>
        <row r="14719">
          <cell r="G14719" t="str">
            <v>ASV16180</v>
          </cell>
          <cell r="H14719" t="str">
            <v>g__Bacillus</v>
          </cell>
          <cell r="I14719" t="str">
            <v>s__Lactobacillus_vaginalis_g__Bacillus</v>
          </cell>
        </row>
        <row r="14720">
          <cell r="G14720" t="str">
            <v>ASV12905</v>
          </cell>
          <cell r="H14720" t="str">
            <v>g__unclassified_f__Peptostreptococcaceae</v>
          </cell>
          <cell r="I14720" t="str">
            <v>s__unclassified_f__Peptostreptococcaceae</v>
          </cell>
        </row>
        <row r="14721">
          <cell r="G14721" t="str">
            <v>ASV4050</v>
          </cell>
          <cell r="H14721" t="str">
            <v>g__unclassified_f__Peptococcaceae</v>
          </cell>
          <cell r="I14721" t="str">
            <v>s__unclassified_f__Peptococcaceae</v>
          </cell>
        </row>
        <row r="14722">
          <cell r="G14722" t="str">
            <v>ASV5973</v>
          </cell>
          <cell r="H14722" t="str">
            <v>g__Escherichia-Shigella</v>
          </cell>
          <cell r="I14722" t="str">
            <v>s__unclassified_g__Escherichia-Shigella</v>
          </cell>
        </row>
        <row r="14723">
          <cell r="G14723" t="str">
            <v>ASV19672</v>
          </cell>
          <cell r="H14723" t="str">
            <v>g__Bacteroides</v>
          </cell>
          <cell r="I14723" t="str">
            <v>s__unclassified_g__Bacteroides</v>
          </cell>
        </row>
        <row r="14724">
          <cell r="G14724" t="str">
            <v>ASV7825</v>
          </cell>
          <cell r="H14724" t="str">
            <v>g__Enterococcus</v>
          </cell>
          <cell r="I14724" t="str">
            <v>s__unclassified_g__Enterococcus</v>
          </cell>
        </row>
        <row r="14725">
          <cell r="G14725" t="str">
            <v>ASV17618</v>
          </cell>
          <cell r="H14725" t="str">
            <v>g__unclassified_f__Lachnospiraceae</v>
          </cell>
          <cell r="I14725" t="str">
            <v>s__unclassified_f__Lachnospiraceae</v>
          </cell>
        </row>
        <row r="14726">
          <cell r="G14726" t="str">
            <v>ASV14506</v>
          </cell>
          <cell r="H14726" t="str">
            <v>g__Christensenellaceae_R-7_group</v>
          </cell>
          <cell r="I14726" t="str">
            <v>s__unclassified_g__Christensenellaceae_R-7_group</v>
          </cell>
        </row>
        <row r="14727">
          <cell r="G14727" t="str">
            <v>ASV9440</v>
          </cell>
          <cell r="H14727" t="str">
            <v>g__Alloprevotella</v>
          </cell>
          <cell r="I14727" t="str">
            <v>s__unclassified_g__Alloprevotella</v>
          </cell>
        </row>
        <row r="14728">
          <cell r="G14728" t="str">
            <v>ASV10211</v>
          </cell>
          <cell r="H14728" t="str">
            <v>g__Lactobacillus</v>
          </cell>
          <cell r="I14728" t="str">
            <v>s__unclassified_g__Lactobacillus</v>
          </cell>
        </row>
        <row r="14729">
          <cell r="G14729" t="str">
            <v>ASV14542</v>
          </cell>
          <cell r="H14729" t="str">
            <v>g__unclassified_c__Clostridia</v>
          </cell>
          <cell r="I14729" t="str">
            <v>s__unclassified_c__Clostridia</v>
          </cell>
        </row>
        <row r="14730">
          <cell r="G14730" t="str">
            <v>ASV15424</v>
          </cell>
          <cell r="H14730" t="str">
            <v>g__unclassified_f__Ruminococcaceae</v>
          </cell>
          <cell r="I14730" t="str">
            <v>s__unclassified_f__Ruminococcaceae</v>
          </cell>
        </row>
        <row r="14731">
          <cell r="G14731" t="str">
            <v>ASV3232</v>
          </cell>
          <cell r="H14731" t="str">
            <v>g__unclassified_p__Firmicutes</v>
          </cell>
          <cell r="I14731" t="str">
            <v>s__unclassified_p__Firmicutes</v>
          </cell>
        </row>
        <row r="14732">
          <cell r="G14732" t="str">
            <v>ASV10088</v>
          </cell>
          <cell r="H14732" t="str">
            <v>g__Campylobacter</v>
          </cell>
          <cell r="I14732" t="str">
            <v>s__unclassified_g__Campylobacter</v>
          </cell>
        </row>
        <row r="14733">
          <cell r="G14733" t="str">
            <v>ASV22445</v>
          </cell>
          <cell r="H14733" t="str">
            <v>g__Enterococcus</v>
          </cell>
          <cell r="I14733" t="str">
            <v>s__unclassified_g__Enterococcus</v>
          </cell>
        </row>
        <row r="14734">
          <cell r="G14734" t="str">
            <v>ASV793</v>
          </cell>
          <cell r="H14734" t="str">
            <v>g__Clostridium_sensu_stricto_1</v>
          </cell>
          <cell r="I14734" t="str">
            <v>s__unclassified_g__Clostridium_sensu_stricto_1</v>
          </cell>
        </row>
        <row r="14735">
          <cell r="G14735" t="str">
            <v>ASV6779</v>
          </cell>
          <cell r="H14735" t="str">
            <v>g__Enterococcus</v>
          </cell>
          <cell r="I14735" t="str">
            <v>s__unclassified_g__Enterococcus</v>
          </cell>
        </row>
        <row r="14736">
          <cell r="G14736" t="str">
            <v>ASV1050</v>
          </cell>
          <cell r="H14736" t="str">
            <v>g__unclassified_f__Anaerovoracaceae</v>
          </cell>
          <cell r="I14736" t="str">
            <v>s__unclassified_f__Anaerovoracaceae</v>
          </cell>
        </row>
        <row r="14737">
          <cell r="G14737" t="str">
            <v>ASV23993</v>
          </cell>
          <cell r="H14737" t="str">
            <v>g__unclassified_f__Prevotellaceae</v>
          </cell>
          <cell r="I14737" t="str">
            <v>s__unclassified_f__Prevotellaceae</v>
          </cell>
        </row>
        <row r="14738">
          <cell r="G14738" t="str">
            <v>ASV8645</v>
          </cell>
          <cell r="H14738" t="str">
            <v>g__Helicobacter</v>
          </cell>
          <cell r="I14738" t="str">
            <v>s__Helicobacter_rodentium</v>
          </cell>
        </row>
        <row r="14739">
          <cell r="G14739" t="str">
            <v>ASV4095</v>
          </cell>
          <cell r="H14739" t="str">
            <v>g__unclassified_f__Oscillospiraceae</v>
          </cell>
          <cell r="I14739" t="str">
            <v>s__unclassified_f__Oscillospiraceae</v>
          </cell>
        </row>
        <row r="14740">
          <cell r="G14740" t="str">
            <v>ASV22405</v>
          </cell>
          <cell r="H14740" t="str">
            <v>g__unclassified_f__Lachnospiraceae</v>
          </cell>
          <cell r="I14740" t="str">
            <v>s__unclassified_f__Lachnospiraceae</v>
          </cell>
        </row>
        <row r="14741">
          <cell r="G14741" t="str">
            <v>ASV14524</v>
          </cell>
          <cell r="H14741" t="str">
            <v>g__norank_f__UCG-010</v>
          </cell>
          <cell r="I14741" t="str">
            <v>s__uncultured_bacterium_g__norank_f__UCG-010</v>
          </cell>
        </row>
        <row r="14742">
          <cell r="G14742" t="str">
            <v>ASV20869</v>
          </cell>
          <cell r="H14742" t="str">
            <v>g__unclassified_f__Oscillospiraceae</v>
          </cell>
          <cell r="I14742" t="str">
            <v>s__unclassified_f__Oscillospiraceae</v>
          </cell>
        </row>
        <row r="14743">
          <cell r="G14743" t="str">
            <v>ASV11942</v>
          </cell>
          <cell r="H14743" t="str">
            <v>g__unclassified_f__Lachnospiraceae</v>
          </cell>
          <cell r="I14743" t="str">
            <v>s__unclassified_f__Lachnospiraceae</v>
          </cell>
        </row>
        <row r="14744">
          <cell r="G14744" t="str">
            <v>ASV16974</v>
          </cell>
          <cell r="H14744" t="str">
            <v>g__Lactobacillus</v>
          </cell>
          <cell r="I14744" t="str">
            <v>s__unclassified_g__Lactobacillus</v>
          </cell>
        </row>
        <row r="14745">
          <cell r="G14745" t="str">
            <v>ASV6146</v>
          </cell>
          <cell r="H14745" t="str">
            <v>g__norank_f__norank_o__RF39</v>
          </cell>
          <cell r="I14745" t="str">
            <v>s__uncultured_bacterium_g__norank_f__norank_o__RF39</v>
          </cell>
        </row>
        <row r="14746">
          <cell r="G14746" t="str">
            <v>ASV16050</v>
          </cell>
          <cell r="H14746" t="str">
            <v>g__Anaerovibrio</v>
          </cell>
          <cell r="I14746" t="str">
            <v>s__unclassified_g__Anaerovibrio</v>
          </cell>
        </row>
        <row r="14747">
          <cell r="G14747" t="str">
            <v>ASV23434</v>
          </cell>
          <cell r="H14747" t="str">
            <v>g__unclassified_p__Firmicutes</v>
          </cell>
          <cell r="I14747" t="str">
            <v>s__unclassified_p__Firmicutes</v>
          </cell>
        </row>
        <row r="14748">
          <cell r="G14748" t="str">
            <v>ASV20828</v>
          </cell>
          <cell r="H14748" t="str">
            <v>g__unclassified_f__Lachnospiraceae</v>
          </cell>
          <cell r="I14748" t="str">
            <v>s__unclassified_f__Lachnospiraceae</v>
          </cell>
        </row>
        <row r="14749">
          <cell r="G14749" t="str">
            <v>ASV10784</v>
          </cell>
          <cell r="H14749" t="str">
            <v>g__unclassified_c__Clostridia</v>
          </cell>
          <cell r="I14749" t="str">
            <v>s__unclassified_c__Clostridia</v>
          </cell>
        </row>
        <row r="14750">
          <cell r="G14750" t="str">
            <v>ASV23446</v>
          </cell>
          <cell r="H14750" t="str">
            <v>g__unclassified_f__Lachnospiraceae</v>
          </cell>
          <cell r="I14750" t="str">
            <v>s__unclassified_f__Lachnospiraceae</v>
          </cell>
        </row>
        <row r="14751">
          <cell r="G14751" t="str">
            <v>ASV20921</v>
          </cell>
          <cell r="H14751" t="str">
            <v>g__unclassified_c__Clostridia</v>
          </cell>
          <cell r="I14751" t="str">
            <v>s__unclassified_c__Clostridia</v>
          </cell>
        </row>
        <row r="14752">
          <cell r="G14752" t="str">
            <v>ASV6813</v>
          </cell>
          <cell r="H14752" t="str">
            <v>g__unclassified_f__Synergistaceae</v>
          </cell>
          <cell r="I14752" t="str">
            <v>s__unclassified_f__Synergistaceae</v>
          </cell>
        </row>
        <row r="14753">
          <cell r="G14753" t="str">
            <v>ASV20882</v>
          </cell>
          <cell r="H14753" t="str">
            <v>g__unclassified_c__Clostridia</v>
          </cell>
          <cell r="I14753" t="str">
            <v>s__unclassified_c__Clostridia</v>
          </cell>
        </row>
        <row r="14754">
          <cell r="G14754" t="str">
            <v>ASV18940</v>
          </cell>
          <cell r="H14754" t="str">
            <v>g__unclassified_f__Lachnospiraceae</v>
          </cell>
          <cell r="I14754" t="str">
            <v>s__unclassified_f__Lachnospiraceae</v>
          </cell>
        </row>
        <row r="14755">
          <cell r="G14755" t="str">
            <v>ASV8720</v>
          </cell>
          <cell r="H14755" t="str">
            <v>g__Peptococcus</v>
          </cell>
          <cell r="I14755" t="str">
            <v>s__Peptococcus_simiae</v>
          </cell>
        </row>
        <row r="14756">
          <cell r="G14756" t="str">
            <v>ASV14485</v>
          </cell>
          <cell r="H14756" t="str">
            <v>g__unclassified_f__Lachnospiraceae</v>
          </cell>
          <cell r="I14756" t="str">
            <v>s__unclassified_f__Lachnospiraceae</v>
          </cell>
        </row>
        <row r="14757">
          <cell r="G14757" t="str">
            <v>ASV1739</v>
          </cell>
          <cell r="H14757" t="str">
            <v>g__Lactobacillus</v>
          </cell>
          <cell r="I14757" t="str">
            <v>s__unclassified_g__Lactobacillus</v>
          </cell>
        </row>
        <row r="14758">
          <cell r="G14758" t="str">
            <v>ASV6041</v>
          </cell>
          <cell r="H14758" t="str">
            <v>g__UBA1819</v>
          </cell>
          <cell r="I14758" t="str">
            <v>s__unclassified_g__UBA1819</v>
          </cell>
        </row>
        <row r="14759">
          <cell r="G14759" t="str">
            <v>ASV15808</v>
          </cell>
          <cell r="H14759" t="str">
            <v>g__unclassified_c__Clostridia</v>
          </cell>
          <cell r="I14759" t="str">
            <v>s__unclassified_c__Clostridia</v>
          </cell>
        </row>
        <row r="14760">
          <cell r="G14760" t="str">
            <v>ASV23991</v>
          </cell>
          <cell r="H14760" t="str">
            <v>g__unclassified_f__Lachnospiraceae</v>
          </cell>
          <cell r="I14760" t="str">
            <v>s__unclassified_f__Lachnospiraceae</v>
          </cell>
        </row>
        <row r="14761">
          <cell r="G14761" t="str">
            <v>ASV13468</v>
          </cell>
          <cell r="H14761" t="str">
            <v>g__Lachnospiraceae_NC2004_group</v>
          </cell>
          <cell r="I14761" t="str">
            <v>s__uncultured_bacterium_g__Lachnospiraceae_NC2004_group</v>
          </cell>
        </row>
        <row r="14762">
          <cell r="G14762" t="str">
            <v>ASV9476</v>
          </cell>
          <cell r="H14762" t="str">
            <v>g__unclassified_f__Ruminococcaceae</v>
          </cell>
          <cell r="I14762" t="str">
            <v>s__unclassified_f__Ruminococcaceae</v>
          </cell>
        </row>
        <row r="14763">
          <cell r="G14763" t="str">
            <v>ASV11779</v>
          </cell>
          <cell r="H14763" t="str">
            <v>g__unclassified_c__Clostridia</v>
          </cell>
          <cell r="I14763" t="str">
            <v>s__unclassified_c__Clostridia</v>
          </cell>
        </row>
        <row r="14764">
          <cell r="G14764" t="str">
            <v>ASV926</v>
          </cell>
          <cell r="H14764" t="str">
            <v>g__unclassified_f__Lachnospiraceae</v>
          </cell>
          <cell r="I14764" t="str">
            <v>s__unclassified_f__Lachnospiraceae</v>
          </cell>
        </row>
        <row r="14765">
          <cell r="G14765" t="str">
            <v>ASV21469</v>
          </cell>
          <cell r="H14765" t="str">
            <v>g__unclassified_f__Lachnospiraceae</v>
          </cell>
          <cell r="I14765" t="str">
            <v>s__unclassified_f__Lachnospiraceae</v>
          </cell>
        </row>
        <row r="14766">
          <cell r="G14766" t="str">
            <v>ASV12927</v>
          </cell>
          <cell r="H14766" t="str">
            <v>g__unclassified_f__Oscillospiraceae</v>
          </cell>
          <cell r="I14766" t="str">
            <v>s__unclassified_f__Oscillospiraceae</v>
          </cell>
        </row>
        <row r="14767">
          <cell r="G14767" t="str">
            <v>ASV4160</v>
          </cell>
          <cell r="H14767" t="str">
            <v>g__unclassified_f__Enterobacteriaceae</v>
          </cell>
          <cell r="I14767" t="str">
            <v>s__unclassified_f__Enterobacteriaceae</v>
          </cell>
        </row>
        <row r="14768">
          <cell r="G14768" t="str">
            <v>ASV11960</v>
          </cell>
          <cell r="H14768" t="str">
            <v>g__unclassified_c__Clostridia</v>
          </cell>
          <cell r="I14768" t="str">
            <v>s__unclassified_c__Clostridia</v>
          </cell>
        </row>
        <row r="14769">
          <cell r="G14769" t="str">
            <v>ASV19080</v>
          </cell>
          <cell r="H14769" t="str">
            <v>g__unclassified_o__Oscillospirales</v>
          </cell>
          <cell r="I14769" t="str">
            <v>s__unclassified_o__Oscillospirales</v>
          </cell>
        </row>
        <row r="14770">
          <cell r="G14770" t="str">
            <v>ASV18063</v>
          </cell>
          <cell r="H14770" t="str">
            <v>g__unclassified_c__Clostridia</v>
          </cell>
          <cell r="I14770" t="str">
            <v>s__unclassified_c__Clostridia</v>
          </cell>
        </row>
        <row r="14771">
          <cell r="G14771" t="str">
            <v>ASV16514</v>
          </cell>
          <cell r="H14771" t="str">
            <v>g__unclassified_f__Lachnospiraceae</v>
          </cell>
          <cell r="I14771" t="str">
            <v>s__unclassified_f__Lachnospiraceae</v>
          </cell>
        </row>
        <row r="14772">
          <cell r="G14772" t="str">
            <v>ASV14455</v>
          </cell>
          <cell r="H14772" t="str">
            <v>g__Prevotella</v>
          </cell>
          <cell r="I14772" t="str">
            <v>s__uncultured_bacterium_g__Prevotella</v>
          </cell>
        </row>
        <row r="14773">
          <cell r="G14773" t="str">
            <v>ASV16477</v>
          </cell>
          <cell r="H14773" t="str">
            <v>g__unclassified_o__Oscillospirales</v>
          </cell>
          <cell r="I14773" t="str">
            <v>s__unclassified_o__Oscillospirales</v>
          </cell>
        </row>
        <row r="14774">
          <cell r="G14774" t="str">
            <v>ASV22424</v>
          </cell>
          <cell r="H14774" t="str">
            <v>g__Christensenellaceae_R-7_group</v>
          </cell>
          <cell r="I14774" t="str">
            <v>s__unclassified_g__Christensenellaceae_R-7_group</v>
          </cell>
        </row>
        <row r="14775">
          <cell r="G14775" t="str">
            <v>ASV3034</v>
          </cell>
          <cell r="H14775" t="str">
            <v>g__unclassified_o__Saccharimonadales</v>
          </cell>
          <cell r="I14775" t="str">
            <v>s__unclassified_o__Saccharimonadales</v>
          </cell>
        </row>
        <row r="14776">
          <cell r="G14776" t="str">
            <v>ASV11843</v>
          </cell>
          <cell r="H14776" t="str">
            <v>g__unclassified_f__Lachnospiraceae</v>
          </cell>
          <cell r="I14776" t="str">
            <v>s__unclassified_f__Lachnospiraceae</v>
          </cell>
        </row>
        <row r="14777">
          <cell r="G14777" t="str">
            <v>ASV4100</v>
          </cell>
          <cell r="H14777" t="str">
            <v>g__Enterococcus</v>
          </cell>
          <cell r="I14777" t="str">
            <v>s__unclassified_g__Enterococcus</v>
          </cell>
        </row>
        <row r="14778">
          <cell r="G14778" t="str">
            <v>ASV16941</v>
          </cell>
          <cell r="H14778" t="str">
            <v>g__Oscillibacter</v>
          </cell>
          <cell r="I14778" t="str">
            <v>s__unclassified_g__Oscillibacter</v>
          </cell>
        </row>
        <row r="14779">
          <cell r="G14779" t="str">
            <v>ASV23331</v>
          </cell>
          <cell r="H14779" t="str">
            <v>g__norank_f__Gracilibacteraceae</v>
          </cell>
          <cell r="I14779" t="str">
            <v>s__uncultured_bacterium_g__norank_f__Gracilibacteraceae</v>
          </cell>
        </row>
        <row r="14780">
          <cell r="G14780" t="str">
            <v>ASV16949</v>
          </cell>
          <cell r="H14780" t="str">
            <v>g__unclassified_c__Clostridia</v>
          </cell>
          <cell r="I14780" t="str">
            <v>s__unclassified_c__Clostridia</v>
          </cell>
        </row>
        <row r="14781">
          <cell r="G14781" t="str">
            <v>ASV11736</v>
          </cell>
          <cell r="H14781" t="str">
            <v>g__Actinomyces</v>
          </cell>
          <cell r="I14781" t="str">
            <v>s__unclassified_g__Actinomyces</v>
          </cell>
        </row>
        <row r="14782">
          <cell r="G14782" t="str">
            <v>ASV15524</v>
          </cell>
          <cell r="H14782" t="str">
            <v>g__SP3-e08</v>
          </cell>
          <cell r="I14782" t="str">
            <v>s__uncultured_bacterium_g__SP3-e08</v>
          </cell>
        </row>
        <row r="14783">
          <cell r="G14783" t="str">
            <v>ASV11906</v>
          </cell>
          <cell r="H14783" t="str">
            <v>g__unclassified_f__Lachnospiraceae</v>
          </cell>
          <cell r="I14783" t="str">
            <v>s__unclassified_f__Lachnospiraceae</v>
          </cell>
        </row>
        <row r="14784">
          <cell r="G14784" t="str">
            <v>ASV22404</v>
          </cell>
          <cell r="H14784" t="str">
            <v>g__Succiniclasticum</v>
          </cell>
          <cell r="I14784" t="str">
            <v>s__uncultured_rumen_bacterium_4C28d-16</v>
          </cell>
        </row>
        <row r="14785">
          <cell r="G14785" t="str">
            <v>ASV10684</v>
          </cell>
          <cell r="H14785" t="str">
            <v>g__Lactobacillus</v>
          </cell>
          <cell r="I14785" t="str">
            <v>s__unclassified_g__Lactobacillus</v>
          </cell>
        </row>
        <row r="14786">
          <cell r="G14786" t="str">
            <v>ASV4184</v>
          </cell>
          <cell r="H14786" t="str">
            <v>g__unclassified_c__Clostridia</v>
          </cell>
          <cell r="I14786" t="str">
            <v>s__unclassified_c__Clostridia</v>
          </cell>
        </row>
        <row r="14787">
          <cell r="G14787" t="str">
            <v>ASV857</v>
          </cell>
          <cell r="H14787" t="str">
            <v>g__unclassified_p__Firmicutes</v>
          </cell>
          <cell r="I14787" t="str">
            <v>s__unclassified_p__Firmicutes</v>
          </cell>
        </row>
        <row r="14788">
          <cell r="G14788" t="str">
            <v>ASV2388</v>
          </cell>
          <cell r="H14788" t="str">
            <v>g__Lachnoclostridium</v>
          </cell>
          <cell r="I14788" t="str">
            <v>s__unclassified_g__Lachnoclostridium</v>
          </cell>
        </row>
        <row r="14789">
          <cell r="G14789" t="str">
            <v>ASV6829</v>
          </cell>
          <cell r="H14789" t="str">
            <v>g__unclassified_c__Bacilli</v>
          </cell>
          <cell r="I14789" t="str">
            <v>s__unclassified_c__Bacilli</v>
          </cell>
        </row>
        <row r="14790">
          <cell r="G14790" t="str">
            <v>ASV9531</v>
          </cell>
          <cell r="H14790" t="str">
            <v>g__norank_f__Eubacterium_coprostanoligenes_group</v>
          </cell>
          <cell r="I14790" t="str">
            <v>s__unclassified_g__norank_f__Eubacterium_coprostanoligenes_group</v>
          </cell>
        </row>
        <row r="14791">
          <cell r="G14791" t="str">
            <v>ASV19645</v>
          </cell>
          <cell r="H14791" t="str">
            <v>g__unclassified_c__Bacilli</v>
          </cell>
          <cell r="I14791" t="str">
            <v>s__unclassified_c__Bacilli</v>
          </cell>
        </row>
        <row r="14792">
          <cell r="G14792" t="str">
            <v>ASV4169</v>
          </cell>
          <cell r="H14792" t="str">
            <v>g__Cloacibacillus</v>
          </cell>
          <cell r="I14792" t="str">
            <v>s__unclassified_g__Cloacibacillus</v>
          </cell>
        </row>
        <row r="14793">
          <cell r="G14793" t="str">
            <v>ASV12001</v>
          </cell>
          <cell r="H14793" t="str">
            <v>g__Prevotella</v>
          </cell>
          <cell r="I14793" t="str">
            <v>s__unclassified_g__Prevotella</v>
          </cell>
        </row>
        <row r="14794">
          <cell r="G14794" t="str">
            <v>ASV23390</v>
          </cell>
          <cell r="H14794" t="str">
            <v>g__Lactobacillus</v>
          </cell>
          <cell r="I14794" t="str">
            <v>s__unclassified_g__Lactobacillus</v>
          </cell>
        </row>
        <row r="14795">
          <cell r="G14795" t="str">
            <v>ASV11827</v>
          </cell>
          <cell r="H14795" t="str">
            <v>g__Christensenellaceae_R-7_group</v>
          </cell>
          <cell r="I14795" t="str">
            <v>s__unclassified_g__Christensenellaceae_R-7_group</v>
          </cell>
        </row>
        <row r="14796">
          <cell r="G14796" t="str">
            <v>ASV19170</v>
          </cell>
          <cell r="H14796" t="str">
            <v>g__Comamonas</v>
          </cell>
          <cell r="I14796" t="str">
            <v>s__Comamonas_terrigena</v>
          </cell>
        </row>
        <row r="14797">
          <cell r="G14797" t="str">
            <v>ASV23397</v>
          </cell>
          <cell r="H14797" t="str">
            <v>g__unclassified_c__Clostridia</v>
          </cell>
          <cell r="I14797" t="str">
            <v>s__unclassified_c__Clostridia</v>
          </cell>
        </row>
        <row r="14798">
          <cell r="G14798" t="str">
            <v>ASV23341</v>
          </cell>
          <cell r="H14798" t="str">
            <v>g__unclassified_p__Firmicutes</v>
          </cell>
          <cell r="I14798" t="str">
            <v>s__unclassified_p__Firmicutes</v>
          </cell>
        </row>
        <row r="14799">
          <cell r="G14799" t="str">
            <v>ASV11914</v>
          </cell>
          <cell r="H14799" t="str">
            <v>g__unclassified_f__Oscillospiraceae</v>
          </cell>
          <cell r="I14799" t="str">
            <v>s__unclassified_f__Oscillospiraceae</v>
          </cell>
        </row>
        <row r="14800">
          <cell r="G14800" t="str">
            <v>ASV6076</v>
          </cell>
          <cell r="H14800" t="str">
            <v>g__norank_f__Ruminococcaceae</v>
          </cell>
          <cell r="I14800" t="str">
            <v>s__unclassified_g__norank_f__Ruminococcaceae</v>
          </cell>
        </row>
        <row r="14801">
          <cell r="G14801" t="str">
            <v>ASV20929</v>
          </cell>
          <cell r="H14801" t="str">
            <v>g__Christensenellaceae_R-7_group</v>
          </cell>
          <cell r="I14801" t="str">
            <v>s__unclassified_g__Christensenellaceae_R-7_group</v>
          </cell>
        </row>
        <row r="14802">
          <cell r="G14802" t="str">
            <v>ASV20858</v>
          </cell>
          <cell r="H14802" t="str">
            <v>g__norank_f__Eubacterium_coprostanoligenes_group</v>
          </cell>
          <cell r="I14802" t="str">
            <v>s__unclassified_g__norank_f__Eubacterium_coprostanoligenes_group</v>
          </cell>
        </row>
        <row r="14803">
          <cell r="G14803" t="str">
            <v>ASV23848</v>
          </cell>
          <cell r="H14803" t="str">
            <v>g__Bacteroides</v>
          </cell>
          <cell r="I14803" t="str">
            <v>s__unclassified_g__Bacteroides</v>
          </cell>
        </row>
        <row r="14804">
          <cell r="G14804" t="str">
            <v>ASV1083</v>
          </cell>
          <cell r="H14804" t="str">
            <v>g__Clostridium_sensu_stricto_1</v>
          </cell>
          <cell r="I14804" t="str">
            <v>s__unclassified_g__Clostridium_sensu_stricto_1</v>
          </cell>
        </row>
        <row r="14805">
          <cell r="G14805" t="str">
            <v>ASV2921</v>
          </cell>
          <cell r="H14805" t="str">
            <v>g__Capnocytophaga</v>
          </cell>
          <cell r="I14805" t="str">
            <v>s__uncultured_bacterium_g__Capnocytophaga</v>
          </cell>
        </row>
        <row r="14806">
          <cell r="G14806" t="str">
            <v>ASV24178</v>
          </cell>
          <cell r="H14806" t="str">
            <v>g__Parabacteroides</v>
          </cell>
          <cell r="I14806" t="str">
            <v>s__Porphyromonadaceae_bacterium_DJF_B175</v>
          </cell>
        </row>
        <row r="14807">
          <cell r="G14807" t="str">
            <v>ASV22351</v>
          </cell>
          <cell r="H14807" t="str">
            <v>g__UCG-005</v>
          </cell>
          <cell r="I14807" t="str">
            <v>s__unclassified_g__UCG-005</v>
          </cell>
        </row>
        <row r="14808">
          <cell r="G14808" t="str">
            <v>ASV5128</v>
          </cell>
          <cell r="H14808" t="str">
            <v>g__Prevotellaceae_NK3B31_group</v>
          </cell>
          <cell r="I14808" t="str">
            <v>s__uncultured_bacterium_g__Prevotellaceae_NK3B31_group</v>
          </cell>
        </row>
        <row r="14809">
          <cell r="G14809" t="str">
            <v>ASV846</v>
          </cell>
          <cell r="H14809" t="str">
            <v>g__unclassified_c__Clostridia</v>
          </cell>
          <cell r="I14809" t="str">
            <v>s__unclassified_c__Clostridia</v>
          </cell>
        </row>
        <row r="14810">
          <cell r="G14810" t="str">
            <v>ASV5944</v>
          </cell>
          <cell r="H14810" t="str">
            <v>g__unclassified_c__Clostridia</v>
          </cell>
          <cell r="I14810" t="str">
            <v>s__unclassified_c__Clostridia</v>
          </cell>
        </row>
        <row r="14811">
          <cell r="G14811" t="str">
            <v>ASV8814</v>
          </cell>
          <cell r="H14811" t="str">
            <v>g__Ornithobacterium</v>
          </cell>
          <cell r="I14811" t="str">
            <v>s__unclassified_g__Ornithobacterium</v>
          </cell>
        </row>
        <row r="14812">
          <cell r="G14812" t="str">
            <v>ASV23479</v>
          </cell>
          <cell r="H14812" t="str">
            <v>g__unclassified_c__Clostridia</v>
          </cell>
          <cell r="I14812" t="str">
            <v>s__unclassified_c__Clostridia</v>
          </cell>
        </row>
        <row r="14813">
          <cell r="G14813" t="str">
            <v>ASV844</v>
          </cell>
          <cell r="H14813" t="str">
            <v>g__unclassified_c__Clostridia</v>
          </cell>
          <cell r="I14813" t="str">
            <v>s__unclassified_c__Clostridia</v>
          </cell>
        </row>
        <row r="14814">
          <cell r="G14814" t="str">
            <v>ASV18099</v>
          </cell>
          <cell r="H14814" t="str">
            <v>g__NK4A214_group</v>
          </cell>
          <cell r="I14814" t="str">
            <v>s__unclassified_g__NK4A214_group</v>
          </cell>
        </row>
        <row r="14815">
          <cell r="G14815" t="str">
            <v>ASV9008</v>
          </cell>
          <cell r="H14815" t="str">
            <v>g__unclassified_o__Burkholderiales</v>
          </cell>
          <cell r="I14815" t="str">
            <v>s__unclassified_o__Burkholderiales</v>
          </cell>
        </row>
        <row r="14816">
          <cell r="G14816" t="str">
            <v>ASV7092</v>
          </cell>
          <cell r="H14816" t="str">
            <v>g__unclassified_p__Firmicutes</v>
          </cell>
          <cell r="I14816" t="str">
            <v>s__unclassified_p__Firmicutes</v>
          </cell>
        </row>
        <row r="14817">
          <cell r="G14817" t="str">
            <v>ASV2242</v>
          </cell>
          <cell r="H14817" t="str">
            <v>g__unclassified_c__Clostridia</v>
          </cell>
          <cell r="I14817" t="str">
            <v>s__unclassified_c__Clostridia</v>
          </cell>
        </row>
        <row r="14818">
          <cell r="G14818" t="str">
            <v>ASV2315</v>
          </cell>
          <cell r="H14818" t="str">
            <v>g__unclassified_p__Firmicutes</v>
          </cell>
          <cell r="I14818" t="str">
            <v>s__unclassified_p__Firmicutes</v>
          </cell>
        </row>
        <row r="14819">
          <cell r="G14819" t="str">
            <v>ASV3262</v>
          </cell>
          <cell r="H14819" t="str">
            <v>g__Bacillus</v>
          </cell>
          <cell r="I14819" t="str">
            <v>s__Lactobacillus_vaginalis_g__Bacillus</v>
          </cell>
        </row>
        <row r="14820">
          <cell r="G14820" t="str">
            <v>ASV18053</v>
          </cell>
          <cell r="H14820" t="str">
            <v>g__unclassified_c__Clostridia</v>
          </cell>
          <cell r="I14820" t="str">
            <v>s__unclassified_c__Clostridia</v>
          </cell>
        </row>
        <row r="14821">
          <cell r="G14821" t="str">
            <v>ASV19667</v>
          </cell>
          <cell r="H14821" t="str">
            <v>g__unclassified_f__Lachnospiraceae</v>
          </cell>
          <cell r="I14821" t="str">
            <v>s__unclassified_f__Lachnospiraceae</v>
          </cell>
        </row>
        <row r="14822">
          <cell r="G14822" t="str">
            <v>ASV4112</v>
          </cell>
          <cell r="H14822" t="str">
            <v>g__unclassified_c__Clostridia</v>
          </cell>
          <cell r="I14822" t="str">
            <v>s__unclassified_c__Clostridia</v>
          </cell>
        </row>
        <row r="14823">
          <cell r="G14823" t="str">
            <v>ASV1066</v>
          </cell>
          <cell r="H14823" t="str">
            <v>g__Christensenellaceae_R-7_group</v>
          </cell>
          <cell r="I14823" t="str">
            <v>s__uncultured_bacterium_g__Christensenellaceae_R-7_group</v>
          </cell>
        </row>
        <row r="14824">
          <cell r="G14824" t="str">
            <v>ASV15555</v>
          </cell>
          <cell r="H14824" t="str">
            <v>g__Clostridium_sensu_stricto_1</v>
          </cell>
          <cell r="I14824" t="str">
            <v>s__unclassified_g__Clostridium_sensu_stricto_1</v>
          </cell>
        </row>
        <row r="14825">
          <cell r="G14825" t="str">
            <v>ASV4166</v>
          </cell>
          <cell r="H14825" t="str">
            <v>g__unclassified_p__Firmicutes</v>
          </cell>
          <cell r="I14825" t="str">
            <v>s__unclassified_p__Firmicutes</v>
          </cell>
        </row>
        <row r="14826">
          <cell r="G14826" t="str">
            <v>ASV22472</v>
          </cell>
          <cell r="H14826" t="str">
            <v>g__unclassified_c__Clostridia</v>
          </cell>
          <cell r="I14826" t="str">
            <v>s__unclassified_c__Clostridia</v>
          </cell>
        </row>
        <row r="14827">
          <cell r="G14827" t="str">
            <v>ASV2370</v>
          </cell>
          <cell r="H14827" t="str">
            <v>g__unclassified_c__Clostridia</v>
          </cell>
          <cell r="I14827" t="str">
            <v>s__unclassified_c__Clostridia</v>
          </cell>
        </row>
        <row r="14828">
          <cell r="G14828" t="str">
            <v>ASV5086</v>
          </cell>
          <cell r="H14828" t="str">
            <v>g__Ruminococcus</v>
          </cell>
          <cell r="I14828" t="str">
            <v>s__unclassified_g__Ruminococcus</v>
          </cell>
        </row>
        <row r="14829">
          <cell r="G14829" t="str">
            <v>ASV20841</v>
          </cell>
          <cell r="H14829" t="str">
            <v>g__unclassified_c__Clostridia</v>
          </cell>
          <cell r="I14829" t="str">
            <v>s__unclassified_c__Clostridia</v>
          </cell>
        </row>
        <row r="14830">
          <cell r="G14830" t="str">
            <v>ASV4062</v>
          </cell>
          <cell r="H14830" t="str">
            <v>g__unclassified_p__Firmicutes</v>
          </cell>
          <cell r="I14830" t="str">
            <v>s__unclassified_p__Firmicutes</v>
          </cell>
        </row>
        <row r="14831">
          <cell r="G14831" t="str">
            <v>ASV5020</v>
          </cell>
          <cell r="H14831" t="str">
            <v>g__unclassified_c__Clostridia</v>
          </cell>
          <cell r="I14831" t="str">
            <v>s__unclassified_c__Clostridia</v>
          </cell>
        </row>
        <row r="14832">
          <cell r="G14832" t="str">
            <v>ASV11948</v>
          </cell>
          <cell r="H14832" t="str">
            <v>g__Intestinimonas</v>
          </cell>
          <cell r="I14832" t="str">
            <v>s__unclassified_g__Intestinimonas</v>
          </cell>
        </row>
        <row r="14833">
          <cell r="G14833" t="str">
            <v>ASV7820</v>
          </cell>
          <cell r="H14833" t="str">
            <v>g__unclassified_f__Clostridiaceae</v>
          </cell>
          <cell r="I14833" t="str">
            <v>s__unclassified_f__Clostridiaceae</v>
          </cell>
        </row>
        <row r="14834">
          <cell r="G14834" t="str">
            <v>ASV3271</v>
          </cell>
          <cell r="H14834" t="str">
            <v>g__Lactobacillus</v>
          </cell>
          <cell r="I14834" t="str">
            <v>s__unclassified_g__Lactobacillus</v>
          </cell>
        </row>
        <row r="14835">
          <cell r="G14835" t="str">
            <v>ASV24222</v>
          </cell>
          <cell r="H14835" t="str">
            <v>g__norank_f__Erysipelotrichaceae</v>
          </cell>
          <cell r="I14835" t="str">
            <v>s__uncultured_bacterium_g__norank_f__Erysipelotrichaceae</v>
          </cell>
        </row>
        <row r="14836">
          <cell r="G14836" t="str">
            <v>ASV12851</v>
          </cell>
          <cell r="H14836" t="str">
            <v>g__Atopobium</v>
          </cell>
          <cell r="I14836" t="str">
            <v>s__Atopobium_minutum</v>
          </cell>
        </row>
        <row r="14837">
          <cell r="G14837" t="str">
            <v>ASV20904</v>
          </cell>
          <cell r="H14837" t="str">
            <v>g__unclassified_f__Ruminococcaceae</v>
          </cell>
          <cell r="I14837" t="str">
            <v>s__unclassified_f__Ruminococcaceae</v>
          </cell>
        </row>
        <row r="14838">
          <cell r="G14838" t="str">
            <v>ASV16029</v>
          </cell>
          <cell r="H14838" t="str">
            <v>g__unclassified_f__Lachnospiraceae</v>
          </cell>
          <cell r="I14838" t="str">
            <v>s__unclassified_f__Lachnospiraceae</v>
          </cell>
        </row>
        <row r="14839">
          <cell r="G14839" t="str">
            <v>ASV1701</v>
          </cell>
          <cell r="H14839" t="str">
            <v>g__unclassified_c__Clostridia</v>
          </cell>
          <cell r="I14839" t="str">
            <v>s__unclassified_c__Clostridia</v>
          </cell>
        </row>
        <row r="14840">
          <cell r="G14840" t="str">
            <v>ASV22376</v>
          </cell>
          <cell r="H14840" t="str">
            <v>g__unclassified_f__Lachnospiraceae</v>
          </cell>
          <cell r="I14840" t="str">
            <v>s__unclassified_f__Lachnospiraceae</v>
          </cell>
        </row>
        <row r="14841">
          <cell r="G14841" t="str">
            <v>ASV7794</v>
          </cell>
          <cell r="H14841" t="str">
            <v>g__Lactobacillus</v>
          </cell>
          <cell r="I14841" t="str">
            <v>s__unclassified_g__Lactobacillus</v>
          </cell>
        </row>
        <row r="14842">
          <cell r="G14842" t="str">
            <v>ASV12847</v>
          </cell>
          <cell r="H14842" t="str">
            <v>g__Lactobacillus</v>
          </cell>
          <cell r="I14842" t="str">
            <v>s__unclassified_g__Lactobacillus</v>
          </cell>
        </row>
        <row r="14843">
          <cell r="G14843" t="str">
            <v>ASV16989</v>
          </cell>
          <cell r="H14843" t="str">
            <v>g__Bacteroides</v>
          </cell>
          <cell r="I14843" t="str">
            <v>s__Bacteroides_caecigallinarum</v>
          </cell>
        </row>
        <row r="14844">
          <cell r="G14844" t="str">
            <v>ASV22514</v>
          </cell>
          <cell r="H14844" t="str">
            <v>g__unclassified_c__Clostridia</v>
          </cell>
          <cell r="I14844" t="str">
            <v>s__unclassified_c__Clostridia</v>
          </cell>
        </row>
        <row r="14845">
          <cell r="G14845" t="str">
            <v>ASV15448</v>
          </cell>
          <cell r="H14845" t="str">
            <v>g__unclassified_o__Oscillospirales</v>
          </cell>
          <cell r="I14845" t="str">
            <v>s__unclassified_o__Oscillospirales</v>
          </cell>
        </row>
        <row r="14846">
          <cell r="G14846" t="str">
            <v>ASV1707</v>
          </cell>
          <cell r="H14846" t="str">
            <v>g__Christensenellaceae_R-7_group</v>
          </cell>
          <cell r="I14846" t="str">
            <v>s__unclassified_g__Christensenellaceae_R-7_group</v>
          </cell>
        </row>
        <row r="14847">
          <cell r="G14847" t="str">
            <v>ASV11710</v>
          </cell>
          <cell r="H14847" t="str">
            <v>g__unclassified_f__Anaerovoracaceae</v>
          </cell>
          <cell r="I14847" t="str">
            <v>s__unclassified_f__Anaerovoracaceae</v>
          </cell>
        </row>
        <row r="14848">
          <cell r="G14848" t="str">
            <v>ASV9522</v>
          </cell>
          <cell r="H14848" t="str">
            <v>g__Lactobacillus</v>
          </cell>
          <cell r="I14848" t="str">
            <v>s__unclassified_g__Lactobacillus</v>
          </cell>
        </row>
        <row r="14849">
          <cell r="G14849" t="str">
            <v>ASV15475</v>
          </cell>
          <cell r="H14849" t="str">
            <v>g__norank_f__Eubacterium_coprostanoligenes_group</v>
          </cell>
          <cell r="I14849" t="str">
            <v>s__uncultured_bacterium_g__norank_f__Eubacterium_coprostanoligenes_group</v>
          </cell>
        </row>
        <row r="14850">
          <cell r="G14850" t="str">
            <v>ASV15459</v>
          </cell>
          <cell r="H14850" t="str">
            <v>g__norank_f__norank_o__Clostridia_UCG-014</v>
          </cell>
          <cell r="I14850" t="str">
            <v>s__uncultured_bacterium_g__norank_f__norank_o__Clostridia_UCG-014</v>
          </cell>
        </row>
        <row r="14851">
          <cell r="G14851" t="str">
            <v>ASV22399</v>
          </cell>
          <cell r="H14851" t="str">
            <v>g__Enterococcus</v>
          </cell>
          <cell r="I14851" t="str">
            <v>s__unclassified_g__Enterococcus</v>
          </cell>
        </row>
        <row r="14852">
          <cell r="G14852" t="str">
            <v>ASV4136</v>
          </cell>
          <cell r="H14852" t="str">
            <v>g__Christensenellaceae_R-7_group</v>
          </cell>
          <cell r="I14852" t="str">
            <v>s__unclassified_g__Christensenellaceae_R-7_group</v>
          </cell>
        </row>
        <row r="14853">
          <cell r="G14853" t="str">
            <v>ASV8528</v>
          </cell>
          <cell r="H14853" t="str">
            <v>g__unclassified_o__Veillonellales-Selenomonadales</v>
          </cell>
          <cell r="I14853" t="str">
            <v>s__unclassified_o__Veillonellales-Selenomonadales</v>
          </cell>
        </row>
        <row r="14854">
          <cell r="G14854" t="str">
            <v>ASV6761</v>
          </cell>
          <cell r="H14854" t="str">
            <v>g__unclassified_p__Firmicutes</v>
          </cell>
          <cell r="I14854" t="str">
            <v>s__unclassified_p__Firmicutes</v>
          </cell>
        </row>
        <row r="14855">
          <cell r="G14855" t="str">
            <v>ASV9446</v>
          </cell>
          <cell r="H14855" t="str">
            <v>g__unclassified_f__Enterobacteriaceae</v>
          </cell>
          <cell r="I14855" t="str">
            <v>s__unclassified_f__Enterobacteriaceae</v>
          </cell>
        </row>
        <row r="14856">
          <cell r="G14856" t="str">
            <v>ASV7372</v>
          </cell>
          <cell r="H14856" t="str">
            <v>g__Lactobacillus</v>
          </cell>
          <cell r="I14856" t="str">
            <v>s__unclassified_g__Lactobacillus</v>
          </cell>
        </row>
        <row r="14857">
          <cell r="G14857" t="str">
            <v>ASV22367</v>
          </cell>
          <cell r="H14857" t="str">
            <v>g__unclassified_f__Oscillospiraceae</v>
          </cell>
          <cell r="I14857" t="str">
            <v>s__unclassified_f__Oscillospiraceae</v>
          </cell>
        </row>
        <row r="14858">
          <cell r="G14858" t="str">
            <v>ASV22297</v>
          </cell>
          <cell r="H14858" t="str">
            <v>g__unclassified_c__Clostridia</v>
          </cell>
          <cell r="I14858" t="str">
            <v>s__unclassified_c__Clostridia</v>
          </cell>
        </row>
        <row r="14859">
          <cell r="G14859" t="str">
            <v>ASV21245</v>
          </cell>
          <cell r="H14859" t="str">
            <v>g__Streptococcus</v>
          </cell>
          <cell r="I14859" t="str">
            <v>s__unclassified_g__Streptococcus</v>
          </cell>
        </row>
        <row r="14860">
          <cell r="G14860" t="str">
            <v>ASV12875</v>
          </cell>
          <cell r="H14860" t="str">
            <v>g__unclassified_c__Clostridia</v>
          </cell>
          <cell r="I14860" t="str">
            <v>s__unclassified_c__Clostridia</v>
          </cell>
        </row>
        <row r="14861">
          <cell r="G14861" t="str">
            <v>ASV6149</v>
          </cell>
          <cell r="H14861" t="str">
            <v>g__unclassified_c__Clostridia</v>
          </cell>
          <cell r="I14861" t="str">
            <v>s__unclassified_c__Clostridia</v>
          </cell>
        </row>
        <row r="14862">
          <cell r="G14862" t="str">
            <v>ASV6074</v>
          </cell>
          <cell r="H14862" t="str">
            <v>g__Clostridium_sensu_stricto_1</v>
          </cell>
          <cell r="I14862" t="str">
            <v>s__unclassified_g__Clostridium_sensu_stricto_1</v>
          </cell>
        </row>
        <row r="14863">
          <cell r="G14863" t="str">
            <v>ASV20277</v>
          </cell>
          <cell r="H14863" t="str">
            <v>g__Lachnospiraceae_UCG-004</v>
          </cell>
          <cell r="I14863" t="str">
            <v>s__uncultured_bacterium_g__Lachnospiraceae_UCG-004</v>
          </cell>
        </row>
        <row r="14864">
          <cell r="G14864" t="str">
            <v>ASV9580</v>
          </cell>
          <cell r="H14864" t="str">
            <v>g__unclassified_o__Oscillospirales</v>
          </cell>
          <cell r="I14864" t="str">
            <v>s__unclassified_o__Oscillospirales</v>
          </cell>
        </row>
        <row r="14865">
          <cell r="G14865" t="str">
            <v>ASV12957</v>
          </cell>
          <cell r="H14865" t="str">
            <v>g__unclassified_f__Peptostreptococcaceae</v>
          </cell>
          <cell r="I14865" t="str">
            <v>s__unclassified_f__Peptostreptococcaceae</v>
          </cell>
        </row>
        <row r="14866">
          <cell r="G14866" t="str">
            <v>ASV7898</v>
          </cell>
          <cell r="H14866" t="str">
            <v>g__norank_f__Muribaculaceae</v>
          </cell>
          <cell r="I14866" t="str">
            <v>s__uncultured_bacterium_g__norank_f__Muribaculaceae</v>
          </cell>
        </row>
        <row r="14867">
          <cell r="G14867" t="str">
            <v>ASV6830</v>
          </cell>
          <cell r="H14867" t="str">
            <v>g__Eubacterium_oxidoreducens_group</v>
          </cell>
          <cell r="I14867" t="str">
            <v>s__uncultured_bacterium_g__Eubacterium_oxidoreducens_group</v>
          </cell>
        </row>
        <row r="14868">
          <cell r="G14868" t="str">
            <v>ASV21619</v>
          </cell>
          <cell r="H14868" t="str">
            <v>g__Lactobacillus</v>
          </cell>
          <cell r="I14868" t="str">
            <v>s__unclassified_g__Lactobacillus</v>
          </cell>
        </row>
        <row r="14869">
          <cell r="G14869" t="str">
            <v>ASV18213</v>
          </cell>
          <cell r="H14869" t="str">
            <v>g__norank_f__Eubacterium_coprostanoligenes_group</v>
          </cell>
          <cell r="I14869" t="str">
            <v>s__unclassified_g__norank_f__Eubacterium_coprostanoligenes_group</v>
          </cell>
        </row>
        <row r="14870">
          <cell r="G14870" t="str">
            <v>ASV11726</v>
          </cell>
          <cell r="H14870" t="str">
            <v>g__Enterococcus</v>
          </cell>
          <cell r="I14870" t="str">
            <v>s__unclassified_g__Enterococcus</v>
          </cell>
        </row>
        <row r="14871">
          <cell r="G14871" t="str">
            <v>ASV5014</v>
          </cell>
          <cell r="H14871" t="str">
            <v>g__Prevotellaceae_UCG-003</v>
          </cell>
          <cell r="I14871" t="str">
            <v>s__uncultured_bacterium_g__Prevotellaceae_UCG-003</v>
          </cell>
        </row>
        <row r="14872">
          <cell r="G14872" t="str">
            <v>ASV17370</v>
          </cell>
          <cell r="H14872" t="str">
            <v>g__Lactobacillus</v>
          </cell>
          <cell r="I14872" t="str">
            <v>s__uncultured_bacterium_g__Lactobacillus</v>
          </cell>
        </row>
        <row r="14873">
          <cell r="G14873" t="str">
            <v>ASV4944</v>
          </cell>
          <cell r="H14873" t="str">
            <v>g__Subdoligranulum</v>
          </cell>
          <cell r="I14873" t="str">
            <v>s__unclassified_g__Subdoligranulum</v>
          </cell>
        </row>
        <row r="14874">
          <cell r="G14874" t="str">
            <v>ASV10763</v>
          </cell>
          <cell r="H14874" t="str">
            <v>g__norank_f__UCG-011</v>
          </cell>
          <cell r="I14874" t="str">
            <v>s__uncultured_bacterium_g__norank_f__UCG-011</v>
          </cell>
        </row>
        <row r="14875">
          <cell r="G14875" t="str">
            <v>ASV910</v>
          </cell>
          <cell r="H14875" t="str">
            <v>g__unclassified_p__Firmicutes</v>
          </cell>
          <cell r="I14875" t="str">
            <v>s__unclassified_p__Firmicutes</v>
          </cell>
        </row>
        <row r="14876">
          <cell r="G14876" t="str">
            <v>ASV23408</v>
          </cell>
          <cell r="H14876" t="str">
            <v>g__Subdoligranulum</v>
          </cell>
          <cell r="I14876" t="str">
            <v>s__uncultured_bacterium_g__Subdoligranulum</v>
          </cell>
        </row>
        <row r="14877">
          <cell r="G14877" t="str">
            <v>ASV14419</v>
          </cell>
          <cell r="H14877" t="str">
            <v>g__unclassified_c__Clostridia</v>
          </cell>
          <cell r="I14877" t="str">
            <v>s__unclassified_c__Clostridia</v>
          </cell>
        </row>
        <row r="14878">
          <cell r="G14878" t="str">
            <v>ASV2230</v>
          </cell>
          <cell r="H14878" t="str">
            <v>g__unclassified_f__Peptostreptococcaceae</v>
          </cell>
          <cell r="I14878" t="str">
            <v>s__unclassified_f__Peptostreptococcaceae</v>
          </cell>
        </row>
        <row r="14879">
          <cell r="G14879" t="str">
            <v>ASV7824</v>
          </cell>
          <cell r="H14879" t="str">
            <v>g__unclassified_p__Firmicutes</v>
          </cell>
          <cell r="I14879" t="str">
            <v>s__unclassified_p__Firmicutes</v>
          </cell>
        </row>
        <row r="14880">
          <cell r="G14880" t="str">
            <v>ASV16542</v>
          </cell>
          <cell r="H14880" t="str">
            <v>g__unclassified_f__Oscillospiraceae</v>
          </cell>
          <cell r="I14880" t="str">
            <v>s__unclassified_f__Oscillospiraceae</v>
          </cell>
        </row>
        <row r="14881">
          <cell r="G14881" t="str">
            <v>ASV2303</v>
          </cell>
          <cell r="H14881" t="str">
            <v>g__norank_f__norank_o__Clostridia_UCG-014</v>
          </cell>
          <cell r="I14881" t="str">
            <v>s__uncultured_bacterium_g__norank_f__norank_o__Clostridia_UCG-014</v>
          </cell>
        </row>
        <row r="14882">
          <cell r="G14882" t="str">
            <v>ASV22507</v>
          </cell>
          <cell r="H14882" t="str">
            <v>g__Subdoligranulum</v>
          </cell>
          <cell r="I14882" t="str">
            <v>s__unclassified_g__Subdoligranulum</v>
          </cell>
        </row>
        <row r="14883">
          <cell r="G14883" t="str">
            <v>ASV7946</v>
          </cell>
          <cell r="H14883" t="str">
            <v>g__Streptococcus</v>
          </cell>
          <cell r="I14883" t="str">
            <v>s__unclassified_g__Streptococcus</v>
          </cell>
        </row>
        <row r="14884">
          <cell r="G14884" t="str">
            <v>ASV10103</v>
          </cell>
          <cell r="H14884" t="str">
            <v>g__unclassified_f__Lachnospiraceae</v>
          </cell>
          <cell r="I14884" t="str">
            <v>s__unclassified_f__Lachnospiraceae</v>
          </cell>
        </row>
        <row r="14885">
          <cell r="G14885" t="str">
            <v>ASV11792</v>
          </cell>
          <cell r="H14885" t="str">
            <v>g__Rikenellaceae_RC9_gut_group</v>
          </cell>
          <cell r="I14885" t="str">
            <v>s__unclassified_g__Rikenellaceae_RC9_gut_group</v>
          </cell>
        </row>
        <row r="14886">
          <cell r="G14886" t="str">
            <v>ASV23425</v>
          </cell>
          <cell r="H14886" t="str">
            <v>g__Megasphaera</v>
          </cell>
          <cell r="I14886" t="str">
            <v>s__unclassified_g__Megasphaera</v>
          </cell>
        </row>
        <row r="14887">
          <cell r="G14887" t="str">
            <v>ASV6129</v>
          </cell>
          <cell r="H14887" t="str">
            <v>g__Sphaerochaeta</v>
          </cell>
          <cell r="I14887" t="str">
            <v>s__unclassified_g__Sphaerochaeta</v>
          </cell>
        </row>
        <row r="14888">
          <cell r="G14888" t="str">
            <v>ASV9570</v>
          </cell>
          <cell r="H14888" t="str">
            <v>g__unclassified_f__Lachnospiraceae</v>
          </cell>
          <cell r="I14888" t="str">
            <v>s__unclassified_f__Lachnospiraceae</v>
          </cell>
        </row>
        <row r="14889">
          <cell r="G14889" t="str">
            <v>ASV13728</v>
          </cell>
          <cell r="H14889" t="str">
            <v>g__Lactobacillus</v>
          </cell>
          <cell r="I14889" t="str">
            <v>s__unclassified_g__Lactobacillus</v>
          </cell>
        </row>
        <row r="14890">
          <cell r="G14890" t="str">
            <v>ASV11902</v>
          </cell>
          <cell r="H14890" t="str">
            <v>g__unclassified_f__Clostridiaceae</v>
          </cell>
          <cell r="I14890" t="str">
            <v>s__unclassified_f__Clostridiaceae</v>
          </cell>
        </row>
        <row r="14891">
          <cell r="G14891" t="str">
            <v>ASV18068</v>
          </cell>
          <cell r="H14891" t="str">
            <v>g__unclassified_c__Clostridia</v>
          </cell>
          <cell r="I14891" t="str">
            <v>s__unclassified_c__Clostridia</v>
          </cell>
        </row>
        <row r="14892">
          <cell r="G14892" t="str">
            <v>ASV23418</v>
          </cell>
          <cell r="H14892" t="str">
            <v>g__Sphaerochaeta</v>
          </cell>
          <cell r="I14892" t="str">
            <v>s__uncultured_prokaryote_g__Sphaerochaeta</v>
          </cell>
        </row>
        <row r="14893">
          <cell r="G14893" t="str">
            <v>ASV8723</v>
          </cell>
          <cell r="H14893" t="str">
            <v>g__Staphylococcus</v>
          </cell>
          <cell r="I14893" t="str">
            <v>s__unclassified_g__Staphylococcus</v>
          </cell>
        </row>
        <row r="14894">
          <cell r="G14894" t="str">
            <v>ASV23394</v>
          </cell>
          <cell r="H14894" t="str">
            <v>g__unclassified_c__Clostridia</v>
          </cell>
          <cell r="I14894" t="str">
            <v>s__unclassified_c__Clostridia</v>
          </cell>
        </row>
        <row r="14895">
          <cell r="G14895" t="str">
            <v>ASV19785</v>
          </cell>
          <cell r="H14895" t="str">
            <v>g__unclassified_k__norank_d__Bacteria</v>
          </cell>
          <cell r="I14895" t="str">
            <v>s__unclassified_k__norank_d__Bacteria</v>
          </cell>
        </row>
        <row r="14896">
          <cell r="G14896" t="str">
            <v>ASV16431</v>
          </cell>
          <cell r="H14896" t="str">
            <v>g__unclassified_o__Oscillospirales</v>
          </cell>
          <cell r="I14896" t="str">
            <v>s__unclassified_o__Oscillospirales</v>
          </cell>
        </row>
        <row r="14897">
          <cell r="G14897" t="str">
            <v>ASV6058</v>
          </cell>
          <cell r="H14897" t="str">
            <v>g__unclassified_k__norank_d__Bacteria</v>
          </cell>
          <cell r="I14897" t="str">
            <v>s__unclassified_k__norank_d__Bacteria</v>
          </cell>
        </row>
        <row r="14898">
          <cell r="G14898" t="str">
            <v>ASV5042</v>
          </cell>
          <cell r="H14898" t="str">
            <v>g__unclassified_c__Clostridia</v>
          </cell>
          <cell r="I14898" t="str">
            <v>s__unclassified_c__Clostridia</v>
          </cell>
        </row>
        <row r="14899">
          <cell r="G14899" t="str">
            <v>ASV5033</v>
          </cell>
          <cell r="H14899" t="str">
            <v>g__unclassified_f__Oscillospiraceae</v>
          </cell>
          <cell r="I14899" t="str">
            <v>s__unclassified_f__Oscillospiraceae</v>
          </cell>
        </row>
        <row r="14900">
          <cell r="G14900" t="str">
            <v>ASV6138</v>
          </cell>
          <cell r="H14900" t="str">
            <v>g__Clostridium_sensu_stricto_1</v>
          </cell>
          <cell r="I14900" t="str">
            <v>s__unclassified_g__Clostridium_sensu_stricto_1</v>
          </cell>
        </row>
        <row r="14901">
          <cell r="G14901" t="str">
            <v>ASV21259</v>
          </cell>
          <cell r="H14901" t="str">
            <v>g__unclassified_f__Lachnospiraceae</v>
          </cell>
          <cell r="I14901" t="str">
            <v>s__unclassified_f__Lachnospiraceae</v>
          </cell>
        </row>
        <row r="14902">
          <cell r="G14902" t="str">
            <v>ASV18896</v>
          </cell>
          <cell r="H14902" t="str">
            <v>g__Fusobacterium</v>
          </cell>
          <cell r="I14902" t="str">
            <v>s__unclassified_g__Fusobacterium</v>
          </cell>
        </row>
        <row r="14903">
          <cell r="G14903" t="str">
            <v>ASV941</v>
          </cell>
          <cell r="H14903" t="str">
            <v>g__norank_f__Muribaculaceae</v>
          </cell>
          <cell r="I14903" t="str">
            <v>s__uncultured_bacterium_g__norank_f__Muribaculaceae</v>
          </cell>
        </row>
        <row r="14904">
          <cell r="G14904" t="str">
            <v>ASV13813</v>
          </cell>
          <cell r="H14904" t="str">
            <v>g__Rothia</v>
          </cell>
          <cell r="I14904" t="str">
            <v>s__unclassified_g__Rothia</v>
          </cell>
        </row>
        <row r="14905">
          <cell r="G14905" t="str">
            <v>ASV7919</v>
          </cell>
          <cell r="H14905" t="str">
            <v>g__Ruminococcus</v>
          </cell>
          <cell r="I14905" t="str">
            <v>s__unclassified_g__Ruminococcus</v>
          </cell>
        </row>
        <row r="14906">
          <cell r="G14906" t="str">
            <v>ASV13725</v>
          </cell>
          <cell r="H14906" t="str">
            <v>g__unclassified_o__Veillonellales-Selenomonadales</v>
          </cell>
          <cell r="I14906" t="str">
            <v>s__unclassified_o__Veillonellales-Selenomonadales</v>
          </cell>
        </row>
        <row r="14907">
          <cell r="G14907" t="str">
            <v>ASV17497</v>
          </cell>
          <cell r="H14907" t="str">
            <v>g__unclassified_k__norank_d__Bacteria</v>
          </cell>
          <cell r="I14907" t="str">
            <v>s__unclassified_k__norank_d__Bacteria</v>
          </cell>
        </row>
        <row r="14908">
          <cell r="G14908" t="str">
            <v>ASV5002</v>
          </cell>
          <cell r="H14908" t="str">
            <v>g__unclassified_c__Clostridia</v>
          </cell>
          <cell r="I14908" t="str">
            <v>s__unclassified_c__Clostridia</v>
          </cell>
        </row>
        <row r="14909">
          <cell r="G14909" t="str">
            <v>ASV4137</v>
          </cell>
          <cell r="H14909" t="str">
            <v>g__unclassified_c__Clostridia</v>
          </cell>
          <cell r="I14909" t="str">
            <v>s__unclassified_c__Clostridia</v>
          </cell>
        </row>
        <row r="14910">
          <cell r="G14910" t="str">
            <v>ASV9590</v>
          </cell>
          <cell r="H14910" t="str">
            <v>g__unclassified_c__Bacilli</v>
          </cell>
          <cell r="I14910" t="str">
            <v>s__unclassified_c__Bacilli</v>
          </cell>
        </row>
        <row r="14911">
          <cell r="G14911" t="str">
            <v>ASV7807</v>
          </cell>
          <cell r="H14911" t="str">
            <v>g__Streptococcus</v>
          </cell>
          <cell r="I14911" t="str">
            <v>s__unclassified_g__Streptococcus</v>
          </cell>
        </row>
        <row r="14912">
          <cell r="G14912" t="str">
            <v>ASV11844</v>
          </cell>
          <cell r="H14912" t="str">
            <v>g__Subdoligranulum</v>
          </cell>
          <cell r="I14912" t="str">
            <v>s__uncultured_bacterium_g__Subdoligranulum</v>
          </cell>
        </row>
        <row r="14913">
          <cell r="G14913" t="str">
            <v>ASV6100</v>
          </cell>
          <cell r="H14913" t="str">
            <v>g__unclassified_f__Lachnospiraceae</v>
          </cell>
          <cell r="I14913" t="str">
            <v>s__unclassified_f__Lachnospiraceae</v>
          </cell>
        </row>
        <row r="14914">
          <cell r="G14914" t="str">
            <v>ASV9861</v>
          </cell>
          <cell r="H14914" t="str">
            <v>g__Actinobacillus</v>
          </cell>
          <cell r="I14914" t="str">
            <v>s__unclassified_g__Actinobacillus</v>
          </cell>
        </row>
        <row r="14915">
          <cell r="G14915" t="str">
            <v>ASV9467</v>
          </cell>
          <cell r="H14915" t="str">
            <v>g__Colidextribacter</v>
          </cell>
          <cell r="I14915" t="str">
            <v>s__unclassified_g__Colidextribacter</v>
          </cell>
        </row>
        <row r="14916">
          <cell r="G14916" t="str">
            <v>ASV23295</v>
          </cell>
          <cell r="H14916" t="str">
            <v>g__unclassified_p__Firmicutes</v>
          </cell>
          <cell r="I14916" t="str">
            <v>s__unclassified_p__Firmicutes</v>
          </cell>
        </row>
        <row r="14917">
          <cell r="G14917" t="str">
            <v>ASV8508</v>
          </cell>
          <cell r="H14917" t="str">
            <v>g__Mitsuokella</v>
          </cell>
          <cell r="I14917" t="str">
            <v>s__unclassified_g__Mitsuokella</v>
          </cell>
        </row>
        <row r="14918">
          <cell r="G14918" t="str">
            <v>ASV14344</v>
          </cell>
          <cell r="H14918" t="str">
            <v>g__unclassified_c__Clostridia</v>
          </cell>
          <cell r="I14918" t="str">
            <v>s__unclassified_c__Clostridia</v>
          </cell>
        </row>
        <row r="14919">
          <cell r="G14919" t="str">
            <v>ASV14548</v>
          </cell>
          <cell r="H14919" t="str">
            <v>g__UCG-002</v>
          </cell>
          <cell r="I14919" t="str">
            <v>s__unclassified_g__UCG-002</v>
          </cell>
        </row>
        <row r="14920">
          <cell r="G14920" t="str">
            <v>ASV21640</v>
          </cell>
          <cell r="H14920" t="str">
            <v>g__unclassified_c__Negativicutes</v>
          </cell>
          <cell r="I14920" t="str">
            <v>s__unclassified_c__Negativicutes</v>
          </cell>
        </row>
        <row r="14921">
          <cell r="G14921" t="str">
            <v>ASV9547</v>
          </cell>
          <cell r="H14921" t="str">
            <v>g__Parabacteroides</v>
          </cell>
          <cell r="I14921" t="str">
            <v>s__unclassified_g__Parabacteroides</v>
          </cell>
        </row>
        <row r="14922">
          <cell r="G14922" t="str">
            <v>ASV4878</v>
          </cell>
          <cell r="H14922" t="str">
            <v>g__norank_f__norank_o__WCHB1-41</v>
          </cell>
          <cell r="I14922" t="str">
            <v>s__unclassified_g__norank_f__norank_o__WCHB1-41</v>
          </cell>
        </row>
        <row r="14923">
          <cell r="G14923" t="str">
            <v>ASV22372</v>
          </cell>
          <cell r="H14923" t="str">
            <v>g__Prevotella</v>
          </cell>
          <cell r="I14923" t="str">
            <v>s__uncultured_bacterium_g__Prevotella</v>
          </cell>
        </row>
        <row r="14924">
          <cell r="G14924" t="str">
            <v>ASV13726</v>
          </cell>
          <cell r="H14924" t="str">
            <v>g__unclassified_p__Firmicutes</v>
          </cell>
          <cell r="I14924" t="str">
            <v>s__unclassified_p__Firmicutes</v>
          </cell>
        </row>
        <row r="14925">
          <cell r="G14925" t="str">
            <v>ASV20880</v>
          </cell>
          <cell r="H14925" t="str">
            <v>g__unclassified_f__Lachnospiraceae</v>
          </cell>
          <cell r="I14925" t="str">
            <v>s__unclassified_f__Lachnospiraceae</v>
          </cell>
        </row>
        <row r="14926">
          <cell r="G14926" t="str">
            <v>ASV5047</v>
          </cell>
          <cell r="H14926" t="str">
            <v>g__unclassified_f__Lachnospiraceae</v>
          </cell>
          <cell r="I14926" t="str">
            <v>s__unclassified_f__Lachnospiraceae</v>
          </cell>
        </row>
        <row r="14927">
          <cell r="G14927" t="str">
            <v>ASV19647</v>
          </cell>
          <cell r="H14927" t="str">
            <v>g__unclassified_o__Oscillospirales</v>
          </cell>
          <cell r="I14927" t="str">
            <v>s__unclassified_o__Oscillospirales</v>
          </cell>
        </row>
        <row r="14928">
          <cell r="G14928" t="str">
            <v>ASV10821</v>
          </cell>
          <cell r="H14928" t="str">
            <v>g__Terrisporobacter</v>
          </cell>
          <cell r="I14928" t="str">
            <v>s__unclassified_g__Terrisporobacter</v>
          </cell>
        </row>
        <row r="14929">
          <cell r="G14929" t="str">
            <v>ASV18061</v>
          </cell>
          <cell r="H14929" t="str">
            <v>g__unclassified_f__Lachnospiraceae</v>
          </cell>
          <cell r="I14929" t="str">
            <v>s__unclassified_f__Lachnospiraceae</v>
          </cell>
        </row>
        <row r="14930">
          <cell r="G14930" t="str">
            <v>ASV7427</v>
          </cell>
          <cell r="H14930" t="str">
            <v>g__Streptococcus</v>
          </cell>
          <cell r="I14930" t="str">
            <v>s__unclassified_g__Streptococcus</v>
          </cell>
        </row>
        <row r="14931">
          <cell r="G14931" t="str">
            <v>ASV22317</v>
          </cell>
          <cell r="H14931" t="str">
            <v>g__unclassified_f__Oscillospiraceae</v>
          </cell>
          <cell r="I14931" t="str">
            <v>s__unclassified_f__Oscillospiraceae</v>
          </cell>
        </row>
        <row r="14932">
          <cell r="G14932" t="str">
            <v>ASV1060</v>
          </cell>
          <cell r="H14932" t="str">
            <v>g__Family_XIII_AD3011_group</v>
          </cell>
          <cell r="I14932" t="str">
            <v>s__unclassified_g__Family_XIII_AD3011_group</v>
          </cell>
        </row>
        <row r="14933">
          <cell r="G14933" t="str">
            <v>ASV11733</v>
          </cell>
          <cell r="H14933" t="str">
            <v>g__unclassified_o__Oscillospirales</v>
          </cell>
          <cell r="I14933" t="str">
            <v>s__unclassified_o__Oscillospirales</v>
          </cell>
        </row>
        <row r="14934">
          <cell r="G14934" t="str">
            <v>ASV6760</v>
          </cell>
          <cell r="H14934" t="str">
            <v>g__NK4A214_group</v>
          </cell>
          <cell r="I14934" t="str">
            <v>s__uncultured_bacterium_g__NK4A214_group</v>
          </cell>
        </row>
        <row r="14935">
          <cell r="G14935" t="str">
            <v>ASV22267</v>
          </cell>
          <cell r="H14935" t="str">
            <v>g__Christensenellaceae_R-7_group</v>
          </cell>
          <cell r="I14935" t="str">
            <v>s__uncultured_bacterium_g__Christensenellaceae_R-7_group</v>
          </cell>
        </row>
        <row r="14936">
          <cell r="G14936" t="str">
            <v>ASV2268</v>
          </cell>
          <cell r="H14936" t="str">
            <v>g__unclassified_f__Lachnospiraceae</v>
          </cell>
          <cell r="I14936" t="str">
            <v>s__unclassified_f__Lachnospiraceae</v>
          </cell>
        </row>
        <row r="14937">
          <cell r="G14937" t="str">
            <v>ASV18627</v>
          </cell>
          <cell r="H14937" t="str">
            <v>g__unclassified_f__Lachnospiraceae</v>
          </cell>
          <cell r="I14937" t="str">
            <v>s__unclassified_f__Lachnospiraceae</v>
          </cell>
        </row>
        <row r="14938">
          <cell r="G14938" t="str">
            <v>ASV18062</v>
          </cell>
          <cell r="H14938" t="str">
            <v>g__unclassified_o__Oscillospirales</v>
          </cell>
          <cell r="I14938" t="str">
            <v>s__unclassified_o__Oscillospirales</v>
          </cell>
        </row>
        <row r="14939">
          <cell r="G14939" t="str">
            <v>ASV10731</v>
          </cell>
          <cell r="H14939" t="str">
            <v>g__unclassified_c__Clostridia</v>
          </cell>
          <cell r="I14939" t="str">
            <v>s__unclassified_c__Clostridia</v>
          </cell>
        </row>
        <row r="14940">
          <cell r="G14940" t="str">
            <v>ASV23360</v>
          </cell>
          <cell r="H14940" t="str">
            <v>g__Escherichia-Shigella</v>
          </cell>
          <cell r="I14940" t="str">
            <v>s__unclassified_g__Escherichia-Shigella</v>
          </cell>
        </row>
        <row r="14941">
          <cell r="G14941" t="str">
            <v>ASV22322</v>
          </cell>
          <cell r="H14941" t="str">
            <v>g__unclassified_f__Lachnospiraceae</v>
          </cell>
          <cell r="I14941" t="str">
            <v>s__unclassified_f__Lachnospiraceae</v>
          </cell>
        </row>
        <row r="14942">
          <cell r="G14942" t="str">
            <v>ASV24256</v>
          </cell>
          <cell r="H14942" t="str">
            <v>g__Turicibacter</v>
          </cell>
          <cell r="I14942" t="str">
            <v>s__uncultured_bacterium_g__Turicibacter</v>
          </cell>
        </row>
        <row r="14943">
          <cell r="G14943" t="str">
            <v>ASV11742</v>
          </cell>
          <cell r="H14943" t="str">
            <v>g__unclassified_c__Clostridia</v>
          </cell>
          <cell r="I14943" t="str">
            <v>s__unclassified_c__Clostridia</v>
          </cell>
        </row>
        <row r="14944">
          <cell r="G14944" t="str">
            <v>ASV9533</v>
          </cell>
          <cell r="H14944" t="str">
            <v>g__NK4A214_group</v>
          </cell>
          <cell r="I14944" t="str">
            <v>s__unclassified_g__NK4A214_group</v>
          </cell>
        </row>
        <row r="14945">
          <cell r="G14945" t="str">
            <v>ASV19740</v>
          </cell>
          <cell r="H14945" t="str">
            <v>g__norank_f__Eubacterium_coprostanoligenes_group</v>
          </cell>
          <cell r="I14945" t="str">
            <v>s__unclassified_g__norank_f__Eubacterium_coprostanoligenes_group</v>
          </cell>
        </row>
        <row r="14946">
          <cell r="G14946" t="str">
            <v>ASV1740</v>
          </cell>
          <cell r="H14946" t="str">
            <v>g__Terrisporobacter</v>
          </cell>
          <cell r="I14946" t="str">
            <v>s__unclassified_g__Terrisporobacter</v>
          </cell>
        </row>
        <row r="14947">
          <cell r="G14947" t="str">
            <v>ASV9584</v>
          </cell>
          <cell r="H14947" t="str">
            <v>g__norank_f__Eubacterium_coprostanoligenes_group</v>
          </cell>
          <cell r="I14947" t="str">
            <v>s__unclassified_g__norank_f__Eubacterium_coprostanoligenes_group</v>
          </cell>
        </row>
        <row r="14948">
          <cell r="G14948" t="str">
            <v>ASV9526</v>
          </cell>
          <cell r="H14948" t="str">
            <v>g__unclassified_o__Bacteroidales</v>
          </cell>
          <cell r="I14948" t="str">
            <v>s__unclassified_o__Bacteroidales</v>
          </cell>
        </row>
        <row r="14949">
          <cell r="G14949" t="str">
            <v>ASV14305</v>
          </cell>
          <cell r="H14949" t="str">
            <v>g__unclassified_k__norank_d__Bacteria</v>
          </cell>
          <cell r="I14949" t="str">
            <v>s__unclassified_k__norank_d__Bacteria</v>
          </cell>
        </row>
        <row r="14950">
          <cell r="G14950" t="str">
            <v>ASV13465</v>
          </cell>
          <cell r="H14950" t="str">
            <v>g__unclassified_o__Lactobacillales</v>
          </cell>
          <cell r="I14950" t="str">
            <v>s__unclassified_o__Lactobacillales</v>
          </cell>
        </row>
        <row r="14951">
          <cell r="G14951" t="str">
            <v>ASV9560</v>
          </cell>
          <cell r="H14951" t="str">
            <v>g__unclassified_f__Lachnospiraceae</v>
          </cell>
          <cell r="I14951" t="str">
            <v>s__unclassified_f__Lachnospiraceae</v>
          </cell>
        </row>
        <row r="14952">
          <cell r="G14952" t="str">
            <v>ASV12012</v>
          </cell>
          <cell r="H14952" t="str">
            <v>g__norank_f__Muribaculaceae</v>
          </cell>
          <cell r="I14952" t="str">
            <v>s__uncultured_bacterium_g__norank_f__Muribaculaceae</v>
          </cell>
        </row>
        <row r="14953">
          <cell r="G14953" t="str">
            <v>ASV19712</v>
          </cell>
          <cell r="H14953" t="str">
            <v>g__Rikenellaceae_RC9_gut_group</v>
          </cell>
          <cell r="I14953" t="str">
            <v>s__unclassified_g__Rikenellaceae_RC9_gut_group</v>
          </cell>
        </row>
        <row r="14954">
          <cell r="G14954" t="str">
            <v>ASV4974</v>
          </cell>
          <cell r="H14954" t="str">
            <v>g__unclassified_o__Oscillospirales</v>
          </cell>
          <cell r="I14954" t="str">
            <v>s__unclassified_o__Oscillospirales</v>
          </cell>
        </row>
        <row r="14955">
          <cell r="G14955" t="str">
            <v>ASV2376</v>
          </cell>
          <cell r="H14955" t="str">
            <v>g__Peptococcus</v>
          </cell>
          <cell r="I14955" t="str">
            <v>s__uncultured_bacterium_g__Peptococcus</v>
          </cell>
        </row>
        <row r="14956">
          <cell r="G14956" t="str">
            <v>ASV6099</v>
          </cell>
          <cell r="H14956" t="str">
            <v>g__unclassified_c__Clostridia</v>
          </cell>
          <cell r="I14956" t="str">
            <v>s__unclassified_c__Clostridia</v>
          </cell>
        </row>
        <row r="14957">
          <cell r="G14957" t="str">
            <v>ASV24258</v>
          </cell>
          <cell r="H14957" t="str">
            <v>g__Lactobacillus</v>
          </cell>
          <cell r="I14957" t="str">
            <v>s__unclassified_g__Lactobacillus</v>
          </cell>
        </row>
        <row r="14958">
          <cell r="G14958" t="str">
            <v>ASV14567</v>
          </cell>
          <cell r="H14958" t="str">
            <v>g__norank_f__Eubacterium_coprostanoligenes_group</v>
          </cell>
          <cell r="I14958" t="str">
            <v>s__human_gut_metagenome_g__norank_f__Eubacterium_coprostanoligenes_group</v>
          </cell>
        </row>
        <row r="14959">
          <cell r="G14959" t="str">
            <v>ASV12886</v>
          </cell>
          <cell r="H14959" t="str">
            <v>g__unclassified_f__Lachnospiraceae</v>
          </cell>
          <cell r="I14959" t="str">
            <v>s__unclassified_f__Lachnospiraceae</v>
          </cell>
        </row>
        <row r="14960">
          <cell r="G14960" t="str">
            <v>ASV14480</v>
          </cell>
          <cell r="H14960" t="str">
            <v>g__unclassified_f__Lachnospiraceae</v>
          </cell>
          <cell r="I14960" t="str">
            <v>s__unclassified_f__Lachnospiraceae</v>
          </cell>
        </row>
        <row r="14961">
          <cell r="G14961" t="str">
            <v>ASV20940</v>
          </cell>
          <cell r="H14961" t="str">
            <v>g__norank_f__UCG-011</v>
          </cell>
          <cell r="I14961" t="str">
            <v>s__uncultured_bacterium_g__norank_f__UCG-011</v>
          </cell>
        </row>
        <row r="14962">
          <cell r="G14962" t="str">
            <v>ASV21500</v>
          </cell>
          <cell r="H14962" t="str">
            <v>g__Fusobacterium</v>
          </cell>
          <cell r="I14962" t="str">
            <v>s__unclassified_g__Fusobacterium</v>
          </cell>
        </row>
        <row r="14963">
          <cell r="G14963" t="str">
            <v>ASV19653</v>
          </cell>
          <cell r="H14963" t="str">
            <v>g__unclassified_c__Bacilli</v>
          </cell>
          <cell r="I14963" t="str">
            <v>s__unclassified_c__Bacilli</v>
          </cell>
        </row>
        <row r="14964">
          <cell r="G14964" t="str">
            <v>ASV22389</v>
          </cell>
          <cell r="H14964" t="str">
            <v>g__unclassified_c__Bacilli</v>
          </cell>
          <cell r="I14964" t="str">
            <v>s__unclassified_c__Bacilli</v>
          </cell>
        </row>
        <row r="14965">
          <cell r="G14965" t="str">
            <v>ASV16469</v>
          </cell>
          <cell r="H14965" t="str">
            <v>g__unclassified_f__Peptostreptococcaceae</v>
          </cell>
          <cell r="I14965" t="str">
            <v>s__unclassified_f__Peptostreptococcaceae</v>
          </cell>
        </row>
        <row r="14966">
          <cell r="G14966" t="str">
            <v>ASV7073</v>
          </cell>
          <cell r="H14966" t="str">
            <v>g__Faecalibacterium</v>
          </cell>
          <cell r="I14966" t="str">
            <v>s__unclassified_g__Faecalibacterium</v>
          </cell>
        </row>
        <row r="14967">
          <cell r="G14967" t="str">
            <v>ASV19618</v>
          </cell>
          <cell r="H14967" t="str">
            <v>g__unclassified_c__Clostridia</v>
          </cell>
          <cell r="I14967" t="str">
            <v>s__unclassified_c__Clostridia</v>
          </cell>
        </row>
        <row r="14968">
          <cell r="G14968" t="str">
            <v>ASV13432</v>
          </cell>
          <cell r="H14968" t="str">
            <v>g__unclassified_p__Firmicutes</v>
          </cell>
          <cell r="I14968" t="str">
            <v>s__unclassified_p__Firmicutes</v>
          </cell>
        </row>
        <row r="14969">
          <cell r="G14969" t="str">
            <v>ASV13441</v>
          </cell>
          <cell r="H14969" t="str">
            <v>g__Desulfovibrio</v>
          </cell>
          <cell r="I14969" t="str">
            <v>s__unclassified_g__Desulfovibrio</v>
          </cell>
        </row>
        <row r="14970">
          <cell r="G14970" t="str">
            <v>ASV4145</v>
          </cell>
          <cell r="H14970" t="str">
            <v>g__unclassified_f__Synergistaceae</v>
          </cell>
          <cell r="I14970" t="str">
            <v>s__unclassified_f__Synergistaceae</v>
          </cell>
        </row>
        <row r="14971">
          <cell r="G14971" t="str">
            <v>ASV10035</v>
          </cell>
          <cell r="H14971" t="str">
            <v>g__unclassified_f__Lachnospiraceae</v>
          </cell>
          <cell r="I14971" t="str">
            <v>s__unclassified_f__Lachnospiraceae</v>
          </cell>
        </row>
        <row r="14972">
          <cell r="G14972" t="str">
            <v>ASV826</v>
          </cell>
          <cell r="H14972" t="str">
            <v>g__norank_f__UCG-010</v>
          </cell>
          <cell r="I14972" t="str">
            <v>s__uncultured_bacterium_g__norank_f__UCG-010</v>
          </cell>
        </row>
        <row r="14973">
          <cell r="G14973" t="str">
            <v>ASV15417</v>
          </cell>
          <cell r="H14973" t="str">
            <v>g__unclassified_c__Clostridia</v>
          </cell>
          <cell r="I14973" t="str">
            <v>s__unclassified_c__Clostridia</v>
          </cell>
        </row>
        <row r="14974">
          <cell r="G14974" t="str">
            <v>ASV8513</v>
          </cell>
          <cell r="H14974" t="str">
            <v>g__norank_f__Selenomonadaceae</v>
          </cell>
          <cell r="I14974" t="str">
            <v>s__unclassified_g__norank_f__Selenomonadaceae</v>
          </cell>
        </row>
        <row r="14975">
          <cell r="G14975" t="str">
            <v>ASV4104</v>
          </cell>
          <cell r="H14975" t="str">
            <v>g__Pyramidobacter</v>
          </cell>
          <cell r="I14975" t="str">
            <v>s__uncultured_bacterium_g__Pyramidobacter</v>
          </cell>
        </row>
        <row r="14976">
          <cell r="G14976" t="str">
            <v>ASV19738</v>
          </cell>
          <cell r="H14976" t="str">
            <v>g__Lactobacillus</v>
          </cell>
          <cell r="I14976" t="str">
            <v>s__unclassified_g__Lactobacillus</v>
          </cell>
        </row>
        <row r="14977">
          <cell r="G14977" t="str">
            <v>ASV17513</v>
          </cell>
          <cell r="H14977" t="str">
            <v>g__Lactobacillus</v>
          </cell>
          <cell r="I14977" t="str">
            <v>s__unclassified_g__Lactobacillus</v>
          </cell>
        </row>
        <row r="14978">
          <cell r="G14978" t="str">
            <v>ASV13524</v>
          </cell>
          <cell r="H14978" t="str">
            <v>g__unclassified_c__Clostridia</v>
          </cell>
          <cell r="I14978" t="str">
            <v>s__unclassified_c__Clostridia</v>
          </cell>
        </row>
        <row r="14979">
          <cell r="G14979" t="str">
            <v>ASV4950</v>
          </cell>
          <cell r="H14979" t="str">
            <v>g__unclassified_f__Ruminococcaceae</v>
          </cell>
          <cell r="I14979" t="str">
            <v>s__unclassified_f__Ruminococcaceae</v>
          </cell>
        </row>
        <row r="14980">
          <cell r="G14980" t="str">
            <v>ASV15094</v>
          </cell>
          <cell r="H14980" t="str">
            <v>g__Chryseobacterium</v>
          </cell>
          <cell r="I14980" t="str">
            <v>s__unclassified_g__Chryseobacterium</v>
          </cell>
        </row>
        <row r="14981">
          <cell r="G14981" t="str">
            <v>ASV23426</v>
          </cell>
          <cell r="H14981" t="str">
            <v>g__unclassified_f__Lachnospiraceae</v>
          </cell>
          <cell r="I14981" t="str">
            <v>s__unclassified_f__Lachnospiraceae</v>
          </cell>
        </row>
        <row r="14982">
          <cell r="G14982" t="str">
            <v>ASV1076</v>
          </cell>
          <cell r="H14982" t="str">
            <v>g__UCG-002</v>
          </cell>
          <cell r="I14982" t="str">
            <v>s__uncultured_bacterium_g__UCG-002</v>
          </cell>
        </row>
        <row r="14983">
          <cell r="G14983" t="str">
            <v>ASV9013</v>
          </cell>
          <cell r="H14983" t="str">
            <v>g__Eubacterium_nodatum_group</v>
          </cell>
          <cell r="I14983" t="str">
            <v>s__unclassified_g__Eubacterium_nodatum_group</v>
          </cell>
        </row>
        <row r="14984">
          <cell r="G14984" t="str">
            <v>ASV13515</v>
          </cell>
          <cell r="H14984" t="str">
            <v>g__unclassified_c__Clostridia</v>
          </cell>
          <cell r="I14984" t="str">
            <v>s__unclassified_c__Clostridia</v>
          </cell>
        </row>
        <row r="14985">
          <cell r="G14985" t="str">
            <v>ASV11803</v>
          </cell>
          <cell r="H14985" t="str">
            <v>g__unclassified_c__Clostridia</v>
          </cell>
          <cell r="I14985" t="str">
            <v>s__unclassified_c__Clostridia</v>
          </cell>
        </row>
        <row r="14986">
          <cell r="G14986" t="str">
            <v>ASV16013</v>
          </cell>
          <cell r="H14986" t="str">
            <v>g__unclassified_f__Lachnospiraceae</v>
          </cell>
          <cell r="I14986" t="str">
            <v>s__unclassified_f__Lachnospiraceae</v>
          </cell>
        </row>
        <row r="14987">
          <cell r="G14987" t="str">
            <v>ASV7300</v>
          </cell>
          <cell r="H14987" t="str">
            <v>g__Sutterella</v>
          </cell>
          <cell r="I14987" t="str">
            <v>s__unclassified_g__Sutterella</v>
          </cell>
        </row>
        <row r="14988">
          <cell r="G14988" t="str">
            <v>ASV5011</v>
          </cell>
          <cell r="H14988" t="str">
            <v>g__unclassified_c__Bacilli</v>
          </cell>
          <cell r="I14988" t="str">
            <v>s__unclassified_c__Bacilli</v>
          </cell>
        </row>
        <row r="14989">
          <cell r="G14989" t="str">
            <v>ASV21487</v>
          </cell>
          <cell r="H14989" t="str">
            <v>g__unclassified_f__Oscillospiraceae</v>
          </cell>
          <cell r="I14989" t="str">
            <v>s__unclassified_f__Oscillospiraceae</v>
          </cell>
        </row>
        <row r="14990">
          <cell r="G14990" t="str">
            <v>ASV16046</v>
          </cell>
          <cell r="H14990" t="str">
            <v>g__unclassified_o__Oscillospirales</v>
          </cell>
          <cell r="I14990" t="str">
            <v>s__unclassified_o__Oscillospirales</v>
          </cell>
        </row>
        <row r="14991">
          <cell r="G14991" t="str">
            <v>ASV1721</v>
          </cell>
          <cell r="H14991" t="str">
            <v>g__unclassified_c__Clostridia</v>
          </cell>
          <cell r="I14991" t="str">
            <v>s__unclassified_c__Clostridia</v>
          </cell>
        </row>
        <row r="14992">
          <cell r="G14992" t="str">
            <v>ASV1697</v>
          </cell>
          <cell r="H14992" t="str">
            <v>g__Streptococcus</v>
          </cell>
          <cell r="I14992" t="str">
            <v>s__unclassified_g__Streptococcus</v>
          </cell>
        </row>
        <row r="14993">
          <cell r="G14993" t="str">
            <v>ASV14479</v>
          </cell>
          <cell r="H14993" t="str">
            <v>g__Eubacterium_hallii_group</v>
          </cell>
          <cell r="I14993" t="str">
            <v>s__unclassified_g__Eubacterium_hallii_group</v>
          </cell>
        </row>
        <row r="14994">
          <cell r="G14994" t="str">
            <v>ASV10308</v>
          </cell>
          <cell r="H14994" t="str">
            <v>g__Phascolarctobacterium</v>
          </cell>
          <cell r="I14994" t="str">
            <v>s__unclassified_g__Phascolarctobacterium</v>
          </cell>
        </row>
        <row r="14995">
          <cell r="G14995" t="str">
            <v>ASV4978</v>
          </cell>
          <cell r="H14995" t="str">
            <v>g__norank_f__Ruminococcaceae</v>
          </cell>
          <cell r="I14995" t="str">
            <v>s__unclassified_g__norank_f__Ruminococcaceae</v>
          </cell>
        </row>
        <row r="14996">
          <cell r="G14996" t="str">
            <v>ASV18629</v>
          </cell>
          <cell r="H14996" t="str">
            <v>g__unclassified_f__Lachnospiraceae</v>
          </cell>
          <cell r="I14996" t="str">
            <v>s__unclassified_f__Lachnospiraceae</v>
          </cell>
        </row>
        <row r="14997">
          <cell r="G14997" t="str">
            <v>ASV1047</v>
          </cell>
          <cell r="H14997" t="str">
            <v>g__unclassified_c__Clostridia</v>
          </cell>
          <cell r="I14997" t="str">
            <v>s__unclassified_c__Clostridia</v>
          </cell>
        </row>
        <row r="14998">
          <cell r="G14998" t="str">
            <v>ASV2940</v>
          </cell>
          <cell r="H14998" t="str">
            <v>g__unclassified_f__Enterobacteriaceae</v>
          </cell>
          <cell r="I14998" t="str">
            <v>s__unclassified_f__Enterobacteriaceae</v>
          </cell>
        </row>
        <row r="14999">
          <cell r="G14999" t="str">
            <v>ASV16501</v>
          </cell>
          <cell r="H14999" t="str">
            <v>g__Lachnospiraceae_FCS020_group</v>
          </cell>
          <cell r="I14999" t="str">
            <v>s__unclassified_g__Lachnospiraceae_FCS020_group</v>
          </cell>
        </row>
        <row r="15000">
          <cell r="G15000" t="str">
            <v>ASV16541</v>
          </cell>
          <cell r="H15000" t="str">
            <v>g__Sphaerochaeta</v>
          </cell>
          <cell r="I15000" t="str">
            <v>s__uncultured_prokaryote_g__Sphaerochaeta</v>
          </cell>
        </row>
        <row r="15001">
          <cell r="G15001" t="str">
            <v>ASV14384</v>
          </cell>
          <cell r="H15001" t="str">
            <v>g__unclassified_f__Lachnospiraceae</v>
          </cell>
          <cell r="I15001" t="str">
            <v>s__unclassified_f__Lachnospiraceae</v>
          </cell>
        </row>
        <row r="15002">
          <cell r="G15002" t="str">
            <v>ASV10798</v>
          </cell>
          <cell r="H15002" t="str">
            <v>g__Clostridium_sensu_stricto_1</v>
          </cell>
          <cell r="I15002" t="str">
            <v>s__unclassified_g__Clostridium_sensu_stricto_1</v>
          </cell>
        </row>
        <row r="15003">
          <cell r="G15003" t="str">
            <v>ASV11971</v>
          </cell>
          <cell r="H15003" t="str">
            <v>g__unclassified_c__Clostridia</v>
          </cell>
          <cell r="I15003" t="str">
            <v>s__unclassified_c__Clostridia</v>
          </cell>
        </row>
        <row r="15004">
          <cell r="G15004" t="str">
            <v>ASV8816</v>
          </cell>
          <cell r="H15004" t="str">
            <v>g__norank_f__Muribaculaceae</v>
          </cell>
          <cell r="I15004" t="str">
            <v>s__uncultured_bacterium_g__norank_f__Muribaculaceae</v>
          </cell>
        </row>
        <row r="15005">
          <cell r="G15005" t="str">
            <v>ASV21505</v>
          </cell>
          <cell r="H15005" t="str">
            <v>g__Veillonella</v>
          </cell>
          <cell r="I15005" t="str">
            <v>s__bacterium_RA2114</v>
          </cell>
        </row>
        <row r="15006">
          <cell r="G15006" t="str">
            <v>ASV15508</v>
          </cell>
          <cell r="H15006" t="str">
            <v>g__unclassified_f__Lachnospiraceae</v>
          </cell>
          <cell r="I15006" t="str">
            <v>s__unclassified_f__Lachnospiraceae</v>
          </cell>
        </row>
        <row r="15007">
          <cell r="G15007" t="str">
            <v>ASV18093</v>
          </cell>
          <cell r="H15007" t="str">
            <v>g__unclassified_c__Clostridia</v>
          </cell>
          <cell r="I15007" t="str">
            <v>s__unclassified_c__Clostridia</v>
          </cell>
        </row>
        <row r="15008">
          <cell r="G15008" t="str">
            <v>ASV7846</v>
          </cell>
          <cell r="H15008" t="str">
            <v>g__unclassified_c__Clostridia</v>
          </cell>
          <cell r="I15008" t="str">
            <v>s__unclassified_c__Clostridia</v>
          </cell>
        </row>
        <row r="15009">
          <cell r="G15009" t="str">
            <v>ASV22265</v>
          </cell>
          <cell r="H15009" t="str">
            <v>g__unclassified_k__norank_d__Bacteria</v>
          </cell>
          <cell r="I15009" t="str">
            <v>s__unclassified_k__norank_d__Bacteria</v>
          </cell>
        </row>
        <row r="15010">
          <cell r="G15010" t="str">
            <v>ASV23404</v>
          </cell>
          <cell r="H15010" t="str">
            <v>g__Treponema</v>
          </cell>
          <cell r="I15010" t="str">
            <v>s__unclassified_g__Treponema</v>
          </cell>
        </row>
        <row r="15011">
          <cell r="G15011" t="str">
            <v>ASV4158</v>
          </cell>
          <cell r="H15011" t="str">
            <v>g__unclassified_f__Synergistaceae</v>
          </cell>
          <cell r="I15011" t="str">
            <v>s__unclassified_f__Synergistaceae</v>
          </cell>
        </row>
        <row r="15012">
          <cell r="G15012" t="str">
            <v>ASV918</v>
          </cell>
          <cell r="H15012" t="str">
            <v>g__unclassified_f__Anaerovoracaceae</v>
          </cell>
          <cell r="I15012" t="str">
            <v>s__unclassified_f__Anaerovoracaceae</v>
          </cell>
        </row>
        <row r="15013">
          <cell r="G15013" t="str">
            <v>ASV18232</v>
          </cell>
          <cell r="H15013" t="str">
            <v>g__unclassified_o__Oscillospirales</v>
          </cell>
          <cell r="I15013" t="str">
            <v>s__unclassified_o__Oscillospirales</v>
          </cell>
        </row>
        <row r="15014">
          <cell r="G15014" t="str">
            <v>ASV4091</v>
          </cell>
          <cell r="H15014" t="str">
            <v>g__Parabacteroides</v>
          </cell>
          <cell r="I15014" t="str">
            <v>s__unclassified_g__Parabacteroides</v>
          </cell>
        </row>
        <row r="15015">
          <cell r="G15015" t="str">
            <v>ASV20931</v>
          </cell>
          <cell r="H15015" t="str">
            <v>g__unclassified_c__Clostridia</v>
          </cell>
          <cell r="I15015" t="str">
            <v>s__unclassified_c__Clostridia</v>
          </cell>
        </row>
        <row r="15016">
          <cell r="G15016" t="str">
            <v>ASV6153</v>
          </cell>
          <cell r="H15016" t="str">
            <v>g__UCG-002</v>
          </cell>
          <cell r="I15016" t="str">
            <v>s__uncultured_bacterium_g__UCG-002</v>
          </cell>
        </row>
        <row r="15017">
          <cell r="G15017" t="str">
            <v>ASV11990</v>
          </cell>
          <cell r="H15017" t="str">
            <v>g__unclassified_c__Clostridia</v>
          </cell>
          <cell r="I15017" t="str">
            <v>s__unclassified_c__Clostridia</v>
          </cell>
        </row>
        <row r="15018">
          <cell r="G15018" t="str">
            <v>ASV4938</v>
          </cell>
          <cell r="H15018" t="str">
            <v>g__UCG-005</v>
          </cell>
          <cell r="I15018" t="str">
            <v>s__uncultured_bacterium_g__UCG-005</v>
          </cell>
        </row>
        <row r="15019">
          <cell r="G15019" t="str">
            <v>ASV22382</v>
          </cell>
          <cell r="H15019" t="str">
            <v>g__unclassified_f__Lachnospiraceae</v>
          </cell>
          <cell r="I15019" t="str">
            <v>s__unclassified_f__Lachnospiraceae</v>
          </cell>
        </row>
        <row r="15020">
          <cell r="G15020" t="str">
            <v>ASV10041</v>
          </cell>
          <cell r="H15020" t="str">
            <v>g__Anaerovibrio</v>
          </cell>
          <cell r="I15020" t="str">
            <v>s__Anaerovibrio_sp._765</v>
          </cell>
        </row>
        <row r="15021">
          <cell r="G15021" t="str">
            <v>ASV9575</v>
          </cell>
          <cell r="H15021" t="str">
            <v>g__Lactobacillus</v>
          </cell>
          <cell r="I15021" t="str">
            <v>s__unclassified_g__Lactobacillus</v>
          </cell>
        </row>
        <row r="15022">
          <cell r="G15022" t="str">
            <v>ASV17418</v>
          </cell>
          <cell r="H15022" t="str">
            <v>g__Lactobacillus</v>
          </cell>
          <cell r="I15022" t="str">
            <v>s__unclassified_g__Lactobacillus</v>
          </cell>
        </row>
        <row r="15023">
          <cell r="G15023" t="str">
            <v>ASV21477</v>
          </cell>
          <cell r="H15023" t="str">
            <v>g__Megasphaera</v>
          </cell>
          <cell r="I15023" t="str">
            <v>s__unclassified_g__Megasphaera</v>
          </cell>
        </row>
        <row r="15024">
          <cell r="G15024" t="str">
            <v>ASV22400</v>
          </cell>
          <cell r="H15024" t="str">
            <v>g__Enterococcus</v>
          </cell>
          <cell r="I15024" t="str">
            <v>s__unclassified_g__Enterococcus</v>
          </cell>
        </row>
        <row r="15025">
          <cell r="G15025" t="str">
            <v>ASV970</v>
          </cell>
          <cell r="H15025" t="str">
            <v>g__unclassified_c__Clostridia</v>
          </cell>
          <cell r="I15025" t="str">
            <v>s__unclassified_c__Clostridia</v>
          </cell>
        </row>
        <row r="15026">
          <cell r="G15026" t="str">
            <v>ASV894</v>
          </cell>
          <cell r="H15026" t="str">
            <v>g__Christensenellaceae_R-7_group</v>
          </cell>
          <cell r="I15026" t="str">
            <v>s__unclassified_g__Christensenellaceae_R-7_group</v>
          </cell>
        </row>
        <row r="15027">
          <cell r="G15027" t="str">
            <v>ASV13470</v>
          </cell>
          <cell r="H15027" t="str">
            <v>g__Ruminococcus</v>
          </cell>
          <cell r="I15027" t="str">
            <v>s__unclassified_g__Ruminococcus</v>
          </cell>
        </row>
        <row r="15028">
          <cell r="G15028" t="str">
            <v>ASV24218</v>
          </cell>
          <cell r="H15028" t="str">
            <v>g__Akkermansia</v>
          </cell>
          <cell r="I15028" t="str">
            <v>s__uncultured_bacterium_g__Akkermansia</v>
          </cell>
        </row>
        <row r="15029">
          <cell r="G15029" t="str">
            <v>ASV6731</v>
          </cell>
          <cell r="H15029" t="str">
            <v>g__unclassified_k__norank_d__Bacteria</v>
          </cell>
          <cell r="I15029" t="str">
            <v>s__unclassified_k__norank_d__Bacteria</v>
          </cell>
        </row>
        <row r="15030">
          <cell r="G15030" t="str">
            <v>ASV14317</v>
          </cell>
          <cell r="H15030" t="str">
            <v>g__norank_f__Muribaculaceae</v>
          </cell>
          <cell r="I15030" t="str">
            <v>s__uncultured_bacterium_g__norank_f__Muribaculaceae</v>
          </cell>
        </row>
        <row r="15031">
          <cell r="G15031" t="str">
            <v>ASV19800</v>
          </cell>
          <cell r="H15031" t="str">
            <v>g__Megasphaera</v>
          </cell>
          <cell r="I15031" t="str">
            <v>s__unclassified_g__Megasphaera</v>
          </cell>
        </row>
        <row r="15032">
          <cell r="G15032" t="str">
            <v>ASV2248</v>
          </cell>
          <cell r="H15032" t="str">
            <v>g__unclassified_c__Clostridia</v>
          </cell>
          <cell r="I15032" t="str">
            <v>s__unclassified_c__Clostridia</v>
          </cell>
        </row>
        <row r="15033">
          <cell r="G15033" t="str">
            <v>ASV22925</v>
          </cell>
          <cell r="H15033" t="str">
            <v>g__unclassified_f__Comamonadaceae</v>
          </cell>
          <cell r="I15033" t="str">
            <v>s__unclassified_f__Comamonadaceae</v>
          </cell>
        </row>
        <row r="15034">
          <cell r="G15034" t="str">
            <v>ASV22483</v>
          </cell>
          <cell r="H15034" t="str">
            <v>g__Lactobacillus</v>
          </cell>
          <cell r="I15034" t="str">
            <v>s__unclassified_g__Lactobacillus</v>
          </cell>
        </row>
        <row r="15035">
          <cell r="G15035" t="str">
            <v>ASV12022</v>
          </cell>
          <cell r="H15035" t="str">
            <v>g__norank_f__Oscillospiraceae</v>
          </cell>
          <cell r="I15035" t="str">
            <v>s__unclassified_g__norank_f__Oscillospiraceae</v>
          </cell>
        </row>
        <row r="15036">
          <cell r="G15036" t="str">
            <v>ASV14413</v>
          </cell>
          <cell r="H15036" t="str">
            <v>g__unclassified_o__Oscillospirales</v>
          </cell>
          <cell r="I15036" t="str">
            <v>s__unclassified_o__Oscillospirales</v>
          </cell>
        </row>
        <row r="15037">
          <cell r="G15037" t="str">
            <v>ASV6088</v>
          </cell>
          <cell r="H15037" t="str">
            <v>g__unclassified_f__Lachnospiraceae</v>
          </cell>
          <cell r="I15037" t="str">
            <v>s__unclassified_f__Lachnospiraceae</v>
          </cell>
        </row>
        <row r="15038">
          <cell r="G15038" t="str">
            <v>ASV20830</v>
          </cell>
          <cell r="H15038" t="str">
            <v>g__norank_f__norank_o__Clostridia_UCG-014</v>
          </cell>
          <cell r="I15038" t="str">
            <v>s__unclassified_g__norank_f__norank_o__Clostridia_UCG-014</v>
          </cell>
        </row>
        <row r="15039">
          <cell r="G15039" t="str">
            <v>ASV15494</v>
          </cell>
          <cell r="H15039" t="str">
            <v>g__unclassified_c__Clostridia</v>
          </cell>
          <cell r="I15039" t="str">
            <v>s__unclassified_c__Clostridia</v>
          </cell>
        </row>
        <row r="15040">
          <cell r="G15040" t="str">
            <v>ASV19746</v>
          </cell>
          <cell r="H15040" t="str">
            <v>g__unclassified_f__Prevotellaceae</v>
          </cell>
          <cell r="I15040" t="str">
            <v>s__unclassified_f__Prevotellaceae</v>
          </cell>
        </row>
        <row r="15041">
          <cell r="G15041" t="str">
            <v>ASV20893</v>
          </cell>
          <cell r="H15041" t="str">
            <v>g__unclassified_f__Lachnospiraceae</v>
          </cell>
          <cell r="I15041" t="str">
            <v>s__unclassified_f__Lachnospiraceae</v>
          </cell>
        </row>
        <row r="15042">
          <cell r="G15042" t="str">
            <v>ASV14553</v>
          </cell>
          <cell r="H15042" t="str">
            <v>g__unclassified_f__Lachnospiraceae</v>
          </cell>
          <cell r="I15042" t="str">
            <v>s__unclassified_f__Lachnospiraceae</v>
          </cell>
        </row>
        <row r="15043">
          <cell r="G15043" t="str">
            <v>ASV2233</v>
          </cell>
          <cell r="H15043" t="str">
            <v>g__unclassified_f__Lachnospiraceae</v>
          </cell>
          <cell r="I15043" t="str">
            <v>s__unclassified_f__Lachnospiraceae</v>
          </cell>
        </row>
        <row r="15044">
          <cell r="G15044" t="str">
            <v>ASV5969</v>
          </cell>
          <cell r="H15044" t="str">
            <v>g__unclassified_c__Clostridia</v>
          </cell>
          <cell r="I15044" t="str">
            <v>s__unclassified_c__Clostridia</v>
          </cell>
        </row>
        <row r="15045">
          <cell r="G15045" t="str">
            <v>ASV4046</v>
          </cell>
          <cell r="H15045" t="str">
            <v>g__unclassified_f__Veillonellaceae</v>
          </cell>
          <cell r="I15045" t="str">
            <v>s__unclassified_f__Veillonellaceae</v>
          </cell>
        </row>
        <row r="15046">
          <cell r="G15046" t="str">
            <v>ASV18127</v>
          </cell>
          <cell r="H15046" t="str">
            <v>g__unclassified_f__Peptostreptococcaceae</v>
          </cell>
          <cell r="I15046" t="str">
            <v>s__unclassified_f__Peptostreptococcaceae</v>
          </cell>
        </row>
        <row r="15047">
          <cell r="G15047" t="str">
            <v>ASV5088</v>
          </cell>
          <cell r="H15047" t="str">
            <v>g__unclassified_f__Oscillospiraceae</v>
          </cell>
          <cell r="I15047" t="str">
            <v>s__unclassified_f__Oscillospiraceae</v>
          </cell>
        </row>
        <row r="15048">
          <cell r="G15048" t="str">
            <v>ASV15829</v>
          </cell>
          <cell r="H15048" t="str">
            <v>g__Megasphaera</v>
          </cell>
          <cell r="I15048" t="str">
            <v>s__unclassified_g__Megasphaera</v>
          </cell>
        </row>
        <row r="15049">
          <cell r="G15049" t="str">
            <v>ASV1038</v>
          </cell>
          <cell r="H15049" t="str">
            <v>g__Clostridium_sensu_stricto_1</v>
          </cell>
          <cell r="I15049" t="str">
            <v>s__unclassified_g__Clostridium_sensu_stricto_1</v>
          </cell>
        </row>
        <row r="15050">
          <cell r="G15050" t="str">
            <v>ASV15438</v>
          </cell>
          <cell r="H15050" t="str">
            <v>g__Christensenellaceae_R-7_group</v>
          </cell>
          <cell r="I15050" t="str">
            <v>s__unclassified_g__Christensenellaceae_R-7_group</v>
          </cell>
        </row>
        <row r="15051">
          <cell r="G15051" t="str">
            <v>ASV4084</v>
          </cell>
          <cell r="H15051" t="str">
            <v>g__Phascolarctobacterium</v>
          </cell>
          <cell r="I15051" t="str">
            <v>s__Ruminococcus_sp._N15.MGS-57_g__Phascolarctobacterium</v>
          </cell>
        </row>
        <row r="15052">
          <cell r="G15052" t="str">
            <v>ASV20871</v>
          </cell>
          <cell r="H15052" t="str">
            <v>g__Clostridium_sensu_stricto_1</v>
          </cell>
          <cell r="I15052" t="str">
            <v>s__unclassified_g__Clostridium_sensu_stricto_1</v>
          </cell>
        </row>
        <row r="15053">
          <cell r="G15053" t="str">
            <v>ASV4083</v>
          </cell>
          <cell r="H15053" t="str">
            <v>g__unclassified_f__Oscillospiraceae</v>
          </cell>
          <cell r="I15053" t="str">
            <v>s__unclassified_f__Oscillospiraceae</v>
          </cell>
        </row>
        <row r="15054">
          <cell r="G15054" t="str">
            <v>ASV19082</v>
          </cell>
          <cell r="H15054" t="str">
            <v>g__Lactobacillus</v>
          </cell>
          <cell r="I15054" t="str">
            <v>s__unclassified_g__Lactobacillus</v>
          </cell>
        </row>
        <row r="15055">
          <cell r="G15055" t="str">
            <v>ASV18108</v>
          </cell>
          <cell r="H15055" t="str">
            <v>g__norank_f__Ruminococcaceae</v>
          </cell>
          <cell r="I15055" t="str">
            <v>s__unclassified_g__norank_f__Ruminococcaceae</v>
          </cell>
        </row>
        <row r="15056">
          <cell r="G15056" t="str">
            <v>ASV15477</v>
          </cell>
          <cell r="H15056" t="str">
            <v>g__unclassified_c__Clostridia</v>
          </cell>
          <cell r="I15056" t="str">
            <v>s__unclassified_c__Clostridia</v>
          </cell>
        </row>
        <row r="15057">
          <cell r="G15057" t="str">
            <v>ASV13735</v>
          </cell>
          <cell r="H15057" t="str">
            <v>g__Megasphaera</v>
          </cell>
          <cell r="I15057" t="str">
            <v>s__unclassified_g__Megasphaera</v>
          </cell>
        </row>
        <row r="15058">
          <cell r="G15058" t="str">
            <v>ASV7857</v>
          </cell>
          <cell r="H15058" t="str">
            <v>g__unclassified_p__Firmicutes</v>
          </cell>
          <cell r="I15058" t="str">
            <v>s__unclassified_p__Firmicutes</v>
          </cell>
        </row>
        <row r="15059">
          <cell r="G15059" t="str">
            <v>ASV15813</v>
          </cell>
          <cell r="H15059" t="str">
            <v>g__Blautia</v>
          </cell>
          <cell r="I15059" t="str">
            <v>s__unclassified_g__Blautia</v>
          </cell>
        </row>
        <row r="15060">
          <cell r="G15060" t="str">
            <v>ASV2365</v>
          </cell>
          <cell r="H15060" t="str">
            <v>g__unclassified_c__Clostridia</v>
          </cell>
          <cell r="I15060" t="str">
            <v>s__unclassified_c__Clostridia</v>
          </cell>
        </row>
        <row r="15061">
          <cell r="G15061" t="str">
            <v>ASV19676</v>
          </cell>
          <cell r="H15061" t="str">
            <v>g__unclassified_o__Oscillospirales</v>
          </cell>
          <cell r="I15061" t="str">
            <v>s__unclassified_o__Oscillospirales</v>
          </cell>
        </row>
        <row r="15062">
          <cell r="G15062" t="str">
            <v>ASV5970</v>
          </cell>
          <cell r="H15062" t="str">
            <v>g__unclassified_c__Clostridia</v>
          </cell>
          <cell r="I15062" t="str">
            <v>s__unclassified_c__Clostridia</v>
          </cell>
        </row>
        <row r="15063">
          <cell r="G15063" t="str">
            <v>ASV11910</v>
          </cell>
          <cell r="H15063" t="str">
            <v>g__norank_f__Muribaculaceae</v>
          </cell>
          <cell r="I15063" t="str">
            <v>s__uncultured_bacterium_g__norank_f__Muribaculaceae</v>
          </cell>
        </row>
        <row r="15064">
          <cell r="G15064" t="str">
            <v>ASV1720</v>
          </cell>
          <cell r="H15064" t="str">
            <v>g__norank_f__Ruminococcaceae</v>
          </cell>
          <cell r="I15064" t="str">
            <v>s__unclassified_g__norank_f__Ruminococcaceae</v>
          </cell>
        </row>
        <row r="15065">
          <cell r="G15065" t="str">
            <v>ASV9523</v>
          </cell>
          <cell r="H15065" t="str">
            <v>g__unclassified_c__Clostridia</v>
          </cell>
          <cell r="I15065" t="str">
            <v>s__unclassified_c__Clostridia</v>
          </cell>
        </row>
        <row r="15066">
          <cell r="G15066" t="str">
            <v>ASV7842</v>
          </cell>
          <cell r="H15066" t="str">
            <v>g__Mogibacterium</v>
          </cell>
          <cell r="I15066" t="str">
            <v>s__uncultured_bacterium_g__Mogibacterium</v>
          </cell>
        </row>
        <row r="15067">
          <cell r="G15067" t="str">
            <v>ASV22304</v>
          </cell>
          <cell r="H15067" t="str">
            <v>g__Acetitomaculum</v>
          </cell>
          <cell r="I15067" t="str">
            <v>s__unclassified_g__Acetitomaculum</v>
          </cell>
        </row>
        <row r="15068">
          <cell r="G15068" t="str">
            <v>ASV4958</v>
          </cell>
          <cell r="H15068" t="str">
            <v>g__Lactobacillus</v>
          </cell>
          <cell r="I15068" t="str">
            <v>s__unclassified_g__Lactobacillus</v>
          </cell>
        </row>
        <row r="15069">
          <cell r="G15069" t="str">
            <v>ASV8299</v>
          </cell>
          <cell r="H15069" t="str">
            <v>g__Megasphaera</v>
          </cell>
          <cell r="I15069" t="str">
            <v>s__unclassified_g__Megasphaera</v>
          </cell>
        </row>
        <row r="15070">
          <cell r="G15070" t="str">
            <v>ASV11833</v>
          </cell>
          <cell r="H15070" t="str">
            <v>g__Lachnospiraceae_UCG-004</v>
          </cell>
          <cell r="I15070" t="str">
            <v>s__unclassified_g__Lachnospiraceae_UCG-004</v>
          </cell>
        </row>
        <row r="15071">
          <cell r="G15071" t="str">
            <v>ASV14375</v>
          </cell>
          <cell r="H15071" t="str">
            <v>g__Lactobacillus</v>
          </cell>
          <cell r="I15071" t="str">
            <v>s__unclassified_g__Lactobacillus</v>
          </cell>
        </row>
        <row r="15072">
          <cell r="G15072" t="str">
            <v>ASV11989</v>
          </cell>
          <cell r="H15072" t="str">
            <v>g__unclassified_f__Anaerovoracaceae</v>
          </cell>
          <cell r="I15072" t="str">
            <v>s__unclassified_f__Anaerovoracaceae</v>
          </cell>
        </row>
        <row r="15073">
          <cell r="G15073" t="str">
            <v>ASV19207</v>
          </cell>
          <cell r="H15073" t="str">
            <v>g__Sediminibacterium</v>
          </cell>
          <cell r="I15073" t="str">
            <v>s__unclassified_g__Sediminibacterium</v>
          </cell>
        </row>
        <row r="15074">
          <cell r="G15074" t="str">
            <v>ASV20819</v>
          </cell>
          <cell r="H15074" t="str">
            <v>g__unclassified_c__Bacilli</v>
          </cell>
          <cell r="I15074" t="str">
            <v>s__unclassified_c__Bacilli</v>
          </cell>
        </row>
        <row r="15075">
          <cell r="G15075" t="str">
            <v>ASV6047</v>
          </cell>
          <cell r="H15075" t="str">
            <v>g__norank_f__Erysipelotrichaceae</v>
          </cell>
          <cell r="I15075" t="str">
            <v>s__uncultured_bacterium_g__norank_f__Erysipelotrichaceae</v>
          </cell>
        </row>
        <row r="15076">
          <cell r="G15076" t="str">
            <v>ASV17621</v>
          </cell>
          <cell r="H15076" t="str">
            <v>g__Lactobacillus</v>
          </cell>
          <cell r="I15076" t="str">
            <v>s__unclassified_g__Lactobacillus</v>
          </cell>
        </row>
        <row r="15077">
          <cell r="G15077" t="str">
            <v>ASV18902</v>
          </cell>
          <cell r="H15077" t="str">
            <v>g__Sharpea</v>
          </cell>
          <cell r="I15077" t="str">
            <v>s__unclassified_g__Sharpea</v>
          </cell>
        </row>
        <row r="15078">
          <cell r="G15078" t="str">
            <v>ASV7971</v>
          </cell>
          <cell r="H15078" t="str">
            <v>g__unclassified_f__Clostridiaceae</v>
          </cell>
          <cell r="I15078" t="str">
            <v>s__unclassified_f__Clostridiaceae</v>
          </cell>
        </row>
        <row r="15079">
          <cell r="G15079" t="str">
            <v>ASV17230</v>
          </cell>
          <cell r="H15079" t="str">
            <v>g__Gemella</v>
          </cell>
          <cell r="I15079" t="str">
            <v>s__unclassified_g__Gemella</v>
          </cell>
        </row>
        <row r="15080">
          <cell r="G15080" t="str">
            <v>ASV10728</v>
          </cell>
          <cell r="H15080" t="str">
            <v>g__UCG-002</v>
          </cell>
          <cell r="I15080" t="str">
            <v>s__unclassified_g__UCG-002</v>
          </cell>
        </row>
        <row r="15081">
          <cell r="G15081" t="str">
            <v>ASV11953</v>
          </cell>
          <cell r="H15081" t="str">
            <v>g__Ruminococcus</v>
          </cell>
          <cell r="I15081" t="str">
            <v>s__bacterium_ic1277</v>
          </cell>
        </row>
        <row r="15082">
          <cell r="G15082" t="str">
            <v>ASV15833</v>
          </cell>
          <cell r="H15082" t="str">
            <v>g__Collinsella</v>
          </cell>
          <cell r="I15082" t="str">
            <v>s__unclassified_g__Collinsella</v>
          </cell>
        </row>
        <row r="15083">
          <cell r="G15083" t="str">
            <v>ASV24241</v>
          </cell>
          <cell r="H15083" t="str">
            <v>g__Lactobacillus</v>
          </cell>
          <cell r="I15083" t="str">
            <v>s__unclassified_g__Lactobacillus</v>
          </cell>
        </row>
        <row r="15084">
          <cell r="G15084" t="str">
            <v>ASV7934</v>
          </cell>
          <cell r="H15084" t="str">
            <v>g__unclassified_p__Firmicutes</v>
          </cell>
          <cell r="I15084" t="str">
            <v>s__unclassified_p__Firmicutes</v>
          </cell>
        </row>
        <row r="15085">
          <cell r="G15085" t="str">
            <v>ASV21504</v>
          </cell>
          <cell r="H15085" t="str">
            <v>g__Lactobacillus</v>
          </cell>
          <cell r="I15085" t="str">
            <v>s__unclassified_g__Lactobacillus</v>
          </cell>
        </row>
        <row r="15086">
          <cell r="G15086" t="str">
            <v>ASV14526</v>
          </cell>
          <cell r="H15086" t="str">
            <v>g__unclassified_f__Lachnospiraceae</v>
          </cell>
          <cell r="I15086" t="str">
            <v>s__unclassified_f__Lachnospiraceae</v>
          </cell>
        </row>
        <row r="15087">
          <cell r="G15087" t="str">
            <v>ASV13734</v>
          </cell>
          <cell r="H15087" t="str">
            <v>g__Lactobacillus</v>
          </cell>
          <cell r="I15087" t="str">
            <v>s__unclassified_g__Lactobacillus</v>
          </cell>
        </row>
        <row r="15088">
          <cell r="G15088" t="str">
            <v>ASV22475</v>
          </cell>
          <cell r="H15088" t="str">
            <v>g__Lactobacillus</v>
          </cell>
          <cell r="I15088" t="str">
            <v>s__unclassified_g__Lactobacillus</v>
          </cell>
        </row>
        <row r="15089">
          <cell r="G15089" t="str">
            <v>ASV16468</v>
          </cell>
          <cell r="H15089" t="str">
            <v>g__Turicibacter</v>
          </cell>
          <cell r="I15089" t="str">
            <v>s__unclassified_g__Turicibacter</v>
          </cell>
        </row>
        <row r="15090">
          <cell r="G15090" t="str">
            <v>ASV1012</v>
          </cell>
          <cell r="H15090" t="str">
            <v>g__unclassified_f__Christensenellaceae</v>
          </cell>
          <cell r="I15090" t="str">
            <v>s__unclassified_f__Christensenellaceae</v>
          </cell>
        </row>
        <row r="15091">
          <cell r="G15091" t="str">
            <v>ASV6066</v>
          </cell>
          <cell r="H15091" t="str">
            <v>g__unclassified_c__Clostridia</v>
          </cell>
          <cell r="I15091" t="str">
            <v>s__unclassified_c__Clostridia</v>
          </cell>
        </row>
        <row r="15092">
          <cell r="G15092" t="str">
            <v>ASV4155</v>
          </cell>
          <cell r="H15092" t="str">
            <v>g__unclassified_f__Synergistaceae</v>
          </cell>
          <cell r="I15092" t="str">
            <v>s__unclassified_f__Synergistaceae</v>
          </cell>
        </row>
        <row r="15093">
          <cell r="G15093" t="str">
            <v>ASV6095</v>
          </cell>
          <cell r="H15093" t="str">
            <v>g__unclassified_c__Clostridia</v>
          </cell>
          <cell r="I15093" t="str">
            <v>s__unclassified_c__Clostridia</v>
          </cell>
        </row>
        <row r="15094">
          <cell r="G15094" t="str">
            <v>ASV12009</v>
          </cell>
          <cell r="H15094" t="str">
            <v>g__unclassified_c__Bacilli</v>
          </cell>
          <cell r="I15094" t="str">
            <v>s__unclassified_c__Bacilli</v>
          </cell>
        </row>
        <row r="15095">
          <cell r="G15095" t="str">
            <v>ASV9553</v>
          </cell>
          <cell r="H15095" t="str">
            <v>g__unclassified_o__Oscillospirales</v>
          </cell>
          <cell r="I15095" t="str">
            <v>s__unclassified_o__Oscillospirales</v>
          </cell>
        </row>
        <row r="15096">
          <cell r="G15096" t="str">
            <v>ASV982</v>
          </cell>
          <cell r="H15096" t="str">
            <v>g__Rikenellaceae_RC9_gut_group</v>
          </cell>
          <cell r="I15096" t="str">
            <v>s__uncultured_bacterium_g__Rikenellaceae_RC9_gut_group</v>
          </cell>
        </row>
        <row r="15097">
          <cell r="G15097" t="str">
            <v>ASV13482</v>
          </cell>
          <cell r="H15097" t="str">
            <v>g__unclassified_f__Lachnospiraceae</v>
          </cell>
          <cell r="I15097" t="str">
            <v>s__unclassified_f__Lachnospiraceae</v>
          </cell>
        </row>
        <row r="15098">
          <cell r="G15098" t="str">
            <v>ASV21304</v>
          </cell>
          <cell r="H15098" t="str">
            <v>g__unclassified_o__Lactobacillales</v>
          </cell>
          <cell r="I15098" t="str">
            <v>s__unclassified_o__Lactobacillales</v>
          </cell>
        </row>
        <row r="15099">
          <cell r="G15099" t="str">
            <v>ASV22429</v>
          </cell>
          <cell r="H15099" t="str">
            <v>g__Christensenellaceae_R-7_group</v>
          </cell>
          <cell r="I15099" t="str">
            <v>s__uncultured_bacterium_g__Christensenellaceae_R-7_group</v>
          </cell>
        </row>
        <row r="15100">
          <cell r="G15100" t="str">
            <v>ASV8520</v>
          </cell>
          <cell r="H15100" t="str">
            <v>g__unclassified_f__Selenomonadaceae</v>
          </cell>
          <cell r="I15100" t="str">
            <v>s__unclassified_f__Selenomonadaceae</v>
          </cell>
        </row>
        <row r="15101">
          <cell r="G15101" t="str">
            <v>ASV21300</v>
          </cell>
          <cell r="H15101" t="str">
            <v>g__unclassified_c__Bacilli</v>
          </cell>
          <cell r="I15101" t="str">
            <v>s__unclassified_c__Bacilli</v>
          </cell>
        </row>
        <row r="15102">
          <cell r="G15102" t="str">
            <v>ASV5068</v>
          </cell>
          <cell r="H15102" t="str">
            <v>g__Lactobacillus</v>
          </cell>
          <cell r="I15102" t="str">
            <v>s__unclassified_g__Lactobacillus</v>
          </cell>
        </row>
        <row r="15103">
          <cell r="G15103" t="str">
            <v>ASV6744</v>
          </cell>
          <cell r="H15103" t="str">
            <v>g__unclassified_k__norank_d__Bacteria</v>
          </cell>
          <cell r="I15103" t="str">
            <v>s__unclassified_k__norank_d__Bacteria</v>
          </cell>
        </row>
        <row r="15104">
          <cell r="G15104" t="str">
            <v>ASV15428</v>
          </cell>
          <cell r="H15104" t="str">
            <v>g__unclassified_f__Lachnospiraceae</v>
          </cell>
          <cell r="I15104" t="str">
            <v>s__unclassified_f__Lachnospiraceae</v>
          </cell>
        </row>
        <row r="15105">
          <cell r="G15105" t="str">
            <v>ASV6139</v>
          </cell>
          <cell r="H15105" t="str">
            <v>g__Escherichia-Shigella</v>
          </cell>
          <cell r="I15105" t="str">
            <v>s__unclassified_g__Escherichia-Shigella</v>
          </cell>
        </row>
        <row r="15106">
          <cell r="G15106" t="str">
            <v>ASV14437</v>
          </cell>
          <cell r="H15106" t="str">
            <v>g__Christensenellaceae_R-7_group</v>
          </cell>
          <cell r="I15106" t="str">
            <v>s__unclassified_g__Christensenellaceae_R-7_group</v>
          </cell>
        </row>
        <row r="15107">
          <cell r="G15107" t="str">
            <v>ASV16973</v>
          </cell>
          <cell r="H15107" t="str">
            <v>g__unclassified_p__Firmicutes</v>
          </cell>
          <cell r="I15107" t="str">
            <v>s__unclassified_p__Firmicutes</v>
          </cell>
        </row>
        <row r="15108">
          <cell r="G15108" t="str">
            <v>ASV21488</v>
          </cell>
          <cell r="H15108" t="str">
            <v>g__unclassified_f__Clostridiaceae</v>
          </cell>
          <cell r="I15108" t="str">
            <v>s__unclassified_f__Clostridiaceae</v>
          </cell>
        </row>
        <row r="15109">
          <cell r="G15109" t="str">
            <v>ASV11745</v>
          </cell>
          <cell r="H15109" t="str">
            <v>g__Treponema</v>
          </cell>
          <cell r="I15109" t="str">
            <v>s__unclassified_g__Treponema</v>
          </cell>
        </row>
        <row r="15110">
          <cell r="G15110" t="str">
            <v>ASV4196</v>
          </cell>
          <cell r="H15110" t="str">
            <v>g__unclassified_f__Lachnospiraceae</v>
          </cell>
          <cell r="I15110" t="str">
            <v>s__unclassified_f__Lachnospiraceae</v>
          </cell>
        </row>
        <row r="15111">
          <cell r="G15111" t="str">
            <v>ASV789</v>
          </cell>
          <cell r="H15111" t="str">
            <v>g__unclassified_f__Lachnospiraceae</v>
          </cell>
          <cell r="I15111" t="str">
            <v>s__unclassified_f__Lachnospiraceae</v>
          </cell>
        </row>
        <row r="15112">
          <cell r="G15112" t="str">
            <v>ASV6055</v>
          </cell>
          <cell r="H15112" t="str">
            <v>g__Parabacteroides</v>
          </cell>
          <cell r="I15112" t="str">
            <v>s__Porphyromonadaceae_bacterium_DJF_B175</v>
          </cell>
        </row>
        <row r="15113">
          <cell r="G15113" t="str">
            <v>ASV901</v>
          </cell>
          <cell r="H15113" t="str">
            <v>g__Colidextribacter</v>
          </cell>
          <cell r="I15113" t="str">
            <v>s__uncultured_bacterium_g__Colidextribacter</v>
          </cell>
        </row>
        <row r="15114">
          <cell r="G15114" t="str">
            <v>ASV10094</v>
          </cell>
          <cell r="H15114" t="str">
            <v>g__Clostridium_sensu_stricto_1</v>
          </cell>
          <cell r="I15114" t="str">
            <v>s__unclassified_g__Clostridium_sensu_stricto_1</v>
          </cell>
        </row>
        <row r="15115">
          <cell r="G15115" t="str">
            <v>ASV13444</v>
          </cell>
          <cell r="H15115" t="str">
            <v>g__unclassified_c__Clostridia</v>
          </cell>
          <cell r="I15115" t="str">
            <v>s__unclassified_c__Clostridia</v>
          </cell>
        </row>
        <row r="15116">
          <cell r="G15116" t="str">
            <v>ASV21464</v>
          </cell>
          <cell r="H15116" t="str">
            <v>g__unclassified_k__norank_d__Bacteria</v>
          </cell>
          <cell r="I15116" t="str">
            <v>s__unclassified_k__norank_d__Bacteria</v>
          </cell>
        </row>
        <row r="15117">
          <cell r="G15117" t="str">
            <v>ASV16521</v>
          </cell>
          <cell r="H15117" t="str">
            <v>g__unclassified_p__Firmicutes</v>
          </cell>
          <cell r="I15117" t="str">
            <v>s__unclassified_p__Firmicutes</v>
          </cell>
        </row>
        <row r="15118">
          <cell r="G15118" t="str">
            <v>ASV5080</v>
          </cell>
          <cell r="H15118" t="str">
            <v>g__unclassified_c__Clostridia</v>
          </cell>
          <cell r="I15118" t="str">
            <v>s__unclassified_c__Clostridia</v>
          </cell>
        </row>
        <row r="15119">
          <cell r="G15119" t="str">
            <v>ASV21650</v>
          </cell>
          <cell r="H15119" t="str">
            <v>g__Bacteroides</v>
          </cell>
          <cell r="I15119" t="str">
            <v>s__uncultured_bacterium_g__Bacteroides</v>
          </cell>
        </row>
        <row r="15120">
          <cell r="G15120" t="str">
            <v>ASV16072</v>
          </cell>
          <cell r="H15120" t="str">
            <v>g__Cloacibacillus</v>
          </cell>
          <cell r="I15120" t="str">
            <v>s__unclassified_g__Cloacibacillus</v>
          </cell>
        </row>
        <row r="15121">
          <cell r="G15121" t="str">
            <v>ASV5952</v>
          </cell>
          <cell r="H15121" t="str">
            <v>g__unclassified_f__Ruminococcaceae</v>
          </cell>
          <cell r="I15121" t="str">
            <v>s__unclassified_f__Ruminococcaceae</v>
          </cell>
        </row>
        <row r="15122">
          <cell r="G15122" t="str">
            <v>ASV20906</v>
          </cell>
          <cell r="H15122" t="str">
            <v>g__Clostridium_sensu_stricto_1</v>
          </cell>
          <cell r="I15122" t="str">
            <v>s__unclassified_g__Clostridium_sensu_stricto_1</v>
          </cell>
        </row>
        <row r="15123">
          <cell r="G15123" t="str">
            <v>ASV1729</v>
          </cell>
          <cell r="H15123" t="str">
            <v>g__Cloacibacillus</v>
          </cell>
          <cell r="I15123" t="str">
            <v>s__unclassified_g__Cloacibacillus</v>
          </cell>
        </row>
        <row r="15124">
          <cell r="G15124" t="str">
            <v>ASV21502</v>
          </cell>
          <cell r="H15124" t="str">
            <v>g__Escherichia-Shigella</v>
          </cell>
          <cell r="I15124" t="str">
            <v>s__unclassified_g__Escherichia-Shigella</v>
          </cell>
        </row>
        <row r="15125">
          <cell r="G15125" t="str">
            <v>ASV7894</v>
          </cell>
          <cell r="H15125" t="str">
            <v>g__Subdoligranulum</v>
          </cell>
          <cell r="I15125" t="str">
            <v>s__uncultured_bacterium_g__Subdoligranulum</v>
          </cell>
        </row>
        <row r="15126">
          <cell r="G15126" t="str">
            <v>ASV10725</v>
          </cell>
          <cell r="H15126" t="str">
            <v>g__unclassified_f__Lachnospiraceae</v>
          </cell>
          <cell r="I15126" t="str">
            <v>s__unclassified_f__Lachnospiraceae</v>
          </cell>
        </row>
        <row r="15127">
          <cell r="G15127" t="str">
            <v>ASV16986</v>
          </cell>
          <cell r="H15127" t="str">
            <v>g__norank_f__Muribaculaceae</v>
          </cell>
          <cell r="I15127" t="str">
            <v>s__uncultured_bacterium_g__norank_f__Muribaculaceae</v>
          </cell>
        </row>
        <row r="15128">
          <cell r="G15128" t="str">
            <v>ASV5111</v>
          </cell>
          <cell r="H15128" t="str">
            <v>g__Treponema</v>
          </cell>
          <cell r="I15128" t="str">
            <v>s__uncultured_bacterium_g__Treponema</v>
          </cell>
        </row>
        <row r="15129">
          <cell r="G15129" t="str">
            <v>ASV8362</v>
          </cell>
          <cell r="H15129" t="str">
            <v>g__Streptococcus</v>
          </cell>
          <cell r="I15129" t="str">
            <v>s__Streptococcus_parasuis</v>
          </cell>
        </row>
        <row r="15130">
          <cell r="G15130" t="str">
            <v>ASV16783</v>
          </cell>
          <cell r="H15130" t="str">
            <v>g__unclassified_c__Bacilli</v>
          </cell>
          <cell r="I15130" t="str">
            <v>s__unclassified_c__Bacilli</v>
          </cell>
        </row>
        <row r="15131">
          <cell r="G15131" t="str">
            <v>ASV23464</v>
          </cell>
          <cell r="H15131" t="str">
            <v>g__Subdoligranulum</v>
          </cell>
          <cell r="I15131" t="str">
            <v>s__uncultured_bacterium_g__Subdoligranulum</v>
          </cell>
        </row>
        <row r="15132">
          <cell r="G15132" t="str">
            <v>ASV6820</v>
          </cell>
          <cell r="H15132" t="str">
            <v>g__unclassified_o__Clostridiales</v>
          </cell>
          <cell r="I15132" t="str">
            <v>s__unclassified_o__Clostridiales</v>
          </cell>
        </row>
        <row r="15133">
          <cell r="G15133" t="str">
            <v>ASV906</v>
          </cell>
          <cell r="H15133" t="str">
            <v>g__unclassified_c__Bacilli</v>
          </cell>
          <cell r="I15133" t="str">
            <v>s__unclassified_c__Bacilli</v>
          </cell>
        </row>
        <row r="15134">
          <cell r="G15134" t="str">
            <v>ASV5117</v>
          </cell>
          <cell r="H15134" t="str">
            <v>g__unclassified_f__Oscillospiraceae</v>
          </cell>
          <cell r="I15134" t="str">
            <v>s__unclassified_f__Oscillospiraceae</v>
          </cell>
        </row>
        <row r="15135">
          <cell r="G15135" t="str">
            <v>ASV5023</v>
          </cell>
          <cell r="H15135" t="str">
            <v>g__norank_f__Ruminococcaceae</v>
          </cell>
          <cell r="I15135" t="str">
            <v>s__unclassified_g__norank_f__Ruminococcaceae</v>
          </cell>
        </row>
        <row r="15136">
          <cell r="G15136" t="str">
            <v>ASV13502</v>
          </cell>
          <cell r="H15136" t="str">
            <v>g__unclassified_f__Anaerovoracaceae</v>
          </cell>
          <cell r="I15136" t="str">
            <v>s__unclassified_f__Anaerovoracaceae</v>
          </cell>
        </row>
        <row r="15137">
          <cell r="G15137" t="str">
            <v>ASV13448</v>
          </cell>
          <cell r="H15137" t="str">
            <v>g__unclassified_f__Lachnospiraceae</v>
          </cell>
          <cell r="I15137" t="str">
            <v>s__unclassified_f__Lachnospiraceae</v>
          </cell>
        </row>
        <row r="15138">
          <cell r="G15138" t="str">
            <v>ASV20272</v>
          </cell>
          <cell r="H15138" t="str">
            <v>g__unclassified_c__Clostridia</v>
          </cell>
          <cell r="I15138" t="str">
            <v>s__unclassified_c__Clostridia</v>
          </cell>
        </row>
        <row r="15139">
          <cell r="G15139" t="str">
            <v>ASV10318</v>
          </cell>
          <cell r="H15139" t="str">
            <v>g__unclassified_o__Lactobacillales</v>
          </cell>
          <cell r="I15139" t="str">
            <v>s__unclassified_o__Lactobacillales</v>
          </cell>
        </row>
        <row r="15140">
          <cell r="G15140" t="str">
            <v>ASV24180</v>
          </cell>
          <cell r="H15140" t="str">
            <v>g__Rikenellaceae_RC9_gut_group</v>
          </cell>
          <cell r="I15140" t="str">
            <v>s__uncultured_bacterium_g__Rikenellaceae_RC9_gut_group</v>
          </cell>
        </row>
        <row r="15141">
          <cell r="G15141" t="str">
            <v>ASV7366</v>
          </cell>
          <cell r="H15141" t="str">
            <v>g__unclassified_f__Selenomonadaceae</v>
          </cell>
          <cell r="I15141" t="str">
            <v>s__unclassified_f__Selenomonadaceae</v>
          </cell>
        </row>
        <row r="15142">
          <cell r="G15142" t="str">
            <v>ASV7356</v>
          </cell>
          <cell r="H15142" t="str">
            <v>g__unclassified_o__Oscillospirales</v>
          </cell>
          <cell r="I15142" t="str">
            <v>s__unclassified_o__Oscillospirales</v>
          </cell>
        </row>
        <row r="15143">
          <cell r="G15143" t="str">
            <v>ASV22432</v>
          </cell>
          <cell r="H15143" t="str">
            <v>g__unclassified_f__Lachnospiraceae</v>
          </cell>
          <cell r="I15143" t="str">
            <v>s__unclassified_f__Lachnospiraceae</v>
          </cell>
        </row>
        <row r="15144">
          <cell r="G15144" t="str">
            <v>ASV15832</v>
          </cell>
          <cell r="H15144" t="str">
            <v>g__Peptostreptococcus</v>
          </cell>
          <cell r="I15144" t="str">
            <v>s__unclassified_g__Peptostreptococcus</v>
          </cell>
        </row>
        <row r="15145">
          <cell r="G15145" t="str">
            <v>ASV20848</v>
          </cell>
          <cell r="H15145" t="str">
            <v>g__unclassified_o__Oscillospirales</v>
          </cell>
          <cell r="I15145" t="str">
            <v>s__unclassified_o__Oscillospirales</v>
          </cell>
        </row>
        <row r="15146">
          <cell r="G15146" t="str">
            <v>ASV19747</v>
          </cell>
          <cell r="H15146" t="str">
            <v>g__unclassified_o__Oscillospirales</v>
          </cell>
          <cell r="I15146" t="str">
            <v>s__unclassified_o__Oscillospirales</v>
          </cell>
        </row>
        <row r="15147">
          <cell r="G15147" t="str">
            <v>ASV11752</v>
          </cell>
          <cell r="H15147" t="str">
            <v>g__unclassified_c__Clostridia</v>
          </cell>
          <cell r="I15147" t="str">
            <v>s__unclassified_c__Clostridia</v>
          </cell>
        </row>
        <row r="15148">
          <cell r="G15148" t="str">
            <v>ASV11877</v>
          </cell>
          <cell r="H15148" t="str">
            <v>g__unclassified_f__Lachnospiraceae</v>
          </cell>
          <cell r="I15148" t="str">
            <v>s__unclassified_f__Lachnospiraceae</v>
          </cell>
        </row>
        <row r="15149">
          <cell r="G15149" t="str">
            <v>ASV16952</v>
          </cell>
          <cell r="H15149" t="str">
            <v>g__Lactobacillus</v>
          </cell>
          <cell r="I15149" t="str">
            <v>s__unclassified_g__Lactobacillus</v>
          </cell>
        </row>
        <row r="15150">
          <cell r="G15150" t="str">
            <v>ASV11840</v>
          </cell>
          <cell r="H15150" t="str">
            <v>g__NK4A214_group</v>
          </cell>
          <cell r="I15150" t="str">
            <v>s__unclassified_g__NK4A214_group</v>
          </cell>
        </row>
        <row r="15151">
          <cell r="G15151" t="str">
            <v>ASV19630</v>
          </cell>
          <cell r="H15151" t="str">
            <v>g__Phascolarctobacterium</v>
          </cell>
          <cell r="I15151" t="str">
            <v>s__uncultured_bacterium_g__Phascolarctobacterium</v>
          </cell>
        </row>
        <row r="15152">
          <cell r="G15152" t="str">
            <v>ASV5034</v>
          </cell>
          <cell r="H15152" t="str">
            <v>g__unclassified_c__Clostridia</v>
          </cell>
          <cell r="I15152" t="str">
            <v>s__unclassified_c__Clostridia</v>
          </cell>
        </row>
        <row r="15153">
          <cell r="G15153" t="str">
            <v>ASV21638</v>
          </cell>
          <cell r="H15153" t="str">
            <v>g__unclassified_p__Firmicutes</v>
          </cell>
          <cell r="I15153" t="str">
            <v>s__unclassified_p__Firmicutes</v>
          </cell>
        </row>
        <row r="15154">
          <cell r="G15154" t="str">
            <v>ASV19776</v>
          </cell>
          <cell r="H15154" t="str">
            <v>g__unclassified_k__norank_d__Bacteria</v>
          </cell>
          <cell r="I15154" t="str">
            <v>s__unclassified_k__norank_d__Bacteria</v>
          </cell>
        </row>
        <row r="15155">
          <cell r="G15155" t="str">
            <v>ASV892</v>
          </cell>
          <cell r="H15155" t="str">
            <v>g__Desulfovibrio</v>
          </cell>
          <cell r="I15155" t="str">
            <v>s__unclassified_g__Desulfovibrio</v>
          </cell>
        </row>
        <row r="15156">
          <cell r="G15156" t="str">
            <v>ASV12844</v>
          </cell>
          <cell r="H15156" t="str">
            <v>g__Ruminococcus</v>
          </cell>
          <cell r="I15156" t="str">
            <v>s__unclassified_g__Ruminococcus</v>
          </cell>
        </row>
        <row r="15157">
          <cell r="G15157" t="str">
            <v>ASV22978</v>
          </cell>
          <cell r="H15157" t="str">
            <v>g__unclassified_c__Bacilli</v>
          </cell>
          <cell r="I15157" t="str">
            <v>s__unclassified_c__Bacilli</v>
          </cell>
        </row>
        <row r="15158">
          <cell r="G15158" t="str">
            <v>ASV18204</v>
          </cell>
          <cell r="H15158" t="str">
            <v>g__Christensenellaceae_R-7_group</v>
          </cell>
          <cell r="I15158" t="str">
            <v>s__unclassified_g__Christensenellaceae_R-7_group</v>
          </cell>
        </row>
        <row r="15159">
          <cell r="G15159" t="str">
            <v>ASV24234</v>
          </cell>
          <cell r="H15159" t="str">
            <v>g__unclassified_f__Oscillospiraceae</v>
          </cell>
          <cell r="I15159" t="str">
            <v>s__unclassified_f__Oscillospiraceae</v>
          </cell>
        </row>
        <row r="15160">
          <cell r="G15160" t="str">
            <v>ASV966</v>
          </cell>
          <cell r="H15160" t="str">
            <v>g__unclassified_f__Lachnospiraceae</v>
          </cell>
          <cell r="I15160" t="str">
            <v>s__unclassified_f__Lachnospiraceae</v>
          </cell>
        </row>
        <row r="15161">
          <cell r="G15161" t="str">
            <v>ASV20886</v>
          </cell>
          <cell r="H15161" t="str">
            <v>g__unclassified_f__Lachnospiraceae</v>
          </cell>
          <cell r="I15161" t="str">
            <v>s__unclassified_f__Lachnospiraceae</v>
          </cell>
        </row>
        <row r="15162">
          <cell r="G15162" t="str">
            <v>ASV16564</v>
          </cell>
          <cell r="H15162" t="str">
            <v>g__UCG-002</v>
          </cell>
          <cell r="I15162" t="str">
            <v>s__uncultured_bacterium_g__UCG-002</v>
          </cell>
        </row>
        <row r="15163">
          <cell r="G15163" t="str">
            <v>ASV11836</v>
          </cell>
          <cell r="H15163" t="str">
            <v>g__Eubacterium_oxidoreducens_group</v>
          </cell>
          <cell r="I15163" t="str">
            <v>s__uncultured_bacterium_g__Eubacterium_oxidoreducens_group</v>
          </cell>
        </row>
        <row r="15164">
          <cell r="G15164" t="str">
            <v>ASV9462</v>
          </cell>
          <cell r="H15164" t="str">
            <v>g__unclassified_f__Lachnospiraceae</v>
          </cell>
          <cell r="I15164" t="str">
            <v>s__unclassified_f__Lachnospiraceae</v>
          </cell>
        </row>
        <row r="15165">
          <cell r="G15165" t="str">
            <v>ASV16064</v>
          </cell>
          <cell r="H15165" t="str">
            <v>g__unclassified_f__Lachnospiraceae</v>
          </cell>
          <cell r="I15165" t="str">
            <v>s__unclassified_f__Lachnospiraceae</v>
          </cell>
        </row>
        <row r="15166">
          <cell r="G15166" t="str">
            <v>ASV22436</v>
          </cell>
          <cell r="H15166" t="str">
            <v>g__Lactobacillus</v>
          </cell>
          <cell r="I15166" t="str">
            <v>s__unclassified_g__Lactobacillus</v>
          </cell>
        </row>
        <row r="15167">
          <cell r="G15167" t="str">
            <v>ASV14474</v>
          </cell>
          <cell r="H15167" t="str">
            <v>g__Prevotella</v>
          </cell>
          <cell r="I15167" t="str">
            <v>s__Prevotella_sp._DJF_LS16</v>
          </cell>
        </row>
        <row r="15168">
          <cell r="G15168" t="str">
            <v>ASV20930</v>
          </cell>
          <cell r="H15168" t="str">
            <v>g__norank_f__norank_o__RF39</v>
          </cell>
          <cell r="I15168" t="str">
            <v>s__unclassified_g__norank_f__norank_o__RF39</v>
          </cell>
        </row>
        <row r="15169">
          <cell r="G15169" t="str">
            <v>ASV16507</v>
          </cell>
          <cell r="H15169" t="str">
            <v>g__Subdoligranulum</v>
          </cell>
          <cell r="I15169" t="str">
            <v>s__uncultured_bacterium_g__Subdoligranulum</v>
          </cell>
        </row>
        <row r="15170">
          <cell r="G15170" t="str">
            <v>ASV1027</v>
          </cell>
          <cell r="H15170" t="str">
            <v>g__unclassified_f__Lachnospiraceae</v>
          </cell>
          <cell r="I15170" t="str">
            <v>s__unclassified_f__Lachnospiraceae</v>
          </cell>
        </row>
        <row r="15171">
          <cell r="G15171" t="str">
            <v>ASV18096</v>
          </cell>
          <cell r="H15171" t="str">
            <v>g__Anaerotruncus</v>
          </cell>
          <cell r="I15171" t="str">
            <v>s__Anaerotruncus_sp._AT3</v>
          </cell>
        </row>
        <row r="15172">
          <cell r="G15172" t="str">
            <v>ASV5996</v>
          </cell>
          <cell r="H15172" t="str">
            <v>g__Subdoligranulum</v>
          </cell>
          <cell r="I15172" t="str">
            <v>s__unclassified_g__Subdoligranulum</v>
          </cell>
        </row>
        <row r="15173">
          <cell r="G15173" t="str">
            <v>ASV13518</v>
          </cell>
          <cell r="H15173" t="str">
            <v>g__Christensenellaceae_R-7_group</v>
          </cell>
          <cell r="I15173" t="str">
            <v>s__uncultured_bacterium_g__Christensenellaceae_R-7_group</v>
          </cell>
        </row>
        <row r="15174">
          <cell r="G15174" t="str">
            <v>ASV4935</v>
          </cell>
          <cell r="H15174" t="str">
            <v>g__unclassified_c__Clostridia</v>
          </cell>
          <cell r="I15174" t="str">
            <v>s__unclassified_c__Clostridia</v>
          </cell>
        </row>
        <row r="15175">
          <cell r="G15175" t="str">
            <v>ASV4953</v>
          </cell>
          <cell r="H15175" t="str">
            <v>g__Christensenellaceae_R-7_group</v>
          </cell>
          <cell r="I15175" t="str">
            <v>s__uncultured_bacterium_g__Christensenellaceae_R-7_group</v>
          </cell>
        </row>
        <row r="15176">
          <cell r="G15176" t="str">
            <v>ASV17415</v>
          </cell>
          <cell r="H15176" t="str">
            <v>g__Filifactor</v>
          </cell>
          <cell r="I15176" t="str">
            <v>s__unclassified_g__Filifactor</v>
          </cell>
        </row>
        <row r="15177">
          <cell r="G15177" t="str">
            <v>ASV14429</v>
          </cell>
          <cell r="H15177" t="str">
            <v>g__unclassified_c__Bacilli</v>
          </cell>
          <cell r="I15177" t="str">
            <v>s__unclassified_c__Bacilli</v>
          </cell>
        </row>
        <row r="15178">
          <cell r="G15178" t="str">
            <v>ASV5058</v>
          </cell>
          <cell r="H15178" t="str">
            <v>g__Bacteroides</v>
          </cell>
          <cell r="I15178" t="str">
            <v>s__unclassified_g__Bacteroides</v>
          </cell>
        </row>
        <row r="15179">
          <cell r="G15179" t="str">
            <v>ASV20471</v>
          </cell>
          <cell r="H15179" t="str">
            <v>g__Campylobacter</v>
          </cell>
          <cell r="I15179" t="str">
            <v>s__unclassified_g__Campylobacter</v>
          </cell>
        </row>
        <row r="15180">
          <cell r="G15180" t="str">
            <v>ASV12821</v>
          </cell>
          <cell r="H15180" t="str">
            <v>g__unclassified_c__Clostridia</v>
          </cell>
          <cell r="I15180" t="str">
            <v>s__unclassified_c__Clostridia</v>
          </cell>
        </row>
        <row r="15181">
          <cell r="G15181" t="str">
            <v>ASV2321</v>
          </cell>
          <cell r="H15181" t="str">
            <v>g__unclassified_f__Lachnospiraceae</v>
          </cell>
          <cell r="I15181" t="str">
            <v>s__unclassified_f__Lachnospiraceae</v>
          </cell>
        </row>
        <row r="15182">
          <cell r="G15182" t="str">
            <v>ASV14406</v>
          </cell>
          <cell r="H15182" t="str">
            <v>g__unclassified_c__Clostridia</v>
          </cell>
          <cell r="I15182" t="str">
            <v>s__unclassified_c__Clostridia</v>
          </cell>
        </row>
        <row r="15183">
          <cell r="G15183" t="str">
            <v>ASV19832</v>
          </cell>
          <cell r="H15183" t="str">
            <v>g__Lactobacillus</v>
          </cell>
          <cell r="I15183" t="str">
            <v>s__unclassified_g__Lactobacillus</v>
          </cell>
        </row>
        <row r="15184">
          <cell r="G15184" t="str">
            <v>ASV19755</v>
          </cell>
          <cell r="H15184" t="str">
            <v>g__unclassified_p__Firmicutes</v>
          </cell>
          <cell r="I15184" t="str">
            <v>s__unclassified_p__Firmicutes</v>
          </cell>
        </row>
        <row r="15185">
          <cell r="G15185" t="str">
            <v>ASV9506</v>
          </cell>
          <cell r="H15185" t="str">
            <v>g__norank_f__Erysipelotrichaceae</v>
          </cell>
          <cell r="I15185" t="str">
            <v>s__uncultured_bacterium_g__norank_f__Erysipelotrichaceae</v>
          </cell>
        </row>
        <row r="15186">
          <cell r="G15186" t="str">
            <v>ASV2308</v>
          </cell>
          <cell r="H15186" t="str">
            <v>g__norank_f__Erysipelotrichaceae</v>
          </cell>
          <cell r="I15186" t="str">
            <v>s__uncultured_bacterium_g__norank_f__Erysipelotrichaceae</v>
          </cell>
        </row>
        <row r="15187">
          <cell r="G15187" t="str">
            <v>ASV17304</v>
          </cell>
          <cell r="H15187" t="str">
            <v>g__Anaerococcus</v>
          </cell>
          <cell r="I15187" t="str">
            <v>s__unclassified_g__Anaerococcus</v>
          </cell>
        </row>
        <row r="15188">
          <cell r="G15188" t="str">
            <v>ASV10047</v>
          </cell>
          <cell r="H15188" t="str">
            <v>g__norank_f__norank_o__WCHB1-41</v>
          </cell>
          <cell r="I15188" t="str">
            <v>s__uncultured_bacterium_g__norank_f__norank_o__WCHB1-41</v>
          </cell>
        </row>
        <row r="15189">
          <cell r="G15189" t="str">
            <v>ASV12940</v>
          </cell>
          <cell r="H15189" t="str">
            <v>g__unclassified_p__Firmicutes</v>
          </cell>
          <cell r="I15189" t="str">
            <v>s__unclassified_p__Firmicutes</v>
          </cell>
        </row>
        <row r="15190">
          <cell r="G15190" t="str">
            <v>ASV21621</v>
          </cell>
          <cell r="H15190" t="str">
            <v>g__Faecalibacterium</v>
          </cell>
          <cell r="I15190" t="str">
            <v>s__unclassified_g__Faecalibacterium</v>
          </cell>
        </row>
        <row r="15191">
          <cell r="G15191" t="str">
            <v>ASV15822</v>
          </cell>
          <cell r="H15191" t="str">
            <v>g__Bacillus</v>
          </cell>
          <cell r="I15191" t="str">
            <v>s__Lactobacillus_vaginalis_g__Bacillus</v>
          </cell>
        </row>
        <row r="15192">
          <cell r="G15192" t="str">
            <v>ASV16433</v>
          </cell>
          <cell r="H15192" t="str">
            <v>g__unclassified_k__norank_d__Bacteria</v>
          </cell>
          <cell r="I15192" t="str">
            <v>s__unclassified_k__norank_d__Bacteria</v>
          </cell>
        </row>
        <row r="15193">
          <cell r="G15193" t="str">
            <v>ASV5945</v>
          </cell>
          <cell r="H15193" t="str">
            <v>g__unclassified_k__norank_d__Bacteria</v>
          </cell>
          <cell r="I15193" t="str">
            <v>s__unclassified_k__norank_d__Bacteria</v>
          </cell>
        </row>
        <row r="15194">
          <cell r="G15194" t="str">
            <v>ASV5943</v>
          </cell>
          <cell r="H15194" t="str">
            <v>g__unclassified_f__Lachnospiraceae</v>
          </cell>
          <cell r="I15194" t="str">
            <v>s__unclassified_f__Lachnospiraceae</v>
          </cell>
        </row>
        <row r="15195">
          <cell r="G15195" t="str">
            <v>ASV13496</v>
          </cell>
          <cell r="H15195" t="str">
            <v>g__unclassified_c__Clostridia</v>
          </cell>
          <cell r="I15195" t="str">
            <v>s__unclassified_c__Clostridia</v>
          </cell>
        </row>
        <row r="15196">
          <cell r="G15196" t="str">
            <v>ASV11794</v>
          </cell>
          <cell r="H15196" t="str">
            <v>g__norank_f__norank_o__Clostridia_UCG-014</v>
          </cell>
          <cell r="I15196" t="str">
            <v>s__uncultured_bacterium_g__norank_f__norank_o__Clostridia_UCG-014</v>
          </cell>
        </row>
        <row r="15197">
          <cell r="G15197" t="str">
            <v>ASV21271</v>
          </cell>
          <cell r="H15197" t="str">
            <v>g__Faecalibacterium</v>
          </cell>
          <cell r="I15197" t="str">
            <v>s__uncultured_bacterium_g__Faecalibacterium</v>
          </cell>
        </row>
        <row r="15198">
          <cell r="G15198" t="str">
            <v>ASV11984</v>
          </cell>
          <cell r="H15198" t="str">
            <v>g__unclassified_f__Lachnospiraceae</v>
          </cell>
          <cell r="I15198" t="str">
            <v>s__unclassified_f__Lachnospiraceae</v>
          </cell>
        </row>
        <row r="15199">
          <cell r="G15199" t="str">
            <v>ASV4930</v>
          </cell>
          <cell r="H15199" t="str">
            <v>g__unclassified_c__Clostridia</v>
          </cell>
          <cell r="I15199" t="str">
            <v>s__unclassified_c__Clostridia</v>
          </cell>
        </row>
        <row r="15200">
          <cell r="G15200" t="str">
            <v>ASV22462</v>
          </cell>
          <cell r="H15200" t="str">
            <v>g__UCG-002</v>
          </cell>
          <cell r="I15200" t="str">
            <v>s__uncultured_bacterium_g__UCG-002</v>
          </cell>
        </row>
        <row r="15201">
          <cell r="G15201" t="str">
            <v>ASV19101</v>
          </cell>
          <cell r="H15201" t="str">
            <v>g__norank_f__Muribaculaceae</v>
          </cell>
          <cell r="I15201" t="str">
            <v>s__uncultured_Porphyromonadaceae_bacterium_g__norank_f__Muribaculaceae</v>
          </cell>
        </row>
        <row r="15202">
          <cell r="G15202" t="str">
            <v>ASV21497</v>
          </cell>
          <cell r="H15202" t="str">
            <v>g__Escherichia-Shigella</v>
          </cell>
          <cell r="I15202" t="str">
            <v>s__unclassified_g__Escherichia-Shigella</v>
          </cell>
        </row>
        <row r="15203">
          <cell r="G15203" t="str">
            <v>ASV11760</v>
          </cell>
          <cell r="H15203" t="str">
            <v>g__unclassified_f__Prevotellaceae</v>
          </cell>
          <cell r="I15203" t="str">
            <v>s__unclassified_f__Prevotellaceae</v>
          </cell>
        </row>
        <row r="15204">
          <cell r="G15204" t="str">
            <v>ASV6798</v>
          </cell>
          <cell r="H15204" t="str">
            <v>g__unclassified_f__Peptostreptococcaceae</v>
          </cell>
          <cell r="I15204" t="str">
            <v>s__unclassified_f__Peptostreptococcaceae</v>
          </cell>
        </row>
        <row r="15205">
          <cell r="G15205" t="str">
            <v>ASV18123</v>
          </cell>
          <cell r="H15205" t="str">
            <v>g__Collinsella</v>
          </cell>
          <cell r="I15205" t="str">
            <v>s__uncultured_bacterium_g__Collinsella</v>
          </cell>
        </row>
        <row r="15206">
          <cell r="G15206" t="str">
            <v>ASV4140</v>
          </cell>
          <cell r="H15206" t="str">
            <v>g__unclassified_f__Lachnospiraceae</v>
          </cell>
          <cell r="I15206" t="str">
            <v>s__unclassified_f__Lachnospiraceae</v>
          </cell>
        </row>
        <row r="15207">
          <cell r="G15207" t="str">
            <v>ASV15528</v>
          </cell>
          <cell r="H15207" t="str">
            <v>g__unclassified_c__Clostridia</v>
          </cell>
          <cell r="I15207" t="str">
            <v>s__unclassified_c__Clostridia</v>
          </cell>
        </row>
        <row r="15208">
          <cell r="G15208" t="str">
            <v>ASV7945</v>
          </cell>
          <cell r="H15208" t="str">
            <v>g__unclassified_c__Clostridia</v>
          </cell>
          <cell r="I15208" t="str">
            <v>s__unclassified_c__Clostridia</v>
          </cell>
        </row>
        <row r="15209">
          <cell r="G15209" t="str">
            <v>ASV2373</v>
          </cell>
          <cell r="H15209" t="str">
            <v>g__norank_f__Muribaculaceae</v>
          </cell>
          <cell r="I15209" t="str">
            <v>s__uncultured_bacterium_g__norank_f__Muribaculaceae</v>
          </cell>
        </row>
        <row r="15210">
          <cell r="G15210" t="str">
            <v>ASV1051</v>
          </cell>
          <cell r="H15210" t="str">
            <v>g__unclassified_f__Lachnospiraceae</v>
          </cell>
          <cell r="I15210" t="str">
            <v>s__unclassified_f__Lachnospiraceae</v>
          </cell>
        </row>
        <row r="15211">
          <cell r="G15211" t="str">
            <v>ASV17522</v>
          </cell>
          <cell r="H15211" t="str">
            <v>g__unclassified_f__Lachnospiraceae</v>
          </cell>
          <cell r="I15211" t="str">
            <v>s__unclassified_f__Lachnospiraceae</v>
          </cell>
        </row>
        <row r="15212">
          <cell r="G15212" t="str">
            <v>ASV15497</v>
          </cell>
          <cell r="H15212" t="str">
            <v>g__unclassified_c__Clostridia</v>
          </cell>
          <cell r="I15212" t="str">
            <v>s__unclassified_c__Clostridia</v>
          </cell>
        </row>
        <row r="15213">
          <cell r="G15213" t="str">
            <v>ASV6086</v>
          </cell>
          <cell r="H15213" t="str">
            <v>g__Christensenellaceae_R-7_group</v>
          </cell>
          <cell r="I15213" t="str">
            <v>s__unclassified_g__Christensenellaceae_R-7_group</v>
          </cell>
        </row>
        <row r="15214">
          <cell r="G15214" t="str">
            <v>ASV1727</v>
          </cell>
          <cell r="H15214" t="str">
            <v>g__Prevotellaceae_NK3B31_group</v>
          </cell>
          <cell r="I15214" t="str">
            <v>s__uncultured_bacterium_g__Prevotellaceae_NK3B31_group</v>
          </cell>
        </row>
        <row r="15215">
          <cell r="G15215" t="str">
            <v>ASV925</v>
          </cell>
          <cell r="H15215" t="str">
            <v>g__Family_XIII_UCG-001</v>
          </cell>
          <cell r="I15215" t="str">
            <v>s__uncultured_bacterium_g__Family_XIII_UCG-001</v>
          </cell>
        </row>
        <row r="15216">
          <cell r="G15216" t="str">
            <v>ASV24230</v>
          </cell>
          <cell r="H15216" t="str">
            <v>g__Campylobacter</v>
          </cell>
          <cell r="I15216" t="str">
            <v>s__unclassified_g__Campylobacter</v>
          </cell>
        </row>
        <row r="15217">
          <cell r="G15217" t="str">
            <v>ASV6124</v>
          </cell>
          <cell r="H15217" t="str">
            <v>g__unclassified_f__Peptostreptococcaceae</v>
          </cell>
          <cell r="I15217" t="str">
            <v>s__unclassified_f__Peptostreptococcaceae</v>
          </cell>
        </row>
        <row r="15218">
          <cell r="G15218" t="str">
            <v>ASV15470</v>
          </cell>
          <cell r="H15218" t="str">
            <v>g__Faecalibacterium</v>
          </cell>
          <cell r="I15218" t="str">
            <v>s__uncultured_bacterium_g__Faecalibacterium</v>
          </cell>
        </row>
        <row r="15219">
          <cell r="G15219" t="str">
            <v>ASV23322</v>
          </cell>
          <cell r="H15219" t="str">
            <v>g__Bacillus</v>
          </cell>
          <cell r="I15219" t="str">
            <v>s__Lactobacillus_vaginalis_g__Bacillus</v>
          </cell>
        </row>
        <row r="15220">
          <cell r="G15220" t="str">
            <v>ASV5120</v>
          </cell>
          <cell r="H15220" t="str">
            <v>g__unclassified_f__Lachnospiraceae</v>
          </cell>
          <cell r="I15220" t="str">
            <v>s__unclassified_f__Lachnospiraceae</v>
          </cell>
        </row>
        <row r="15221">
          <cell r="G15221" t="str">
            <v>ASV10792</v>
          </cell>
          <cell r="H15221" t="str">
            <v>g__Eubacterium_oxidoreducens_group</v>
          </cell>
          <cell r="I15221" t="str">
            <v>s__uncultured_bacterium_g__Eubacterium_oxidoreducens_group</v>
          </cell>
        </row>
        <row r="15222">
          <cell r="G15222" t="str">
            <v>ASV20892</v>
          </cell>
          <cell r="H15222" t="str">
            <v>g__Lactobacillus</v>
          </cell>
          <cell r="I15222" t="str">
            <v>s__unclassified_g__Lactobacillus</v>
          </cell>
        </row>
        <row r="15223">
          <cell r="G15223" t="str">
            <v>ASV21262</v>
          </cell>
          <cell r="H15223" t="str">
            <v>g__unclassified_f__Lachnospiraceae</v>
          </cell>
          <cell r="I15223" t="str">
            <v>s__unclassified_f__Lachnospiraceae</v>
          </cell>
        </row>
        <row r="15224">
          <cell r="G15224" t="str">
            <v>ASV14500</v>
          </cell>
          <cell r="H15224" t="str">
            <v>g__unclassified_f__Lachnospiraceae</v>
          </cell>
          <cell r="I15224" t="str">
            <v>s__unclassified_f__Lachnospiraceae</v>
          </cell>
        </row>
        <row r="15225">
          <cell r="G15225" t="str">
            <v>ASV11934</v>
          </cell>
          <cell r="H15225" t="str">
            <v>g__UCG-005</v>
          </cell>
          <cell r="I15225" t="str">
            <v>s__uncultured_Clostridiales_bacterium_g__UCG-005</v>
          </cell>
        </row>
        <row r="15226">
          <cell r="G15226" t="str">
            <v>ASV6112</v>
          </cell>
          <cell r="H15226" t="str">
            <v>g__unclassified_c__Clostridia</v>
          </cell>
          <cell r="I15226" t="str">
            <v>s__unclassified_c__Clostridia</v>
          </cell>
        </row>
        <row r="15227">
          <cell r="G15227" t="str">
            <v>ASV22286</v>
          </cell>
          <cell r="H15227" t="str">
            <v>g__unclassified_o__Lachnospirales</v>
          </cell>
          <cell r="I15227" t="str">
            <v>s__unclassified_o__Lachnospirales</v>
          </cell>
        </row>
        <row r="15228">
          <cell r="G15228" t="str">
            <v>ASV14513</v>
          </cell>
          <cell r="H15228" t="str">
            <v>g__unclassified_c__Clostridia</v>
          </cell>
          <cell r="I15228" t="str">
            <v>s__unclassified_c__Clostridia</v>
          </cell>
        </row>
        <row r="15229">
          <cell r="G15229" t="str">
            <v>ASV19859</v>
          </cell>
          <cell r="H15229" t="str">
            <v>g__norank_f__norank_o__RF39</v>
          </cell>
          <cell r="I15229" t="str">
            <v>s__uncultured_bacterium_g__norank_f__norank_o__RF39</v>
          </cell>
        </row>
        <row r="15230">
          <cell r="G15230" t="str">
            <v>ASV7837</v>
          </cell>
          <cell r="H15230" t="str">
            <v>g__Olsenella</v>
          </cell>
          <cell r="I15230" t="str">
            <v>s__Olsenella_congonensis</v>
          </cell>
        </row>
        <row r="15231">
          <cell r="G15231" t="str">
            <v>ASV21629</v>
          </cell>
          <cell r="H15231" t="str">
            <v>g__Escherichia-Shigella</v>
          </cell>
          <cell r="I15231" t="str">
            <v>s__unclassified_g__Escherichia-Shigella</v>
          </cell>
        </row>
        <row r="15232">
          <cell r="G15232" t="str">
            <v>ASV957</v>
          </cell>
          <cell r="H15232" t="str">
            <v>g__Clostridium_sensu_stricto_1</v>
          </cell>
          <cell r="I15232" t="str">
            <v>s__unclassified_g__Clostridium_sensu_stricto_1</v>
          </cell>
        </row>
        <row r="15233">
          <cell r="G15233" t="str">
            <v>ASV22328</v>
          </cell>
          <cell r="H15233" t="str">
            <v>g__norank_f__Eubacterium_coprostanoligenes_group</v>
          </cell>
          <cell r="I15233" t="str">
            <v>s__unclassified_g__norank_f__Eubacterium_coprostanoligenes_group</v>
          </cell>
        </row>
        <row r="15234">
          <cell r="G15234" t="str">
            <v>ASV11735</v>
          </cell>
          <cell r="H15234" t="str">
            <v>g__unclassified_f__Lachnospiraceae</v>
          </cell>
          <cell r="I15234" t="str">
            <v>s__unclassified_f__Lachnospiraceae</v>
          </cell>
        </row>
        <row r="15235">
          <cell r="G15235" t="str">
            <v>ASV990</v>
          </cell>
          <cell r="H15235" t="str">
            <v>g__unclassified_k__norank_d__Bacteria</v>
          </cell>
          <cell r="I15235" t="str">
            <v>s__unclassified_k__norank_d__Bacteria</v>
          </cell>
        </row>
        <row r="15236">
          <cell r="G15236" t="str">
            <v>ASV960</v>
          </cell>
          <cell r="H15236" t="str">
            <v>g__Lachnoclostridium</v>
          </cell>
          <cell r="I15236" t="str">
            <v>s__unclassified_g__Lachnoclostridium</v>
          </cell>
        </row>
        <row r="15237">
          <cell r="G15237" t="str">
            <v>ASV10034</v>
          </cell>
          <cell r="H15237" t="str">
            <v>g__NK4A214_group</v>
          </cell>
          <cell r="I15237" t="str">
            <v>s__unclassified_g__NK4A214_group</v>
          </cell>
        </row>
        <row r="15238">
          <cell r="G15238" t="str">
            <v>ASV16004</v>
          </cell>
          <cell r="H15238" t="str">
            <v>g__unclassified_f__Anaerovoracaceae</v>
          </cell>
          <cell r="I15238" t="str">
            <v>s__unclassified_f__Anaerovoracaceae</v>
          </cell>
        </row>
        <row r="15239">
          <cell r="G15239" t="str">
            <v>ASV6028</v>
          </cell>
          <cell r="H15239" t="str">
            <v>g__NK4A214_group</v>
          </cell>
          <cell r="I15239" t="str">
            <v>s__Lachnospiraceae_bacterium_19gly4</v>
          </cell>
        </row>
        <row r="15240">
          <cell r="G15240" t="str">
            <v>ASV11846</v>
          </cell>
          <cell r="H15240" t="str">
            <v>g__unclassified_f__Ruminococcaceae</v>
          </cell>
          <cell r="I15240" t="str">
            <v>s__unclassified_f__Ruminococcaceae</v>
          </cell>
        </row>
        <row r="15241">
          <cell r="G15241" t="str">
            <v>ASV15819</v>
          </cell>
          <cell r="H15241" t="str">
            <v>g__Bacteroides</v>
          </cell>
          <cell r="I15241" t="str">
            <v>s__unclassified_g__Bacteroides</v>
          </cell>
        </row>
        <row r="15242">
          <cell r="G15242" t="str">
            <v>ASV6067</v>
          </cell>
          <cell r="H15242" t="str">
            <v>g__unclassified_c__Clostridia</v>
          </cell>
          <cell r="I15242" t="str">
            <v>s__unclassified_c__Clostridia</v>
          </cell>
        </row>
        <row r="15243">
          <cell r="G15243" t="str">
            <v>ASV14450</v>
          </cell>
          <cell r="H15243" t="str">
            <v>g__norank_f__Eubacterium_coprostanoligenes_group</v>
          </cell>
          <cell r="I15243" t="str">
            <v>s__unclassified_g__norank_f__Eubacterium_coprostanoligenes_group</v>
          </cell>
        </row>
        <row r="15244">
          <cell r="G15244" t="str">
            <v>ASV6789</v>
          </cell>
          <cell r="H15244" t="str">
            <v>g__unclassified_c__Clostridia</v>
          </cell>
          <cell r="I15244" t="str">
            <v>s__unclassified_c__Clostridia</v>
          </cell>
        </row>
        <row r="15245">
          <cell r="G15245" t="str">
            <v>ASV19778</v>
          </cell>
          <cell r="H15245" t="str">
            <v>g__unclassified_f__Lachnospiraceae</v>
          </cell>
          <cell r="I15245" t="str">
            <v>s__unclassified_f__Lachnospiraceae</v>
          </cell>
        </row>
        <row r="15246">
          <cell r="G15246" t="str">
            <v>ASV18640</v>
          </cell>
          <cell r="H15246" t="str">
            <v>g__Lactobacillus</v>
          </cell>
          <cell r="I15246" t="str">
            <v>s__unclassified_g__Lactobacillus</v>
          </cell>
        </row>
        <row r="15247">
          <cell r="G15247" t="str">
            <v>ASV18153</v>
          </cell>
          <cell r="H15247" t="str">
            <v>g__unclassified_f__Lachnospiraceae</v>
          </cell>
          <cell r="I15247" t="str">
            <v>s__unclassified_f__Lachnospiraceae</v>
          </cell>
        </row>
        <row r="15248">
          <cell r="G15248" t="str">
            <v>ASV18614</v>
          </cell>
          <cell r="H15248" t="str">
            <v>g__Catenisphaera</v>
          </cell>
          <cell r="I15248" t="str">
            <v>s__unclassified_g__Catenisphaera</v>
          </cell>
        </row>
        <row r="15249">
          <cell r="G15249" t="str">
            <v>ASV11909</v>
          </cell>
          <cell r="H15249" t="str">
            <v>g__unclassified_c__Clostridia</v>
          </cell>
          <cell r="I15249" t="str">
            <v>s__unclassified_c__Clostridia</v>
          </cell>
        </row>
        <row r="15250">
          <cell r="G15250" t="str">
            <v>ASV2763</v>
          </cell>
          <cell r="H15250" t="str">
            <v>g__unclassified_f__Anaerovoracaceae</v>
          </cell>
          <cell r="I15250" t="str">
            <v>s__unclassified_f__Anaerovoracaceae</v>
          </cell>
        </row>
        <row r="15251">
          <cell r="G15251" t="str">
            <v>ASV22374</v>
          </cell>
          <cell r="H15251" t="str">
            <v>g__unclassified_c__Clostridia</v>
          </cell>
          <cell r="I15251" t="str">
            <v>s__unclassified_c__Clostridia</v>
          </cell>
        </row>
        <row r="15252">
          <cell r="G15252" t="str">
            <v>ASV8715</v>
          </cell>
          <cell r="H15252" t="str">
            <v>g__Lactobacillus</v>
          </cell>
          <cell r="I15252" t="str">
            <v>s__Lactobacillus_sp._C30An8</v>
          </cell>
        </row>
        <row r="15253">
          <cell r="G15253" t="str">
            <v>ASV3497</v>
          </cell>
          <cell r="H15253" t="str">
            <v>g__unclassified_p__Firmicutes</v>
          </cell>
          <cell r="I15253" t="str">
            <v>s__unclassified_p__Firmicutes</v>
          </cell>
        </row>
        <row r="15254">
          <cell r="G15254" t="str">
            <v>ASV15439</v>
          </cell>
          <cell r="H15254" t="str">
            <v>g__Lactobacillus</v>
          </cell>
          <cell r="I15254" t="str">
            <v>s__unclassified_g__Lactobacillus</v>
          </cell>
        </row>
        <row r="15255">
          <cell r="G15255" t="str">
            <v>ASV2346</v>
          </cell>
          <cell r="H15255" t="str">
            <v>g__norank_f__Eubacterium_coprostanoligenes_group</v>
          </cell>
          <cell r="I15255" t="str">
            <v>s__unclassified_g__norank_f__Eubacterium_coprostanoligenes_group</v>
          </cell>
        </row>
        <row r="15256">
          <cell r="G15256" t="str">
            <v>ASV921</v>
          </cell>
          <cell r="H15256" t="str">
            <v>g__unclassified_f__Lachnospiraceae</v>
          </cell>
          <cell r="I15256" t="str">
            <v>s__unclassified_f__Lachnospiraceae</v>
          </cell>
        </row>
        <row r="15257">
          <cell r="G15257" t="str">
            <v>ASV11686</v>
          </cell>
          <cell r="H15257" t="str">
            <v>g__unclassified_k__norank_d__Bacteria</v>
          </cell>
          <cell r="I15257" t="str">
            <v>s__unclassified_k__norank_d__Bacteria</v>
          </cell>
        </row>
        <row r="15258">
          <cell r="G15258" t="str">
            <v>ASV23381</v>
          </cell>
          <cell r="H15258" t="str">
            <v>g__UCG-002</v>
          </cell>
          <cell r="I15258" t="str">
            <v>s__uncultured_bacterium_g__UCG-002</v>
          </cell>
        </row>
        <row r="15259">
          <cell r="G15259" t="str">
            <v>ASV15541</v>
          </cell>
          <cell r="H15259" t="str">
            <v>g__unclassified_o__Bacteroidales</v>
          </cell>
          <cell r="I15259" t="str">
            <v>s__unclassified_o__Bacteroidales</v>
          </cell>
        </row>
        <row r="15260">
          <cell r="G15260" t="str">
            <v>ASV8524</v>
          </cell>
          <cell r="H15260" t="str">
            <v>g__Fusobacterium</v>
          </cell>
          <cell r="I15260" t="str">
            <v>s__unclassified_g__Fusobacterium</v>
          </cell>
        </row>
        <row r="15261">
          <cell r="G15261" t="str">
            <v>ASV20291</v>
          </cell>
          <cell r="H15261" t="str">
            <v>g__Lactobacillus</v>
          </cell>
          <cell r="I15261" t="str">
            <v>s__unclassified_g__Lactobacillus</v>
          </cell>
        </row>
        <row r="15262">
          <cell r="G15262" t="str">
            <v>ASV9500</v>
          </cell>
          <cell r="H15262" t="str">
            <v>g__unclassified_p__Firmicutes</v>
          </cell>
          <cell r="I15262" t="str">
            <v>s__unclassified_p__Firmicutes</v>
          </cell>
        </row>
        <row r="15263">
          <cell r="G15263" t="str">
            <v>ASV883</v>
          </cell>
          <cell r="H15263" t="str">
            <v>g__Lactobacillus</v>
          </cell>
          <cell r="I15263" t="str">
            <v>s__unclassified_g__Lactobacillus</v>
          </cell>
        </row>
        <row r="15264">
          <cell r="G15264" t="str">
            <v>ASV12986</v>
          </cell>
          <cell r="H15264" t="str">
            <v>g__UCG-002</v>
          </cell>
          <cell r="I15264" t="str">
            <v>s__uncultured_organism_g__UCG-002</v>
          </cell>
        </row>
        <row r="15265">
          <cell r="G15265" t="str">
            <v>ASV4045</v>
          </cell>
          <cell r="H15265" t="str">
            <v>g__Enterococcus</v>
          </cell>
          <cell r="I15265" t="str">
            <v>s__unclassified_g__Enterococcus</v>
          </cell>
        </row>
        <row r="15266">
          <cell r="G15266" t="str">
            <v>ASV19763</v>
          </cell>
          <cell r="H15266" t="str">
            <v>g__Eubacterium_oxidoreducens_group</v>
          </cell>
          <cell r="I15266" t="str">
            <v>s__uncultured_bacterium_g__Eubacterium_oxidoreducens_group</v>
          </cell>
        </row>
        <row r="15267">
          <cell r="G15267" t="str">
            <v>ASV3248</v>
          </cell>
          <cell r="H15267" t="str">
            <v>g__Veillonella</v>
          </cell>
          <cell r="I15267" t="str">
            <v>s__unclassified_g__Veillonella</v>
          </cell>
        </row>
        <row r="15268">
          <cell r="G15268" t="str">
            <v>ASV5955</v>
          </cell>
          <cell r="H15268" t="str">
            <v>g__unclassified_c__Clostridia</v>
          </cell>
          <cell r="I15268" t="str">
            <v>s__unclassified_c__Clostridia</v>
          </cell>
        </row>
        <row r="15269">
          <cell r="G15269" t="str">
            <v>ASV9486</v>
          </cell>
          <cell r="H15269" t="str">
            <v>g__unclassified_o__Oscillospirales</v>
          </cell>
          <cell r="I15269" t="str">
            <v>s__unclassified_o__Oscillospirales</v>
          </cell>
        </row>
        <row r="15270">
          <cell r="G15270" t="str">
            <v>ASV16035</v>
          </cell>
          <cell r="H15270" t="str">
            <v>g__unclassified_f__Prevotellaceae</v>
          </cell>
          <cell r="I15270" t="str">
            <v>s__unclassified_f__Prevotellaceae</v>
          </cell>
        </row>
        <row r="15271">
          <cell r="G15271" t="str">
            <v>ASV11964</v>
          </cell>
          <cell r="H15271" t="str">
            <v>g__unclassified_f__Lachnospiraceae</v>
          </cell>
          <cell r="I15271" t="str">
            <v>s__unclassified_f__Lachnospiraceae</v>
          </cell>
        </row>
        <row r="15272">
          <cell r="G15272" t="str">
            <v>ASV23324</v>
          </cell>
          <cell r="H15272" t="str">
            <v>g__norank_f__Ruminococcaceae</v>
          </cell>
          <cell r="I15272" t="str">
            <v>s__unclassified_g__norank_f__Ruminococcaceae</v>
          </cell>
        </row>
        <row r="15273">
          <cell r="G15273" t="str">
            <v>ASV974</v>
          </cell>
          <cell r="H15273" t="str">
            <v>g__unclassified_f__Muribaculaceae</v>
          </cell>
          <cell r="I15273" t="str">
            <v>s__unclassified_f__Muribaculaceae</v>
          </cell>
        </row>
        <row r="15274">
          <cell r="G15274" t="str">
            <v>ASV3518</v>
          </cell>
          <cell r="H15274" t="str">
            <v>g__Bacillus</v>
          </cell>
          <cell r="I15274" t="str">
            <v>s__Lactobacillus_vaginalis_g__Bacillus</v>
          </cell>
        </row>
        <row r="15275">
          <cell r="G15275" t="str">
            <v>ASV13487</v>
          </cell>
          <cell r="H15275" t="str">
            <v>g__Streptococcus</v>
          </cell>
          <cell r="I15275" t="str">
            <v>s__unclassified_g__Streptococcus</v>
          </cell>
        </row>
        <row r="15276">
          <cell r="G15276" t="str">
            <v>ASV17423</v>
          </cell>
          <cell r="H15276" t="str">
            <v>g__Leptotrichia</v>
          </cell>
          <cell r="I15276" t="str">
            <v>s__uncultured_bacterium_g__Leptotrichia</v>
          </cell>
        </row>
        <row r="15277">
          <cell r="G15277" t="str">
            <v>ASV12989</v>
          </cell>
          <cell r="H15277" t="str">
            <v>g__unclassified_o__Oscillospirales</v>
          </cell>
          <cell r="I15277" t="str">
            <v>s__unclassified_o__Oscillospirales</v>
          </cell>
        </row>
        <row r="15278">
          <cell r="G15278" t="str">
            <v>ASV4101</v>
          </cell>
          <cell r="H15278" t="str">
            <v>g__unclassified_f__Lachnospiraceae</v>
          </cell>
          <cell r="I15278" t="str">
            <v>s__unclassified_f__Lachnospiraceae</v>
          </cell>
        </row>
        <row r="15279">
          <cell r="G15279" t="str">
            <v>ASV21627</v>
          </cell>
          <cell r="H15279" t="str">
            <v>g__unclassified_f__Lachnospiraceae</v>
          </cell>
          <cell r="I15279" t="str">
            <v>s__unclassified_f__Lachnospiraceae</v>
          </cell>
        </row>
        <row r="15280">
          <cell r="G15280" t="str">
            <v>ASV5114</v>
          </cell>
          <cell r="H15280" t="str">
            <v>g__unclassified_f__Lachnospiraceae</v>
          </cell>
          <cell r="I15280" t="str">
            <v>s__unclassified_f__Lachnospiraceae</v>
          </cell>
        </row>
        <row r="15281">
          <cell r="G15281" t="str">
            <v>ASV20873</v>
          </cell>
          <cell r="H15281" t="str">
            <v>g__Lachnospiraceae_NC2004_group</v>
          </cell>
          <cell r="I15281" t="str">
            <v>s__unclassified_g__Lachnospiraceae_NC2004_group</v>
          </cell>
        </row>
        <row r="15282">
          <cell r="G15282" t="str">
            <v>ASV11848</v>
          </cell>
          <cell r="H15282" t="str">
            <v>g__Subdoligranulum</v>
          </cell>
          <cell r="I15282" t="str">
            <v>s__unclassified_g__Subdoligranulum</v>
          </cell>
        </row>
        <row r="15283">
          <cell r="G15283" t="str">
            <v>ASV9888</v>
          </cell>
          <cell r="H15283" t="str">
            <v>g__Alloprevotella</v>
          </cell>
          <cell r="I15283" t="str">
            <v>s__unclassified_g__Alloprevotella</v>
          </cell>
        </row>
        <row r="15284">
          <cell r="G15284" t="str">
            <v>ASV12904</v>
          </cell>
          <cell r="H15284" t="str">
            <v>g__Parabacteroides</v>
          </cell>
          <cell r="I15284" t="str">
            <v>s__Porphyromonadaceae_bacterium_DJF_B175</v>
          </cell>
        </row>
        <row r="15285">
          <cell r="G15285" t="str">
            <v>ASV21306</v>
          </cell>
          <cell r="H15285" t="str">
            <v>g__Lactobacillus</v>
          </cell>
          <cell r="I15285" t="str">
            <v>s__unclassified_g__Lactobacillus</v>
          </cell>
        </row>
        <row r="15286">
          <cell r="G15286" t="str">
            <v>ASV7853</v>
          </cell>
          <cell r="H15286" t="str">
            <v>g__unclassified_c__Bacteroidia</v>
          </cell>
          <cell r="I15286" t="str">
            <v>s__unclassified_c__Bacteroidia</v>
          </cell>
        </row>
        <row r="15287">
          <cell r="G15287" t="str">
            <v>ASV18138</v>
          </cell>
          <cell r="H15287" t="str">
            <v>g__unclassified_c__Clostridia</v>
          </cell>
          <cell r="I15287" t="str">
            <v>s__unclassified_c__Clostridia</v>
          </cell>
        </row>
        <row r="15288">
          <cell r="G15288" t="str">
            <v>ASV21491</v>
          </cell>
          <cell r="H15288" t="str">
            <v>g__Escherichia-Shigella</v>
          </cell>
          <cell r="I15288" t="str">
            <v>s__unclassified_g__Escherichia-Shigella</v>
          </cell>
        </row>
        <row r="15289">
          <cell r="G15289" t="str">
            <v>ASV11893</v>
          </cell>
          <cell r="H15289" t="str">
            <v>g__unclassified_o__Oscillospirales</v>
          </cell>
          <cell r="I15289" t="str">
            <v>s__unclassified_o__Oscillospirales</v>
          </cell>
        </row>
        <row r="15290">
          <cell r="G15290" t="str">
            <v>ASV15531</v>
          </cell>
          <cell r="H15290" t="str">
            <v>g__unclassified_f__Lachnospiraceae</v>
          </cell>
          <cell r="I15290" t="str">
            <v>s__unclassified_f__Lachnospiraceae</v>
          </cell>
        </row>
        <row r="15291">
          <cell r="G15291" t="str">
            <v>ASV885</v>
          </cell>
          <cell r="H15291" t="str">
            <v>g__unclassified_f__Oscillospiraceae</v>
          </cell>
          <cell r="I15291" t="str">
            <v>s__unclassified_f__Oscillospiraceae</v>
          </cell>
        </row>
        <row r="15292">
          <cell r="G15292" t="str">
            <v>ASV6785</v>
          </cell>
          <cell r="H15292" t="str">
            <v>g__unclassified_f__Lachnospiraceae</v>
          </cell>
          <cell r="I15292" t="str">
            <v>s__unclassified_f__Lachnospiraceae</v>
          </cell>
        </row>
        <row r="15293">
          <cell r="G15293" t="str">
            <v>ASV2263</v>
          </cell>
          <cell r="H15293" t="str">
            <v>g__unclassified_f__Lachnospiraceae</v>
          </cell>
          <cell r="I15293" t="str">
            <v>s__unclassified_f__Lachnospiraceae</v>
          </cell>
        </row>
        <row r="15294">
          <cell r="G15294" t="str">
            <v>ASV20470</v>
          </cell>
          <cell r="H15294" t="str">
            <v>g__Roseburia</v>
          </cell>
          <cell r="I15294" t="str">
            <v>s__unclassified_g__Roseburia</v>
          </cell>
        </row>
        <row r="15295">
          <cell r="G15295" t="str">
            <v>ASV3254</v>
          </cell>
          <cell r="H15295" t="str">
            <v>g__unclassified_f__Lachnospiraceae</v>
          </cell>
          <cell r="I15295" t="str">
            <v>s__unclassified_f__Lachnospiraceae</v>
          </cell>
        </row>
        <row r="15296">
          <cell r="G15296" t="str">
            <v>ASV13474</v>
          </cell>
          <cell r="H15296" t="str">
            <v>g__unclassified_f__Lachnospiraceae</v>
          </cell>
          <cell r="I15296" t="str">
            <v>s__unclassified_f__Lachnospiraceae</v>
          </cell>
        </row>
        <row r="15297">
          <cell r="G15297" t="str">
            <v>ASV18917</v>
          </cell>
          <cell r="H15297" t="str">
            <v>g__Prevotella</v>
          </cell>
          <cell r="I15297" t="str">
            <v>s__unclassified_g__Prevotella</v>
          </cell>
        </row>
        <row r="15298">
          <cell r="G15298" t="str">
            <v>ASV14563</v>
          </cell>
          <cell r="H15298" t="str">
            <v>g__unclassified_c__Clostridia</v>
          </cell>
          <cell r="I15298" t="str">
            <v>s__unclassified_c__Clostridia</v>
          </cell>
        </row>
        <row r="15299">
          <cell r="G15299" t="str">
            <v>ASV17206</v>
          </cell>
          <cell r="H15299" t="str">
            <v>g__unclassified_f__Anaerovoracaceae</v>
          </cell>
          <cell r="I15299" t="str">
            <v>s__unclassified_f__Anaerovoracaceae</v>
          </cell>
        </row>
        <row r="15300">
          <cell r="G15300" t="str">
            <v>ASV21467</v>
          </cell>
          <cell r="H15300" t="str">
            <v>g__Phascolarctobacterium</v>
          </cell>
          <cell r="I15300" t="str">
            <v>s__unclassified_g__Phascolarctobacterium</v>
          </cell>
        </row>
        <row r="15301">
          <cell r="G15301" t="str">
            <v>ASV3240</v>
          </cell>
          <cell r="H15301" t="str">
            <v>g__Bacteroides</v>
          </cell>
          <cell r="I15301" t="str">
            <v>s__unclassified_g__Bacteroides</v>
          </cell>
        </row>
        <row r="15302">
          <cell r="G15302" t="str">
            <v>ASV23484</v>
          </cell>
          <cell r="H15302" t="str">
            <v>g__Clostridium_sensu_stricto_1</v>
          </cell>
          <cell r="I15302" t="str">
            <v>s__unclassified_g__Clostridium_sensu_stricto_1</v>
          </cell>
        </row>
        <row r="15303">
          <cell r="G15303" t="str">
            <v>ASV7826</v>
          </cell>
          <cell r="H15303" t="str">
            <v>g__unclassified_f__Ruminococcaceae</v>
          </cell>
          <cell r="I15303" t="str">
            <v>s__unclassified_f__Ruminococcaceae</v>
          </cell>
        </row>
        <row r="15304">
          <cell r="G15304" t="str">
            <v>ASV6786</v>
          </cell>
          <cell r="H15304" t="str">
            <v>g__Streptococcus</v>
          </cell>
          <cell r="I15304" t="str">
            <v>s__unclassified_g__Streptococcus</v>
          </cell>
        </row>
        <row r="15305">
          <cell r="G15305" t="str">
            <v>ASV22428</v>
          </cell>
          <cell r="H15305" t="str">
            <v>g__Lactobacillus</v>
          </cell>
          <cell r="I15305" t="str">
            <v>s__unclassified_g__Lactobacillus</v>
          </cell>
        </row>
        <row r="15306">
          <cell r="G15306" t="str">
            <v>ASV12890</v>
          </cell>
          <cell r="H15306" t="str">
            <v>g__norank_f__Eubacterium_coprostanoligenes_group</v>
          </cell>
          <cell r="I15306" t="str">
            <v>s__uncultured_bacterium_g__norank_f__Eubacterium_coprostanoligenes_group</v>
          </cell>
        </row>
        <row r="15307">
          <cell r="G15307" t="str">
            <v>ASV9439</v>
          </cell>
          <cell r="H15307" t="str">
            <v>g__unclassified_k__norank_d__Bacteria</v>
          </cell>
          <cell r="I15307" t="str">
            <v>s__unclassified_k__norank_d__Bacteria</v>
          </cell>
        </row>
        <row r="15308">
          <cell r="G15308" t="str">
            <v>ASV20920</v>
          </cell>
          <cell r="H15308" t="str">
            <v>g__unclassified_c__Clostridia</v>
          </cell>
          <cell r="I15308" t="str">
            <v>s__unclassified_c__Clostridia</v>
          </cell>
        </row>
        <row r="15309">
          <cell r="G15309" t="str">
            <v>ASV14363</v>
          </cell>
          <cell r="H15309" t="str">
            <v>g__unclassified_o__Oscillospirales</v>
          </cell>
          <cell r="I15309" t="str">
            <v>s__unclassified_o__Oscillospirales</v>
          </cell>
        </row>
        <row r="15310">
          <cell r="G15310" t="str">
            <v>ASV12855</v>
          </cell>
          <cell r="H15310" t="str">
            <v>g__Lactobacillus</v>
          </cell>
          <cell r="I15310" t="str">
            <v>s__unclassified_g__Lactobacillus</v>
          </cell>
        </row>
        <row r="15311">
          <cell r="G15311" t="str">
            <v>ASV8516</v>
          </cell>
          <cell r="H15311" t="str">
            <v>g__Fusobacterium</v>
          </cell>
          <cell r="I15311" t="str">
            <v>s__unclassified_g__Fusobacterium</v>
          </cell>
        </row>
        <row r="15312">
          <cell r="G15312" t="str">
            <v>ASV7939</v>
          </cell>
          <cell r="H15312" t="str">
            <v>g__unclassified_c__Clostridia</v>
          </cell>
          <cell r="I15312" t="str">
            <v>s__unclassified_c__Clostridia</v>
          </cell>
        </row>
        <row r="15313">
          <cell r="G15313" t="str">
            <v>ASV14495</v>
          </cell>
          <cell r="H15313" t="str">
            <v>g__unclassified_c__Clostridia</v>
          </cell>
          <cell r="I15313" t="str">
            <v>s__unclassified_c__Clostridia</v>
          </cell>
        </row>
        <row r="15314">
          <cell r="G15314" t="str">
            <v>ASV2288</v>
          </cell>
          <cell r="H15314" t="str">
            <v>g__unclassified_c__Clostridia</v>
          </cell>
          <cell r="I15314" t="str">
            <v>s__unclassified_c__Clostridia</v>
          </cell>
        </row>
        <row r="15315">
          <cell r="G15315" t="str">
            <v>ASV9445</v>
          </cell>
          <cell r="H15315" t="str">
            <v>g__unclassified_c__Clostridia</v>
          </cell>
          <cell r="I15315" t="str">
            <v>s__unclassified_c__Clostridia</v>
          </cell>
        </row>
        <row r="15316">
          <cell r="G15316" t="str">
            <v>ASV16525</v>
          </cell>
          <cell r="H15316" t="str">
            <v>g__Escherichia-Shigella</v>
          </cell>
          <cell r="I15316" t="str">
            <v>s__unclassified_g__Escherichia-Shigella</v>
          </cell>
        </row>
        <row r="15317">
          <cell r="G15317" t="str">
            <v>ASV23377</v>
          </cell>
          <cell r="H15317" t="str">
            <v>g__unclassified_p__Firmicutes</v>
          </cell>
          <cell r="I15317" t="str">
            <v>s__unclassified_p__Firmicutes</v>
          </cell>
        </row>
        <row r="15318">
          <cell r="G15318" t="str">
            <v>ASV8717</v>
          </cell>
          <cell r="H15318" t="str">
            <v>g__Clostridium_sensu_stricto_1</v>
          </cell>
          <cell r="I15318" t="str">
            <v>s__unclassified_g__Clostridium_sensu_stricto_1</v>
          </cell>
        </row>
        <row r="15319">
          <cell r="G15319" t="str">
            <v>ASV10781</v>
          </cell>
          <cell r="H15319" t="str">
            <v>g__unclassified_f__Clostridiaceae</v>
          </cell>
          <cell r="I15319" t="str">
            <v>s__unclassified_f__Clostridiaceae</v>
          </cell>
        </row>
        <row r="15320">
          <cell r="G15320" t="str">
            <v>ASV11758</v>
          </cell>
          <cell r="H15320" t="str">
            <v>g__unclassified_c__Clostridia</v>
          </cell>
          <cell r="I15320" t="str">
            <v>s__unclassified_c__Clostridia</v>
          </cell>
        </row>
        <row r="15321">
          <cell r="G15321" t="str">
            <v>ASV21465</v>
          </cell>
          <cell r="H15321" t="str">
            <v>g__Lactobacillus</v>
          </cell>
          <cell r="I15321" t="str">
            <v>s__unclassified_g__Lactobacillus</v>
          </cell>
        </row>
        <row r="15322">
          <cell r="G15322" t="str">
            <v>ASV7973</v>
          </cell>
          <cell r="H15322" t="str">
            <v>g__unclassified_c__Clostridia</v>
          </cell>
          <cell r="I15322" t="str">
            <v>s__unclassified_c__Clostridia</v>
          </cell>
        </row>
        <row r="15323">
          <cell r="G15323" t="str">
            <v>ASV3214</v>
          </cell>
          <cell r="H15323" t="str">
            <v>g__unclassified_k__norank_d__Bacteria</v>
          </cell>
          <cell r="I15323" t="str">
            <v>s__unclassified_k__norank_d__Bacteria</v>
          </cell>
        </row>
        <row r="15324">
          <cell r="G15324" t="str">
            <v>ASV19835</v>
          </cell>
          <cell r="H15324" t="str">
            <v>g__unclassified_f__Prevotellaceae</v>
          </cell>
          <cell r="I15324" t="str">
            <v>s__unclassified_f__Prevotellaceae</v>
          </cell>
        </row>
        <row r="15325">
          <cell r="G15325" t="str">
            <v>ASV19838</v>
          </cell>
          <cell r="H15325" t="str">
            <v>g__unclassified_f__Lachnospiraceae</v>
          </cell>
          <cell r="I15325" t="str">
            <v>s__unclassified_f__Lachnospiraceae</v>
          </cell>
        </row>
        <row r="15326">
          <cell r="G15326" t="str">
            <v>ASV16918</v>
          </cell>
          <cell r="H15326" t="str">
            <v>g__unclassified_f__Lachnospiraceae</v>
          </cell>
          <cell r="I15326" t="str">
            <v>s__unclassified_f__Lachnospiraceae</v>
          </cell>
        </row>
        <row r="15327">
          <cell r="G15327" t="str">
            <v>ASV18643</v>
          </cell>
          <cell r="H15327" t="str">
            <v>g__Lactobacillus</v>
          </cell>
          <cell r="I15327" t="str">
            <v>s__unclassified_g__Lactobacillus</v>
          </cell>
        </row>
        <row r="15328">
          <cell r="G15328" t="str">
            <v>ASV14320</v>
          </cell>
          <cell r="H15328" t="str">
            <v>g__unclassified_p__Firmicutes</v>
          </cell>
          <cell r="I15328" t="str">
            <v>s__unclassified_p__Firmicutes</v>
          </cell>
        </row>
        <row r="15329">
          <cell r="G15329" t="str">
            <v>ASV15540</v>
          </cell>
          <cell r="H15329" t="str">
            <v>g__unclassified_f__Lachnospiraceae</v>
          </cell>
          <cell r="I15329" t="str">
            <v>s__unclassified_f__Lachnospiraceae</v>
          </cell>
        </row>
        <row r="15330">
          <cell r="G15330" t="str">
            <v>ASV9502</v>
          </cell>
          <cell r="H15330" t="str">
            <v>g__unclassified_f__Oscillospiraceae</v>
          </cell>
          <cell r="I15330" t="str">
            <v>s__unclassified_f__Oscillospiraceae</v>
          </cell>
        </row>
        <row r="15331">
          <cell r="G15331" t="str">
            <v>ASV11962</v>
          </cell>
          <cell r="H15331" t="str">
            <v>g__norank_f__norank_o__WCHB1-41</v>
          </cell>
          <cell r="I15331" t="str">
            <v>s__uncultured_bacterium_g__norank_f__norank_o__WCHB1-41</v>
          </cell>
        </row>
        <row r="15332">
          <cell r="G15332" t="str">
            <v>ASV5964</v>
          </cell>
          <cell r="H15332" t="str">
            <v>g__unclassified_o__Bacteroidales</v>
          </cell>
          <cell r="I15332" t="str">
            <v>s__unclassified_o__Bacteroidales</v>
          </cell>
        </row>
        <row r="15333">
          <cell r="G15333" t="str">
            <v>ASV16070</v>
          </cell>
          <cell r="H15333" t="str">
            <v>g__unclassified_k__norank_d__Bacteria</v>
          </cell>
          <cell r="I15333" t="str">
            <v>s__unclassified_k__norank_d__Bacteria</v>
          </cell>
        </row>
        <row r="15334">
          <cell r="G15334" t="str">
            <v>ASV23370</v>
          </cell>
          <cell r="H15334" t="str">
            <v>g__unclassified_p__Firmicutes</v>
          </cell>
          <cell r="I15334" t="str">
            <v>s__unclassified_p__Firmicutes</v>
          </cell>
        </row>
        <row r="15335">
          <cell r="G15335" t="str">
            <v>ASV4181</v>
          </cell>
          <cell r="H15335" t="str">
            <v>g__unclassified_f__Lachnospiraceae</v>
          </cell>
          <cell r="I15335" t="str">
            <v>s__unclassified_f__Lachnospiraceae</v>
          </cell>
        </row>
        <row r="15336">
          <cell r="G15336" t="str">
            <v>ASV10220</v>
          </cell>
          <cell r="H15336" t="str">
            <v>g__Acidaminococcus</v>
          </cell>
          <cell r="I15336" t="str">
            <v>s__unclassified_g__Acidaminococcus</v>
          </cell>
        </row>
        <row r="15337">
          <cell r="G15337" t="str">
            <v>ASV11890</v>
          </cell>
          <cell r="H15337" t="str">
            <v>g__unclassified_p__Firmicutes</v>
          </cell>
          <cell r="I15337" t="str">
            <v>s__unclassified_p__Firmicutes</v>
          </cell>
        </row>
        <row r="15338">
          <cell r="G15338" t="str">
            <v>ASV22289</v>
          </cell>
          <cell r="H15338" t="str">
            <v>g__unclassified_o__Oscillospirales</v>
          </cell>
          <cell r="I15338" t="str">
            <v>s__unclassified_o__Oscillospirales</v>
          </cell>
        </row>
        <row r="15339">
          <cell r="G15339" t="str">
            <v>ASV20914</v>
          </cell>
          <cell r="H15339" t="str">
            <v>g__Clostridium_sensu_stricto_1</v>
          </cell>
          <cell r="I15339" t="str">
            <v>s__unclassified_g__Clostridium_sensu_stricto_1</v>
          </cell>
        </row>
        <row r="15340">
          <cell r="G15340" t="str">
            <v>ASV6033</v>
          </cell>
          <cell r="H15340" t="str">
            <v>g__unclassified_o__Bacteroidales</v>
          </cell>
          <cell r="I15340" t="str">
            <v>s__unclassified_o__Bacteroidales</v>
          </cell>
        </row>
        <row r="15341">
          <cell r="G15341" t="str">
            <v>ASV18111</v>
          </cell>
          <cell r="H15341" t="str">
            <v>g__Lachnospiraceae_NC2004_group</v>
          </cell>
          <cell r="I15341" t="str">
            <v>s__uncultured_rumen_bacterium_g__Lachnospiraceae_NC2004_group</v>
          </cell>
        </row>
        <row r="15342">
          <cell r="G15342" t="str">
            <v>ASV21296</v>
          </cell>
          <cell r="H15342" t="str">
            <v>g__unclassified_c__Clostridia</v>
          </cell>
          <cell r="I15342" t="str">
            <v>s__unclassified_c__Clostridia</v>
          </cell>
        </row>
        <row r="15343">
          <cell r="G15343" t="str">
            <v>ASV7965</v>
          </cell>
          <cell r="H15343" t="str">
            <v>g__unclassified_f__Lachnospiraceae</v>
          </cell>
          <cell r="I15343" t="str">
            <v>s__unclassified_f__Lachnospiraceae</v>
          </cell>
        </row>
        <row r="15344">
          <cell r="G15344" t="str">
            <v>ASV20464</v>
          </cell>
          <cell r="H15344" t="str">
            <v>g__Rubrivirga</v>
          </cell>
          <cell r="I15344" t="str">
            <v>s__uncultured_bacterium_g__Rubrivirga</v>
          </cell>
        </row>
        <row r="15345">
          <cell r="G15345" t="str">
            <v>ASV9543</v>
          </cell>
          <cell r="H15345" t="str">
            <v>g__unclassified_f__Clostridiaceae</v>
          </cell>
          <cell r="I15345" t="str">
            <v>s__unclassified_f__Clostridiaceae</v>
          </cell>
        </row>
        <row r="15346">
          <cell r="G15346" t="str">
            <v>ASV1724</v>
          </cell>
          <cell r="H15346" t="str">
            <v>g__norank_f__Atopobiaceae</v>
          </cell>
          <cell r="I15346" t="str">
            <v>s__uncultured_bacterium_g__norank_f__Atopobiaceae</v>
          </cell>
        </row>
        <row r="15347">
          <cell r="G15347" t="str">
            <v>ASV20890</v>
          </cell>
          <cell r="H15347" t="str">
            <v>g__unclassified_c__Clostridia</v>
          </cell>
          <cell r="I15347" t="str">
            <v>s__unclassified_c__Clostridia</v>
          </cell>
        </row>
        <row r="15348">
          <cell r="G15348" t="str">
            <v>ASV6014</v>
          </cell>
          <cell r="H15348" t="str">
            <v>g__unclassified_c__Clostridia</v>
          </cell>
          <cell r="I15348" t="str">
            <v>s__unclassified_c__Clostridia</v>
          </cell>
        </row>
        <row r="15349">
          <cell r="G15349" t="str">
            <v>ASV13727</v>
          </cell>
          <cell r="H15349" t="str">
            <v>g__Bacteroides</v>
          </cell>
          <cell r="I15349" t="str">
            <v>s__unclassified_g__Bacteroides</v>
          </cell>
        </row>
        <row r="15350">
          <cell r="G15350" t="str">
            <v>ASV12982</v>
          </cell>
          <cell r="H15350" t="str">
            <v>g__Bacillus</v>
          </cell>
          <cell r="I15350" t="str">
            <v>s__Lactobacillus_vaginalis_g__Bacillus</v>
          </cell>
        </row>
        <row r="15351">
          <cell r="G15351" t="str">
            <v>ASV4908</v>
          </cell>
          <cell r="H15351" t="str">
            <v>g__Eubacterium_oxidoreducens_group</v>
          </cell>
          <cell r="I15351" t="str">
            <v>s__uncultured_bacterium_g__Eubacterium_oxidoreducens_group</v>
          </cell>
        </row>
        <row r="15352">
          <cell r="G15352" t="str">
            <v>ASV18606</v>
          </cell>
          <cell r="H15352" t="str">
            <v>g__unclassified_o__Lactobacillales</v>
          </cell>
          <cell r="I15352" t="str">
            <v>s__unclassified_o__Lactobacillales</v>
          </cell>
        </row>
        <row r="15353">
          <cell r="G15353" t="str">
            <v>ASV18932</v>
          </cell>
          <cell r="H15353" t="str">
            <v>g__Lactobacillus</v>
          </cell>
          <cell r="I15353" t="str">
            <v>s__unclassified_g__Lactobacillus</v>
          </cell>
        </row>
        <row r="15354">
          <cell r="G15354" t="str">
            <v>ASV22369</v>
          </cell>
          <cell r="H15354" t="str">
            <v>g__UCG-002</v>
          </cell>
          <cell r="I15354" t="str">
            <v>s__unclassified_g__UCG-002</v>
          </cell>
        </row>
        <row r="15355">
          <cell r="G15355" t="str">
            <v>ASV11783</v>
          </cell>
          <cell r="H15355" t="str">
            <v>g__norank_f__Peptostreptococcaceae</v>
          </cell>
          <cell r="I15355" t="str">
            <v>s__uncultured_bacterium_g__norank_f__Peptostreptococcaceae</v>
          </cell>
        </row>
        <row r="15356">
          <cell r="G15356" t="str">
            <v>ASV1071</v>
          </cell>
          <cell r="H15356" t="str">
            <v>g__CAG-873</v>
          </cell>
          <cell r="I15356" t="str">
            <v>s__Bacteroidales_bacterium_H4</v>
          </cell>
        </row>
        <row r="15357">
          <cell r="G15357" t="str">
            <v>ASV15547</v>
          </cell>
          <cell r="H15357" t="str">
            <v>g__UCG-002</v>
          </cell>
          <cell r="I15357" t="str">
            <v>s__uncultured_bacterium_g__UCG-002</v>
          </cell>
        </row>
        <row r="15358">
          <cell r="G15358" t="str">
            <v>ASV4163</v>
          </cell>
          <cell r="H15358" t="str">
            <v>g__unclassified_f__Oscillospiraceae</v>
          </cell>
          <cell r="I15358" t="str">
            <v>s__unclassified_f__Oscillospiraceae</v>
          </cell>
        </row>
        <row r="15359">
          <cell r="G15359" t="str">
            <v>ASV6800</v>
          </cell>
          <cell r="H15359" t="str">
            <v>g__Lactobacillus</v>
          </cell>
          <cell r="I15359" t="str">
            <v>s__unclassified_g__Lactobacillus</v>
          </cell>
        </row>
        <row r="15360">
          <cell r="G15360" t="str">
            <v>ASV19820</v>
          </cell>
          <cell r="H15360" t="str">
            <v>g__unclassified_f__Veillonellaceae</v>
          </cell>
          <cell r="I15360" t="str">
            <v>s__unclassified_f__Veillonellaceae</v>
          </cell>
        </row>
        <row r="15361">
          <cell r="G15361" t="str">
            <v>ASV14941</v>
          </cell>
          <cell r="H15361" t="str">
            <v>g__norank_f__Peptostreptococcaceae</v>
          </cell>
          <cell r="I15361" t="str">
            <v>s__Eubacterium</v>
          </cell>
        </row>
        <row r="15362">
          <cell r="G15362" t="str">
            <v>ASV3509</v>
          </cell>
          <cell r="H15362" t="str">
            <v>g__Escherichia-Shigella</v>
          </cell>
          <cell r="I15362" t="str">
            <v>s__unclassified_g__Escherichia-Shigella</v>
          </cell>
        </row>
        <row r="15363">
          <cell r="G15363" t="str">
            <v>ASV22469</v>
          </cell>
          <cell r="H15363" t="str">
            <v>g__unclassified_f__Oscillospiraceae</v>
          </cell>
          <cell r="I15363" t="str">
            <v>s__unclassified_f__Oscillospiraceae</v>
          </cell>
        </row>
        <row r="15364">
          <cell r="G15364" t="str">
            <v>ASV15465</v>
          </cell>
          <cell r="H15364" t="str">
            <v>g__unclassified_c__Clostridia</v>
          </cell>
          <cell r="I15364" t="str">
            <v>s__unclassified_c__Clostridia</v>
          </cell>
        </row>
        <row r="15365">
          <cell r="G15365" t="str">
            <v>ASV4079</v>
          </cell>
          <cell r="H15365" t="str">
            <v>g__norank_f__Ruminococcaceae</v>
          </cell>
          <cell r="I15365" t="str">
            <v>s__gut_metagenome_g__norank_f__Ruminococcaceae</v>
          </cell>
        </row>
        <row r="15366">
          <cell r="G15366" t="str">
            <v>ASV16953</v>
          </cell>
          <cell r="H15366" t="str">
            <v>g__unclassified_o__Oscillospirales</v>
          </cell>
          <cell r="I15366" t="str">
            <v>s__unclassified_o__Oscillospirales</v>
          </cell>
        </row>
        <row r="15367">
          <cell r="G15367" t="str">
            <v>ASV3511</v>
          </cell>
          <cell r="H15367" t="str">
            <v>g__Bacillus</v>
          </cell>
          <cell r="I15367" t="str">
            <v>s__Lactobacillus_vaginalis_g__Bacillus</v>
          </cell>
        </row>
        <row r="15368">
          <cell r="G15368" t="str">
            <v>ASV19086</v>
          </cell>
          <cell r="H15368" t="str">
            <v>g__unclassified_f__Lachnospiraceae</v>
          </cell>
          <cell r="I15368" t="str">
            <v>s__unclassified_f__Lachnospiraceae</v>
          </cell>
        </row>
        <row r="15369">
          <cell r="G15369" t="str">
            <v>ASV20477</v>
          </cell>
          <cell r="H15369" t="str">
            <v>g__Psychrobacter</v>
          </cell>
          <cell r="I15369" t="str">
            <v>s__unclassified_g__Psychrobacter</v>
          </cell>
        </row>
        <row r="15370">
          <cell r="G15370" t="str">
            <v>ASV18202</v>
          </cell>
          <cell r="H15370" t="str">
            <v>g__norank_f__Eubacterium_coprostanoligenes_group</v>
          </cell>
          <cell r="I15370" t="str">
            <v>s__unclassified_g__norank_f__Eubacterium_coprostanoligenes_group</v>
          </cell>
        </row>
        <row r="15371">
          <cell r="G15371" t="str">
            <v>ASV11820</v>
          </cell>
          <cell r="H15371" t="str">
            <v>g__norank_f__Oscillospiraceae</v>
          </cell>
          <cell r="I15371" t="str">
            <v>s__unclassified_g__norank_f__Oscillospiraceae</v>
          </cell>
        </row>
        <row r="15372">
          <cell r="G15372" t="str">
            <v>ASV10698</v>
          </cell>
          <cell r="H15372" t="str">
            <v>g__Christensenellaceae_R-7_group</v>
          </cell>
          <cell r="I15372" t="str">
            <v>s__uncultured_bacterium_g__Christensenellaceae_R-7_group</v>
          </cell>
        </row>
        <row r="15373">
          <cell r="G15373" t="str">
            <v>ASV4175</v>
          </cell>
          <cell r="H15373" t="str">
            <v>g__Enterococcus</v>
          </cell>
          <cell r="I15373" t="str">
            <v>s__unclassified_g__Enterococcus</v>
          </cell>
        </row>
        <row r="15374">
          <cell r="G15374" t="str">
            <v>ASV10219</v>
          </cell>
          <cell r="H15374" t="str">
            <v>g__Olsenella</v>
          </cell>
          <cell r="I15374" t="str">
            <v>s__unclassified_g__Olsenella</v>
          </cell>
        </row>
        <row r="15375">
          <cell r="G15375" t="str">
            <v>ASV19635</v>
          </cell>
          <cell r="H15375" t="str">
            <v>g__UCG-002</v>
          </cell>
          <cell r="I15375" t="str">
            <v>s__unclassified_g__UCG-002</v>
          </cell>
        </row>
        <row r="15376">
          <cell r="G15376" t="str">
            <v>ASV23355</v>
          </cell>
          <cell r="H15376" t="str">
            <v>g__Ruminococcus</v>
          </cell>
          <cell r="I15376" t="str">
            <v>s__unclassified_g__Ruminococcus</v>
          </cell>
        </row>
        <row r="15377">
          <cell r="G15377" t="str">
            <v>ASV24253</v>
          </cell>
          <cell r="H15377" t="str">
            <v>g__unclassified_f__Ruminococcaceae</v>
          </cell>
          <cell r="I15377" t="str">
            <v>s__unclassified_f__Ruminococcaceae</v>
          </cell>
        </row>
        <row r="15378">
          <cell r="G15378" t="str">
            <v>ASV10101</v>
          </cell>
          <cell r="H15378" t="str">
            <v>g__unclassified_p__Firmicutes</v>
          </cell>
          <cell r="I15378" t="str">
            <v>s__unclassified_p__Firmicutes</v>
          </cell>
        </row>
        <row r="15379">
          <cell r="G15379" t="str">
            <v>ASV22442</v>
          </cell>
          <cell r="H15379" t="str">
            <v>g__Subdoligranulum</v>
          </cell>
          <cell r="I15379" t="str">
            <v>s__uncultured_bacterium_g__Subdoligranulum</v>
          </cell>
        </row>
        <row r="15380">
          <cell r="G15380" t="str">
            <v>ASV20927</v>
          </cell>
          <cell r="H15380" t="str">
            <v>g__Christensenellaceae_R-7_group</v>
          </cell>
          <cell r="I15380" t="str">
            <v>s__unclassified_g__Christensenellaceae_R-7_group</v>
          </cell>
        </row>
        <row r="15381">
          <cell r="G15381" t="str">
            <v>ASV14382</v>
          </cell>
          <cell r="H15381" t="str">
            <v>g__unclassified_c__Clostridia</v>
          </cell>
          <cell r="I15381" t="str">
            <v>s__unclassified_c__Clostridia</v>
          </cell>
        </row>
        <row r="15382">
          <cell r="G15382" t="str">
            <v>ASV4130</v>
          </cell>
          <cell r="H15382" t="str">
            <v>g__Bacteroides</v>
          </cell>
          <cell r="I15382" t="str">
            <v>s__unclassified_g__Bacteroides</v>
          </cell>
        </row>
        <row r="15383">
          <cell r="G15383" t="str">
            <v>ASV15532</v>
          </cell>
          <cell r="H15383" t="str">
            <v>g__unclassified_k__norank_d__Bacteria</v>
          </cell>
          <cell r="I15383" t="str">
            <v>s__unclassified_k__norank_d__Bacteria</v>
          </cell>
        </row>
        <row r="15384">
          <cell r="G15384" t="str">
            <v>ASV17367</v>
          </cell>
          <cell r="H15384" t="str">
            <v>g__unclassified_o__Lactobacillales</v>
          </cell>
          <cell r="I15384" t="str">
            <v>s__unclassified_o__Lactobacillales</v>
          </cell>
        </row>
        <row r="15385">
          <cell r="G15385" t="str">
            <v>ASV18207</v>
          </cell>
          <cell r="H15385" t="str">
            <v>g__norank_f__Eubacterium_coprostanoligenes_group</v>
          </cell>
          <cell r="I15385" t="str">
            <v>s__human_gut_metagenome_g__norank_f__Eubacterium_coprostanoligenes_group</v>
          </cell>
        </row>
        <row r="15386">
          <cell r="G15386" t="str">
            <v>ASV11804</v>
          </cell>
          <cell r="H15386" t="str">
            <v>g__unclassified_k__norank_d__Bacteria</v>
          </cell>
          <cell r="I15386" t="str">
            <v>s__unclassified_k__norank_d__Bacteria</v>
          </cell>
        </row>
        <row r="15387">
          <cell r="G15387" t="str">
            <v>ASV2301</v>
          </cell>
          <cell r="H15387" t="str">
            <v>g__Christensenellaceae_R-7_group</v>
          </cell>
          <cell r="I15387" t="str">
            <v>s__unclassified_g__Christensenellaceae_R-7_group</v>
          </cell>
        </row>
        <row r="15388">
          <cell r="G15388" t="str">
            <v>ASV11957</v>
          </cell>
          <cell r="H15388" t="str">
            <v>g__unclassified_f__Christensenellaceae</v>
          </cell>
          <cell r="I15388" t="str">
            <v>s__unclassified_f__Christensenellaceae</v>
          </cell>
        </row>
        <row r="15389">
          <cell r="G15389" t="str">
            <v>ASV9011</v>
          </cell>
          <cell r="H15389" t="str">
            <v>g__Stenotrophomonas</v>
          </cell>
          <cell r="I15389" t="str">
            <v>s__unclassified_g__Stenotrophomonas</v>
          </cell>
        </row>
        <row r="15390">
          <cell r="G15390" t="str">
            <v>ASV3503</v>
          </cell>
          <cell r="H15390" t="str">
            <v>g__unclassified_c__Gammaproteobacteria</v>
          </cell>
          <cell r="I15390" t="str">
            <v>s__unclassified_c__Gammaproteobacteria</v>
          </cell>
        </row>
        <row r="15391">
          <cell r="G15391" t="str">
            <v>ASV20827</v>
          </cell>
          <cell r="H15391" t="str">
            <v>g__unclassified_p__Firmicutes</v>
          </cell>
          <cell r="I15391" t="str">
            <v>s__unclassified_p__Firmicutes</v>
          </cell>
        </row>
        <row r="15392">
          <cell r="G15392" t="str">
            <v>ASV2286</v>
          </cell>
          <cell r="H15392" t="str">
            <v>g__unclassified_c__Clostridia</v>
          </cell>
          <cell r="I15392" t="str">
            <v>s__unclassified_c__Clostridia</v>
          </cell>
        </row>
        <row r="15393">
          <cell r="G15393" t="str">
            <v>ASV18130</v>
          </cell>
          <cell r="H15393" t="str">
            <v>g__unclassified_c__Clostridia</v>
          </cell>
          <cell r="I15393" t="str">
            <v>s__unclassified_c__Clostridia</v>
          </cell>
        </row>
        <row r="15394">
          <cell r="G15394" t="str">
            <v>ASV18164</v>
          </cell>
          <cell r="H15394" t="str">
            <v>g__Lactobacillus</v>
          </cell>
          <cell r="I15394" t="str">
            <v>s__unclassified_g__Lactobacillus</v>
          </cell>
        </row>
        <row r="15395">
          <cell r="G15395" t="str">
            <v>ASV11956</v>
          </cell>
          <cell r="H15395" t="str">
            <v>g__Clostridium_sensu_stricto_1</v>
          </cell>
          <cell r="I15395" t="str">
            <v>s__unclassified_g__Clostridium_sensu_stricto_1</v>
          </cell>
        </row>
        <row r="15396">
          <cell r="G15396" t="str">
            <v>ASV16933</v>
          </cell>
          <cell r="H15396" t="str">
            <v>g__Holdemanella</v>
          </cell>
          <cell r="I15396" t="str">
            <v>s__uncultured_bacterium_g__Holdemanella</v>
          </cell>
        </row>
        <row r="15397">
          <cell r="G15397" t="str">
            <v>ASV7202</v>
          </cell>
          <cell r="H15397" t="str">
            <v>g__Corynebacterium</v>
          </cell>
          <cell r="I15397" t="str">
            <v>s__unclassified_g__Corynebacterium</v>
          </cell>
        </row>
        <row r="15398">
          <cell r="G15398" t="str">
            <v>ASV7975</v>
          </cell>
          <cell r="H15398" t="str">
            <v>g__Eubacterium_oxidoreducens_group</v>
          </cell>
          <cell r="I15398" t="str">
            <v>s__uncultured_bacterium_g__Eubacterium_oxidoreducens_group</v>
          </cell>
        </row>
        <row r="15399">
          <cell r="G15399" t="str">
            <v>ASV7895</v>
          </cell>
          <cell r="H15399" t="str">
            <v>g__unclassified_c__Clostridia</v>
          </cell>
          <cell r="I15399" t="str">
            <v>s__unclassified_c__Clostridia</v>
          </cell>
        </row>
        <row r="15400">
          <cell r="G15400" t="str">
            <v>ASV7793</v>
          </cell>
          <cell r="H15400" t="str">
            <v>g__unclassified_p__Firmicutes</v>
          </cell>
          <cell r="I15400" t="str">
            <v>s__unclassified_p__Firmicutes</v>
          </cell>
        </row>
        <row r="15401">
          <cell r="G15401" t="str">
            <v>ASV14329</v>
          </cell>
          <cell r="H15401" t="str">
            <v>g__unclassified_k__norank_d__Bacteria</v>
          </cell>
          <cell r="I15401" t="str">
            <v>s__unclassified_k__norank_d__Bacteria</v>
          </cell>
        </row>
        <row r="15402">
          <cell r="G15402" t="str">
            <v>ASV8838</v>
          </cell>
          <cell r="H15402" t="str">
            <v>g__Lactobacillus</v>
          </cell>
          <cell r="I15402" t="str">
            <v>s__unclassified_g__Lactobacillus</v>
          </cell>
        </row>
        <row r="15403">
          <cell r="G15403" t="str">
            <v>ASV6069</v>
          </cell>
          <cell r="H15403" t="str">
            <v>g__unclassified_f__Lachnospiraceae</v>
          </cell>
          <cell r="I15403" t="str">
            <v>s__unclassified_f__Lachnospiraceae</v>
          </cell>
        </row>
        <row r="15404">
          <cell r="G15404" t="str">
            <v>ASV16516</v>
          </cell>
          <cell r="H15404" t="str">
            <v>g__unclassified_f__Peptostreptococcaceae</v>
          </cell>
          <cell r="I15404" t="str">
            <v>s__unclassified_f__Peptostreptococcaceae</v>
          </cell>
        </row>
        <row r="15405">
          <cell r="G15405" t="str">
            <v>ASV5070</v>
          </cell>
          <cell r="H15405" t="str">
            <v>g__unclassified_f__Lachnospiraceae</v>
          </cell>
          <cell r="I15405" t="str">
            <v>s__unclassified_f__Lachnospiraceae</v>
          </cell>
        </row>
        <row r="15406">
          <cell r="G15406" t="str">
            <v>ASV16003</v>
          </cell>
          <cell r="H15406" t="str">
            <v>g__unclassified_k__norank_d__Bacteria</v>
          </cell>
          <cell r="I15406" t="str">
            <v>s__unclassified_k__norank_d__Bacteria</v>
          </cell>
        </row>
        <row r="15407">
          <cell r="G15407" t="str">
            <v>ASV7953</v>
          </cell>
          <cell r="H15407" t="str">
            <v>g__Corynebacterium</v>
          </cell>
          <cell r="I15407" t="str">
            <v>s__unclassified_g__Corynebacterium</v>
          </cell>
        </row>
        <row r="15408">
          <cell r="G15408" t="str">
            <v>ASV3661</v>
          </cell>
          <cell r="H15408" t="str">
            <v>g__Jeotgalicoccus</v>
          </cell>
          <cell r="I15408" t="str">
            <v>s__unclassified_g__Jeotgalicoccus</v>
          </cell>
        </row>
        <row r="15409">
          <cell r="G15409" t="str">
            <v>ASV12958</v>
          </cell>
          <cell r="H15409" t="str">
            <v>g__unclassified_f__Anaerovoracaceae</v>
          </cell>
          <cell r="I15409" t="str">
            <v>s__unclassified_f__Anaerovoracaceae</v>
          </cell>
        </row>
        <row r="15410">
          <cell r="G15410" t="str">
            <v>ASV20816</v>
          </cell>
          <cell r="H15410" t="str">
            <v>g__Lactobacillus</v>
          </cell>
          <cell r="I15410" t="str">
            <v>s__unclassified_g__Lactobacillus</v>
          </cell>
        </row>
        <row r="15411">
          <cell r="G15411" t="str">
            <v>ASV7839</v>
          </cell>
          <cell r="H15411" t="str">
            <v>g__unclassified_o__Oscillospirales</v>
          </cell>
          <cell r="I15411" t="str">
            <v>s__unclassified_o__Oscillospirales</v>
          </cell>
        </row>
        <row r="15412">
          <cell r="G15412" t="str">
            <v>ASV9473</v>
          </cell>
          <cell r="H15412" t="str">
            <v>g__unclassified_c__Clostridia</v>
          </cell>
          <cell r="I15412" t="str">
            <v>s__unclassified_c__Clostridia</v>
          </cell>
        </row>
        <row r="15413">
          <cell r="G15413" t="str">
            <v>ASV13478</v>
          </cell>
          <cell r="H15413" t="str">
            <v>g__Lactobacillus</v>
          </cell>
          <cell r="I15413" t="str">
            <v>s__unclassified_g__Lactobacillus</v>
          </cell>
        </row>
        <row r="15414">
          <cell r="G15414" t="str">
            <v>ASV23398</v>
          </cell>
          <cell r="H15414" t="str">
            <v>g__unclassified_f__Ruminococcaceae</v>
          </cell>
          <cell r="I15414" t="str">
            <v>s__unclassified_f__Ruminococcaceae</v>
          </cell>
        </row>
        <row r="15415">
          <cell r="G15415" t="str">
            <v>ASV13460</v>
          </cell>
          <cell r="H15415" t="str">
            <v>g__Christensenellaceae_R-7_group</v>
          </cell>
          <cell r="I15415" t="str">
            <v>s__unclassified_g__Christensenellaceae_R-7_group</v>
          </cell>
        </row>
        <row r="15416">
          <cell r="G15416" t="str">
            <v>ASV2257</v>
          </cell>
          <cell r="H15416" t="str">
            <v>g__unclassified_f__Ruminococcaceae</v>
          </cell>
          <cell r="I15416" t="str">
            <v>s__unclassified_f__Ruminococcaceae</v>
          </cell>
        </row>
        <row r="15417">
          <cell r="G15417" t="str">
            <v>ASV17623</v>
          </cell>
          <cell r="H15417" t="str">
            <v>g__Rothia</v>
          </cell>
          <cell r="I15417" t="str">
            <v>s__Rothia_aerolata</v>
          </cell>
        </row>
        <row r="15418">
          <cell r="G15418" t="str">
            <v>ASV1706</v>
          </cell>
          <cell r="H15418" t="str">
            <v>g__unclassified_f__Peptostreptococcaceae</v>
          </cell>
          <cell r="I15418" t="str">
            <v>s__unclassified_f__Peptostreptococcaceae</v>
          </cell>
        </row>
        <row r="15419">
          <cell r="G15419" t="str">
            <v>ASV2239</v>
          </cell>
          <cell r="H15419" t="str">
            <v>g__unclassified_f__Lachnospiraceae</v>
          </cell>
          <cell r="I15419" t="str">
            <v>s__unclassified_f__Lachnospiraceae</v>
          </cell>
        </row>
        <row r="15420">
          <cell r="G15420" t="str">
            <v>ASV22488</v>
          </cell>
          <cell r="H15420" t="str">
            <v>g__unclassified_f__Prevotellaceae</v>
          </cell>
          <cell r="I15420" t="str">
            <v>s__unclassified_f__Prevotellaceae</v>
          </cell>
        </row>
        <row r="15421">
          <cell r="G15421" t="str">
            <v>ASV972</v>
          </cell>
          <cell r="H15421" t="str">
            <v>g__unclassified_f__Lachnospiraceae</v>
          </cell>
          <cell r="I15421" t="str">
            <v>s__unclassified_f__Lachnospiraceae</v>
          </cell>
        </row>
        <row r="15422">
          <cell r="G15422" t="str">
            <v>ASV5107</v>
          </cell>
          <cell r="H15422" t="str">
            <v>g__unclassified_p__Firmicutes</v>
          </cell>
          <cell r="I15422" t="str">
            <v>s__unclassified_p__Firmicutes</v>
          </cell>
        </row>
        <row r="15423">
          <cell r="G15423" t="str">
            <v>ASV12981</v>
          </cell>
          <cell r="H15423" t="str">
            <v>g__Lactobacillus</v>
          </cell>
          <cell r="I15423" t="str">
            <v>s__unclassified_g__Lactobacillus</v>
          </cell>
        </row>
        <row r="15424">
          <cell r="G15424" t="str">
            <v>ASV14312</v>
          </cell>
          <cell r="H15424" t="str">
            <v>g__unclassified_c__Clostridia</v>
          </cell>
          <cell r="I15424" t="str">
            <v>s__unclassified_c__Clostridia</v>
          </cell>
        </row>
        <row r="15425">
          <cell r="G15425" t="str">
            <v>ASV4053</v>
          </cell>
          <cell r="H15425" t="str">
            <v>g__norank_f__Erysipelotrichaceae</v>
          </cell>
          <cell r="I15425" t="str">
            <v>s__uncultured_bacterium_g__norank_f__Erysipelotrichaceae</v>
          </cell>
        </row>
        <row r="15426">
          <cell r="G15426" t="str">
            <v>ASV12914</v>
          </cell>
          <cell r="H15426" t="str">
            <v>g__unclassified_f__Lachnospiraceae</v>
          </cell>
          <cell r="I15426" t="str">
            <v>s__unclassified_f__Lachnospiraceae</v>
          </cell>
        </row>
        <row r="15427">
          <cell r="G15427" t="str">
            <v>ASV19828</v>
          </cell>
          <cell r="H15427" t="str">
            <v>g__unclassified_f__Oscillospiraceae</v>
          </cell>
          <cell r="I15427" t="str">
            <v>s__unclassified_f__Oscillospiraceae</v>
          </cell>
        </row>
        <row r="15428">
          <cell r="G15428" t="str">
            <v>ASV14325</v>
          </cell>
          <cell r="H15428" t="str">
            <v>g__norank_f__UCG-011</v>
          </cell>
          <cell r="I15428" t="str">
            <v>s__uncultured_bacterium_g__norank_f__UCG-011</v>
          </cell>
        </row>
        <row r="15429">
          <cell r="G15429" t="str">
            <v>ASV21482</v>
          </cell>
          <cell r="H15429" t="str">
            <v>g__Lactobacillus</v>
          </cell>
          <cell r="I15429" t="str">
            <v>s__unclassified_g__Lactobacillus</v>
          </cell>
        </row>
        <row r="15430">
          <cell r="G15430" t="str">
            <v>ASV11732</v>
          </cell>
          <cell r="H15430" t="str">
            <v>g__unclassified_f__Ruminococcaceae</v>
          </cell>
          <cell r="I15430" t="str">
            <v>s__unclassified_f__Ruminococcaceae</v>
          </cell>
        </row>
        <row r="15431">
          <cell r="G15431" t="str">
            <v>ASV23368</v>
          </cell>
          <cell r="H15431" t="str">
            <v>g__unclassified_f__Oscillospiraceae</v>
          </cell>
          <cell r="I15431" t="str">
            <v>s__unclassified_f__Oscillospiraceae</v>
          </cell>
        </row>
        <row r="15432">
          <cell r="G15432" t="str">
            <v>ASV917</v>
          </cell>
          <cell r="H15432" t="str">
            <v>g__Christensenellaceae_R-7_group</v>
          </cell>
          <cell r="I15432" t="str">
            <v>s__unclassified_g__Christensenellaceae_R-7_group</v>
          </cell>
        </row>
        <row r="15433">
          <cell r="G15433" t="str">
            <v>ASV17427</v>
          </cell>
          <cell r="H15433" t="str">
            <v>g__Veillonella</v>
          </cell>
          <cell r="I15433" t="str">
            <v>s__unclassified_g__Veillonella</v>
          </cell>
        </row>
        <row r="15434">
          <cell r="G15434" t="str">
            <v>ASV3666</v>
          </cell>
          <cell r="H15434" t="str">
            <v>g__unclassified_f__Alcaligenaceae</v>
          </cell>
          <cell r="I15434" t="str">
            <v>s__unclassified_f__Alcaligenaceae</v>
          </cell>
        </row>
        <row r="15435">
          <cell r="G15435" t="str">
            <v>ASV7098</v>
          </cell>
          <cell r="H15435" t="str">
            <v>g__unclassified_k__norank_d__Bacteria</v>
          </cell>
          <cell r="I15435" t="str">
            <v>s__unclassified_k__norank_d__Bacteria</v>
          </cell>
        </row>
        <row r="15436">
          <cell r="G15436" t="str">
            <v>ASV17524</v>
          </cell>
          <cell r="H15436" t="str">
            <v>g__unclassified_f__Lachnospiraceae</v>
          </cell>
          <cell r="I15436" t="str">
            <v>s__unclassified_f__Lachnospiraceae</v>
          </cell>
        </row>
        <row r="15437">
          <cell r="G15437" t="str">
            <v>ASV16480</v>
          </cell>
          <cell r="H15437" t="str">
            <v>g__Eubacterium_siraeum_group</v>
          </cell>
          <cell r="I15437" t="str">
            <v>s__unclassified_g__Eubacterium_siraeum_group</v>
          </cell>
        </row>
        <row r="15438">
          <cell r="G15438" t="str">
            <v>ASV6029</v>
          </cell>
          <cell r="H15438" t="str">
            <v>g__unclassified_f__Lachnospiraceae</v>
          </cell>
          <cell r="I15438" t="str">
            <v>s__unclassified_f__Lachnospiraceae</v>
          </cell>
        </row>
        <row r="15439">
          <cell r="G15439" t="str">
            <v>ASV7872</v>
          </cell>
          <cell r="H15439" t="str">
            <v>g__unclassified_f__Lachnospiraceae</v>
          </cell>
          <cell r="I15439" t="str">
            <v>s__unclassified_f__Lachnospiraceae</v>
          </cell>
        </row>
        <row r="15440">
          <cell r="G15440" t="str">
            <v>ASV14326</v>
          </cell>
          <cell r="H15440" t="str">
            <v>g__Eubacterium_oxidoreducens_group</v>
          </cell>
          <cell r="I15440" t="str">
            <v>s__uncultured_bacterium_g__Eubacterium_oxidoreducens_group</v>
          </cell>
        </row>
        <row r="15441">
          <cell r="G15441" t="str">
            <v>ASV18175</v>
          </cell>
          <cell r="H15441" t="str">
            <v>g__unclassified_c__Clostridia</v>
          </cell>
          <cell r="I15441" t="str">
            <v>s__unclassified_c__Clostridia</v>
          </cell>
        </row>
        <row r="15442">
          <cell r="G15442" t="str">
            <v>ASV15504</v>
          </cell>
          <cell r="H15442" t="str">
            <v>g__Clostridium_sensu_stricto_1</v>
          </cell>
          <cell r="I15442" t="str">
            <v>s__unclassified_g__Clostridium_sensu_stricto_1</v>
          </cell>
        </row>
        <row r="15443">
          <cell r="G15443" t="str">
            <v>ASV14559</v>
          </cell>
          <cell r="H15443" t="str">
            <v>g__unclassified_c__Clostridia</v>
          </cell>
          <cell r="I15443" t="str">
            <v>s__unclassified_c__Clostridia</v>
          </cell>
        </row>
        <row r="15444">
          <cell r="G15444" t="str">
            <v>ASV828</v>
          </cell>
          <cell r="H15444" t="str">
            <v>g__norank_f__norank_o__RF39</v>
          </cell>
          <cell r="I15444" t="str">
            <v>s__unclassified_g__norank_f__norank_o__RF39</v>
          </cell>
        </row>
        <row r="15445">
          <cell r="G15445" t="str">
            <v>ASV8839</v>
          </cell>
          <cell r="H15445" t="str">
            <v>g__Megasphaera</v>
          </cell>
          <cell r="I15445" t="str">
            <v>s__unclassified_g__Megasphaera</v>
          </cell>
        </row>
        <row r="15446">
          <cell r="G15446" t="str">
            <v>ASV10777</v>
          </cell>
          <cell r="H15446" t="str">
            <v>g__Cloacibacillus</v>
          </cell>
          <cell r="I15446" t="str">
            <v>s__unclassified_g__Cloacibacillus</v>
          </cell>
        </row>
        <row r="15447">
          <cell r="G15447" t="str">
            <v>ASV7883</v>
          </cell>
          <cell r="H15447" t="str">
            <v>g__Parabacteroides</v>
          </cell>
          <cell r="I15447" t="str">
            <v>s__Porphyromonadaceae_bacterium_DJF_B175</v>
          </cell>
        </row>
        <row r="15448">
          <cell r="G15448" t="str">
            <v>ASV10321</v>
          </cell>
          <cell r="H15448" t="str">
            <v>g__Holdemanella</v>
          </cell>
          <cell r="I15448" t="str">
            <v>s__uncultured_bacterium_g__Holdemanella</v>
          </cell>
        </row>
        <row r="15449">
          <cell r="G15449" t="str">
            <v>ASV5038</v>
          </cell>
          <cell r="H15449" t="str">
            <v>g__unclassified_p__Firmicutes</v>
          </cell>
          <cell r="I15449" t="str">
            <v>s__unclassified_p__Firmicutes</v>
          </cell>
        </row>
        <row r="15450">
          <cell r="G15450" t="str">
            <v>ASV6147</v>
          </cell>
          <cell r="H15450" t="str">
            <v>g__NK4A214_group</v>
          </cell>
          <cell r="I15450" t="str">
            <v>s__unclassified_g__NK4A214_group</v>
          </cell>
        </row>
        <row r="15451">
          <cell r="G15451" t="str">
            <v>ASV10739</v>
          </cell>
          <cell r="H15451" t="str">
            <v>g__Lactobacillus</v>
          </cell>
          <cell r="I15451" t="str">
            <v>s__unclassified_g__Lactobacillus</v>
          </cell>
        </row>
        <row r="15452">
          <cell r="G15452" t="str">
            <v>ASV10104</v>
          </cell>
          <cell r="H15452" t="str">
            <v>g__unclassified_k__norank_d__Bacteria</v>
          </cell>
          <cell r="I15452" t="str">
            <v>s__unclassified_k__norank_d__Bacteria</v>
          </cell>
        </row>
        <row r="15453">
          <cell r="G15453" t="str">
            <v>ASV870</v>
          </cell>
          <cell r="H15453" t="str">
            <v>g__unclassified_o__Oscillospirales</v>
          </cell>
          <cell r="I15453" t="str">
            <v>s__unclassified_o__Oscillospirales</v>
          </cell>
        </row>
        <row r="15454">
          <cell r="G15454" t="str">
            <v>ASV11810</v>
          </cell>
          <cell r="H15454" t="str">
            <v>g__unclassified_f__Lachnospiraceae</v>
          </cell>
          <cell r="I15454" t="str">
            <v>s__unclassified_f__Lachnospiraceae</v>
          </cell>
        </row>
        <row r="15455">
          <cell r="G15455" t="str">
            <v>ASV10737</v>
          </cell>
          <cell r="H15455" t="str">
            <v>g__Clostridium_sensu_stricto_1</v>
          </cell>
          <cell r="I15455" t="str">
            <v>s__unclassified_g__Clostridium_sensu_stricto_1</v>
          </cell>
        </row>
        <row r="15456">
          <cell r="G15456" t="str">
            <v>ASV16024</v>
          </cell>
          <cell r="H15456" t="str">
            <v>g__norank_f__Ruminococcaceae</v>
          </cell>
          <cell r="I15456" t="str">
            <v>s__gut_metagenome_g__norank_f__Ruminococcaceae</v>
          </cell>
        </row>
        <row r="15457">
          <cell r="G15457" t="str">
            <v>ASV13730</v>
          </cell>
          <cell r="H15457" t="str">
            <v>g__Acidaminococcus</v>
          </cell>
          <cell r="I15457" t="str">
            <v>s__Acidaminococcus_sp._Marseille-P2828</v>
          </cell>
        </row>
        <row r="15458">
          <cell r="G15458" t="str">
            <v>ASV22275</v>
          </cell>
          <cell r="H15458" t="str">
            <v>g__Rikenellaceae_RC9_gut_group</v>
          </cell>
          <cell r="I15458" t="str">
            <v>s__unclassified_g__Rikenellaceae_RC9_gut_group</v>
          </cell>
        </row>
        <row r="15459">
          <cell r="G15459" t="str">
            <v>ASV11868</v>
          </cell>
          <cell r="H15459" t="str">
            <v>g__Ruminococcus</v>
          </cell>
          <cell r="I15459" t="str">
            <v>s__unclassified_g__Ruminococcus</v>
          </cell>
        </row>
        <row r="15460">
          <cell r="G15460" t="str">
            <v>ASV6790</v>
          </cell>
          <cell r="H15460" t="str">
            <v>g__unclassified_c__Clostridia</v>
          </cell>
          <cell r="I15460" t="str">
            <v>s__unclassified_c__Clostridia</v>
          </cell>
        </row>
        <row r="15461">
          <cell r="G15461" t="str">
            <v>ASV11800</v>
          </cell>
          <cell r="H15461" t="str">
            <v>g__unclassified_c__Clostridia</v>
          </cell>
          <cell r="I15461" t="str">
            <v>s__unclassified_c__Clostridia</v>
          </cell>
        </row>
        <row r="15462">
          <cell r="G15462" t="str">
            <v>ASV11718</v>
          </cell>
          <cell r="H15462" t="str">
            <v>g__unclassified_c__Clostridia</v>
          </cell>
          <cell r="I15462" t="str">
            <v>s__unclassified_c__Clostridia</v>
          </cell>
        </row>
        <row r="15463">
          <cell r="G15463" t="str">
            <v>ASV22262</v>
          </cell>
          <cell r="H15463" t="str">
            <v>g__unclassified_f__Christensenellaceae</v>
          </cell>
          <cell r="I15463" t="str">
            <v>s__unclassified_f__Christensenellaceae</v>
          </cell>
        </row>
        <row r="15464">
          <cell r="G15464" t="str">
            <v>ASV18129</v>
          </cell>
          <cell r="H15464" t="str">
            <v>g__unclassified_f__Lachnospiraceae</v>
          </cell>
          <cell r="I15464" t="str">
            <v>s__unclassified_f__Lachnospiraceae</v>
          </cell>
        </row>
        <row r="15465">
          <cell r="G15465" t="str">
            <v>ASV9475</v>
          </cell>
          <cell r="H15465" t="str">
            <v>g__unclassified_o__Oscillospirales</v>
          </cell>
          <cell r="I15465" t="str">
            <v>s__unclassified_o__Oscillospirales</v>
          </cell>
        </row>
        <row r="15466">
          <cell r="G15466" t="str">
            <v>ASV22271</v>
          </cell>
          <cell r="H15466" t="str">
            <v>g__unclassified_c__Clostridia</v>
          </cell>
          <cell r="I15466" t="str">
            <v>s__unclassified_c__Clostridia</v>
          </cell>
        </row>
        <row r="15467">
          <cell r="G15467" t="str">
            <v>ASV879</v>
          </cell>
          <cell r="H15467" t="str">
            <v>g__unclassified_f__Lachnospiraceae</v>
          </cell>
          <cell r="I15467" t="str">
            <v>s__unclassified_f__Lachnospiraceae</v>
          </cell>
        </row>
        <row r="15468">
          <cell r="G15468" t="str">
            <v>ASV15437</v>
          </cell>
          <cell r="H15468" t="str">
            <v>g__unclassified_f__Clostridiaceae</v>
          </cell>
          <cell r="I15468" t="str">
            <v>s__unclassified_f__Clostridiaceae</v>
          </cell>
        </row>
        <row r="15469">
          <cell r="G15469" t="str">
            <v>ASV18642</v>
          </cell>
          <cell r="H15469" t="str">
            <v>g__Escherichia-Shigella</v>
          </cell>
          <cell r="I15469" t="str">
            <v>s__unclassified_g__Escherichia-Shigella</v>
          </cell>
        </row>
        <row r="15470">
          <cell r="G15470" t="str">
            <v>ASV17420</v>
          </cell>
          <cell r="H15470" t="str">
            <v>g__Rothia</v>
          </cell>
          <cell r="I15470" t="str">
            <v>s__unclassified_g__Rothia</v>
          </cell>
        </row>
        <row r="15471">
          <cell r="G15471" t="str">
            <v>ASV16923</v>
          </cell>
          <cell r="H15471" t="str">
            <v>g__unclassified_c__Clostridia</v>
          </cell>
          <cell r="I15471" t="str">
            <v>s__unclassified_c__Clostridia</v>
          </cell>
        </row>
        <row r="15472">
          <cell r="G15472" t="str">
            <v>ASV10765</v>
          </cell>
          <cell r="H15472" t="str">
            <v>g__norank_f__UCG-011</v>
          </cell>
          <cell r="I15472" t="str">
            <v>s__uncultured_bacterium_g__norank_f__UCG-011</v>
          </cell>
        </row>
        <row r="15473">
          <cell r="G15473" t="str">
            <v>ASV22294</v>
          </cell>
          <cell r="H15473" t="str">
            <v>g__unclassified_f__Peptostreptococcaceae</v>
          </cell>
          <cell r="I15473" t="str">
            <v>s__unclassified_f__Peptostreptococcaceae</v>
          </cell>
        </row>
        <row r="15474">
          <cell r="G15474" t="str">
            <v>ASV23435</v>
          </cell>
          <cell r="H15474" t="str">
            <v>g__Megasphaera</v>
          </cell>
          <cell r="I15474" t="str">
            <v>s__unclassified_g__Megasphaera</v>
          </cell>
        </row>
        <row r="15475">
          <cell r="G15475" t="str">
            <v>ASV19793</v>
          </cell>
          <cell r="H15475" t="str">
            <v>g__Phascolarctobacterium</v>
          </cell>
          <cell r="I15475" t="str">
            <v>s__uncultured_bacterium_g__Phascolarctobacterium</v>
          </cell>
        </row>
        <row r="15476">
          <cell r="G15476" t="str">
            <v>ASV19708</v>
          </cell>
          <cell r="H15476" t="str">
            <v>g__unclassified_f__Oscillospiraceae</v>
          </cell>
          <cell r="I15476" t="str">
            <v>s__unclassified_f__Oscillospiraceae</v>
          </cell>
        </row>
        <row r="15477">
          <cell r="G15477" t="str">
            <v>ASV8846</v>
          </cell>
          <cell r="H15477" t="str">
            <v>g__unclassified_f__Lachnospiraceae</v>
          </cell>
          <cell r="I15477" t="str">
            <v>s__unclassified_f__Lachnospiraceae</v>
          </cell>
        </row>
        <row r="15478">
          <cell r="G15478" t="str">
            <v>ASV22504</v>
          </cell>
          <cell r="H15478" t="str">
            <v>g__unclassified_c__Clostridia</v>
          </cell>
          <cell r="I15478" t="str">
            <v>s__unclassified_c__Clostridia</v>
          </cell>
        </row>
        <row r="15479">
          <cell r="G15479" t="str">
            <v>ASV4905</v>
          </cell>
          <cell r="H15479" t="str">
            <v>g__unclassified_c__Clostridia</v>
          </cell>
          <cell r="I15479" t="str">
            <v>s__unclassified_c__Clostridia</v>
          </cell>
        </row>
        <row r="15480">
          <cell r="G15480" t="str">
            <v>ASV7351</v>
          </cell>
          <cell r="H15480" t="str">
            <v>g__Streptococcus</v>
          </cell>
          <cell r="I15480" t="str">
            <v>s__unclassified_g__Streptococcus</v>
          </cell>
        </row>
        <row r="15481">
          <cell r="G15481" t="str">
            <v>ASV21634</v>
          </cell>
          <cell r="H15481" t="str">
            <v>g__Lactobacillus</v>
          </cell>
          <cell r="I15481" t="str">
            <v>s__unclassified_g__Lactobacillus</v>
          </cell>
        </row>
        <row r="15482">
          <cell r="G15482" t="str">
            <v>ASV7354</v>
          </cell>
          <cell r="H15482" t="str">
            <v>g__Colidextribacter</v>
          </cell>
          <cell r="I15482" t="str">
            <v>s__unclassified_g__Colidextribacter</v>
          </cell>
        </row>
        <row r="15483">
          <cell r="G15483" t="str">
            <v>ASV4138</v>
          </cell>
          <cell r="H15483" t="str">
            <v>g__unclassified_c__Clostridia</v>
          </cell>
          <cell r="I15483" t="str">
            <v>s__unclassified_c__Clostridia</v>
          </cell>
        </row>
        <row r="15484">
          <cell r="G15484" t="str">
            <v>ASV787</v>
          </cell>
          <cell r="H15484" t="str">
            <v>g__Campylobacter</v>
          </cell>
          <cell r="I15484" t="str">
            <v>s__unclassified_g__Campylobacter</v>
          </cell>
        </row>
        <row r="15485">
          <cell r="G15485" t="str">
            <v>ASV2314</v>
          </cell>
          <cell r="H15485" t="str">
            <v>g__unclassified_f__Lachnospiraceae</v>
          </cell>
          <cell r="I15485" t="str">
            <v>s__unclassified_f__Lachnospiraceae</v>
          </cell>
        </row>
        <row r="15486">
          <cell r="G15486" t="str">
            <v>ASV9546</v>
          </cell>
          <cell r="H15486" t="str">
            <v>g__unclassified_f__Oscillospiraceae</v>
          </cell>
          <cell r="I15486" t="str">
            <v>s__unclassified_f__Oscillospiraceae</v>
          </cell>
        </row>
        <row r="15487">
          <cell r="G15487" t="str">
            <v>ASV19797</v>
          </cell>
          <cell r="H15487" t="str">
            <v>g__Escherichia-Shigella</v>
          </cell>
          <cell r="I15487" t="str">
            <v>s__unclassified_g__Escherichia-Shigella</v>
          </cell>
        </row>
        <row r="15488">
          <cell r="G15488" t="str">
            <v>ASV6062</v>
          </cell>
          <cell r="H15488" t="str">
            <v>g__Lachnoclostridium</v>
          </cell>
          <cell r="I15488" t="str">
            <v>s__unclassified_g__Lachnoclostridium</v>
          </cell>
        </row>
        <row r="15489">
          <cell r="G15489" t="str">
            <v>ASV2389</v>
          </cell>
          <cell r="H15489" t="str">
            <v>g__unclassified_p__Firmicutes</v>
          </cell>
          <cell r="I15489" t="str">
            <v>s__unclassified_p__Firmicutes</v>
          </cell>
        </row>
        <row r="15490">
          <cell r="G15490" t="str">
            <v>ASV7074</v>
          </cell>
          <cell r="H15490" t="str">
            <v>g__unclassified_c__Clostridia</v>
          </cell>
          <cell r="I15490" t="str">
            <v>s__unclassified_c__Clostridia</v>
          </cell>
        </row>
        <row r="15491">
          <cell r="G15491" t="str">
            <v>ASV23384</v>
          </cell>
          <cell r="H15491" t="str">
            <v>g__unclassified_c__Clostridia</v>
          </cell>
          <cell r="I15491" t="str">
            <v>s__unclassified_c__Clostridia</v>
          </cell>
        </row>
        <row r="15492">
          <cell r="G15492" t="str">
            <v>ASV11721</v>
          </cell>
          <cell r="H15492" t="str">
            <v>g__unclassified_c__Clostridia</v>
          </cell>
          <cell r="I15492" t="str">
            <v>s__unclassified_c__Clostridia</v>
          </cell>
        </row>
        <row r="15493">
          <cell r="G15493" t="str">
            <v>ASV956</v>
          </cell>
          <cell r="H15493" t="str">
            <v>g__Parabacteroides</v>
          </cell>
          <cell r="I15493" t="str">
            <v>s__Porphyromonadaceae_bacterium_DJF_B175</v>
          </cell>
        </row>
        <row r="15494">
          <cell r="G15494" t="str">
            <v>ASV14532</v>
          </cell>
          <cell r="H15494" t="str">
            <v>g__unclassified_c__Clostridia</v>
          </cell>
          <cell r="I15494" t="str">
            <v>s__unclassified_c__Clostridia</v>
          </cell>
        </row>
        <row r="15495">
          <cell r="G15495" t="str">
            <v>ASV4073</v>
          </cell>
          <cell r="H15495" t="str">
            <v>g__norank_f__Eubacterium_coprostanoligenes_group</v>
          </cell>
          <cell r="I15495" t="str">
            <v>s__unclassified_g__norank_f__Eubacterium_coprostanoligenes_group</v>
          </cell>
        </row>
        <row r="15496">
          <cell r="G15496" t="str">
            <v>ASV15087</v>
          </cell>
          <cell r="H15496" t="str">
            <v>g__norank_f__Mitochondria</v>
          </cell>
          <cell r="I15496" t="str">
            <v>s__uncultured_bacterium_g__norank_f__Mitochondria</v>
          </cell>
        </row>
        <row r="15497">
          <cell r="G15497" t="str">
            <v>ASV24250</v>
          </cell>
          <cell r="H15497" t="str">
            <v>g__unclassified_f__Lachnospiraceae</v>
          </cell>
          <cell r="I15497" t="str">
            <v>s__unclassified_f__Lachnospiraceae</v>
          </cell>
        </row>
        <row r="15498">
          <cell r="G15498" t="str">
            <v>ASV16462</v>
          </cell>
          <cell r="H15498" t="str">
            <v>g__unclassified_c__Clostridia</v>
          </cell>
          <cell r="I15498" t="str">
            <v>s__unclassified_c__Clostridia</v>
          </cell>
        </row>
        <row r="15499">
          <cell r="G15499" t="str">
            <v>ASV14334</v>
          </cell>
          <cell r="H15499" t="str">
            <v>g__unclassified_f__Pasteurellaceae</v>
          </cell>
          <cell r="I15499" t="str">
            <v>s__unclassified_f__Pasteurellaceae</v>
          </cell>
        </row>
        <row r="15500">
          <cell r="G15500" t="str">
            <v>ASV1708</v>
          </cell>
          <cell r="H15500" t="str">
            <v>g__Clostridium_sensu_stricto_1</v>
          </cell>
          <cell r="I15500" t="str">
            <v>s__uncultured_bacterium_g__Clostridium_sensu_stricto_1</v>
          </cell>
        </row>
        <row r="15501">
          <cell r="G15501" t="str">
            <v>ASV10776</v>
          </cell>
          <cell r="H15501" t="str">
            <v>g__Lactobacillus</v>
          </cell>
          <cell r="I15501" t="str">
            <v>s__unclassified_g__Lactobacillus</v>
          </cell>
        </row>
        <row r="15502">
          <cell r="G15502" t="str">
            <v>ASV12979</v>
          </cell>
          <cell r="H15502" t="str">
            <v>g__norank_f__Eubacterium_coprostanoligenes_group</v>
          </cell>
          <cell r="I15502" t="str">
            <v>s__human_gut_metagenome_g__norank_f__Eubacterium_coprostanoligenes_group</v>
          </cell>
        </row>
        <row r="15503">
          <cell r="G15503" t="str">
            <v>ASV11926</v>
          </cell>
          <cell r="H15503" t="str">
            <v>g__unclassified_p__Firmicutes</v>
          </cell>
          <cell r="I15503" t="str">
            <v>s__unclassified_p__Firmicutes</v>
          </cell>
        </row>
        <row r="15504">
          <cell r="G15504" t="str">
            <v>ASV12874</v>
          </cell>
          <cell r="H15504" t="str">
            <v>g__unclassified_c__Clostridia</v>
          </cell>
          <cell r="I15504" t="str">
            <v>s__unclassified_c__Clostridia</v>
          </cell>
        </row>
        <row r="15505">
          <cell r="G15505" t="str">
            <v>ASV14538</v>
          </cell>
          <cell r="H15505" t="str">
            <v>g__norank_f__Muribaculaceae</v>
          </cell>
          <cell r="I15505" t="str">
            <v>s__uncultured_bacterium_g__norank_f__Muribaculaceae</v>
          </cell>
        </row>
        <row r="15506">
          <cell r="G15506" t="str">
            <v>ASV23443</v>
          </cell>
          <cell r="H15506" t="str">
            <v>g__Bacteroides</v>
          </cell>
          <cell r="I15506" t="str">
            <v>s__unclassified_g__Bacteroides</v>
          </cell>
        </row>
        <row r="15507">
          <cell r="G15507" t="str">
            <v>ASV18945</v>
          </cell>
          <cell r="H15507" t="str">
            <v>g__Lactobacillus</v>
          </cell>
          <cell r="I15507" t="str">
            <v>s__unclassified_g__Lactobacillus</v>
          </cell>
        </row>
        <row r="15508">
          <cell r="G15508" t="str">
            <v>ASV10681</v>
          </cell>
          <cell r="H15508" t="str">
            <v>g__Anaerococcus</v>
          </cell>
          <cell r="I15508" t="str">
            <v>s__unclassified_g__Anaerococcus</v>
          </cell>
        </row>
        <row r="15509">
          <cell r="G15509" t="str">
            <v>ASV18886</v>
          </cell>
          <cell r="H15509" t="str">
            <v>g__Enterorhabdus</v>
          </cell>
          <cell r="I15509" t="str">
            <v>s__uncultured_bacterium_g__Enterorhabdus</v>
          </cell>
        </row>
        <row r="15510">
          <cell r="G15510" t="str">
            <v>ASV4906</v>
          </cell>
          <cell r="H15510" t="str">
            <v>g__unclassified_c__Clostridia</v>
          </cell>
          <cell r="I15510" t="str">
            <v>s__unclassified_c__Clostridia</v>
          </cell>
        </row>
        <row r="15511">
          <cell r="G15511" t="str">
            <v>ASV18180</v>
          </cell>
          <cell r="H15511" t="str">
            <v>g__unclassified_c__Clostridia</v>
          </cell>
          <cell r="I15511" t="str">
            <v>s__unclassified_c__Clostridia</v>
          </cell>
        </row>
        <row r="15512">
          <cell r="G15512" t="str">
            <v>ASV14552</v>
          </cell>
          <cell r="H15512" t="str">
            <v>g__Lactobacillus</v>
          </cell>
          <cell r="I15512" t="str">
            <v>s__Lactobacillus_sp._KC45b</v>
          </cell>
        </row>
        <row r="15513">
          <cell r="G15513" t="str">
            <v>ASV23849</v>
          </cell>
          <cell r="H15513" t="str">
            <v>g__Lactobacillus</v>
          </cell>
          <cell r="I15513" t="str">
            <v>s__unclassified_g__Lactobacillus</v>
          </cell>
        </row>
        <row r="15514">
          <cell r="G15514" t="str">
            <v>ASV7081</v>
          </cell>
          <cell r="H15514" t="str">
            <v>g__unclassified_p__Firmicutes</v>
          </cell>
          <cell r="I15514" t="str">
            <v>s__unclassified_p__Firmicutes</v>
          </cell>
        </row>
        <row r="15515">
          <cell r="G15515" t="str">
            <v>ASV18947</v>
          </cell>
          <cell r="H15515" t="str">
            <v>g__unclassified_f__Lachnospiraceae</v>
          </cell>
          <cell r="I15515" t="str">
            <v>s__unclassified_f__Lachnospiraceae</v>
          </cell>
        </row>
        <row r="15516">
          <cell r="G15516" t="str">
            <v>ASV9518</v>
          </cell>
          <cell r="H15516" t="str">
            <v>g__unclassified_o__Bacteroidales</v>
          </cell>
          <cell r="I15516" t="str">
            <v>s__unclassified_o__Bacteroidales</v>
          </cell>
        </row>
        <row r="15517">
          <cell r="G15517" t="str">
            <v>ASV14564</v>
          </cell>
          <cell r="H15517" t="str">
            <v>g__Lactobacillus</v>
          </cell>
          <cell r="I15517" t="str">
            <v>s__unclassified_g__Lactobacillus</v>
          </cell>
        </row>
        <row r="15518">
          <cell r="G15518" t="str">
            <v>ASV3213</v>
          </cell>
          <cell r="H15518" t="str">
            <v>g__Desulfovibrio</v>
          </cell>
          <cell r="I15518" t="str">
            <v>s__unclassified_g__Desulfovibrio</v>
          </cell>
        </row>
        <row r="15519">
          <cell r="G15519" t="str">
            <v>ASV21297</v>
          </cell>
          <cell r="H15519" t="str">
            <v>g__unclassified_f__Lachnospiraceae</v>
          </cell>
          <cell r="I15519" t="str">
            <v>s__unclassified_f__Lachnospiraceae</v>
          </cell>
        </row>
        <row r="15520">
          <cell r="G15520" t="str">
            <v>ASV12820</v>
          </cell>
          <cell r="H15520" t="str">
            <v>g__Turicibacter</v>
          </cell>
          <cell r="I15520" t="str">
            <v>s__unclassified_g__Turicibacter</v>
          </cell>
        </row>
        <row r="15521">
          <cell r="G15521" t="str">
            <v>ASV7187</v>
          </cell>
          <cell r="H15521" t="str">
            <v>g__Synechococcus_PCC-7902</v>
          </cell>
          <cell r="I15521" t="str">
            <v>s__unclassified_g__Synechococcus_PCC-7902</v>
          </cell>
        </row>
        <row r="15522">
          <cell r="G15522" t="str">
            <v>ASV5037</v>
          </cell>
          <cell r="H15522" t="str">
            <v>g__unclassified_c__Bacilli</v>
          </cell>
          <cell r="I15522" t="str">
            <v>s__unclassified_c__Bacilli</v>
          </cell>
        </row>
        <row r="15523">
          <cell r="G15523" t="str">
            <v>ASV7922</v>
          </cell>
          <cell r="H15523" t="str">
            <v>g__unclassified_o__Lactobacillales</v>
          </cell>
          <cell r="I15523" t="str">
            <v>s__unclassified_o__Lactobacillales</v>
          </cell>
        </row>
        <row r="15524">
          <cell r="G15524" t="str">
            <v>ASV13467</v>
          </cell>
          <cell r="H15524" t="str">
            <v>g__unclassified_f__Peptostreptococcaceae</v>
          </cell>
          <cell r="I15524" t="str">
            <v>s__unclassified_f__Peptostreptococcaceae</v>
          </cell>
        </row>
        <row r="15525">
          <cell r="G15525" t="str">
            <v>ASV22319</v>
          </cell>
          <cell r="H15525" t="str">
            <v>g__unclassified_f__Lachnospiraceae</v>
          </cell>
          <cell r="I15525" t="str">
            <v>s__unclassified_f__Lachnospiraceae</v>
          </cell>
        </row>
        <row r="15526">
          <cell r="G15526" t="str">
            <v>ASV2926</v>
          </cell>
          <cell r="H15526" t="str">
            <v>g__Prevotellaceae_NK3B31_group</v>
          </cell>
          <cell r="I15526" t="str">
            <v>s__uncultured_bacterium_g__Prevotellaceae_NK3B31_group</v>
          </cell>
        </row>
        <row r="15527">
          <cell r="G15527" t="str">
            <v>ASV4912</v>
          </cell>
          <cell r="H15527" t="str">
            <v>g__unclassified_f__Lachnospiraceae</v>
          </cell>
          <cell r="I15527" t="str">
            <v>s__unclassified_f__Lachnospiraceae</v>
          </cell>
        </row>
        <row r="15528">
          <cell r="G15528" t="str">
            <v>ASV10027</v>
          </cell>
          <cell r="H15528" t="str">
            <v>g__Mucispirillum</v>
          </cell>
          <cell r="I15528" t="str">
            <v>s__unclassified_g__Mucispirillum</v>
          </cell>
        </row>
        <row r="15529">
          <cell r="G15529" t="str">
            <v>ASV13731</v>
          </cell>
          <cell r="H15529" t="str">
            <v>g__Prevotella</v>
          </cell>
          <cell r="I15529" t="str">
            <v>s__unclassified_g__Prevotella</v>
          </cell>
        </row>
        <row r="15530">
          <cell r="G15530" t="str">
            <v>ASV22426</v>
          </cell>
          <cell r="H15530" t="str">
            <v>g__Prevotellaceae_UCG-001</v>
          </cell>
          <cell r="I15530" t="str">
            <v>s__uncultured_bacterium_g__Prevotellaceae_UCG-001</v>
          </cell>
        </row>
        <row r="15531">
          <cell r="G15531" t="str">
            <v>ASV19720</v>
          </cell>
          <cell r="H15531" t="str">
            <v>g__unclassified_o__Oscillospirales</v>
          </cell>
          <cell r="I15531" t="str">
            <v>s__unclassified_o__Oscillospirales</v>
          </cell>
        </row>
        <row r="15532">
          <cell r="G15532" t="str">
            <v>ASV16518</v>
          </cell>
          <cell r="H15532" t="str">
            <v>g__Escherichia-Shigella</v>
          </cell>
          <cell r="I15532" t="str">
            <v>s__unclassified_g__Escherichia-Shigella</v>
          </cell>
        </row>
        <row r="15533">
          <cell r="G15533" t="str">
            <v>ASV4127</v>
          </cell>
          <cell r="H15533" t="str">
            <v>g__norank_f__Eubacterium_coprostanoligenes_group</v>
          </cell>
          <cell r="I15533" t="str">
            <v>s__unclassified_g__norank_f__Eubacterium_coprostanoligenes_group</v>
          </cell>
        </row>
        <row r="15534">
          <cell r="G15534" t="str">
            <v>ASV9490</v>
          </cell>
          <cell r="H15534" t="str">
            <v>g__norank_f__Ruminococcaceae</v>
          </cell>
          <cell r="I15534" t="str">
            <v>s__uncultured_bacterium_g__norank_f__Ruminococcaceae</v>
          </cell>
        </row>
        <row r="15535">
          <cell r="G15535" t="str">
            <v>ASV980</v>
          </cell>
          <cell r="H15535" t="str">
            <v>g__unclassified_o__Oscillospirales</v>
          </cell>
          <cell r="I15535" t="str">
            <v>s__unclassified_o__Oscillospirales</v>
          </cell>
        </row>
        <row r="15536">
          <cell r="G15536" t="str">
            <v>ASV18113</v>
          </cell>
          <cell r="H15536" t="str">
            <v>g__unclassified_f__Lachnospiraceae</v>
          </cell>
          <cell r="I15536" t="str">
            <v>s__unclassified_f__Lachnospiraceae</v>
          </cell>
        </row>
        <row r="15537">
          <cell r="G15537" t="str">
            <v>ASV14434</v>
          </cell>
          <cell r="H15537" t="str">
            <v>g__norank_f__norank_o__Bradymonadales</v>
          </cell>
          <cell r="I15537" t="str">
            <v>s__uncultured_rumen_bacterium_g__norank_f__norank_o__Bradymonadales</v>
          </cell>
        </row>
        <row r="15538">
          <cell r="G15538" t="str">
            <v>ASV13720</v>
          </cell>
          <cell r="H15538" t="str">
            <v>g__Megasphaera</v>
          </cell>
          <cell r="I15538" t="str">
            <v>s__unclassified_g__Megasphaera</v>
          </cell>
        </row>
        <row r="15539">
          <cell r="G15539" t="str">
            <v>ASV10756</v>
          </cell>
          <cell r="H15539" t="str">
            <v>g__unclassified_o__Erysipelotrichales</v>
          </cell>
          <cell r="I15539" t="str">
            <v>s__unclassified_o__Erysipelotrichales</v>
          </cell>
        </row>
        <row r="15540">
          <cell r="G15540" t="str">
            <v>ASV14309</v>
          </cell>
          <cell r="H15540" t="str">
            <v>g__Actinomyces</v>
          </cell>
          <cell r="I15540" t="str">
            <v>s__unclassified_g__Actinomyces</v>
          </cell>
        </row>
        <row r="15541">
          <cell r="G15541" t="str">
            <v>ASV800</v>
          </cell>
          <cell r="H15541" t="str">
            <v>g__Peptostreptococcus</v>
          </cell>
          <cell r="I15541" t="str">
            <v>s__unclassified_g__Peptostreptococcus</v>
          </cell>
        </row>
        <row r="15542">
          <cell r="G15542" t="str">
            <v>ASV4880</v>
          </cell>
          <cell r="H15542" t="str">
            <v>g__norank_f__Muribaculaceae</v>
          </cell>
          <cell r="I15542" t="str">
            <v>s__uncultured_bacterium_g__norank_f__Muribaculaceae</v>
          </cell>
        </row>
        <row r="15543">
          <cell r="G15543" t="str">
            <v>ASV10202</v>
          </cell>
          <cell r="H15543" t="str">
            <v>g__Eubacterium_nodatum_group</v>
          </cell>
          <cell r="I15543" t="str">
            <v>s__Eubacterium_pyruvativorans</v>
          </cell>
        </row>
        <row r="15544">
          <cell r="G15544" t="str">
            <v>ASV21653</v>
          </cell>
          <cell r="H15544" t="str">
            <v>g__unclassified_k__norank_d__Bacteria</v>
          </cell>
          <cell r="I15544" t="str">
            <v>s__unclassified_k__norank_d__Bacteria</v>
          </cell>
        </row>
        <row r="15545">
          <cell r="G15545" t="str">
            <v>ASV9556</v>
          </cell>
          <cell r="H15545" t="str">
            <v>g__Lactobacillus</v>
          </cell>
          <cell r="I15545" t="str">
            <v>s__unclassified_g__Lactobacillus</v>
          </cell>
        </row>
        <row r="15546">
          <cell r="G15546" t="str">
            <v>ASV14528</v>
          </cell>
          <cell r="H15546" t="str">
            <v>g__unclassified_c__Clostridia</v>
          </cell>
          <cell r="I15546" t="str">
            <v>s__unclassified_c__Clostridia</v>
          </cell>
        </row>
        <row r="15547">
          <cell r="G15547" t="str">
            <v>ASV11776</v>
          </cell>
          <cell r="H15547" t="str">
            <v>g__norank_f__norank_o__norank_c__Clostridia</v>
          </cell>
          <cell r="I15547" t="str">
            <v>s__uncultured_bacterium_g__norank_f__norank_o__norank_c__Clostridia</v>
          </cell>
        </row>
        <row r="15548">
          <cell r="G15548" t="str">
            <v>ASV20878</v>
          </cell>
          <cell r="H15548" t="str">
            <v>g__unclassified_p__Firmicutes</v>
          </cell>
          <cell r="I15548" t="str">
            <v>s__unclassified_p__Firmicutes</v>
          </cell>
        </row>
        <row r="15549">
          <cell r="G15549" t="str">
            <v>ASV15460</v>
          </cell>
          <cell r="H15549" t="str">
            <v>g__Collinsella</v>
          </cell>
          <cell r="I15549" t="str">
            <v>s__unclassified_g__Collinsella</v>
          </cell>
        </row>
        <row r="15550">
          <cell r="G15550" t="str">
            <v>ASV945</v>
          </cell>
          <cell r="H15550" t="str">
            <v>g__unclassified_c__Clostridia</v>
          </cell>
          <cell r="I15550" t="str">
            <v>s__unclassified_c__Clostridia</v>
          </cell>
        </row>
        <row r="15551">
          <cell r="G15551" t="str">
            <v>ASV1033</v>
          </cell>
          <cell r="H15551" t="str">
            <v>g__NK4A214_group</v>
          </cell>
          <cell r="I15551" t="str">
            <v>s__unclassified_g__NK4A214_group</v>
          </cell>
        </row>
        <row r="15552">
          <cell r="G15552" t="str">
            <v>ASV8844</v>
          </cell>
          <cell r="H15552" t="str">
            <v>g__Veillonella</v>
          </cell>
          <cell r="I15552" t="str">
            <v>s__unclassified_g__Veillonella</v>
          </cell>
        </row>
        <row r="15553">
          <cell r="G15553" t="str">
            <v>ASV19684</v>
          </cell>
          <cell r="H15553" t="str">
            <v>g__Lachnospiraceae_NC2004_group</v>
          </cell>
          <cell r="I15553" t="str">
            <v>s__uncultured_bacterium_g__Lachnospiraceae_NC2004_group</v>
          </cell>
        </row>
        <row r="15554">
          <cell r="G15554" t="str">
            <v>ASV4917</v>
          </cell>
          <cell r="H15554" t="str">
            <v>g__Enterococcus</v>
          </cell>
          <cell r="I15554" t="str">
            <v>s__unclassified_g__Enterococcus</v>
          </cell>
        </row>
        <row r="15555">
          <cell r="G15555" t="str">
            <v>ASV9451</v>
          </cell>
          <cell r="H15555" t="str">
            <v>g__unclassified_f__Oscillospiraceae</v>
          </cell>
          <cell r="I15555" t="str">
            <v>s__unclassified_f__Oscillospiraceae</v>
          </cell>
        </row>
        <row r="15556">
          <cell r="G15556" t="str">
            <v>ASV17573</v>
          </cell>
          <cell r="H15556" t="str">
            <v>g__Comamonas</v>
          </cell>
          <cell r="I15556" t="str">
            <v>s__unclassified_g__Comamonas</v>
          </cell>
        </row>
        <row r="15557">
          <cell r="G15557" t="str">
            <v>ASV914</v>
          </cell>
          <cell r="H15557" t="str">
            <v>g__unclassified_k__norank_d__Bacteria</v>
          </cell>
          <cell r="I15557" t="str">
            <v>s__unclassified_k__norank_d__Bacteria</v>
          </cell>
        </row>
        <row r="15558">
          <cell r="G15558" t="str">
            <v>ASV4147</v>
          </cell>
          <cell r="H15558" t="str">
            <v>g__unclassified_k__norank_d__Bacteria</v>
          </cell>
          <cell r="I15558" t="str">
            <v>s__unclassified_k__norank_d__Bacteria</v>
          </cell>
        </row>
        <row r="15559">
          <cell r="G15559" t="str">
            <v>ASV24226</v>
          </cell>
          <cell r="H15559" t="str">
            <v>g__Cloacibacillus</v>
          </cell>
          <cell r="I15559" t="str">
            <v>s__unclassified_g__Cloacibacillus</v>
          </cell>
        </row>
        <row r="15560">
          <cell r="G15560" t="str">
            <v>ASV6004</v>
          </cell>
          <cell r="H15560" t="str">
            <v>g__norank_f__Ruminococcaceae</v>
          </cell>
          <cell r="I15560" t="str">
            <v>s__uncultured_bacterium_g__norank_f__Ruminococcaceae</v>
          </cell>
        </row>
        <row r="15561">
          <cell r="G15561" t="str">
            <v>ASV15990</v>
          </cell>
          <cell r="H15561" t="str">
            <v>g__unclassified_k__norank_d__Bacteria</v>
          </cell>
          <cell r="I15561" t="str">
            <v>s__unclassified_k__norank_d__Bacteria</v>
          </cell>
        </row>
        <row r="15562">
          <cell r="G15562" t="str">
            <v>ASV4059</v>
          </cell>
          <cell r="H15562" t="str">
            <v>g__unclassified_o__Oscillospirales</v>
          </cell>
          <cell r="I15562" t="str">
            <v>s__unclassified_o__Oscillospirales</v>
          </cell>
        </row>
        <row r="15563">
          <cell r="G15563" t="str">
            <v>ASV11785</v>
          </cell>
          <cell r="H15563" t="str">
            <v>g__unclassified_f__Lachnospiraceae</v>
          </cell>
          <cell r="I15563" t="str">
            <v>s__unclassified_f__Lachnospiraceae</v>
          </cell>
        </row>
        <row r="15564">
          <cell r="G15564" t="str">
            <v>ASV4907</v>
          </cell>
          <cell r="H15564" t="str">
            <v>g__unclassified_o__Oscillospirales</v>
          </cell>
          <cell r="I15564" t="str">
            <v>s__unclassified_o__Oscillospirales</v>
          </cell>
        </row>
        <row r="15565">
          <cell r="G15565" t="str">
            <v>ASV21278</v>
          </cell>
          <cell r="H15565" t="str">
            <v>g__unclassified_f__Pasteurellaceae</v>
          </cell>
          <cell r="I15565" t="str">
            <v>s__unclassified_f__Pasteurellaceae</v>
          </cell>
        </row>
        <row r="15566">
          <cell r="G15566" t="str">
            <v>ASV840</v>
          </cell>
          <cell r="H15566" t="str">
            <v>g__NK4A214_group</v>
          </cell>
          <cell r="I15566" t="str">
            <v>s__uncultured_bacterium_g__NK4A214_group</v>
          </cell>
        </row>
        <row r="15567">
          <cell r="G15567" t="str">
            <v>ASV16038</v>
          </cell>
          <cell r="H15567" t="str">
            <v>g__Hydrogenoanaerobacterium</v>
          </cell>
          <cell r="I15567" t="str">
            <v>s__unclassified_g__Hydrogenoanaerobacterium</v>
          </cell>
        </row>
        <row r="15568">
          <cell r="G15568" t="str">
            <v>ASV3493</v>
          </cell>
          <cell r="H15568" t="str">
            <v>g__Howardella</v>
          </cell>
          <cell r="I15568" t="str">
            <v>s__uncultured_bacterium_g__Howardella</v>
          </cell>
        </row>
        <row r="15569">
          <cell r="G15569" t="str">
            <v>ASV23460</v>
          </cell>
          <cell r="H15569" t="str">
            <v>g__Lactobacillus</v>
          </cell>
          <cell r="I15569" t="str">
            <v>s__unclassified_g__Lactobacillus</v>
          </cell>
        </row>
        <row r="15570">
          <cell r="G15570" t="str">
            <v>ASV23366</v>
          </cell>
          <cell r="H15570" t="str">
            <v>g__unclassified_c__Clostridia</v>
          </cell>
          <cell r="I15570" t="str">
            <v>s__unclassified_c__Clostridia</v>
          </cell>
        </row>
        <row r="15571">
          <cell r="G15571" t="str">
            <v>ASV1723</v>
          </cell>
          <cell r="H15571" t="str">
            <v>g__Clostridium_sensu_stricto_1</v>
          </cell>
          <cell r="I15571" t="str">
            <v>s__unclassified_g__Clostridium_sensu_stricto_1</v>
          </cell>
        </row>
        <row r="15572">
          <cell r="G15572" t="str">
            <v>ASV19843</v>
          </cell>
          <cell r="H15572" t="str">
            <v>g__unclassified_o__Oscillospirales</v>
          </cell>
          <cell r="I15572" t="str">
            <v>s__unclassified_o__Oscillospirales</v>
          </cell>
        </row>
        <row r="15573">
          <cell r="G15573" t="str">
            <v>ASV9452</v>
          </cell>
          <cell r="H15573" t="str">
            <v>g__unclassified_c__Clostridia</v>
          </cell>
          <cell r="I15573" t="str">
            <v>s__unclassified_c__Clostridia</v>
          </cell>
        </row>
        <row r="15574">
          <cell r="G15574" t="str">
            <v>ASV18613</v>
          </cell>
          <cell r="H15574" t="str">
            <v>g__Frisingicoccus</v>
          </cell>
          <cell r="I15574" t="str">
            <v>s__unclassified_g__Frisingicoccus</v>
          </cell>
        </row>
        <row r="15575">
          <cell r="G15575" t="str">
            <v>ASV9529</v>
          </cell>
          <cell r="H15575" t="str">
            <v>g__norank_f__Erysipelotrichaceae</v>
          </cell>
          <cell r="I15575" t="str">
            <v>s__uncultured_bacterium_g__norank_f__Erysipelotrichaceae</v>
          </cell>
        </row>
        <row r="15576">
          <cell r="G15576" t="str">
            <v>ASV10815</v>
          </cell>
          <cell r="H15576" t="str">
            <v>g__unclassified_f__Lachnospiraceae</v>
          </cell>
          <cell r="I15576" t="str">
            <v>s__unclassified_f__Lachnospiraceae</v>
          </cell>
        </row>
        <row r="15577">
          <cell r="G15577" t="str">
            <v>ASV12908</v>
          </cell>
          <cell r="H15577" t="str">
            <v>g__Howardella</v>
          </cell>
          <cell r="I15577" t="str">
            <v>s__uncultured_bacterium_g__Howardella</v>
          </cell>
        </row>
        <row r="15578">
          <cell r="G15578" t="str">
            <v>ASV22976</v>
          </cell>
          <cell r="H15578" t="str">
            <v>g__Lactobacillus</v>
          </cell>
          <cell r="I15578" t="str">
            <v>s__unclassified_g__Lactobacillus</v>
          </cell>
        </row>
        <row r="15579">
          <cell r="G15579" t="str">
            <v>ASV4955</v>
          </cell>
          <cell r="H15579" t="str">
            <v>g__norank_f__norank_o__Clostridia_UCG-014</v>
          </cell>
          <cell r="I15579" t="str">
            <v>s__unclassified_g__norank_f__norank_o__Clostridia_UCG-014</v>
          </cell>
        </row>
        <row r="15580">
          <cell r="G15580" t="str">
            <v>ASV7428</v>
          </cell>
          <cell r="H15580" t="str">
            <v>g__unclassified_c__Bacilli</v>
          </cell>
          <cell r="I15580" t="str">
            <v>s__unclassified_c__Bacilli</v>
          </cell>
        </row>
        <row r="15581">
          <cell r="G15581" t="str">
            <v>ASV4195</v>
          </cell>
          <cell r="H15581" t="str">
            <v>g__unclassified_k__norank_d__Bacteria</v>
          </cell>
          <cell r="I15581" t="str">
            <v>s__unclassified_k__norank_d__Bacteria</v>
          </cell>
        </row>
        <row r="15582">
          <cell r="G15582" t="str">
            <v>ASV19814</v>
          </cell>
          <cell r="H15582" t="str">
            <v>g__norank_f__Muribaculaceae</v>
          </cell>
          <cell r="I15582" t="str">
            <v>s__uncultured_bacterium_g__norank_f__Muribaculaceae</v>
          </cell>
        </row>
        <row r="15583">
          <cell r="G15583" t="str">
            <v>ASV11839</v>
          </cell>
          <cell r="H15583" t="str">
            <v>g__Prevotella</v>
          </cell>
          <cell r="I15583" t="str">
            <v>s__unclassified_g__Prevotella</v>
          </cell>
        </row>
        <row r="15584">
          <cell r="G15584" t="str">
            <v>ASV7089</v>
          </cell>
          <cell r="H15584" t="str">
            <v>g__Fusobacterium</v>
          </cell>
          <cell r="I15584" t="str">
            <v>s__unclassified_g__Fusobacterium</v>
          </cell>
        </row>
        <row r="15585">
          <cell r="G15585" t="str">
            <v>ASV4159</v>
          </cell>
          <cell r="H15585" t="str">
            <v>g__Enterococcus</v>
          </cell>
          <cell r="I15585" t="str">
            <v>s__unclassified_g__Enterococcus</v>
          </cell>
        </row>
        <row r="15586">
          <cell r="G15586" t="str">
            <v>ASV11746</v>
          </cell>
          <cell r="H15586" t="str">
            <v>g__unclassified_p__Firmicutes</v>
          </cell>
          <cell r="I15586" t="str">
            <v>s__unclassified_p__Firmicutes</v>
          </cell>
        </row>
        <row r="15587">
          <cell r="G15587" t="str">
            <v>ASV13455</v>
          </cell>
          <cell r="H15587" t="str">
            <v>g__unclassified_p__Firmicutes</v>
          </cell>
          <cell r="I15587" t="str">
            <v>s__unclassified_p__Firmicutes</v>
          </cell>
        </row>
        <row r="15588">
          <cell r="G15588" t="str">
            <v>ASV3263</v>
          </cell>
          <cell r="H15588" t="str">
            <v>g__Allisonella</v>
          </cell>
          <cell r="I15588" t="str">
            <v>s__Allisonella_histaminiformans</v>
          </cell>
        </row>
        <row r="15589">
          <cell r="G15589" t="str">
            <v>ASV4165</v>
          </cell>
          <cell r="H15589" t="str">
            <v>g__Cloacibacillus</v>
          </cell>
          <cell r="I15589" t="str">
            <v>s__unclassified_g__Cloacibacillus</v>
          </cell>
        </row>
        <row r="15590">
          <cell r="G15590" t="str">
            <v>ASV7926</v>
          </cell>
          <cell r="H15590" t="str">
            <v>g__norank_f__norank_o__Clostridia_UCG-014</v>
          </cell>
          <cell r="I15590" t="str">
            <v>s__uncultured_bacterium_g__norank_f__norank_o__Clostridia_UCG-014</v>
          </cell>
        </row>
        <row r="15591">
          <cell r="G15591" t="str">
            <v>ASV7296</v>
          </cell>
          <cell r="H15591" t="str">
            <v>g__Lactobacillus</v>
          </cell>
          <cell r="I15591" t="str">
            <v>s__unclassified_g__Lactobacillus</v>
          </cell>
        </row>
        <row r="15592">
          <cell r="G15592" t="str">
            <v>ASV20843</v>
          </cell>
          <cell r="H15592" t="str">
            <v>g__unclassified_p__Firmicutes</v>
          </cell>
          <cell r="I15592" t="str">
            <v>s__unclassified_p__Firmicutes</v>
          </cell>
        </row>
        <row r="15593">
          <cell r="G15593" t="str">
            <v>ASV14486</v>
          </cell>
          <cell r="H15593" t="str">
            <v>g__Lactobacillus</v>
          </cell>
          <cell r="I15593" t="str">
            <v>s__unclassified_g__Lactobacillus</v>
          </cell>
        </row>
        <row r="15594">
          <cell r="G15594" t="str">
            <v>ASV15483</v>
          </cell>
          <cell r="H15594" t="str">
            <v>g__Christensenellaceae_R-7_group</v>
          </cell>
          <cell r="I15594" t="str">
            <v>s__unclassified_g__Christensenellaceae_R-7_group</v>
          </cell>
        </row>
        <row r="15595">
          <cell r="G15595" t="str">
            <v>ASV23343</v>
          </cell>
          <cell r="H15595" t="str">
            <v>g__unclassified_c__Clostridia</v>
          </cell>
          <cell r="I15595" t="str">
            <v>s__unclassified_c__Clostridia</v>
          </cell>
        </row>
        <row r="15596">
          <cell r="G15596" t="str">
            <v>ASV10209</v>
          </cell>
          <cell r="H15596" t="str">
            <v>g__Prevotella</v>
          </cell>
          <cell r="I15596" t="str">
            <v>s__unclassified_g__Prevotella</v>
          </cell>
        </row>
        <row r="15597">
          <cell r="G15597" t="str">
            <v>ASV22288</v>
          </cell>
          <cell r="H15597" t="str">
            <v>g__unclassified_c__Clostridia</v>
          </cell>
          <cell r="I15597" t="str">
            <v>s__unclassified_c__Clostridia</v>
          </cell>
        </row>
        <row r="15598">
          <cell r="G15598" t="str">
            <v>ASV14304</v>
          </cell>
          <cell r="H15598" t="str">
            <v>g__unclassified_p__Firmicutes</v>
          </cell>
          <cell r="I15598" t="str">
            <v>s__unclassified_p__Firmicutes</v>
          </cell>
        </row>
        <row r="15599">
          <cell r="G15599" t="str">
            <v>ASV7859</v>
          </cell>
          <cell r="H15599" t="str">
            <v>g__unclassified_f__Lachnospiraceae</v>
          </cell>
          <cell r="I15599" t="str">
            <v>s__unclassified_f__Lachnospiraceae</v>
          </cell>
        </row>
        <row r="15600">
          <cell r="G15600" t="str">
            <v>ASV10785</v>
          </cell>
          <cell r="H15600" t="str">
            <v>g__norank_f__Muribaculaceae</v>
          </cell>
          <cell r="I15600" t="str">
            <v>s__uncultured_bacterium_g__norank_f__Muribaculaceae</v>
          </cell>
        </row>
        <row r="15601">
          <cell r="G15601" t="str">
            <v>ASV2282</v>
          </cell>
          <cell r="H15601" t="str">
            <v>g__unclassified_c__Clostridia</v>
          </cell>
          <cell r="I15601" t="str">
            <v>s__unclassified_c__Clostridia</v>
          </cell>
        </row>
        <row r="15602">
          <cell r="G15602" t="str">
            <v>ASV11924</v>
          </cell>
          <cell r="H15602" t="str">
            <v>g__norank_f__Peptococcaceae</v>
          </cell>
          <cell r="I15602" t="str">
            <v>s__uncultured_bacterium_g__norank_f__Peptococcaceae</v>
          </cell>
        </row>
        <row r="15603">
          <cell r="G15603" t="str">
            <v>ASV14335</v>
          </cell>
          <cell r="H15603" t="str">
            <v>g__Mitsuokella</v>
          </cell>
          <cell r="I15603" t="str">
            <v>s__unclassified_g__Mitsuokella</v>
          </cell>
        </row>
        <row r="15604">
          <cell r="G15604" t="str">
            <v>ASV7941</v>
          </cell>
          <cell r="H15604" t="str">
            <v>g__unclassified_f__Ruminococcaceae</v>
          </cell>
          <cell r="I15604" t="str">
            <v>s__unclassified_f__Ruminococcaceae</v>
          </cell>
        </row>
        <row r="15605">
          <cell r="G15605" t="str">
            <v>ASV21275</v>
          </cell>
          <cell r="H15605" t="str">
            <v>g__unclassified_f__Lachnospiraceae</v>
          </cell>
          <cell r="I15605" t="str">
            <v>s__unclassified_f__Lachnospiraceae</v>
          </cell>
        </row>
        <row r="15606">
          <cell r="G15606" t="str">
            <v>ASV7832</v>
          </cell>
          <cell r="H15606" t="str">
            <v>g__unclassified_c__Clostridia</v>
          </cell>
          <cell r="I15606" t="str">
            <v>s__unclassified_c__Clostridia</v>
          </cell>
        </row>
        <row r="15607">
          <cell r="G15607" t="str">
            <v>ASV17315</v>
          </cell>
          <cell r="H15607" t="str">
            <v>g__Lactobacillus</v>
          </cell>
          <cell r="I15607" t="str">
            <v>s__unclassified_g__Lactobacillus</v>
          </cell>
        </row>
        <row r="15608">
          <cell r="G15608" t="str">
            <v>ASV811</v>
          </cell>
          <cell r="H15608" t="str">
            <v>g__Lactobacillus</v>
          </cell>
          <cell r="I15608" t="str">
            <v>s__unclassified_g__Lactobacillus</v>
          </cell>
        </row>
        <row r="15609">
          <cell r="G15609" t="str">
            <v>ASV10327</v>
          </cell>
          <cell r="H15609" t="str">
            <v>g__unclassified_f__Pasteurellaceae</v>
          </cell>
          <cell r="I15609" t="str">
            <v>s__unclassified_f__Pasteurellaceae</v>
          </cell>
        </row>
        <row r="15610">
          <cell r="G15610" t="str">
            <v>ASV11918</v>
          </cell>
          <cell r="H15610" t="str">
            <v>g__Enterorhabdus</v>
          </cell>
          <cell r="I15610" t="str">
            <v>s__uncultured_bacterium_g__Enterorhabdus</v>
          </cell>
        </row>
        <row r="15611">
          <cell r="G15611" t="str">
            <v>ASV11727</v>
          </cell>
          <cell r="H15611" t="str">
            <v>g__norank_f__Muribaculaceae</v>
          </cell>
          <cell r="I15611" t="str">
            <v>s__uncultured_bacterium_g__norank_f__Muribaculaceae</v>
          </cell>
        </row>
        <row r="15612">
          <cell r="G15612" t="str">
            <v>ASV22500</v>
          </cell>
          <cell r="H15612" t="str">
            <v>g__norank_f__Eubacterium_coprostanoligenes_group</v>
          </cell>
          <cell r="I15612" t="str">
            <v>s__uncultured_bacterium_g__norank_f__Eubacterium_coprostanoligenes_group</v>
          </cell>
        </row>
        <row r="15613">
          <cell r="G15613" t="str">
            <v>ASV22300</v>
          </cell>
          <cell r="H15613" t="str">
            <v>g__Lachnospiraceae_NC2004_group</v>
          </cell>
          <cell r="I15613" t="str">
            <v>s__uncultured_bacterium_g__Lachnospiraceae_NC2004_group</v>
          </cell>
        </row>
        <row r="15614">
          <cell r="G15614" t="str">
            <v>ASV13457</v>
          </cell>
          <cell r="H15614" t="str">
            <v>g__Treponema</v>
          </cell>
          <cell r="I15614" t="str">
            <v>s__uncultured_bacterium_g__Treponema</v>
          </cell>
        </row>
        <row r="15615">
          <cell r="G15615" t="str">
            <v>ASV14357</v>
          </cell>
          <cell r="H15615" t="str">
            <v>g__Prevotella</v>
          </cell>
          <cell r="I15615" t="str">
            <v>s__Prevotella_sp._DJF_LS16</v>
          </cell>
        </row>
        <row r="15616">
          <cell r="G15616" t="str">
            <v>ASV24251</v>
          </cell>
          <cell r="H15616" t="str">
            <v>g__unclassified_c__Clostridia</v>
          </cell>
          <cell r="I15616" t="str">
            <v>s__unclassified_c__Clostridia</v>
          </cell>
        </row>
        <row r="15617">
          <cell r="G15617" t="str">
            <v>ASV7900</v>
          </cell>
          <cell r="H15617" t="str">
            <v>g__unclassified_c__Clostridia</v>
          </cell>
          <cell r="I15617" t="str">
            <v>s__unclassified_c__Clostridia</v>
          </cell>
        </row>
        <row r="15618">
          <cell r="G15618" t="str">
            <v>ASV6765</v>
          </cell>
          <cell r="H15618" t="str">
            <v>g__Harryflintia</v>
          </cell>
          <cell r="I15618" t="str">
            <v>s__unclassified_g__Harryflintia</v>
          </cell>
        </row>
        <row r="15619">
          <cell r="G15619" t="str">
            <v>ASV19079</v>
          </cell>
          <cell r="H15619" t="str">
            <v>g__Fusobacterium</v>
          </cell>
          <cell r="I15619" t="str">
            <v>s__unclassified_g__Fusobacterium</v>
          </cell>
        </row>
        <row r="15620">
          <cell r="G15620" t="str">
            <v>ASV18119</v>
          </cell>
          <cell r="H15620" t="str">
            <v>g__unclassified_f__Lachnospiraceae</v>
          </cell>
          <cell r="I15620" t="str">
            <v>s__unclassified_f__Lachnospiraceae</v>
          </cell>
        </row>
        <row r="15621">
          <cell r="G15621" t="str">
            <v>ASV21251</v>
          </cell>
          <cell r="H15621" t="str">
            <v>g__Sutterella</v>
          </cell>
          <cell r="I15621" t="str">
            <v>s__Sutterella_stercoricanis</v>
          </cell>
        </row>
        <row r="15622">
          <cell r="G15622" t="str">
            <v>ASV18215</v>
          </cell>
          <cell r="H15622" t="str">
            <v>g__norank_f__Oscillospiraceae</v>
          </cell>
          <cell r="I15622" t="str">
            <v>s__unclassified_g__norank_f__Oscillospiraceae</v>
          </cell>
        </row>
        <row r="15623">
          <cell r="G15623" t="str">
            <v>ASV6810</v>
          </cell>
          <cell r="H15623" t="str">
            <v>g__Christensenellaceae_R-7_group</v>
          </cell>
          <cell r="I15623" t="str">
            <v>s__unclassified_g__Christensenellaceae_R-7_group</v>
          </cell>
        </row>
        <row r="15624">
          <cell r="G15624" t="str">
            <v>ASV20948</v>
          </cell>
          <cell r="H15624" t="str">
            <v>g__Ruminococcus</v>
          </cell>
          <cell r="I15624" t="str">
            <v>s__unclassified_g__Ruminococcus</v>
          </cell>
        </row>
        <row r="15625">
          <cell r="G15625" t="str">
            <v>ASV22451</v>
          </cell>
          <cell r="H15625" t="str">
            <v>g__unclassified_f__Lachnospiraceae</v>
          </cell>
          <cell r="I15625" t="str">
            <v>s__unclassified_f__Lachnospiraceae</v>
          </cell>
        </row>
        <row r="15626">
          <cell r="G15626" t="str">
            <v>ASV20832</v>
          </cell>
          <cell r="H15626" t="str">
            <v>g__unclassified_c__Clostridia</v>
          </cell>
          <cell r="I15626" t="str">
            <v>s__unclassified_c__Clostridia</v>
          </cell>
        </row>
        <row r="15627">
          <cell r="G15627" t="str">
            <v>ASV19644</v>
          </cell>
          <cell r="H15627" t="str">
            <v>g__unclassified_c__Clostridia</v>
          </cell>
          <cell r="I15627" t="str">
            <v>s__unclassified_c__Clostridia</v>
          </cell>
        </row>
        <row r="15628">
          <cell r="G15628" t="str">
            <v>ASV10719</v>
          </cell>
          <cell r="H15628" t="str">
            <v>g__norank_f__norank_o__Clostridia_UCG-014</v>
          </cell>
          <cell r="I15628" t="str">
            <v>s__uncultured_bacterium_g__norank_f__norank_o__Clostridia_UCG-014</v>
          </cell>
        </row>
        <row r="15629">
          <cell r="G15629" t="str">
            <v>ASV6753</v>
          </cell>
          <cell r="H15629" t="str">
            <v>g__norank_f__Eubacterium_coprostanoligenes_group</v>
          </cell>
          <cell r="I15629" t="str">
            <v>s__uncultured_bacterium_g__norank_f__Eubacterium_coprostanoligenes_group</v>
          </cell>
        </row>
        <row r="15630">
          <cell r="G15630" t="str">
            <v>ASV17521</v>
          </cell>
          <cell r="H15630" t="str">
            <v>g__unclassified_o__Lactobacillales</v>
          </cell>
          <cell r="I15630" t="str">
            <v>s__unclassified_o__Lactobacillales</v>
          </cell>
        </row>
        <row r="15631">
          <cell r="G15631" t="str">
            <v>ASV6011</v>
          </cell>
          <cell r="H15631" t="str">
            <v>g__norank_f__norank_o__Clostridia_vadinBB60_group</v>
          </cell>
          <cell r="I15631" t="str">
            <v>s__unclassified_g__norank_f__norank_o__Clostridia_vadinBB60_group</v>
          </cell>
        </row>
        <row r="15632">
          <cell r="G15632" t="str">
            <v>ASV11991</v>
          </cell>
          <cell r="H15632" t="str">
            <v>g__Prevotella</v>
          </cell>
          <cell r="I15632" t="str">
            <v>s__uncultured_bacterium_g__Prevotella</v>
          </cell>
        </row>
        <row r="15633">
          <cell r="G15633" t="str">
            <v>ASV14307</v>
          </cell>
          <cell r="H15633" t="str">
            <v>g__norank_f__F082</v>
          </cell>
          <cell r="I15633" t="str">
            <v>s__uncultured_bacterium_g__norank_f__F082</v>
          </cell>
        </row>
        <row r="15634">
          <cell r="G15634" t="str">
            <v>ASV23771</v>
          </cell>
          <cell r="H15634" t="str">
            <v>g__Sarcina</v>
          </cell>
          <cell r="I15634" t="str">
            <v>s__swine_fecal_bacterium_SD-Pec5</v>
          </cell>
        </row>
        <row r="15635">
          <cell r="G15635" t="str">
            <v>ASV13481</v>
          </cell>
          <cell r="H15635" t="str">
            <v>g__unclassified_f__Lachnospiraceae</v>
          </cell>
          <cell r="I15635" t="str">
            <v>s__unclassified_f__Lachnospiraceae</v>
          </cell>
        </row>
        <row r="15636">
          <cell r="G15636" t="str">
            <v>ASV19673</v>
          </cell>
          <cell r="H15636" t="str">
            <v>g__unclassified_f__Lachnospiraceae</v>
          </cell>
          <cell r="I15636" t="str">
            <v>s__unclassified_f__Lachnospiraceae</v>
          </cell>
        </row>
        <row r="15637">
          <cell r="G15637" t="str">
            <v>ASV18948</v>
          </cell>
          <cell r="H15637" t="str">
            <v>g__Fusobacterium</v>
          </cell>
          <cell r="I15637" t="str">
            <v>s__Fusobacterium_necrophorum_subsp._funduliforme_ATCC_51357</v>
          </cell>
        </row>
        <row r="15638">
          <cell r="G15638" t="str">
            <v>ASV813</v>
          </cell>
          <cell r="H15638" t="str">
            <v>g__Prevotella</v>
          </cell>
          <cell r="I15638" t="str">
            <v>s__unclassified_g__Prevotella</v>
          </cell>
        </row>
        <row r="15639">
          <cell r="G15639" t="str">
            <v>ASV7291</v>
          </cell>
          <cell r="H15639" t="str">
            <v>g__dgA-11_gut_group</v>
          </cell>
          <cell r="I15639" t="str">
            <v>s__uncultured_Bacteroidales_bacterium_g__dgA-11_gut_group</v>
          </cell>
        </row>
        <row r="15640">
          <cell r="G15640" t="str">
            <v>ASV6034</v>
          </cell>
          <cell r="H15640" t="str">
            <v>g__unclassified_c__Clostridia</v>
          </cell>
          <cell r="I15640" t="str">
            <v>s__unclassified_c__Clostridia</v>
          </cell>
        </row>
        <row r="15641">
          <cell r="G15641" t="str">
            <v>ASV23302</v>
          </cell>
          <cell r="H15641" t="str">
            <v>g__unclassified_k__norank_d__Bacteria</v>
          </cell>
          <cell r="I15641" t="str">
            <v>s__unclassified_k__norank_d__Bacteria</v>
          </cell>
        </row>
        <row r="15642">
          <cell r="G15642" t="str">
            <v>ASV15426</v>
          </cell>
          <cell r="H15642" t="str">
            <v>g__Lachnospiraceae_NC2004_group</v>
          </cell>
          <cell r="I15642" t="str">
            <v>s__uncultured_bacterium_g__Lachnospiraceae_NC2004_group</v>
          </cell>
        </row>
        <row r="15643">
          <cell r="G15643" t="str">
            <v>ASV2215</v>
          </cell>
          <cell r="H15643" t="str">
            <v>g__unclassified_c__Bacteroidia</v>
          </cell>
          <cell r="I15643" t="str">
            <v>s__unclassified_c__Bacteroidia</v>
          </cell>
        </row>
        <row r="15644">
          <cell r="G15644" t="str">
            <v>ASV5071</v>
          </cell>
          <cell r="H15644" t="str">
            <v>g__unclassified_p__Firmicutes</v>
          </cell>
          <cell r="I15644" t="str">
            <v>s__unclassified_p__Firmicutes</v>
          </cell>
        </row>
        <row r="15645">
          <cell r="G15645" t="str">
            <v>ASV14556</v>
          </cell>
          <cell r="H15645" t="str">
            <v>g__unclassified_c__Clostridia</v>
          </cell>
          <cell r="I15645" t="str">
            <v>s__unclassified_c__Clostridia</v>
          </cell>
        </row>
        <row r="15646">
          <cell r="G15646" t="str">
            <v>ASV16014</v>
          </cell>
          <cell r="H15646" t="str">
            <v>g__Desulfovibrio</v>
          </cell>
          <cell r="I15646" t="str">
            <v>s__unclassified_g__Desulfovibrio</v>
          </cell>
        </row>
        <row r="15647">
          <cell r="G15647" t="str">
            <v>ASV17123</v>
          </cell>
          <cell r="H15647" t="str">
            <v>g__Fusobacterium</v>
          </cell>
          <cell r="I15647" t="str">
            <v>s__unclassified_g__Fusobacterium</v>
          </cell>
        </row>
        <row r="15648">
          <cell r="G15648" t="str">
            <v>ASV10764</v>
          </cell>
          <cell r="H15648" t="str">
            <v>g__Lactobacillus</v>
          </cell>
          <cell r="I15648" t="str">
            <v>s__unclassified_g__Lactobacillus</v>
          </cell>
        </row>
        <row r="15649">
          <cell r="G15649" t="str">
            <v>ASV20478</v>
          </cell>
          <cell r="H15649" t="str">
            <v>g__Devosia</v>
          </cell>
          <cell r="I15649" t="str">
            <v>s__unclassified_g__Devosia</v>
          </cell>
        </row>
        <row r="15650">
          <cell r="G15650" t="str">
            <v>ASV16023</v>
          </cell>
          <cell r="H15650" t="str">
            <v>g__Lactobacillus</v>
          </cell>
          <cell r="I15650" t="str">
            <v>s__unclassified_g__Lactobacillus</v>
          </cell>
        </row>
        <row r="15651">
          <cell r="G15651" t="str">
            <v>ASV21743</v>
          </cell>
          <cell r="H15651" t="str">
            <v>g__unclassified_f__Bacillaceae</v>
          </cell>
          <cell r="I15651" t="str">
            <v>s__unclassified_f__Bacillaceae</v>
          </cell>
        </row>
        <row r="15652">
          <cell r="G15652" t="str">
            <v>ASV8649</v>
          </cell>
          <cell r="H15652" t="str">
            <v>g__norank_f__Eubacterium_coprostanoligenes_group</v>
          </cell>
          <cell r="I15652" t="str">
            <v>s__unclassified_g__norank_f__Eubacterium_coprostanoligenes_group</v>
          </cell>
        </row>
        <row r="15653">
          <cell r="G15653" t="str">
            <v>ASV7359</v>
          </cell>
          <cell r="H15653" t="str">
            <v>g__Phascolarctobacterium</v>
          </cell>
          <cell r="I15653" t="str">
            <v>s__unclassified_g__Phascolarctobacterium</v>
          </cell>
        </row>
        <row r="15654">
          <cell r="G15654" t="str">
            <v>ASV6048</v>
          </cell>
          <cell r="H15654" t="str">
            <v>g__unclassified_f__Oscillospiraceae</v>
          </cell>
          <cell r="I15654" t="str">
            <v>s__unclassified_f__Oscillospiraceae</v>
          </cell>
        </row>
        <row r="15655">
          <cell r="G15655" t="str">
            <v>ASV18646</v>
          </cell>
          <cell r="H15655" t="str">
            <v>g__Lactobacillus</v>
          </cell>
          <cell r="I15655" t="str">
            <v>s__unclassified_g__Lactobacillus</v>
          </cell>
        </row>
        <row r="15656">
          <cell r="G15656" t="str">
            <v>ASV6771</v>
          </cell>
          <cell r="H15656" t="str">
            <v>g__unclassified_c__Clostridia</v>
          </cell>
          <cell r="I15656" t="str">
            <v>s__unclassified_c__Clostridia</v>
          </cell>
        </row>
        <row r="15657">
          <cell r="G15657" t="str">
            <v>ASV1716</v>
          </cell>
          <cell r="H15657" t="str">
            <v>g__unclassified_f__Peptostreptococcaceae</v>
          </cell>
          <cell r="I15657" t="str">
            <v>s__unclassified_f__Peptostreptococcaceae</v>
          </cell>
        </row>
        <row r="15658">
          <cell r="G15658" t="str">
            <v>ASV905</v>
          </cell>
          <cell r="H15658" t="str">
            <v>g__Lactobacillus</v>
          </cell>
          <cell r="I15658" t="str">
            <v>s__unclassified_g__Lactobacillus</v>
          </cell>
        </row>
        <row r="15659">
          <cell r="G15659" t="str">
            <v>ASV7088</v>
          </cell>
          <cell r="H15659" t="str">
            <v>g__Colidextribacter</v>
          </cell>
          <cell r="I15659" t="str">
            <v>s__unclassified_g__Colidextribacter</v>
          </cell>
        </row>
        <row r="15660">
          <cell r="G15660" t="str">
            <v>ASV22926</v>
          </cell>
          <cell r="H15660" t="str">
            <v>g__Lactobacillus</v>
          </cell>
          <cell r="I15660" t="str">
            <v>s__unclassified_g__Lactobacillus</v>
          </cell>
        </row>
        <row r="15661">
          <cell r="G15661" t="str">
            <v>ASV15501</v>
          </cell>
          <cell r="H15661" t="str">
            <v>g__norank_f__Erysipelotrichaceae</v>
          </cell>
          <cell r="I15661" t="str">
            <v>s__uncultured_bacterium_g__norank_f__Erysipelotrichaceae</v>
          </cell>
        </row>
        <row r="15662">
          <cell r="G15662" t="str">
            <v>ASV7964</v>
          </cell>
          <cell r="H15662" t="str">
            <v>g__Lactobacillus</v>
          </cell>
          <cell r="I15662" t="str">
            <v>s__unclassified_g__Lactobacillus</v>
          </cell>
        </row>
        <row r="15663">
          <cell r="G15663" t="str">
            <v>ASV14421</v>
          </cell>
          <cell r="H15663" t="str">
            <v>g__Christensenellaceae_R-7_group</v>
          </cell>
          <cell r="I15663" t="str">
            <v>s__unclassified_g__Christensenellaceae_R-7_group</v>
          </cell>
        </row>
        <row r="15664">
          <cell r="G15664" t="str">
            <v>ASV1042</v>
          </cell>
          <cell r="H15664" t="str">
            <v>g__Candidatus_Soleaferrea</v>
          </cell>
          <cell r="I15664" t="str">
            <v>s__uncultured_bacterium_g__Candidatus_Soleaferrea</v>
          </cell>
        </row>
        <row r="15665">
          <cell r="G15665" t="str">
            <v>ASV2219</v>
          </cell>
          <cell r="H15665" t="str">
            <v>g__norank_f__norank_o__RF39</v>
          </cell>
          <cell r="I15665" t="str">
            <v>s__unclassified_g__norank_f__norank_o__RF39</v>
          </cell>
        </row>
        <row r="15666">
          <cell r="G15666" t="str">
            <v>ASV24248</v>
          </cell>
          <cell r="H15666" t="str">
            <v>g__unclassified_f__Oscillospiraceae</v>
          </cell>
          <cell r="I15666" t="str">
            <v>s__unclassified_f__Oscillospiraceae</v>
          </cell>
        </row>
        <row r="15667">
          <cell r="G15667" t="str">
            <v>ASV9596</v>
          </cell>
          <cell r="H15667" t="str">
            <v>g__unclassified_c__Clostridia</v>
          </cell>
          <cell r="I15667" t="str">
            <v>s__unclassified_c__Clostridia</v>
          </cell>
        </row>
        <row r="15668">
          <cell r="G15668" t="str">
            <v>ASV16947</v>
          </cell>
          <cell r="H15668" t="str">
            <v>g__norank_f__Oscillospiraceae</v>
          </cell>
          <cell r="I15668" t="str">
            <v>s__unclassified_g__norank_f__Oscillospiraceae</v>
          </cell>
        </row>
        <row r="15669">
          <cell r="G15669" t="str">
            <v>ASV20286</v>
          </cell>
          <cell r="H15669" t="str">
            <v>g__unclassified_k__norank_d__Bacteria</v>
          </cell>
          <cell r="I15669" t="str">
            <v>s__unclassified_k__norank_d__Bacteria</v>
          </cell>
        </row>
        <row r="15670">
          <cell r="G15670" t="str">
            <v>ASV4063</v>
          </cell>
          <cell r="H15670" t="str">
            <v>g__unclassified_f__Lachnospiraceae</v>
          </cell>
          <cell r="I15670" t="str">
            <v>s__unclassified_f__Lachnospiraceae</v>
          </cell>
        </row>
        <row r="15671">
          <cell r="G15671" t="str">
            <v>ASV15491</v>
          </cell>
          <cell r="H15671" t="str">
            <v>g__unclassified_f__Lachnospiraceae</v>
          </cell>
          <cell r="I15671" t="str">
            <v>s__unclassified_f__Lachnospiraceae</v>
          </cell>
        </row>
        <row r="15672">
          <cell r="G15672" t="str">
            <v>ASV8654</v>
          </cell>
          <cell r="H15672" t="str">
            <v>g__Agrococcus</v>
          </cell>
          <cell r="I15672" t="str">
            <v>s__unclassified_g__Agrococcus</v>
          </cell>
        </row>
        <row r="15673">
          <cell r="G15673" t="str">
            <v>ASV11066</v>
          </cell>
          <cell r="H15673" t="str">
            <v>g__Clostridium_sensu_stricto_1</v>
          </cell>
          <cell r="I15673" t="str">
            <v>s__unclassified_g__Clostridium_sensu_stricto_1</v>
          </cell>
        </row>
        <row r="15674">
          <cell r="G15674" t="str">
            <v>ASV4075</v>
          </cell>
          <cell r="H15674" t="str">
            <v>g__unclassified_f__Lachnospiraceae</v>
          </cell>
          <cell r="I15674" t="str">
            <v>s__unclassified_f__Lachnospiraceae</v>
          </cell>
        </row>
        <row r="15675">
          <cell r="G15675" t="str">
            <v>ASV7848</v>
          </cell>
          <cell r="H15675" t="str">
            <v>g__unclassified_f__Lachnospiraceae</v>
          </cell>
          <cell r="I15675" t="str">
            <v>s__unclassified_f__Lachnospiraceae</v>
          </cell>
        </row>
        <row r="15676">
          <cell r="G15676" t="str">
            <v>ASV23315</v>
          </cell>
          <cell r="H15676" t="str">
            <v>g__unclassified_f__Lachnospiraceae</v>
          </cell>
          <cell r="I15676" t="str">
            <v>s__unclassified_f__Lachnospiraceae</v>
          </cell>
        </row>
        <row r="15677">
          <cell r="G15677" t="str">
            <v>ASV22387</v>
          </cell>
          <cell r="H15677" t="str">
            <v>g__Clostridium_sensu_stricto_1</v>
          </cell>
          <cell r="I15677" t="str">
            <v>s__Clostridium_sp._ND2</v>
          </cell>
        </row>
        <row r="15678">
          <cell r="G15678" t="str">
            <v>ASV10222</v>
          </cell>
          <cell r="H15678" t="str">
            <v>g__unclassified_p__Firmicutes</v>
          </cell>
          <cell r="I15678" t="str">
            <v>s__unclassified_p__Firmicutes</v>
          </cell>
        </row>
        <row r="15679">
          <cell r="G15679" t="str">
            <v>ASV14420</v>
          </cell>
          <cell r="H15679" t="str">
            <v>g__Peptostreptococcus</v>
          </cell>
          <cell r="I15679" t="str">
            <v>s__unclassified_g__Peptostreptococcus</v>
          </cell>
        </row>
        <row r="15680">
          <cell r="G15680" t="str">
            <v>ASV16443</v>
          </cell>
          <cell r="H15680" t="str">
            <v>g__norank_f__norank_o__Clostridia_vadinBB60_group</v>
          </cell>
          <cell r="I15680" t="str">
            <v>s__unclassified_g__norank_f__norank_o__Clostridia_vadinBB60_group</v>
          </cell>
        </row>
        <row r="15681">
          <cell r="G15681" t="str">
            <v>ASV10831</v>
          </cell>
          <cell r="H15681" t="str">
            <v>g__norank_f__Eubacterium_coprostanoligenes_group</v>
          </cell>
          <cell r="I15681" t="str">
            <v>s__unclassified_g__norank_f__Eubacterium_coprostanoligenes_group</v>
          </cell>
        </row>
        <row r="15682">
          <cell r="G15682" t="str">
            <v>ASV23985</v>
          </cell>
          <cell r="H15682" t="str">
            <v>g__unclassified_f__Lachnospiraceae</v>
          </cell>
          <cell r="I15682" t="str">
            <v>s__unclassified_f__Lachnospiraceae</v>
          </cell>
        </row>
        <row r="15683">
          <cell r="G15683" t="str">
            <v>ASV4190</v>
          </cell>
          <cell r="H15683" t="str">
            <v>g__Oscillibacter</v>
          </cell>
          <cell r="I15683" t="str">
            <v>s__unclassified_g__Oscillibacter</v>
          </cell>
        </row>
        <row r="15684">
          <cell r="G15684" t="str">
            <v>ASV17149</v>
          </cell>
          <cell r="H15684" t="str">
            <v>g__Erysipelothrix</v>
          </cell>
          <cell r="I15684" t="str">
            <v>s__unclassified_g__Erysipelothrix</v>
          </cell>
        </row>
        <row r="15685">
          <cell r="G15685" t="str">
            <v>ASV18631</v>
          </cell>
          <cell r="H15685" t="str">
            <v>g__Escherichia-Shigella</v>
          </cell>
          <cell r="I15685" t="str">
            <v>s__unclassified_g__Escherichia-Shigella</v>
          </cell>
        </row>
        <row r="15686">
          <cell r="G15686" t="str">
            <v>ASV14370</v>
          </cell>
          <cell r="H15686" t="str">
            <v>g__unclassified_o__Bacteroidales</v>
          </cell>
          <cell r="I15686" t="str">
            <v>s__unclassified_o__Bacteroidales</v>
          </cell>
        </row>
        <row r="15687">
          <cell r="G15687" t="str">
            <v>ASV23338</v>
          </cell>
          <cell r="H15687" t="str">
            <v>g__Staphylococcus</v>
          </cell>
          <cell r="I15687" t="str">
            <v>s__unclassified_g__Staphylococcus</v>
          </cell>
        </row>
        <row r="15688">
          <cell r="G15688" t="str">
            <v>ASV10734</v>
          </cell>
          <cell r="H15688" t="str">
            <v>g__unclassified_k__norank_d__Bacteria</v>
          </cell>
          <cell r="I15688" t="str">
            <v>s__unclassified_k__norank_d__Bacteria</v>
          </cell>
        </row>
        <row r="15689">
          <cell r="G15689" t="str">
            <v>ASV22471</v>
          </cell>
          <cell r="H15689" t="str">
            <v>g__norank_f__Eubacterium_coprostanoligenes_group</v>
          </cell>
          <cell r="I15689" t="str">
            <v>s__uncultured_bacterium_g__norank_f__Eubacterium_coprostanoligenes_group</v>
          </cell>
        </row>
        <row r="15690">
          <cell r="G15690" t="str">
            <v>ASV12018</v>
          </cell>
          <cell r="H15690" t="str">
            <v>g__Eubacterium_oxidoreducens_group</v>
          </cell>
          <cell r="I15690" t="str">
            <v>s__uncultured_bacterium_g__Eubacterium_oxidoreducens_group</v>
          </cell>
        </row>
        <row r="15691">
          <cell r="G15691" t="str">
            <v>ASV3264</v>
          </cell>
          <cell r="H15691" t="str">
            <v>g__unclassified_f__Lachnospiraceae</v>
          </cell>
          <cell r="I15691" t="str">
            <v>s__unclassified_f__Lachnospiraceae</v>
          </cell>
        </row>
        <row r="15692">
          <cell r="G15692" t="str">
            <v>ASV18109</v>
          </cell>
          <cell r="H15692" t="str">
            <v>g__unclassified_f__Lachnospiraceae</v>
          </cell>
          <cell r="I15692" t="str">
            <v>s__unclassified_f__Lachnospiraceae</v>
          </cell>
        </row>
        <row r="15693">
          <cell r="G15693" t="str">
            <v>ASV15419</v>
          </cell>
          <cell r="H15693" t="str">
            <v>g__norank_f__F082</v>
          </cell>
          <cell r="I15693" t="str">
            <v>s__uncultured_bacterium_g__norank_f__F082</v>
          </cell>
        </row>
        <row r="15694">
          <cell r="G15694" t="str">
            <v>ASV10717</v>
          </cell>
          <cell r="H15694" t="str">
            <v>g__Prevotellaceae_UCG-003</v>
          </cell>
          <cell r="I15694" t="str">
            <v>s__uncultured_bacterium_g__Prevotellaceae_UCG-003</v>
          </cell>
        </row>
        <row r="15695">
          <cell r="G15695" t="str">
            <v>ASV14545</v>
          </cell>
          <cell r="H15695" t="str">
            <v>g__unclassified_o__Oscillospirales</v>
          </cell>
          <cell r="I15695" t="str">
            <v>s__unclassified_o__Oscillospirales</v>
          </cell>
        </row>
        <row r="15696">
          <cell r="G15696" t="str">
            <v>ASV16005</v>
          </cell>
          <cell r="H15696" t="str">
            <v>g__Streptococcus</v>
          </cell>
          <cell r="I15696" t="str">
            <v>s__unclassified_g__Streptococcus</v>
          </cell>
        </row>
        <row r="15697">
          <cell r="G15697" t="str">
            <v>ASV23330</v>
          </cell>
          <cell r="H15697" t="str">
            <v>g__norank_f__Erysipelotrichaceae</v>
          </cell>
          <cell r="I15697" t="str">
            <v>s__uncultured_bacterium_g__norank_f__Erysipelotrichaceae</v>
          </cell>
        </row>
        <row r="15698">
          <cell r="G15698" t="str">
            <v>ASV4997</v>
          </cell>
          <cell r="H15698" t="str">
            <v>g__unclassified_k__norank_d__Bacteria</v>
          </cell>
          <cell r="I15698" t="str">
            <v>s__unclassified_k__norank_d__Bacteria</v>
          </cell>
        </row>
        <row r="15699">
          <cell r="G15699" t="str">
            <v>ASV4077</v>
          </cell>
          <cell r="H15699" t="str">
            <v>g__unclassified_f__Ruminococcaceae</v>
          </cell>
          <cell r="I15699" t="str">
            <v>s__unclassified_f__Ruminococcaceae</v>
          </cell>
        </row>
        <row r="15700">
          <cell r="G15700" t="str">
            <v>ASV20262</v>
          </cell>
          <cell r="H15700" t="str">
            <v>g__unclassified_f__Lachnospiraceae</v>
          </cell>
          <cell r="I15700" t="str">
            <v>s__unclassified_f__Lachnospiraceae</v>
          </cell>
        </row>
        <row r="15701">
          <cell r="G15701" t="str">
            <v>ASV13715</v>
          </cell>
          <cell r="H15701" t="str">
            <v>g__Aliterella</v>
          </cell>
          <cell r="I15701" t="str">
            <v>s__unclassified_g__Aliterella</v>
          </cell>
        </row>
        <row r="15702">
          <cell r="G15702" t="str">
            <v>ASV11756</v>
          </cell>
          <cell r="H15702" t="str">
            <v>g__Sharpea</v>
          </cell>
          <cell r="I15702" t="str">
            <v>s__unclassified_g__Sharpea</v>
          </cell>
        </row>
        <row r="15703">
          <cell r="G15703" t="str">
            <v>ASV888</v>
          </cell>
          <cell r="H15703" t="str">
            <v>g__unclassified_f__Lachnospiraceae</v>
          </cell>
          <cell r="I15703" t="str">
            <v>s__unclassified_f__Lachnospiraceae</v>
          </cell>
        </row>
        <row r="15704">
          <cell r="G15704" t="str">
            <v>ASV7079</v>
          </cell>
          <cell r="H15704" t="str">
            <v>g__unclassified_k__norank_d__Bacteria</v>
          </cell>
          <cell r="I15704" t="str">
            <v>s__unclassified_k__norank_d__Bacteria</v>
          </cell>
        </row>
        <row r="15705">
          <cell r="G15705" t="str">
            <v>ASV10738</v>
          </cell>
          <cell r="H15705" t="str">
            <v>g__Christensenellaceae_R-7_group</v>
          </cell>
          <cell r="I15705" t="str">
            <v>s__unclassified_g__Christensenellaceae_R-7_group</v>
          </cell>
        </row>
        <row r="15706">
          <cell r="G15706" t="str">
            <v>ASV938</v>
          </cell>
          <cell r="H15706" t="str">
            <v>g__unclassified_f__Oscillospiraceae</v>
          </cell>
          <cell r="I15706" t="str">
            <v>s__unclassified_f__Oscillospiraceae</v>
          </cell>
        </row>
        <row r="15707">
          <cell r="G15707" t="str">
            <v>ASV16536</v>
          </cell>
          <cell r="H15707" t="str">
            <v>g__Bacteroides</v>
          </cell>
          <cell r="I15707" t="str">
            <v>s__uncultured_bacterium_g__Bacteroides</v>
          </cell>
        </row>
        <row r="15708">
          <cell r="G15708" t="str">
            <v>ASV21240</v>
          </cell>
          <cell r="H15708" t="str">
            <v>g__Lactobacillus</v>
          </cell>
          <cell r="I15708" t="str">
            <v>s__unclassified_g__Lactobacillus</v>
          </cell>
        </row>
        <row r="15709">
          <cell r="G15709" t="str">
            <v>ASV19806</v>
          </cell>
          <cell r="H15709" t="str">
            <v>g__unclassified_c__Clostridia</v>
          </cell>
          <cell r="I15709" t="str">
            <v>s__unclassified_c__Clostridia</v>
          </cell>
        </row>
        <row r="15710">
          <cell r="G15710" t="str">
            <v>ASV3505</v>
          </cell>
          <cell r="H15710" t="str">
            <v>g__Veillonella</v>
          </cell>
          <cell r="I15710" t="str">
            <v>s__unclassified_g__Veillonella</v>
          </cell>
        </row>
        <row r="15711">
          <cell r="G15711" t="str">
            <v>ASV15994</v>
          </cell>
          <cell r="H15711" t="str">
            <v>g__Campylobacter</v>
          </cell>
          <cell r="I15711" t="str">
            <v>s__unclassified_g__Campylobacter</v>
          </cell>
        </row>
        <row r="15712">
          <cell r="G15712" t="str">
            <v>ASV11780</v>
          </cell>
          <cell r="H15712" t="str">
            <v>g__Alistipes</v>
          </cell>
          <cell r="I15712" t="str">
            <v>s__unclassified_g__Alistipes</v>
          </cell>
        </row>
        <row r="15713">
          <cell r="G15713" t="str">
            <v>ASV1004</v>
          </cell>
          <cell r="H15713" t="str">
            <v>g__Rikenellaceae_RC9_gut_group</v>
          </cell>
          <cell r="I15713" t="str">
            <v>s__unclassified_g__Rikenellaceae_RC9_gut_group</v>
          </cell>
        </row>
        <row r="15714">
          <cell r="G15714" t="str">
            <v>ASV1682</v>
          </cell>
          <cell r="H15714" t="str">
            <v>g__unclassified_k__norank_d__Bacteria</v>
          </cell>
          <cell r="I15714" t="str">
            <v>s__unclassified_k__norank_d__Bacteria</v>
          </cell>
        </row>
        <row r="15715">
          <cell r="G15715" t="str">
            <v>ASV6125</v>
          </cell>
          <cell r="H15715" t="str">
            <v>g__unclassified_f__Ruminococcaceae</v>
          </cell>
          <cell r="I15715" t="str">
            <v>s__unclassified_f__Ruminococcaceae</v>
          </cell>
        </row>
        <row r="15716">
          <cell r="G15716" t="str">
            <v>ASV6741</v>
          </cell>
          <cell r="H15716" t="str">
            <v>g__unclassified_c__Clostridia</v>
          </cell>
          <cell r="I15716" t="str">
            <v>s__unclassified_c__Clostridia</v>
          </cell>
        </row>
        <row r="15717">
          <cell r="G15717" t="str">
            <v>ASV20837</v>
          </cell>
          <cell r="H15717" t="str">
            <v>g__unclassified_c__Clostridia</v>
          </cell>
          <cell r="I15717" t="str">
            <v>s__unclassified_c__Clostridia</v>
          </cell>
        </row>
        <row r="15718">
          <cell r="G15718" t="str">
            <v>ASV21485</v>
          </cell>
          <cell r="H15718" t="str">
            <v>g__Megasphaera</v>
          </cell>
          <cell r="I15718" t="str">
            <v>s__unclassified_g__Megasphaera</v>
          </cell>
        </row>
        <row r="15719">
          <cell r="G15719" t="str">
            <v>ASV6776</v>
          </cell>
          <cell r="H15719" t="str">
            <v>g__Eubacterium_brachy_group</v>
          </cell>
          <cell r="I15719" t="str">
            <v>s__uncultured_bacterium_g__Eubacterium_brachy_group</v>
          </cell>
        </row>
        <row r="15720">
          <cell r="G15720" t="str">
            <v>ASV6134</v>
          </cell>
          <cell r="H15720" t="str">
            <v>g__Escherichia-Shigella</v>
          </cell>
          <cell r="I15720" t="str">
            <v>s__unclassified_g__Escherichia-Shigella</v>
          </cell>
        </row>
        <row r="15721">
          <cell r="G15721" t="str">
            <v>ASV19780</v>
          </cell>
          <cell r="H15721" t="str">
            <v>g__unclassified_p__Firmicutes</v>
          </cell>
          <cell r="I15721" t="str">
            <v>s__unclassified_p__Firmicutes</v>
          </cell>
        </row>
        <row r="15722">
          <cell r="G15722" t="str">
            <v>ASV22377</v>
          </cell>
          <cell r="H15722" t="str">
            <v>g__unclassified_o__Oscillospirales</v>
          </cell>
          <cell r="I15722" t="str">
            <v>s__unclassified_o__Oscillospirales</v>
          </cell>
        </row>
        <row r="15723">
          <cell r="G15723" t="str">
            <v>ASV13443</v>
          </cell>
          <cell r="H15723" t="str">
            <v>g__unclassified_f__Ruminococcaceae</v>
          </cell>
          <cell r="I15723" t="str">
            <v>s__unclassified_f__Ruminococcaceae</v>
          </cell>
        </row>
        <row r="15724">
          <cell r="G15724" t="str">
            <v>ASV12003</v>
          </cell>
          <cell r="H15724" t="str">
            <v>g__Megasphaera</v>
          </cell>
          <cell r="I15724" t="str">
            <v>s__unclassified_g__Megasphaera</v>
          </cell>
        </row>
        <row r="15725">
          <cell r="G15725" t="str">
            <v>ASV18894</v>
          </cell>
          <cell r="H15725" t="str">
            <v>g__Lactobacillus</v>
          </cell>
          <cell r="I15725" t="str">
            <v>s__unclassified_g__Lactobacillus</v>
          </cell>
        </row>
        <row r="15726">
          <cell r="G15726" t="str">
            <v>ASV13819</v>
          </cell>
          <cell r="H15726" t="str">
            <v>g__Enterococcus</v>
          </cell>
          <cell r="I15726" t="str">
            <v>s__unclassified_g__Enterococcus</v>
          </cell>
        </row>
        <row r="15727">
          <cell r="G15727" t="str">
            <v>ASV11892</v>
          </cell>
          <cell r="H15727" t="str">
            <v>g__unclassified_o__Bacteroidales</v>
          </cell>
          <cell r="I15727" t="str">
            <v>s__unclassified_o__Bacteroidales</v>
          </cell>
        </row>
        <row r="15728">
          <cell r="G15728" t="str">
            <v>ASV14487</v>
          </cell>
          <cell r="H15728" t="str">
            <v>g__unclassified_c__Clostridia</v>
          </cell>
          <cell r="I15728" t="str">
            <v>s__unclassified_c__Clostridia</v>
          </cell>
        </row>
        <row r="15729">
          <cell r="G15729" t="str">
            <v>ASV19674</v>
          </cell>
          <cell r="H15729" t="str">
            <v>g__norank_f__Eubacterium_coprostanoligenes_group</v>
          </cell>
          <cell r="I15729" t="str">
            <v>s__uncultured_bacterium_g__norank_f__Eubacterium_coprostanoligenes_group</v>
          </cell>
        </row>
        <row r="15730">
          <cell r="G15730" t="str">
            <v>ASV9886</v>
          </cell>
          <cell r="H15730" t="str">
            <v>g__Peptococcus</v>
          </cell>
          <cell r="I15730" t="str">
            <v>s__uncultured_bacterium_g__Peptococcus</v>
          </cell>
        </row>
        <row r="15731">
          <cell r="G15731" t="str">
            <v>ASV23351</v>
          </cell>
          <cell r="H15731" t="str">
            <v>g__Christensenellaceae_R-7_group</v>
          </cell>
          <cell r="I15731" t="str">
            <v>s__unclassified_g__Christensenellaceae_R-7_group</v>
          </cell>
        </row>
        <row r="15732">
          <cell r="G15732" t="str">
            <v>ASV6092</v>
          </cell>
          <cell r="H15732" t="str">
            <v>g__unclassified_c__Clostridia</v>
          </cell>
          <cell r="I15732" t="str">
            <v>s__unclassified_c__Clostridia</v>
          </cell>
        </row>
        <row r="15733">
          <cell r="G15733" t="str">
            <v>ASV5972</v>
          </cell>
          <cell r="H15733" t="str">
            <v>g__unclassified_f__Peptostreptococcaceae</v>
          </cell>
          <cell r="I15733" t="str">
            <v>s__unclassified_f__Peptostreptococcaceae</v>
          </cell>
        </row>
        <row r="15734">
          <cell r="G15734" t="str">
            <v>ASV1037</v>
          </cell>
          <cell r="H15734" t="str">
            <v>g__norank_f__Oscillospiraceae</v>
          </cell>
          <cell r="I15734" t="str">
            <v>s__unclassified_g__norank_f__Oscillospiraceae</v>
          </cell>
        </row>
        <row r="15735">
          <cell r="G15735" t="str">
            <v>ASV9530</v>
          </cell>
          <cell r="H15735" t="str">
            <v>g__Colidextribacter</v>
          </cell>
          <cell r="I15735" t="str">
            <v>s__unclassified_g__Colidextribacter</v>
          </cell>
        </row>
        <row r="15736">
          <cell r="G15736" t="str">
            <v>ASV15402</v>
          </cell>
          <cell r="H15736" t="str">
            <v>g__unclassified_k__norank_d__Bacteria</v>
          </cell>
          <cell r="I15736" t="str">
            <v>s__unclassified_k__norank_d__Bacteria</v>
          </cell>
        </row>
        <row r="15737">
          <cell r="G15737" t="str">
            <v>ASV24221</v>
          </cell>
          <cell r="H15737" t="str">
            <v>g__Enterococcus</v>
          </cell>
          <cell r="I15737" t="str">
            <v>s__unclassified_g__Enterococcus</v>
          </cell>
        </row>
        <row r="15738">
          <cell r="G15738" t="str">
            <v>ASV4927</v>
          </cell>
          <cell r="H15738" t="str">
            <v>g__Bacteroides</v>
          </cell>
          <cell r="I15738" t="str">
            <v>s__unclassified_g__Bacteroides</v>
          </cell>
        </row>
        <row r="15739">
          <cell r="G15739" t="str">
            <v>ASV4043</v>
          </cell>
          <cell r="H15739" t="str">
            <v>g__Parabacteroides</v>
          </cell>
          <cell r="I15739" t="str">
            <v>s__unclassified_g__Parabacteroides</v>
          </cell>
        </row>
        <row r="15740">
          <cell r="G15740" t="str">
            <v>ASV3249</v>
          </cell>
          <cell r="H15740" t="str">
            <v>g__Lactobacillus</v>
          </cell>
          <cell r="I15740" t="str">
            <v>s__unclassified_g__Lactobacillus</v>
          </cell>
        </row>
        <row r="15741">
          <cell r="G15741" t="str">
            <v>ASV12902</v>
          </cell>
          <cell r="H15741" t="str">
            <v>g__unclassified_k__norank_d__Bacteria</v>
          </cell>
          <cell r="I15741" t="str">
            <v>s__unclassified_k__norank_d__Bacteria</v>
          </cell>
        </row>
        <row r="15742">
          <cell r="G15742" t="str">
            <v>ASV16042</v>
          </cell>
          <cell r="H15742" t="str">
            <v>g__Megasphaera</v>
          </cell>
          <cell r="I15742" t="str">
            <v>s__unclassified_g__Megasphaera</v>
          </cell>
        </row>
        <row r="15743">
          <cell r="G15743" t="str">
            <v>ASV12024</v>
          </cell>
          <cell r="H15743" t="str">
            <v>g__Rikenellaceae_RC9_gut_group</v>
          </cell>
          <cell r="I15743" t="str">
            <v>s__unclassified_g__Rikenellaceae_RC9_gut_group</v>
          </cell>
        </row>
        <row r="15744">
          <cell r="G15744" t="str">
            <v>ASV6105</v>
          </cell>
          <cell r="H15744" t="str">
            <v>g__Eubacterium_oxidoreducens_group</v>
          </cell>
          <cell r="I15744" t="str">
            <v>s__uncultured_bacterium_g__Eubacterium_oxidoreducens_group</v>
          </cell>
        </row>
        <row r="15745">
          <cell r="G15745" t="str">
            <v>ASV2272</v>
          </cell>
          <cell r="H15745" t="str">
            <v>g__unclassified_f__Lachnospiraceae</v>
          </cell>
          <cell r="I15745" t="str">
            <v>s__unclassified_f__Lachnospiraceae</v>
          </cell>
        </row>
        <row r="15746">
          <cell r="G15746" t="str">
            <v>ASV9437</v>
          </cell>
          <cell r="H15746" t="str">
            <v>g__unclassified_f__Erysipelotrichaceae</v>
          </cell>
          <cell r="I15746" t="str">
            <v>s__unclassified_f__Erysipelotrichaceae</v>
          </cell>
        </row>
        <row r="15747">
          <cell r="G15747" t="str">
            <v>ASV13469</v>
          </cell>
          <cell r="H15747" t="str">
            <v>g__Eubacterium_oxidoreducens_group</v>
          </cell>
          <cell r="I15747" t="str">
            <v>s__uncultured_bacterium_g__Eubacterium_oxidoreducens_group</v>
          </cell>
        </row>
        <row r="15748">
          <cell r="G15748" t="str">
            <v>ASV1686</v>
          </cell>
          <cell r="H15748" t="str">
            <v>g__unclassified_c__Clostridia</v>
          </cell>
          <cell r="I15748" t="str">
            <v>s__unclassified_c__Clostridia</v>
          </cell>
        </row>
        <row r="15749">
          <cell r="G15749" t="str">
            <v>ASV5084</v>
          </cell>
          <cell r="H15749" t="str">
            <v>g__unclassified_c__Clostridia</v>
          </cell>
          <cell r="I15749" t="str">
            <v>s__unclassified_c__Clostridia</v>
          </cell>
        </row>
        <row r="15750">
          <cell r="G15750" t="str">
            <v>ASV5999</v>
          </cell>
          <cell r="H15750" t="str">
            <v>g__unclassified_c__Clostridia</v>
          </cell>
          <cell r="I15750" t="str">
            <v>s__unclassified_c__Clostridia</v>
          </cell>
        </row>
        <row r="15751">
          <cell r="G15751" t="str">
            <v>ASV20853</v>
          </cell>
          <cell r="H15751" t="str">
            <v>g__unclassified_f__Eggerthellaceae</v>
          </cell>
          <cell r="I15751" t="str">
            <v>s__unclassified_f__Eggerthellaceae</v>
          </cell>
        </row>
        <row r="15752">
          <cell r="G15752" t="str">
            <v>ASV1025</v>
          </cell>
          <cell r="H15752" t="str">
            <v>g__unclassified_f__Lachnospiraceae</v>
          </cell>
          <cell r="I15752" t="str">
            <v>s__unclassified_f__Lachnospiraceae</v>
          </cell>
        </row>
        <row r="15753">
          <cell r="G15753" t="str">
            <v>ASV4172</v>
          </cell>
          <cell r="H15753" t="str">
            <v>g__unclassified_f__Lachnospiraceae</v>
          </cell>
          <cell r="I15753" t="str">
            <v>s__unclassified_f__Lachnospiraceae</v>
          </cell>
        </row>
        <row r="15754">
          <cell r="G15754" t="str">
            <v>ASV21770</v>
          </cell>
          <cell r="H15754" t="str">
            <v>g__Veillonella</v>
          </cell>
          <cell r="I15754" t="str">
            <v>s__unclassified_g__Veillonella</v>
          </cell>
        </row>
        <row r="15755">
          <cell r="G15755" t="str">
            <v>ASV4956</v>
          </cell>
          <cell r="H15755" t="str">
            <v>g__Lactobacillus</v>
          </cell>
          <cell r="I15755" t="str">
            <v>s__unclassified_g__Lactobacillus</v>
          </cell>
        </row>
        <row r="15756">
          <cell r="G15756" t="str">
            <v>ASV16982</v>
          </cell>
          <cell r="H15756" t="str">
            <v>g__Prevotella</v>
          </cell>
          <cell r="I15756" t="str">
            <v>s__unclassified_g__Prevotella</v>
          </cell>
        </row>
        <row r="15757">
          <cell r="G15757" t="str">
            <v>ASV15520</v>
          </cell>
          <cell r="H15757" t="str">
            <v>g__Lactobacillus</v>
          </cell>
          <cell r="I15757" t="str">
            <v>s__unclassified_g__Lactobacillus</v>
          </cell>
        </row>
        <row r="15758">
          <cell r="G15758" t="str">
            <v>ASV7803</v>
          </cell>
          <cell r="H15758" t="str">
            <v>g__unclassified_k__norank_d__Bacteria</v>
          </cell>
          <cell r="I15758" t="str">
            <v>s__unclassified_k__norank_d__Bacteria</v>
          </cell>
        </row>
        <row r="15759">
          <cell r="G15759" t="str">
            <v>ASV23854</v>
          </cell>
          <cell r="H15759" t="str">
            <v>g__unclassified_k__norank_d__Bacteria</v>
          </cell>
          <cell r="I15759" t="str">
            <v>s__unclassified_k__norank_d__Bacteria</v>
          </cell>
        </row>
        <row r="15760">
          <cell r="G15760" t="str">
            <v>ASV10790</v>
          </cell>
          <cell r="H15760" t="str">
            <v>g__unclassified_c__Clostridia</v>
          </cell>
          <cell r="I15760" t="str">
            <v>s__unclassified_c__Clostridia</v>
          </cell>
        </row>
        <row r="15761">
          <cell r="G15761" t="str">
            <v>ASV18172</v>
          </cell>
          <cell r="H15761" t="str">
            <v>g__Ruminococcus</v>
          </cell>
          <cell r="I15761" t="str">
            <v>s__unclassified_g__Ruminococcus</v>
          </cell>
        </row>
        <row r="15762">
          <cell r="G15762" t="str">
            <v>ASV18943</v>
          </cell>
          <cell r="H15762" t="str">
            <v>g__Colidextribacter</v>
          </cell>
          <cell r="I15762" t="str">
            <v>s__unclassified_g__Colidextribacter</v>
          </cell>
        </row>
        <row r="15763">
          <cell r="G15763" t="str">
            <v>ASV837</v>
          </cell>
          <cell r="H15763" t="str">
            <v>g__Eubacterium_oxidoreducens_group</v>
          </cell>
          <cell r="I15763" t="str">
            <v>s__uncultured_bacterium_g__Eubacterium_oxidoreducens_group</v>
          </cell>
        </row>
        <row r="15764">
          <cell r="G15764" t="str">
            <v>ASV23988</v>
          </cell>
          <cell r="H15764" t="str">
            <v>g__Escherichia-Shigella</v>
          </cell>
          <cell r="I15764" t="str">
            <v>s__unclassified_g__Escherichia-Shigella</v>
          </cell>
        </row>
        <row r="15765">
          <cell r="G15765" t="str">
            <v>ASV16441</v>
          </cell>
          <cell r="H15765" t="str">
            <v>g__unclassified_k__norank_d__Bacteria</v>
          </cell>
          <cell r="I15765" t="str">
            <v>s__unclassified_k__norank_d__Bacteria</v>
          </cell>
        </row>
        <row r="15766">
          <cell r="G15766" t="str">
            <v>ASV17305</v>
          </cell>
          <cell r="H15766" t="str">
            <v>g__Clostridium_sensu_stricto_1</v>
          </cell>
          <cell r="I15766" t="str">
            <v>s__unclassified_g__Clostridium_sensu_stricto_1</v>
          </cell>
        </row>
        <row r="15767">
          <cell r="G15767" t="str">
            <v>ASV2930</v>
          </cell>
          <cell r="H15767" t="str">
            <v>g__Actinobacillus</v>
          </cell>
          <cell r="I15767" t="str">
            <v>s__unclassified_g__Actinobacillus</v>
          </cell>
        </row>
        <row r="15768">
          <cell r="G15768" t="str">
            <v>ASV12889</v>
          </cell>
          <cell r="H15768" t="str">
            <v>g__unclassified_f__Lachnospiraceae</v>
          </cell>
          <cell r="I15768" t="str">
            <v>s__unclassified_f__Lachnospiraceae</v>
          </cell>
        </row>
        <row r="15769">
          <cell r="G15769" t="str">
            <v>ASV14540</v>
          </cell>
          <cell r="H15769" t="str">
            <v>g__unclassified_f__Peptostreptococcaceae</v>
          </cell>
          <cell r="I15769" t="str">
            <v>s__unclassified_f__Peptostreptococcaceae</v>
          </cell>
        </row>
        <row r="15770">
          <cell r="G15770" t="str">
            <v>ASV11788</v>
          </cell>
          <cell r="H15770" t="str">
            <v>g__unclassified_c__Clostridia</v>
          </cell>
          <cell r="I15770" t="str">
            <v>s__unclassified_c__Clostridia</v>
          </cell>
        </row>
        <row r="15771">
          <cell r="G15771" t="str">
            <v>ASV15427</v>
          </cell>
          <cell r="H15771" t="str">
            <v>g__unclassified_f__Lachnospiraceae</v>
          </cell>
          <cell r="I15771" t="str">
            <v>s__unclassified_f__Lachnospiraceae</v>
          </cell>
        </row>
        <row r="15772">
          <cell r="G15772" t="str">
            <v>ASV5108</v>
          </cell>
          <cell r="H15772" t="str">
            <v>g__unclassified_c__Clostridia</v>
          </cell>
          <cell r="I15772" t="str">
            <v>s__unclassified_c__Clostridia</v>
          </cell>
        </row>
        <row r="15773">
          <cell r="G15773" t="str">
            <v>ASV22454</v>
          </cell>
          <cell r="H15773" t="str">
            <v>g__Prevotella</v>
          </cell>
          <cell r="I15773" t="str">
            <v>s__unclassified_g__Prevotella</v>
          </cell>
        </row>
        <row r="15774">
          <cell r="G15774" t="str">
            <v>ASV20911</v>
          </cell>
          <cell r="H15774" t="str">
            <v>g__Christensenellaceae_R-7_group</v>
          </cell>
          <cell r="I15774" t="str">
            <v>s__human_gut_metagenome_g__Christensenellaceae_R-7_group</v>
          </cell>
        </row>
        <row r="15775">
          <cell r="G15775" t="str">
            <v>ASV23975</v>
          </cell>
          <cell r="H15775" t="str">
            <v>g__unclassified_f__Prevotellaceae</v>
          </cell>
          <cell r="I15775" t="str">
            <v>s__unclassified_f__Prevotellaceae</v>
          </cell>
        </row>
        <row r="15776">
          <cell r="G15776" t="str">
            <v>ASV21238</v>
          </cell>
          <cell r="H15776" t="str">
            <v>g__Desulfovibrio</v>
          </cell>
          <cell r="I15776" t="str">
            <v>s__bacterium_g__Desulfovibrio</v>
          </cell>
        </row>
        <row r="15777">
          <cell r="G15777" t="str">
            <v>ASV20269</v>
          </cell>
          <cell r="H15777" t="str">
            <v>g__Bacteroides</v>
          </cell>
          <cell r="I15777" t="str">
            <v>s__unclassified_g__Bacteroides</v>
          </cell>
        </row>
        <row r="15778">
          <cell r="G15778" t="str">
            <v>ASV2300</v>
          </cell>
          <cell r="H15778" t="str">
            <v>g__Lactobacillus</v>
          </cell>
          <cell r="I15778" t="str">
            <v>s__Lactobacillus_sp._KC45b</v>
          </cell>
        </row>
        <row r="15779">
          <cell r="G15779" t="str">
            <v>ASV15537</v>
          </cell>
          <cell r="H15779" t="str">
            <v>g__Christensenellaceae_R-7_group</v>
          </cell>
          <cell r="I15779" t="str">
            <v>s__unclassified_g__Christensenellaceae_R-7_group</v>
          </cell>
        </row>
        <row r="15780">
          <cell r="G15780" t="str">
            <v>ASV3668</v>
          </cell>
          <cell r="H15780" t="str">
            <v>g__Lactobacillus</v>
          </cell>
          <cell r="I15780" t="str">
            <v>s__unclassified_g__Lactobacillus</v>
          </cell>
        </row>
        <row r="15781">
          <cell r="G15781" t="str">
            <v>ASV5995</v>
          </cell>
          <cell r="H15781" t="str">
            <v>g__Christensenellaceae_R-7_group</v>
          </cell>
          <cell r="I15781" t="str">
            <v>s__uncultured_spirochete_g__Christensenellaceae_R-7_group</v>
          </cell>
        </row>
        <row r="15782">
          <cell r="G15782" t="str">
            <v>ASV22364</v>
          </cell>
          <cell r="H15782" t="str">
            <v>g__Subdoligranulum</v>
          </cell>
          <cell r="I15782" t="str">
            <v>s__unclassified_g__Subdoligranulum</v>
          </cell>
        </row>
        <row r="15783">
          <cell r="G15783" t="str">
            <v>ASV4902</v>
          </cell>
          <cell r="H15783" t="str">
            <v>g__Ruminococcus</v>
          </cell>
          <cell r="I15783" t="str">
            <v>s__unclassified_g__Ruminococcus</v>
          </cell>
        </row>
        <row r="15784">
          <cell r="G15784" t="str">
            <v>ASV20836</v>
          </cell>
          <cell r="H15784" t="str">
            <v>g__unclassified_c__Clostridia</v>
          </cell>
          <cell r="I15784" t="str">
            <v>s__unclassified_c__Clostridia</v>
          </cell>
        </row>
        <row r="15785">
          <cell r="G15785" t="str">
            <v>ASV2374</v>
          </cell>
          <cell r="H15785" t="str">
            <v>g__unclassified_f__Lachnospiraceae</v>
          </cell>
          <cell r="I15785" t="str">
            <v>s__unclassified_f__Lachnospiraceae</v>
          </cell>
        </row>
        <row r="15786">
          <cell r="G15786" t="str">
            <v>ASV24224</v>
          </cell>
          <cell r="H15786" t="str">
            <v>g__norank_f__Eubacterium_coprostanoligenes_group</v>
          </cell>
          <cell r="I15786" t="str">
            <v>s__unclassified_g__norank_f__Eubacterium_coprostanoligenes_group</v>
          </cell>
        </row>
        <row r="15787">
          <cell r="G15787" t="str">
            <v>ASV14401</v>
          </cell>
          <cell r="H15787" t="str">
            <v>g__Eubacterium_oxidoreducens_group</v>
          </cell>
          <cell r="I15787" t="str">
            <v>s__uncultured_bacterium_g__Eubacterium_oxidoreducens_group</v>
          </cell>
        </row>
        <row r="15788">
          <cell r="G15788" t="str">
            <v>ASV4142</v>
          </cell>
          <cell r="H15788" t="str">
            <v>g__Cloacibacillus</v>
          </cell>
          <cell r="I15788" t="str">
            <v>s__unclassified_g__Cloacibacillus</v>
          </cell>
        </row>
        <row r="15789">
          <cell r="G15789" t="str">
            <v>ASV24202</v>
          </cell>
          <cell r="H15789" t="str">
            <v>g__unclassified_f__Peptostreptococcaceae</v>
          </cell>
          <cell r="I15789" t="str">
            <v>s__unclassified_f__Peptostreptococcaceae</v>
          </cell>
        </row>
        <row r="15790">
          <cell r="G15790" t="str">
            <v>ASV6054</v>
          </cell>
          <cell r="H15790" t="str">
            <v>g__Desulfovibrio</v>
          </cell>
          <cell r="I15790" t="str">
            <v>s__unclassified_g__Desulfovibrio</v>
          </cell>
        </row>
        <row r="15791">
          <cell r="G15791" t="str">
            <v>ASV2758</v>
          </cell>
          <cell r="H15791" t="str">
            <v>g__Lactobacillus</v>
          </cell>
          <cell r="I15791" t="str">
            <v>s__unclassified_g__Lactobacillus</v>
          </cell>
        </row>
        <row r="15792">
          <cell r="G15792" t="str">
            <v>ASV7970</v>
          </cell>
          <cell r="H15792" t="str">
            <v>g__unclassified_f__Lachnospiraceae</v>
          </cell>
          <cell r="I15792" t="str">
            <v>s__unclassified_f__Lachnospiraceae</v>
          </cell>
        </row>
        <row r="15793">
          <cell r="G15793" t="str">
            <v>ASV6759</v>
          </cell>
          <cell r="H15793" t="str">
            <v>g__Christensenellaceae_R-7_group</v>
          </cell>
          <cell r="I15793" t="str">
            <v>s__unclassified_g__Christensenellaceae_R-7_group</v>
          </cell>
        </row>
        <row r="15794">
          <cell r="G15794" t="str">
            <v>ASV7801</v>
          </cell>
          <cell r="H15794" t="str">
            <v>g__Streptococcus</v>
          </cell>
          <cell r="I15794" t="str">
            <v>s__unclassified_g__Streptococcus</v>
          </cell>
        </row>
        <row r="15795">
          <cell r="G15795" t="str">
            <v>ASV19787</v>
          </cell>
          <cell r="H15795" t="str">
            <v>g__Prevotella</v>
          </cell>
          <cell r="I15795" t="str">
            <v>s__uncultured_Wautersiella_sp._g__Prevotella</v>
          </cell>
        </row>
        <row r="15796">
          <cell r="G15796" t="str">
            <v>ASV7928</v>
          </cell>
          <cell r="H15796" t="str">
            <v>g__unclassified_f__Lachnospiraceae</v>
          </cell>
          <cell r="I15796" t="str">
            <v>s__unclassified_f__Lachnospiraceae</v>
          </cell>
        </row>
        <row r="15797">
          <cell r="G15797" t="str">
            <v>ASV16929</v>
          </cell>
          <cell r="H15797" t="str">
            <v>g__unclassified_f__Peptostreptococcaceae</v>
          </cell>
          <cell r="I15797" t="str">
            <v>s__unclassified_f__Peptostreptococcaceae</v>
          </cell>
        </row>
        <row r="15798">
          <cell r="G15798" t="str">
            <v>ASV7858</v>
          </cell>
          <cell r="H15798" t="str">
            <v>g__Streptococcus</v>
          </cell>
          <cell r="I15798" t="str">
            <v>s__Streptococcus_thermophilus_TH1435</v>
          </cell>
        </row>
        <row r="15799">
          <cell r="G15799" t="str">
            <v>ASV1731</v>
          </cell>
          <cell r="H15799" t="str">
            <v>g__Streptococcus</v>
          </cell>
          <cell r="I15799" t="str">
            <v>s__unclassified_g__Streptococcus</v>
          </cell>
        </row>
        <row r="15800">
          <cell r="G15800" t="str">
            <v>ASV4123</v>
          </cell>
          <cell r="H15800" t="str">
            <v>g__unclassified_f__Oscillospiraceae</v>
          </cell>
          <cell r="I15800" t="str">
            <v>s__unclassified_f__Oscillospiraceae</v>
          </cell>
        </row>
        <row r="15801">
          <cell r="G15801" t="str">
            <v>ASV16444</v>
          </cell>
          <cell r="H15801" t="str">
            <v>g__unclassified_c__Clostridia</v>
          </cell>
          <cell r="I15801" t="str">
            <v>s__unclassified_c__Clostridia</v>
          </cell>
        </row>
        <row r="15802">
          <cell r="G15802" t="str">
            <v>ASV2352</v>
          </cell>
          <cell r="H15802" t="str">
            <v>g__Enterococcus</v>
          </cell>
          <cell r="I15802" t="str">
            <v>s__unclassified_g__Enterococcus</v>
          </cell>
        </row>
        <row r="15803">
          <cell r="G15803" t="str">
            <v>ASV21285</v>
          </cell>
          <cell r="H15803" t="str">
            <v>g__unclassified_f__Lachnospiraceae</v>
          </cell>
          <cell r="I15803" t="str">
            <v>s__unclassified_f__Lachnospiraceae</v>
          </cell>
        </row>
        <row r="15804">
          <cell r="G15804" t="str">
            <v>ASV14339</v>
          </cell>
          <cell r="H15804" t="str">
            <v>g__unclassified_c__Bacilli</v>
          </cell>
          <cell r="I15804" t="str">
            <v>s__unclassified_c__Bacilli</v>
          </cell>
        </row>
        <row r="15805">
          <cell r="G15805" t="str">
            <v>ASV1036</v>
          </cell>
          <cell r="H15805" t="str">
            <v>g__Parabacteroides</v>
          </cell>
          <cell r="I15805" t="str">
            <v>s__Porphyromonadaceae_bacterium_DJF_B175</v>
          </cell>
        </row>
        <row r="15806">
          <cell r="G15806" t="str">
            <v>ASV12805</v>
          </cell>
          <cell r="H15806" t="str">
            <v>g__Treponema</v>
          </cell>
          <cell r="I15806" t="str">
            <v>s__Treponema_porcinum</v>
          </cell>
        </row>
        <row r="15807">
          <cell r="G15807" t="str">
            <v>ASV20894</v>
          </cell>
          <cell r="H15807" t="str">
            <v>g__Christensenellaceae_R-7_group</v>
          </cell>
          <cell r="I15807" t="str">
            <v>s__unclassified_g__Christensenellaceae_R-7_group</v>
          </cell>
        </row>
        <row r="15808">
          <cell r="G15808" t="str">
            <v>ASV16492</v>
          </cell>
          <cell r="H15808" t="str">
            <v>g__unclassified_c__Clostridia</v>
          </cell>
          <cell r="I15808" t="str">
            <v>s__unclassified_c__Clostridia</v>
          </cell>
        </row>
        <row r="15809">
          <cell r="G15809" t="str">
            <v>ASV8512</v>
          </cell>
          <cell r="H15809" t="str">
            <v>g__unclassified_f__Pasteurellaceae</v>
          </cell>
          <cell r="I15809" t="str">
            <v>s__unclassified_f__Pasteurellaceae</v>
          </cell>
        </row>
        <row r="15810">
          <cell r="G15810" t="str">
            <v>ASV4124</v>
          </cell>
          <cell r="H15810" t="str">
            <v>g__unclassified_f__Lachnospiraceae</v>
          </cell>
          <cell r="I15810" t="str">
            <v>s__unclassified_f__Lachnospiraceae</v>
          </cell>
        </row>
        <row r="15811">
          <cell r="G15811" t="str">
            <v>ASV4972</v>
          </cell>
          <cell r="H15811" t="str">
            <v>g__unclassified_o__Bacteroidales</v>
          </cell>
          <cell r="I15811" t="str">
            <v>s__unclassified_o__Bacteroidales</v>
          </cell>
        </row>
        <row r="15812">
          <cell r="G15812" t="str">
            <v>ASV20903</v>
          </cell>
          <cell r="H15812" t="str">
            <v>g__norank_f__Eubacterium_coprostanoligenes_group</v>
          </cell>
          <cell r="I15812" t="str">
            <v>s__uncultured_bacterium_g__norank_f__Eubacterium_coprostanoligenes_group</v>
          </cell>
        </row>
        <row r="15813">
          <cell r="G15813" t="str">
            <v>ASV19658</v>
          </cell>
          <cell r="H15813" t="str">
            <v>g__Eubacterium_oxidoreducens_group</v>
          </cell>
          <cell r="I15813" t="str">
            <v>s__uncultured_bacterium_g__Eubacterium_oxidoreducens_group</v>
          </cell>
        </row>
        <row r="15814">
          <cell r="G15814" t="str">
            <v>ASV4888</v>
          </cell>
          <cell r="H15814" t="str">
            <v>g__unclassified_f__Rikenellaceae</v>
          </cell>
          <cell r="I15814" t="str">
            <v>s__unclassified_f__Rikenellaceae</v>
          </cell>
        </row>
        <row r="15815">
          <cell r="G15815" t="str">
            <v>ASV18150</v>
          </cell>
          <cell r="H15815" t="str">
            <v>g__norank_f__Peptococcaceae</v>
          </cell>
          <cell r="I15815" t="str">
            <v>s__uncultured_bacterium_g__norank_f__Peptococcaceae</v>
          </cell>
        </row>
        <row r="15816">
          <cell r="G15816" t="str">
            <v>ASV18211</v>
          </cell>
          <cell r="H15816" t="str">
            <v>g__unclassified_f__Oscillospiraceae</v>
          </cell>
          <cell r="I15816" t="str">
            <v>s__unclassified_f__Oscillospiraceae</v>
          </cell>
        </row>
        <row r="15817">
          <cell r="G15817" t="str">
            <v>ASV21256</v>
          </cell>
          <cell r="H15817" t="str">
            <v>g__unclassified_f__Ruminococcaceae</v>
          </cell>
          <cell r="I15817" t="str">
            <v>s__unclassified_f__Ruminococcaceae</v>
          </cell>
        </row>
        <row r="15818">
          <cell r="G15818" t="str">
            <v>ASV16781</v>
          </cell>
          <cell r="H15818" t="str">
            <v>g__Actinobacillus</v>
          </cell>
          <cell r="I15818" t="str">
            <v>s__unclassified_g__Actinobacillus</v>
          </cell>
        </row>
        <row r="15819">
          <cell r="G15819" t="str">
            <v>ASV5078</v>
          </cell>
          <cell r="H15819" t="str">
            <v>g__Lactobacillus</v>
          </cell>
          <cell r="I15819" t="str">
            <v>s__unclassified_g__Lactobacillus</v>
          </cell>
        </row>
        <row r="15820">
          <cell r="G15820" t="str">
            <v>ASV17366</v>
          </cell>
          <cell r="H15820" t="str">
            <v>g__UCG-002</v>
          </cell>
          <cell r="I15820" t="str">
            <v>s__unclassified_g__UCG-002</v>
          </cell>
        </row>
        <row r="15821">
          <cell r="G15821" t="str">
            <v>ASV4047</v>
          </cell>
          <cell r="H15821" t="str">
            <v>g__Parabacteroides</v>
          </cell>
          <cell r="I15821" t="str">
            <v>s__unclassified_g__Parabacteroides</v>
          </cell>
        </row>
        <row r="15822">
          <cell r="G15822" t="str">
            <v>ASV24201</v>
          </cell>
          <cell r="H15822" t="str">
            <v>g__unclassified_f__Ruminococcaceae</v>
          </cell>
          <cell r="I15822" t="str">
            <v>s__unclassified_f__Ruminococcaceae</v>
          </cell>
        </row>
        <row r="15823">
          <cell r="G15823" t="str">
            <v>ASV13721</v>
          </cell>
          <cell r="H15823" t="str">
            <v>g__Lactobacillus</v>
          </cell>
          <cell r="I15823" t="str">
            <v>s__unclassified_g__Lactobacillus</v>
          </cell>
        </row>
        <row r="15824">
          <cell r="G15824" t="str">
            <v>ASV21257</v>
          </cell>
          <cell r="H15824" t="str">
            <v>g__Eubacterium_oxidoreducens_group</v>
          </cell>
          <cell r="I15824" t="str">
            <v>s__uncultured_bacterium_g__Eubacterium_oxidoreducens_group</v>
          </cell>
        </row>
        <row r="15825">
          <cell r="G15825" t="str">
            <v>ASV4910</v>
          </cell>
          <cell r="H15825" t="str">
            <v>g__Ruminococcus</v>
          </cell>
          <cell r="I15825" t="str">
            <v>s__unclassified_g__Ruminococcus</v>
          </cell>
        </row>
        <row r="15826">
          <cell r="G15826" t="str">
            <v>ASV23855</v>
          </cell>
          <cell r="H15826" t="str">
            <v>g__unclassified_c__Bacilli</v>
          </cell>
          <cell r="I15826" t="str">
            <v>s__unclassified_c__Bacilli</v>
          </cell>
        </row>
        <row r="15827">
          <cell r="G15827" t="str">
            <v>ASV18151</v>
          </cell>
          <cell r="H15827" t="str">
            <v>g__unclassified_c__Clostridia</v>
          </cell>
          <cell r="I15827" t="str">
            <v>s__unclassified_c__Clostridia</v>
          </cell>
        </row>
        <row r="15828">
          <cell r="G15828" t="str">
            <v>ASV5977</v>
          </cell>
          <cell r="H15828" t="str">
            <v>g__Bacteroides</v>
          </cell>
          <cell r="I15828" t="str">
            <v>s__Bacteroides_caecigallinarum</v>
          </cell>
        </row>
        <row r="15829">
          <cell r="G15829" t="str">
            <v>ASV16546</v>
          </cell>
          <cell r="H15829" t="str">
            <v>g__Clostridium_sensu_stricto_1</v>
          </cell>
          <cell r="I15829" t="str">
            <v>s__unclassified_g__Clostridium_sensu_stricto_1</v>
          </cell>
        </row>
        <row r="15830">
          <cell r="G15830" t="str">
            <v>ASV5057</v>
          </cell>
          <cell r="H15830" t="str">
            <v>g__unclassified_f__Lachnospiraceae</v>
          </cell>
          <cell r="I15830" t="str">
            <v>s__unclassified_f__Lachnospiraceae</v>
          </cell>
        </row>
        <row r="15831">
          <cell r="G15831" t="str">
            <v>ASV18656</v>
          </cell>
          <cell r="H15831" t="str">
            <v>g__unclassified_f__Oscillospiraceae</v>
          </cell>
          <cell r="I15831" t="str">
            <v>s__unclassified_f__Oscillospiraceae</v>
          </cell>
        </row>
        <row r="15832">
          <cell r="G15832" t="str">
            <v>ASV4901</v>
          </cell>
          <cell r="H15832" t="str">
            <v>g__norank_f__UCG-010</v>
          </cell>
          <cell r="I15832" t="str">
            <v>s__uncultured_bacterium_g__norank_f__UCG-010</v>
          </cell>
        </row>
        <row r="15833">
          <cell r="G15833" t="str">
            <v>ASV14331</v>
          </cell>
          <cell r="H15833" t="str">
            <v>g__Escherichia-Shigella</v>
          </cell>
          <cell r="I15833" t="str">
            <v>s__unclassified_g__Escherichia-Shigella</v>
          </cell>
        </row>
        <row r="15834">
          <cell r="G15834" t="str">
            <v>ASV16979</v>
          </cell>
          <cell r="H15834" t="str">
            <v>g__Lactobacillus</v>
          </cell>
          <cell r="I15834" t="str">
            <v>s__Lactobacillus_sp._KC45b</v>
          </cell>
        </row>
        <row r="15835">
          <cell r="G15835" t="str">
            <v>ASV17300</v>
          </cell>
          <cell r="H15835" t="str">
            <v>g__unclassified_c__Bacilli</v>
          </cell>
          <cell r="I15835" t="str">
            <v>s__unclassified_c__Bacilli</v>
          </cell>
        </row>
        <row r="15836">
          <cell r="G15836" t="str">
            <v>ASV14440</v>
          </cell>
          <cell r="H15836" t="str">
            <v>g__unclassified_f__Oscillospiraceae</v>
          </cell>
          <cell r="I15836" t="str">
            <v>s__unclassified_f__Oscillospiraceae</v>
          </cell>
        </row>
        <row r="15837">
          <cell r="G15837" t="str">
            <v>ASV2309</v>
          </cell>
          <cell r="H15837" t="str">
            <v>g__Holdemanella</v>
          </cell>
          <cell r="I15837" t="str">
            <v>s__unclassified_g__Holdemanella</v>
          </cell>
        </row>
        <row r="15838">
          <cell r="G15838" t="str">
            <v>ASV4982</v>
          </cell>
          <cell r="H15838" t="str">
            <v>g__unclassified_f__Lachnospiraceae</v>
          </cell>
          <cell r="I15838" t="str">
            <v>s__unclassified_f__Lachnospiraceae</v>
          </cell>
        </row>
        <row r="15839">
          <cell r="G15839" t="str">
            <v>ASV20902</v>
          </cell>
          <cell r="H15839" t="str">
            <v>g__unclassified_f__Lachnospiraceae</v>
          </cell>
          <cell r="I15839" t="str">
            <v>s__unclassified_f__Lachnospiraceae</v>
          </cell>
        </row>
        <row r="15840">
          <cell r="G15840" t="str">
            <v>ASV22329</v>
          </cell>
          <cell r="H15840" t="str">
            <v>g__unclassified_p__Firmicutes</v>
          </cell>
          <cell r="I15840" t="str">
            <v>s__unclassified_p__Firmicutes</v>
          </cell>
        </row>
        <row r="15841">
          <cell r="G15841" t="str">
            <v>ASV9480</v>
          </cell>
          <cell r="H15841" t="str">
            <v>g__unclassified_f__Lachnospiraceae</v>
          </cell>
          <cell r="I15841" t="str">
            <v>s__unclassified_f__Lachnospiraceae</v>
          </cell>
        </row>
        <row r="15842">
          <cell r="G15842" t="str">
            <v>ASV11741</v>
          </cell>
          <cell r="H15842" t="str">
            <v>g__Parabacteroides</v>
          </cell>
          <cell r="I15842" t="str">
            <v>s__Porphyromonadaceae_bacterium_DJF_B175</v>
          </cell>
        </row>
        <row r="15843">
          <cell r="G15843" t="str">
            <v>ASV10687</v>
          </cell>
          <cell r="H15843" t="str">
            <v>g__norank_f__p-251-o5</v>
          </cell>
          <cell r="I15843" t="str">
            <v>s__uncultured_bacterium_g__norank_f__p-251-o5</v>
          </cell>
        </row>
        <row r="15844">
          <cell r="G15844" t="str">
            <v>ASV2280</v>
          </cell>
          <cell r="H15844" t="str">
            <v>g__Enterococcus</v>
          </cell>
          <cell r="I15844" t="str">
            <v>s__unclassified_g__Enterococcus</v>
          </cell>
        </row>
        <row r="15845">
          <cell r="G15845" t="str">
            <v>ASV11734</v>
          </cell>
          <cell r="H15845" t="str">
            <v>g__norank_f__norank_o__Clostridia_vadinBB60_group</v>
          </cell>
          <cell r="I15845" t="str">
            <v>s__uncultured_bacterium_g__norank_f__norank_o__Clostridia_vadinBB60_group</v>
          </cell>
        </row>
        <row r="15846">
          <cell r="G15846" t="str">
            <v>ASV23969</v>
          </cell>
          <cell r="H15846" t="str">
            <v>g__Escherichia-Shigella</v>
          </cell>
          <cell r="I15846" t="str">
            <v>s__unclassified_g__Escherichia-Shigella</v>
          </cell>
        </row>
        <row r="15847">
          <cell r="G15847" t="str">
            <v>ASV5089</v>
          </cell>
          <cell r="H15847" t="str">
            <v>g__norank_f__norank_o__Clostridia_UCG-014</v>
          </cell>
          <cell r="I15847" t="str">
            <v>s__uncultured_bacterium_g__norank_f__norank_o__Clostridia_UCG-014</v>
          </cell>
        </row>
        <row r="15848">
          <cell r="G15848" t="str">
            <v>ASV18174</v>
          </cell>
          <cell r="H15848" t="str">
            <v>g__unclassified_o__Oscillospirales</v>
          </cell>
          <cell r="I15848" t="str">
            <v>s__unclassified_o__Oscillospirales</v>
          </cell>
        </row>
        <row r="15849">
          <cell r="G15849" t="str">
            <v>ASV7986</v>
          </cell>
          <cell r="H15849" t="str">
            <v>g__unclassified_p__Firmicutes</v>
          </cell>
          <cell r="I15849" t="str">
            <v>s__unclassified_p__Firmicutes</v>
          </cell>
        </row>
        <row r="15850">
          <cell r="G15850" t="str">
            <v>ASV20815</v>
          </cell>
          <cell r="H15850" t="str">
            <v>g__unclassified_o__Bacteroidales</v>
          </cell>
          <cell r="I15850" t="str">
            <v>s__unclassified_o__Bacteroidales</v>
          </cell>
        </row>
        <row r="15851">
          <cell r="G15851" t="str">
            <v>ASV16551</v>
          </cell>
          <cell r="H15851" t="str">
            <v>g__norank_f__Erysipelotrichaceae</v>
          </cell>
          <cell r="I15851" t="str">
            <v>s__uncultured_bacterium_g__norank_f__Erysipelotrichaceae</v>
          </cell>
        </row>
        <row r="15852">
          <cell r="G15852" t="str">
            <v>ASV4890</v>
          </cell>
          <cell r="H15852" t="str">
            <v>g__unclassified_k__norank_d__Bacteria</v>
          </cell>
          <cell r="I15852" t="str">
            <v>s__unclassified_k__norank_d__Bacteria</v>
          </cell>
        </row>
        <row r="15853">
          <cell r="G15853" t="str">
            <v>ASV4923</v>
          </cell>
          <cell r="H15853" t="str">
            <v>g__UCG-002</v>
          </cell>
          <cell r="I15853" t="str">
            <v>s__uncultured_bacterium_g__UCG-002</v>
          </cell>
        </row>
        <row r="15854">
          <cell r="G15854" t="str">
            <v>ASV21283</v>
          </cell>
          <cell r="H15854" t="str">
            <v>g__unclassified_c__Bacilli</v>
          </cell>
          <cell r="I15854" t="str">
            <v>s__unclassified_c__Bacilli</v>
          </cell>
        </row>
        <row r="15855">
          <cell r="G15855" t="str">
            <v>ASV12984</v>
          </cell>
          <cell r="H15855" t="str">
            <v>g__unclassified_c__Clostridia</v>
          </cell>
          <cell r="I15855" t="str">
            <v>s__unclassified_c__Clostridia</v>
          </cell>
        </row>
        <row r="15856">
          <cell r="G15856" t="str">
            <v>ASV11790</v>
          </cell>
          <cell r="H15856" t="str">
            <v>g__unclassified_f__Lachnospiraceae</v>
          </cell>
          <cell r="I15856" t="str">
            <v>s__unclassified_f__Lachnospiraceae</v>
          </cell>
        </row>
        <row r="15857">
          <cell r="G15857" t="str">
            <v>ASV19707</v>
          </cell>
          <cell r="H15857" t="str">
            <v>g__unclassified_o__Oscillospirales</v>
          </cell>
          <cell r="I15857" t="str">
            <v>s__unclassified_o__Oscillospirales</v>
          </cell>
        </row>
        <row r="15858">
          <cell r="G15858" t="str">
            <v>ASV15992</v>
          </cell>
          <cell r="H15858" t="str">
            <v>g__Bifidobacterium</v>
          </cell>
          <cell r="I15858" t="str">
            <v>s__unclassified_g__Bifidobacterium</v>
          </cell>
        </row>
        <row r="15859">
          <cell r="G15859" t="str">
            <v>ASV22334</v>
          </cell>
          <cell r="H15859" t="str">
            <v>g__Christensenellaceae_R-7_group</v>
          </cell>
          <cell r="I15859" t="str">
            <v>s__unclassified_g__Christensenellaceae_R-7_group</v>
          </cell>
        </row>
        <row r="15860">
          <cell r="G15860" t="str">
            <v>ASV18903</v>
          </cell>
          <cell r="H15860" t="str">
            <v>g__Family_XIII_UCG-001</v>
          </cell>
          <cell r="I15860" t="str">
            <v>s__uncultured_bacterium_g__Family_XIII_UCG-001</v>
          </cell>
        </row>
        <row r="15861">
          <cell r="G15861" t="str">
            <v>ASV16939</v>
          </cell>
          <cell r="H15861" t="str">
            <v>g__Odoribacter</v>
          </cell>
          <cell r="I15861" t="str">
            <v>s__uncultured_bacterium_g__Odoribacter</v>
          </cell>
        </row>
        <row r="15862">
          <cell r="G15862" t="str">
            <v>ASV21280</v>
          </cell>
          <cell r="H15862" t="str">
            <v>g__Eubacterium</v>
          </cell>
          <cell r="I15862" t="str">
            <v>s__unclassified_g__Eubacterium</v>
          </cell>
        </row>
        <row r="15863">
          <cell r="G15863" t="str">
            <v>ASV20900</v>
          </cell>
          <cell r="H15863" t="str">
            <v>g__unclassified_c__Clostridia</v>
          </cell>
          <cell r="I15863" t="str">
            <v>s__unclassified_c__Clostridia</v>
          </cell>
        </row>
        <row r="15864">
          <cell r="G15864" t="str">
            <v>ASV16475</v>
          </cell>
          <cell r="H15864" t="str">
            <v>g__unclassified_c__Clostridia</v>
          </cell>
          <cell r="I15864" t="str">
            <v>s__unclassified_c__Clostridia</v>
          </cell>
        </row>
        <row r="15865">
          <cell r="G15865" t="str">
            <v>ASV17303</v>
          </cell>
          <cell r="H15865" t="str">
            <v>g__unclassified_p__Firmicutes</v>
          </cell>
          <cell r="I15865" t="str">
            <v>s__unclassified_p__Firmicutes</v>
          </cell>
        </row>
        <row r="15866">
          <cell r="G15866" t="str">
            <v>ASV14350</v>
          </cell>
          <cell r="H15866" t="str">
            <v>g__unclassified_o__Oscillospirales</v>
          </cell>
          <cell r="I15866" t="str">
            <v>s__unclassified_o__Oscillospirales</v>
          </cell>
        </row>
        <row r="15867">
          <cell r="G15867" t="str">
            <v>ASV2333</v>
          </cell>
          <cell r="H15867" t="str">
            <v>g__unclassified_p__Firmicutes</v>
          </cell>
          <cell r="I15867" t="str">
            <v>s__unclassified_p__Firmicutes</v>
          </cell>
        </row>
        <row r="15868">
          <cell r="G15868" t="str">
            <v>ASV14472</v>
          </cell>
          <cell r="H15868" t="str">
            <v>g__UCG-002</v>
          </cell>
          <cell r="I15868" t="str">
            <v>s__unclassified_g__UCG-002</v>
          </cell>
        </row>
        <row r="15869">
          <cell r="G15869" t="str">
            <v>ASV804</v>
          </cell>
          <cell r="H15869" t="str">
            <v>g__norank_f__Muribaculaceae</v>
          </cell>
          <cell r="I15869" t="str">
            <v>s__uncultured_bacterium_g__norank_f__Muribaculaceae</v>
          </cell>
        </row>
        <row r="15870">
          <cell r="G15870" t="str">
            <v>ASV3507</v>
          </cell>
          <cell r="H15870" t="str">
            <v>g__Enterococcus</v>
          </cell>
          <cell r="I15870" t="str">
            <v>s__unclassified_g__Enterococcus</v>
          </cell>
        </row>
        <row r="15871">
          <cell r="G15871" t="str">
            <v>ASV22335</v>
          </cell>
          <cell r="H15871" t="str">
            <v>g__Enterococcus</v>
          </cell>
          <cell r="I15871" t="str">
            <v>s__unclassified_g__Enterococcus</v>
          </cell>
        </row>
        <row r="15872">
          <cell r="G15872" t="str">
            <v>ASV4086</v>
          </cell>
          <cell r="H15872" t="str">
            <v>g__Christensenellaceae_R-7_group</v>
          </cell>
          <cell r="I15872" t="str">
            <v>s__unclassified_g__Christensenellaceae_R-7_group</v>
          </cell>
        </row>
        <row r="15873">
          <cell r="G15873" t="str">
            <v>ASV12871</v>
          </cell>
          <cell r="H15873" t="str">
            <v>g__Intestinimonas</v>
          </cell>
          <cell r="I15873" t="str">
            <v>s__unclassified_g__Intestinimonas</v>
          </cell>
        </row>
        <row r="15874">
          <cell r="G15874" t="str">
            <v>ASV11689</v>
          </cell>
          <cell r="H15874" t="str">
            <v>g__Prevotella</v>
          </cell>
          <cell r="I15874" t="str">
            <v>s__Prevotella_sp._RS2</v>
          </cell>
        </row>
        <row r="15875">
          <cell r="G15875" t="str">
            <v>ASV11879</v>
          </cell>
          <cell r="H15875" t="str">
            <v>g__Megasphaera</v>
          </cell>
          <cell r="I15875" t="str">
            <v>s__unclassified_g__Megasphaera</v>
          </cell>
        </row>
        <row r="15876">
          <cell r="G15876" t="str">
            <v>ASV9024</v>
          </cell>
          <cell r="H15876" t="str">
            <v>g__Alloprevotella</v>
          </cell>
          <cell r="I15876" t="str">
            <v>s__Prevotella_sp._canine_oral_taxon_282</v>
          </cell>
        </row>
        <row r="15877">
          <cell r="G15877" t="str">
            <v>ASV19834</v>
          </cell>
          <cell r="H15877" t="str">
            <v>g__unclassified_f__Ruminococcaceae</v>
          </cell>
          <cell r="I15877" t="str">
            <v>s__unclassified_f__Ruminococcaceae</v>
          </cell>
        </row>
        <row r="15878">
          <cell r="G15878" t="str">
            <v>ASV21628</v>
          </cell>
          <cell r="H15878" t="str">
            <v>g__unclassified_f__Lachnospiraceae</v>
          </cell>
          <cell r="I15878" t="str">
            <v>s__unclassified_f__Lachnospiraceae</v>
          </cell>
        </row>
        <row r="15879">
          <cell r="G15879" t="str">
            <v>ASV18114</v>
          </cell>
          <cell r="H15879" t="str">
            <v>g__unclassified_c__Clostridia</v>
          </cell>
          <cell r="I15879" t="str">
            <v>s__unclassified_c__Clostridia</v>
          </cell>
        </row>
        <row r="15880">
          <cell r="G15880" t="str">
            <v>ASV11847</v>
          </cell>
          <cell r="H15880" t="str">
            <v>g__unclassified_f__Anaerovoracaceae</v>
          </cell>
          <cell r="I15880" t="str">
            <v>s__unclassified_f__Anaerovoracaceae</v>
          </cell>
        </row>
        <row r="15881">
          <cell r="G15881" t="str">
            <v>ASV21254</v>
          </cell>
          <cell r="H15881" t="str">
            <v>g__Lactobacillus</v>
          </cell>
          <cell r="I15881" t="str">
            <v>s__unclassified_g__Lactobacillus</v>
          </cell>
        </row>
        <row r="15882">
          <cell r="G15882" t="str">
            <v>ASV9576</v>
          </cell>
          <cell r="H15882" t="str">
            <v>g__unclassified_c__Clostridia</v>
          </cell>
          <cell r="I15882" t="str">
            <v>s__unclassified_c__Clostridia</v>
          </cell>
        </row>
        <row r="15883">
          <cell r="G15883" t="str">
            <v>ASV6098</v>
          </cell>
          <cell r="H15883" t="str">
            <v>g__UCG-002</v>
          </cell>
          <cell r="I15883" t="str">
            <v>s__uncultured_bacterium_g__UCG-002</v>
          </cell>
        </row>
        <row r="15884">
          <cell r="G15884" t="str">
            <v>ASV17296</v>
          </cell>
          <cell r="H15884" t="str">
            <v>g__unclassified_c__Bacilli</v>
          </cell>
          <cell r="I15884" t="str">
            <v>s__unclassified_c__Bacilli</v>
          </cell>
        </row>
        <row r="15885">
          <cell r="G15885" t="str">
            <v>ASV21253</v>
          </cell>
          <cell r="H15885" t="str">
            <v>g__Rikenellaceae_RC9_gut_group</v>
          </cell>
          <cell r="I15885" t="str">
            <v>s__gut_metagenome_g__Rikenellaceae_RC9_gut_group</v>
          </cell>
        </row>
        <row r="15886">
          <cell r="G15886" t="str">
            <v>ASV18908</v>
          </cell>
          <cell r="H15886" t="str">
            <v>g__unclassified_f__Lachnospiraceae</v>
          </cell>
          <cell r="I15886" t="str">
            <v>s__unclassified_f__Lachnospiraceae</v>
          </cell>
        </row>
        <row r="15887">
          <cell r="G15887" t="str">
            <v>ASV5988</v>
          </cell>
          <cell r="H15887" t="str">
            <v>g__Clostridium_sensu_stricto_1</v>
          </cell>
          <cell r="I15887" t="str">
            <v>s__unclassified_g__Clostridium_sensu_stricto_1</v>
          </cell>
        </row>
        <row r="15888">
          <cell r="G15888" t="str">
            <v>ASV7884</v>
          </cell>
          <cell r="H15888" t="str">
            <v>g__unclassified_o__Lactobacillales</v>
          </cell>
          <cell r="I15888" t="str">
            <v>s__unclassified_o__Lactobacillales</v>
          </cell>
        </row>
        <row r="15889">
          <cell r="G15889" t="str">
            <v>ASV6840</v>
          </cell>
          <cell r="H15889" t="str">
            <v>g__Family_XIII_AD3011_group</v>
          </cell>
          <cell r="I15889" t="str">
            <v>s__uncultured_bacterium_g__Family_XIII_AD3011_group</v>
          </cell>
        </row>
        <row r="15890">
          <cell r="G15890" t="str">
            <v>ASV18102</v>
          </cell>
          <cell r="H15890" t="str">
            <v>g__Ruminococcus</v>
          </cell>
          <cell r="I15890" t="str">
            <v>s__uncultured_bacterium_g__Ruminococcus</v>
          </cell>
        </row>
        <row r="15891">
          <cell r="G15891" t="str">
            <v>ASV6836</v>
          </cell>
          <cell r="H15891" t="str">
            <v>g__UCG-002</v>
          </cell>
          <cell r="I15891" t="str">
            <v>s__unclassified_g__UCG-002</v>
          </cell>
        </row>
        <row r="15892">
          <cell r="G15892" t="str">
            <v>ASV23313</v>
          </cell>
          <cell r="H15892" t="str">
            <v>g__unclassified_k__norank_d__Bacteria</v>
          </cell>
          <cell r="I15892" t="str">
            <v>s__unclassified_k__norank_d__Bacteria</v>
          </cell>
        </row>
        <row r="15893">
          <cell r="G15893" t="str">
            <v>ASV18092</v>
          </cell>
          <cell r="H15893" t="str">
            <v>g__norank_f__Eubacterium_coprostanoligenes_group</v>
          </cell>
          <cell r="I15893" t="str">
            <v>s__uncultured_bacterium_g__norank_f__Eubacterium_coprostanoligenes_group</v>
          </cell>
        </row>
        <row r="15894">
          <cell r="G15894" t="str">
            <v>ASV17150</v>
          </cell>
          <cell r="H15894" t="str">
            <v>g__Empedobacter</v>
          </cell>
          <cell r="I15894" t="str">
            <v>s__unclassified_g__Empedobacter</v>
          </cell>
        </row>
        <row r="15895">
          <cell r="G15895" t="str">
            <v>ASV19075</v>
          </cell>
          <cell r="H15895" t="str">
            <v>g__Intestinimonas</v>
          </cell>
          <cell r="I15895" t="str">
            <v>s__Flavonifractor_plautii_g__Intestinimonas</v>
          </cell>
        </row>
        <row r="15896">
          <cell r="G15896" t="str">
            <v>ASV23337</v>
          </cell>
          <cell r="H15896" t="str">
            <v>g__Ruminococcus</v>
          </cell>
          <cell r="I15896" t="str">
            <v>s__unclassified_g__Ruminococcus</v>
          </cell>
        </row>
        <row r="15897">
          <cell r="G15897" t="str">
            <v>ASV10804</v>
          </cell>
          <cell r="H15897" t="str">
            <v>g__unclassified_f__Rikenellaceae</v>
          </cell>
          <cell r="I15897" t="str">
            <v>s__unclassified_f__Rikenellaceae</v>
          </cell>
        </row>
        <row r="15898">
          <cell r="G15898" t="str">
            <v>ASV9018</v>
          </cell>
          <cell r="H15898" t="str">
            <v>g__unclassified_f__Neisseriaceae</v>
          </cell>
          <cell r="I15898" t="str">
            <v>s__unclassified_f__Neisseriaceae</v>
          </cell>
        </row>
        <row r="15899">
          <cell r="G15899" t="str">
            <v>ASV2324</v>
          </cell>
          <cell r="H15899" t="str">
            <v>g__unclassified_c__Clostridia</v>
          </cell>
          <cell r="I15899" t="str">
            <v>s__unclassified_c__Clostridia</v>
          </cell>
        </row>
        <row r="15900">
          <cell r="G15900" t="str">
            <v>ASV22277</v>
          </cell>
          <cell r="H15900" t="str">
            <v>g__unclassified_c__Clostridia</v>
          </cell>
          <cell r="I15900" t="str">
            <v>s__unclassified_c__Clostridia</v>
          </cell>
        </row>
        <row r="15901">
          <cell r="G15901" t="str">
            <v>ASV7912</v>
          </cell>
          <cell r="H15901" t="str">
            <v>g__Sharpea</v>
          </cell>
          <cell r="I15901" t="str">
            <v>s__unclassified_g__Sharpea</v>
          </cell>
        </row>
        <row r="15902">
          <cell r="G15902" t="str">
            <v>ASV7841</v>
          </cell>
          <cell r="H15902" t="str">
            <v>g__unclassified_f__Oscillospiraceae</v>
          </cell>
          <cell r="I15902" t="str">
            <v>s__unclassified_f__Oscillospiraceae</v>
          </cell>
        </row>
        <row r="15903">
          <cell r="G15903" t="str">
            <v>ASV868</v>
          </cell>
          <cell r="H15903" t="str">
            <v>g__unclassified_f__Anaerovoracaceae</v>
          </cell>
          <cell r="I15903" t="str">
            <v>s__unclassified_f__Anaerovoracaceae</v>
          </cell>
        </row>
        <row r="15904">
          <cell r="G15904" t="str">
            <v>ASV7984</v>
          </cell>
          <cell r="H15904" t="str">
            <v>g__unclassified_c__Clostridia</v>
          </cell>
          <cell r="I15904" t="str">
            <v>s__unclassified_c__Clostridia</v>
          </cell>
        </row>
        <row r="15905">
          <cell r="G15905" t="str">
            <v>ASV13736</v>
          </cell>
          <cell r="H15905" t="str">
            <v>g__Lactobacillus</v>
          </cell>
          <cell r="I15905" t="str">
            <v>s__unclassified_g__Lactobacillus</v>
          </cell>
        </row>
        <row r="15906">
          <cell r="G15906" t="str">
            <v>ASV10824</v>
          </cell>
          <cell r="H15906" t="str">
            <v>g__Negativibacillus</v>
          </cell>
          <cell r="I15906" t="str">
            <v>s__uncultured_bacterium_g__Negativibacillus</v>
          </cell>
        </row>
        <row r="15907">
          <cell r="G15907" t="str">
            <v>ASV4085</v>
          </cell>
          <cell r="H15907" t="str">
            <v>g__Bifidobacterium</v>
          </cell>
          <cell r="I15907" t="str">
            <v>s__unclassified_g__Bifidobacterium</v>
          </cell>
        </row>
        <row r="15908">
          <cell r="G15908" t="str">
            <v>ASV20847</v>
          </cell>
          <cell r="H15908" t="str">
            <v>g__unclassified_c__Clostridia</v>
          </cell>
          <cell r="I15908" t="str">
            <v>s__unclassified_c__Clostridia</v>
          </cell>
        </row>
        <row r="15909">
          <cell r="G15909" t="str">
            <v>ASV14527</v>
          </cell>
          <cell r="H15909" t="str">
            <v>g__CAG-873</v>
          </cell>
          <cell r="I15909" t="str">
            <v>s__Bacteroidales_bacterium_H4</v>
          </cell>
        </row>
        <row r="15910">
          <cell r="G15910" t="str">
            <v>ASV10743</v>
          </cell>
          <cell r="H15910" t="str">
            <v>g__Christensenellaceae_R-7_group</v>
          </cell>
          <cell r="I15910" t="str">
            <v>s__unclassified_g__Christensenellaceae_R-7_group</v>
          </cell>
        </row>
        <row r="15911">
          <cell r="G15911" t="str">
            <v>ASV7985</v>
          </cell>
          <cell r="H15911" t="str">
            <v>g__unclassified_p__Firmicutes</v>
          </cell>
          <cell r="I15911" t="str">
            <v>s__unclassified_p__Firmicutes</v>
          </cell>
        </row>
        <row r="15912">
          <cell r="G15912" t="str">
            <v>ASV16558</v>
          </cell>
          <cell r="H15912" t="str">
            <v>g__norank_f__Erysipelotrichaceae</v>
          </cell>
          <cell r="I15912" t="str">
            <v>s__uncultured_bacterium_g__norank_f__Erysipelotrichaceae</v>
          </cell>
        </row>
        <row r="15913">
          <cell r="G15913" t="str">
            <v>ASV12849</v>
          </cell>
          <cell r="H15913" t="str">
            <v>g__unclassified_c__Clostridia</v>
          </cell>
          <cell r="I15913" t="str">
            <v>s__unclassified_c__Clostridia</v>
          </cell>
        </row>
        <row r="15914">
          <cell r="G15914" t="str">
            <v>ASV10028</v>
          </cell>
          <cell r="H15914" t="str">
            <v>g__Ferruginibacter</v>
          </cell>
          <cell r="I15914" t="str">
            <v>s__unclassified_g__Ferruginibacter</v>
          </cell>
        </row>
        <row r="15915">
          <cell r="G15915" t="str">
            <v>ASV14322</v>
          </cell>
          <cell r="H15915" t="str">
            <v>g__Escherichia-Shigella</v>
          </cell>
          <cell r="I15915" t="str">
            <v>s__unclassified_g__Escherichia-Shigella</v>
          </cell>
        </row>
        <row r="15916">
          <cell r="G15916" t="str">
            <v>ASV10694</v>
          </cell>
          <cell r="H15916" t="str">
            <v>g__Rikenellaceae_RC9_gut_group</v>
          </cell>
          <cell r="I15916" t="str">
            <v>s__uncultured_bacterium_g__Rikenellaceae_RC9_gut_group</v>
          </cell>
        </row>
        <row r="15917">
          <cell r="G15917" t="str">
            <v>ASV15831</v>
          </cell>
          <cell r="H15917" t="str">
            <v>g__Lactobacillus</v>
          </cell>
          <cell r="I15917" t="str">
            <v>s__unclassified_g__Lactobacillus</v>
          </cell>
        </row>
        <row r="15918">
          <cell r="G15918" t="str">
            <v>ASV18041</v>
          </cell>
          <cell r="H15918" t="str">
            <v>g__unclassified_c__Clostridia</v>
          </cell>
          <cell r="I15918" t="str">
            <v>s__unclassified_c__Clostridia</v>
          </cell>
        </row>
        <row r="15919">
          <cell r="G15919" t="str">
            <v>ASV20467</v>
          </cell>
          <cell r="H15919" t="str">
            <v>g__Serratia</v>
          </cell>
          <cell r="I15919" t="str">
            <v>s__unclassified_g__Serratia</v>
          </cell>
        </row>
        <row r="15920">
          <cell r="G15920" t="str">
            <v>ASV21614</v>
          </cell>
          <cell r="H15920" t="str">
            <v>g__Lactobacillus</v>
          </cell>
          <cell r="I15920" t="str">
            <v>s__unclassified_g__Lactobacillus</v>
          </cell>
        </row>
        <row r="15921">
          <cell r="G15921" t="str">
            <v>ASV21265</v>
          </cell>
          <cell r="H15921" t="str">
            <v>g__unclassified_k__norank_d__Bacteria</v>
          </cell>
          <cell r="I15921" t="str">
            <v>s__unclassified_k__norank_d__Bacteria</v>
          </cell>
        </row>
        <row r="15922">
          <cell r="G15922" t="str">
            <v>ASV3255</v>
          </cell>
          <cell r="H15922" t="str">
            <v>g__Bacteroides</v>
          </cell>
          <cell r="I15922" t="str">
            <v>s__unclassified_g__Bacteroides</v>
          </cell>
        </row>
        <row r="15923">
          <cell r="G15923" t="str">
            <v>ASV10102</v>
          </cell>
          <cell r="H15923" t="str">
            <v>g__Veillonella</v>
          </cell>
          <cell r="I15923" t="str">
            <v>s__unclassified_g__Veillonella</v>
          </cell>
        </row>
        <row r="15924">
          <cell r="G15924" t="str">
            <v>ASV2244</v>
          </cell>
          <cell r="H15924" t="str">
            <v>g__unclassified_c__Clostridia</v>
          </cell>
          <cell r="I15924" t="str">
            <v>s__unclassified_c__Clostridia</v>
          </cell>
        </row>
        <row r="15925">
          <cell r="G15925" t="str">
            <v>ASV16527</v>
          </cell>
          <cell r="H15925" t="str">
            <v>g__Blautia</v>
          </cell>
          <cell r="I15925" t="str">
            <v>s__unclassified_g__Blautia</v>
          </cell>
        </row>
        <row r="15926">
          <cell r="G15926" t="str">
            <v>ASV21260</v>
          </cell>
          <cell r="H15926" t="str">
            <v>g__Fusobacterium</v>
          </cell>
          <cell r="I15926" t="str">
            <v>s__unclassified_g__Fusobacterium</v>
          </cell>
        </row>
        <row r="15927">
          <cell r="G15927" t="str">
            <v>ASV7955</v>
          </cell>
          <cell r="H15927" t="str">
            <v>g__unclassified_o__Oscillospirales</v>
          </cell>
          <cell r="I15927" t="str">
            <v>s__unclassified_o__Oscillospirales</v>
          </cell>
        </row>
        <row r="15928">
          <cell r="G15928" t="str">
            <v>ASV4118</v>
          </cell>
          <cell r="H15928" t="str">
            <v>g__Megasphaera</v>
          </cell>
          <cell r="I15928" t="str">
            <v>s__unclassified_g__Megasphaera</v>
          </cell>
        </row>
        <row r="15929">
          <cell r="G15929" t="str">
            <v>ASV14456</v>
          </cell>
          <cell r="H15929" t="str">
            <v>g__unclassified_c__Clostridia</v>
          </cell>
          <cell r="I15929" t="str">
            <v>s__unclassified_c__Clostridia</v>
          </cell>
        </row>
        <row r="15930">
          <cell r="G15930" t="str">
            <v>ASV791</v>
          </cell>
          <cell r="H15930" t="str">
            <v>g__unclassified_c__Clostridia</v>
          </cell>
          <cell r="I15930" t="str">
            <v>s__unclassified_c__Clostridia</v>
          </cell>
        </row>
        <row r="15931">
          <cell r="G15931" t="str">
            <v>ASV4947</v>
          </cell>
          <cell r="H15931" t="str">
            <v>g__Treponema</v>
          </cell>
          <cell r="I15931" t="str">
            <v>s__unclassified_g__Treponema</v>
          </cell>
        </row>
        <row r="15932">
          <cell r="G15932" t="str">
            <v>ASV10036</v>
          </cell>
          <cell r="H15932" t="str">
            <v>g__Desulfovibrio</v>
          </cell>
          <cell r="I15932" t="str">
            <v>s__bacterium_New_Zealand_D</v>
          </cell>
        </row>
        <row r="15933">
          <cell r="G15933" t="str">
            <v>ASV999</v>
          </cell>
          <cell r="H15933" t="str">
            <v>g__norank_f__norank_o__Clostridia_vadinBB60_group</v>
          </cell>
          <cell r="I15933" t="str">
            <v>s__unclassified_g__norank_f__norank_o__Clostridia_vadinBB60_group</v>
          </cell>
        </row>
        <row r="15934">
          <cell r="G15934" t="str">
            <v>ASV6031</v>
          </cell>
          <cell r="H15934" t="str">
            <v>g__Bacteroides</v>
          </cell>
          <cell r="I15934" t="str">
            <v>s__unclassified_g__Bacteroides</v>
          </cell>
        </row>
        <row r="15935">
          <cell r="G15935" t="str">
            <v>ASV22409</v>
          </cell>
          <cell r="H15935" t="str">
            <v>g__unclassified_f__Lachnospiraceae</v>
          </cell>
          <cell r="I15935" t="str">
            <v>s__unclassified_f__Lachnospiraceae</v>
          </cell>
        </row>
        <row r="15936">
          <cell r="G15936" t="str">
            <v>ASV20826</v>
          </cell>
          <cell r="H15936" t="str">
            <v>g__Peptococcus</v>
          </cell>
          <cell r="I15936" t="str">
            <v>s__unclassified_g__Peptococcus</v>
          </cell>
        </row>
        <row r="15937">
          <cell r="G15937" t="str">
            <v>ASV9583</v>
          </cell>
          <cell r="H15937" t="str">
            <v>g__unclassified_f__Lachnospiraceae</v>
          </cell>
          <cell r="I15937" t="str">
            <v>s__unclassified_f__Lachnospiraceae</v>
          </cell>
        </row>
        <row r="15938">
          <cell r="G15938" t="str">
            <v>ASV18192</v>
          </cell>
          <cell r="H15938" t="str">
            <v>g__unclassified_c__Clostridia</v>
          </cell>
          <cell r="I15938" t="str">
            <v>s__unclassified_c__Clostridia</v>
          </cell>
        </row>
        <row r="15939">
          <cell r="G15939" t="str">
            <v>ASV931</v>
          </cell>
          <cell r="H15939" t="str">
            <v>g__unclassified_k__norank_d__Bacteria</v>
          </cell>
          <cell r="I15939" t="str">
            <v>s__unclassified_k__norank_d__Bacteria</v>
          </cell>
        </row>
        <row r="15940">
          <cell r="G15940" t="str">
            <v>ASV21270</v>
          </cell>
          <cell r="H15940" t="str">
            <v>g__Mitsuokella</v>
          </cell>
          <cell r="I15940" t="str">
            <v>s__unclassified_g__Mitsuokella</v>
          </cell>
        </row>
        <row r="15941">
          <cell r="G15941" t="str">
            <v>ASV1694</v>
          </cell>
          <cell r="H15941" t="str">
            <v>g__unclassified_p__Firmicutes</v>
          </cell>
          <cell r="I15941" t="str">
            <v>s__unclassified_p__Firmicutes</v>
          </cell>
        </row>
        <row r="15942">
          <cell r="G15942" t="str">
            <v>ASV10730</v>
          </cell>
          <cell r="H15942" t="str">
            <v>g__unclassified_p__Firmicutes</v>
          </cell>
          <cell r="I15942" t="str">
            <v>s__unclassified_p__Firmicutes</v>
          </cell>
        </row>
        <row r="15943">
          <cell r="G15943" t="str">
            <v>ASV23436</v>
          </cell>
          <cell r="H15943" t="str">
            <v>g__unclassified_c__Clostridia</v>
          </cell>
          <cell r="I15943" t="str">
            <v>s__unclassified_c__Clostridia</v>
          </cell>
        </row>
        <row r="15944">
          <cell r="G15944" t="str">
            <v>ASV15543</v>
          </cell>
          <cell r="H15944" t="str">
            <v>g__unclassified_f__Anaerovoracaceae</v>
          </cell>
          <cell r="I15944" t="str">
            <v>s__unclassified_f__Anaerovoracaceae</v>
          </cell>
        </row>
        <row r="15945">
          <cell r="G15945" t="str">
            <v>ASV13532</v>
          </cell>
          <cell r="H15945" t="str">
            <v>g__Faecalicoccus</v>
          </cell>
          <cell r="I15945" t="str">
            <v>s__unclassified_g__Faecalicoccus</v>
          </cell>
        </row>
        <row r="15946">
          <cell r="G15946" t="str">
            <v>ASV22326</v>
          </cell>
          <cell r="H15946" t="str">
            <v>g__NK4A214_group</v>
          </cell>
          <cell r="I15946" t="str">
            <v>s__uncultured_bacterium_g__NK4A214_group</v>
          </cell>
        </row>
        <row r="15947">
          <cell r="G15947" t="str">
            <v>ASV8642</v>
          </cell>
          <cell r="H15947" t="str">
            <v>g__unclassified_k__norank_d__Bacteria</v>
          </cell>
          <cell r="I15947" t="str">
            <v>s__unclassified_k__norank_d__Bacteria</v>
          </cell>
        </row>
        <row r="15948">
          <cell r="G15948" t="str">
            <v>ASV903</v>
          </cell>
          <cell r="H15948" t="str">
            <v>g__unclassified_f__Ruminococcaceae</v>
          </cell>
          <cell r="I15948" t="str">
            <v>s__unclassified_f__Ruminococcaceae</v>
          </cell>
        </row>
        <row r="15949">
          <cell r="G15949" t="str">
            <v>ASV14533</v>
          </cell>
          <cell r="H15949" t="str">
            <v>g__Christensenellaceae_R-7_group</v>
          </cell>
          <cell r="I15949" t="str">
            <v>s__unclassified_g__Christensenellaceae_R-7_group</v>
          </cell>
        </row>
        <row r="15950">
          <cell r="G15950" t="str">
            <v>ASV10700</v>
          </cell>
          <cell r="H15950" t="str">
            <v>g__unclassified_f__Oscillospiraceae</v>
          </cell>
          <cell r="I15950" t="str">
            <v>s__unclassified_f__Oscillospiraceae</v>
          </cell>
        </row>
        <row r="15951">
          <cell r="G15951" t="str">
            <v>ASV7927</v>
          </cell>
          <cell r="H15951" t="str">
            <v>g__Lactobacillus</v>
          </cell>
          <cell r="I15951" t="str">
            <v>s__unclassified_g__Lactobacillus</v>
          </cell>
        </row>
        <row r="15952">
          <cell r="G15952" t="str">
            <v>ASV973</v>
          </cell>
          <cell r="H15952" t="str">
            <v>g__unclassified_c__Clostridia</v>
          </cell>
          <cell r="I15952" t="str">
            <v>s__unclassified_c__Clostridia</v>
          </cell>
        </row>
        <row r="15953">
          <cell r="G15953" t="str">
            <v>ASV11719</v>
          </cell>
          <cell r="H15953" t="str">
            <v>g__norank_f__Muribaculaceae</v>
          </cell>
          <cell r="I15953" t="str">
            <v>s__uncultured_bacterium_g__norank_f__Muribaculaceae</v>
          </cell>
        </row>
        <row r="15954">
          <cell r="G15954" t="str">
            <v>ASV6039</v>
          </cell>
          <cell r="H15954" t="str">
            <v>g__unclassified_f__Synergistaceae</v>
          </cell>
          <cell r="I15954" t="str">
            <v>s__unclassified_f__Synergistaceae</v>
          </cell>
        </row>
        <row r="15955">
          <cell r="G15955" t="str">
            <v>ASV6075</v>
          </cell>
          <cell r="H15955" t="str">
            <v>g__Synergistes</v>
          </cell>
          <cell r="I15955" t="str">
            <v>s__Synergistes_jonesii</v>
          </cell>
        </row>
        <row r="15956">
          <cell r="G15956" t="str">
            <v>ASV11728</v>
          </cell>
          <cell r="H15956" t="str">
            <v>g__unclassified_f__Peptostreptococcaceae</v>
          </cell>
          <cell r="I15956" t="str">
            <v>s__unclassified_f__Peptostreptococcaceae</v>
          </cell>
        </row>
        <row r="15957">
          <cell r="G15957" t="str">
            <v>ASV11901</v>
          </cell>
          <cell r="H15957" t="str">
            <v>g__unclassified_o__Oscillospirales</v>
          </cell>
          <cell r="I15957" t="str">
            <v>s__unclassified_o__Oscillospirales</v>
          </cell>
        </row>
        <row r="15958">
          <cell r="G15958" t="str">
            <v>ASV19783</v>
          </cell>
          <cell r="H15958" t="str">
            <v>g__Christensenellaceae_R-7_group</v>
          </cell>
          <cell r="I15958" t="str">
            <v>s__unclassified_g__Christensenellaceae_R-7_group</v>
          </cell>
        </row>
        <row r="15959">
          <cell r="G15959" t="str">
            <v>ASV16963</v>
          </cell>
          <cell r="H15959" t="str">
            <v>g__unclassified_f__Lachnospiraceae</v>
          </cell>
          <cell r="I15959" t="str">
            <v>s__unclassified_f__Lachnospiraceae</v>
          </cell>
        </row>
        <row r="15960">
          <cell r="G15960" t="str">
            <v>ASV4893</v>
          </cell>
          <cell r="H15960" t="str">
            <v>g__norank_f__Muribaculaceae</v>
          </cell>
          <cell r="I15960" t="str">
            <v>s__uncultured_bacterium_g__norank_f__Muribaculaceae</v>
          </cell>
        </row>
        <row r="15961">
          <cell r="G15961" t="str">
            <v>ASV11739</v>
          </cell>
          <cell r="H15961" t="str">
            <v>g__unclassified_o__Oscillospirales</v>
          </cell>
          <cell r="I15961" t="str">
            <v>s__unclassified_o__Oscillospirales</v>
          </cell>
        </row>
        <row r="15962">
          <cell r="G15962" t="str">
            <v>ASV22280</v>
          </cell>
          <cell r="H15962" t="str">
            <v>g__norank_f__norank_o__RF39</v>
          </cell>
          <cell r="I15962" t="str">
            <v>s__uncultured_bacterium_g__norank_f__norank_o__RF39</v>
          </cell>
        </row>
        <row r="15963">
          <cell r="G15963" t="str">
            <v>ASV788</v>
          </cell>
          <cell r="H15963" t="str">
            <v>g__norank_f__Muribaculaceae</v>
          </cell>
          <cell r="I15963" t="str">
            <v>s__uncultured_bacterium_g__norank_f__Muribaculaceae</v>
          </cell>
        </row>
        <row r="15964">
          <cell r="G15964" t="str">
            <v>ASV21652</v>
          </cell>
          <cell r="H15964" t="str">
            <v>g__Megasphaera</v>
          </cell>
          <cell r="I15964" t="str">
            <v>s__unclassified_g__Megasphaera</v>
          </cell>
        </row>
        <row r="15965">
          <cell r="G15965" t="str">
            <v>ASV10313</v>
          </cell>
          <cell r="H15965" t="str">
            <v>g__unclassified_p__Firmicutes</v>
          </cell>
          <cell r="I15965" t="str">
            <v>s__unclassified_p__Firmicutes</v>
          </cell>
        </row>
        <row r="15966">
          <cell r="G15966" t="str">
            <v>ASV1744</v>
          </cell>
          <cell r="H15966" t="str">
            <v>g__unclassified_k__norank_d__Bacteria</v>
          </cell>
          <cell r="I15966" t="str">
            <v>s__unclassified_k__norank_d__Bacteria</v>
          </cell>
        </row>
        <row r="15967">
          <cell r="G15967" t="str">
            <v>ASV11762</v>
          </cell>
          <cell r="H15967" t="str">
            <v>g__unclassified_p__Firmicutes</v>
          </cell>
          <cell r="I15967" t="str">
            <v>s__unclassified_p__Firmicutes</v>
          </cell>
        </row>
        <row r="15968">
          <cell r="G15968" t="str">
            <v>ASV20844</v>
          </cell>
          <cell r="H15968" t="str">
            <v>g__unclassified_f__Lachnospiraceae</v>
          </cell>
          <cell r="I15968" t="str">
            <v>s__unclassified_f__Lachnospiraceae</v>
          </cell>
        </row>
        <row r="15969">
          <cell r="G15969" t="str">
            <v>ASV19679</v>
          </cell>
          <cell r="H15969" t="str">
            <v>g__unclassified_f__Ruminococcaceae</v>
          </cell>
          <cell r="I15969" t="str">
            <v>s__unclassified_f__Ruminococcaceae</v>
          </cell>
        </row>
        <row r="15970">
          <cell r="G15970" t="str">
            <v>ASV18622</v>
          </cell>
          <cell r="H15970" t="str">
            <v>g__unclassified_p__Firmicutes</v>
          </cell>
          <cell r="I15970" t="str">
            <v>s__unclassified_p__Firmicutes</v>
          </cell>
        </row>
        <row r="15971">
          <cell r="G15971" t="str">
            <v>ASV21613</v>
          </cell>
          <cell r="H15971" t="str">
            <v>g__unclassified_p__Firmicutes</v>
          </cell>
          <cell r="I15971" t="str">
            <v>s__unclassified_p__Firmicutes</v>
          </cell>
        </row>
        <row r="15972">
          <cell r="G15972" t="str">
            <v>ASV15997</v>
          </cell>
          <cell r="H15972" t="str">
            <v>g__Butyricicoccus</v>
          </cell>
          <cell r="I15972" t="str">
            <v>s__unclassified_g__Butyricicoccus</v>
          </cell>
        </row>
        <row r="15973">
          <cell r="G15973" t="str">
            <v>ASV10822</v>
          </cell>
          <cell r="H15973" t="str">
            <v>g__unclassified_c__Clostridia</v>
          </cell>
          <cell r="I15973" t="str">
            <v>s__unclassified_c__Clostridia</v>
          </cell>
        </row>
        <row r="15974">
          <cell r="G15974" t="str">
            <v>ASV7067</v>
          </cell>
          <cell r="H15974" t="str">
            <v>g__Lactobacillus</v>
          </cell>
          <cell r="I15974" t="str">
            <v>s__unclassified_g__Lactobacillus</v>
          </cell>
        </row>
        <row r="15975">
          <cell r="G15975" t="str">
            <v>ASV19781</v>
          </cell>
          <cell r="H15975" t="str">
            <v>g__Monoglobus</v>
          </cell>
          <cell r="I15975" t="str">
            <v>s__uncultured_bacterium_g__Monoglobus</v>
          </cell>
        </row>
        <row r="15976">
          <cell r="G15976" t="str">
            <v>ASV22380</v>
          </cell>
          <cell r="H15976" t="str">
            <v>g__unclassified_f__Lachnospiraceae</v>
          </cell>
          <cell r="I15976" t="str">
            <v>s__unclassified_f__Lachnospiraceae</v>
          </cell>
        </row>
        <row r="15977">
          <cell r="G15977" t="str">
            <v>ASV6130</v>
          </cell>
          <cell r="H15977" t="str">
            <v>g__unclassified_f__Lachnospiraceae</v>
          </cell>
          <cell r="I15977" t="str">
            <v>s__unclassified_f__Lachnospiraceae</v>
          </cell>
        </row>
        <row r="15978">
          <cell r="G15978" t="str">
            <v>ASV17622</v>
          </cell>
          <cell r="H15978" t="str">
            <v>g__Lachnospiraceae_UCG-004</v>
          </cell>
          <cell r="I15978" t="str">
            <v>s__unclassified_g__Lachnospiraceae_UCG-004</v>
          </cell>
        </row>
        <row r="15979">
          <cell r="G15979" t="str">
            <v>ASV18090</v>
          </cell>
          <cell r="H15979" t="str">
            <v>g__unclassified_o__Oscillospirales</v>
          </cell>
          <cell r="I15979" t="str">
            <v>s__unclassified_o__Oscillospirales</v>
          </cell>
        </row>
        <row r="15980">
          <cell r="G15980" t="str">
            <v>ASV12913</v>
          </cell>
          <cell r="H15980" t="str">
            <v>g__Enterococcus</v>
          </cell>
          <cell r="I15980" t="str">
            <v>s__unclassified_g__Enterococcus</v>
          </cell>
        </row>
        <row r="15981">
          <cell r="G15981" t="str">
            <v>ASV5942</v>
          </cell>
          <cell r="H15981" t="str">
            <v>g__unclassified_f__Lachnospiraceae</v>
          </cell>
          <cell r="I15981" t="str">
            <v>s__unclassified_f__Lachnospiraceae</v>
          </cell>
        </row>
        <row r="15982">
          <cell r="G15982" t="str">
            <v>ASV5017</v>
          </cell>
          <cell r="H15982" t="str">
            <v>g__norank_f__Erysipelotrichaceae</v>
          </cell>
          <cell r="I15982" t="str">
            <v>s__uncultured_bacterium_g__norank_f__Erysipelotrichaceae</v>
          </cell>
        </row>
        <row r="15983">
          <cell r="G15983" t="str">
            <v>ASV16965</v>
          </cell>
          <cell r="H15983" t="str">
            <v>g__Bacteroides</v>
          </cell>
          <cell r="I15983" t="str">
            <v>s__unclassified_g__Bacteroides</v>
          </cell>
        </row>
        <row r="15984">
          <cell r="G15984" t="str">
            <v>ASV9525</v>
          </cell>
          <cell r="H15984" t="str">
            <v>g__unclassified_p__Firmicutes</v>
          </cell>
          <cell r="I15984" t="str">
            <v>s__unclassified_p__Firmicutes</v>
          </cell>
        </row>
        <row r="15985">
          <cell r="G15985" t="str">
            <v>ASV23294</v>
          </cell>
          <cell r="H15985" t="str">
            <v>g__Fusobacterium</v>
          </cell>
          <cell r="I15985" t="str">
            <v>s__unclassified_g__Fusobacterium</v>
          </cell>
        </row>
        <row r="15986">
          <cell r="G15986" t="str">
            <v>ASV22303</v>
          </cell>
          <cell r="H15986" t="str">
            <v>g__unclassified_f__Lachnospiraceae</v>
          </cell>
          <cell r="I15986" t="str">
            <v>s__unclassified_f__Lachnospiraceae</v>
          </cell>
        </row>
        <row r="15987">
          <cell r="G15987" t="str">
            <v>ASV11965</v>
          </cell>
          <cell r="H15987" t="str">
            <v>g__Escherichia-Shigella</v>
          </cell>
          <cell r="I15987" t="str">
            <v>s__unclassified_g__Escherichia-Shigella</v>
          </cell>
        </row>
        <row r="15988">
          <cell r="G15988" t="str">
            <v>ASV4078</v>
          </cell>
          <cell r="H15988" t="str">
            <v>g__unclassified_c__Clostridia</v>
          </cell>
          <cell r="I15988" t="str">
            <v>s__unclassified_c__Clostridia</v>
          </cell>
        </row>
        <row r="15989">
          <cell r="G15989" t="str">
            <v>ASV7974</v>
          </cell>
          <cell r="H15989" t="str">
            <v>g__Lactobacillus</v>
          </cell>
          <cell r="I15989" t="str">
            <v>s__unclassified_g__Lactobacillus</v>
          </cell>
        </row>
        <row r="15990">
          <cell r="G15990" t="str">
            <v>ASV15449</v>
          </cell>
          <cell r="H15990" t="str">
            <v>g__unclassified_c__Clostridia</v>
          </cell>
          <cell r="I15990" t="str">
            <v>s__unclassified_c__Clostridia</v>
          </cell>
        </row>
        <row r="15991">
          <cell r="G15991" t="str">
            <v>ASV23342</v>
          </cell>
          <cell r="H15991" t="str">
            <v>g__unclassified_c__Clostridia</v>
          </cell>
          <cell r="I15991" t="str">
            <v>s__unclassified_c__Clostridia</v>
          </cell>
        </row>
        <row r="15992">
          <cell r="G15992" t="str">
            <v>ASV7802</v>
          </cell>
          <cell r="H15992" t="str">
            <v>g__Streptococcus</v>
          </cell>
          <cell r="I15992" t="str">
            <v>s__unclassified_g__Streptococcus</v>
          </cell>
        </row>
        <row r="15993">
          <cell r="G15993" t="str">
            <v>ASV24237</v>
          </cell>
          <cell r="H15993" t="str">
            <v>g__unclassified_f__Lachnospiraceae</v>
          </cell>
          <cell r="I15993" t="str">
            <v>s__unclassified_f__Lachnospiraceae</v>
          </cell>
        </row>
        <row r="15994">
          <cell r="G15994" t="str">
            <v>ASV18228</v>
          </cell>
          <cell r="H15994" t="str">
            <v>g__unclassified_o__Oscillospirales</v>
          </cell>
          <cell r="I15994" t="str">
            <v>s__unclassified_o__Oscillospirales</v>
          </cell>
        </row>
        <row r="15995">
          <cell r="G15995" t="str">
            <v>ASV8543</v>
          </cell>
          <cell r="H15995" t="str">
            <v>g__Prevotella</v>
          </cell>
          <cell r="I15995" t="str">
            <v>s__unclassified_g__Prevotella</v>
          </cell>
        </row>
        <row r="15996">
          <cell r="G15996" t="str">
            <v>ASV13494</v>
          </cell>
          <cell r="H15996" t="str">
            <v>g__unclassified_c__Clostridia</v>
          </cell>
          <cell r="I15996" t="str">
            <v>s__unclassified_c__Clostridia</v>
          </cell>
        </row>
        <row r="15997">
          <cell r="G15997" t="str">
            <v>ASV845</v>
          </cell>
          <cell r="H15997" t="str">
            <v>g__unclassified_p__Firmicutes</v>
          </cell>
          <cell r="I15997" t="str">
            <v>s__unclassified_p__Firmicutes</v>
          </cell>
        </row>
        <row r="15998">
          <cell r="G15998" t="str">
            <v>ASV14537</v>
          </cell>
          <cell r="H15998" t="str">
            <v>g__Corynebacterium</v>
          </cell>
          <cell r="I15998" t="str">
            <v>s__unclassified_g__Corynebacterium</v>
          </cell>
        </row>
        <row r="15999">
          <cell r="G15999" t="str">
            <v>ASV3512</v>
          </cell>
          <cell r="H15999" t="str">
            <v>g__unclassified_k__norank_d__Bacteria</v>
          </cell>
          <cell r="I15999" t="str">
            <v>s__unclassified_k__norank_d__Bacteria</v>
          </cell>
        </row>
        <row r="16000">
          <cell r="G16000" t="str">
            <v>ASV5987</v>
          </cell>
          <cell r="H16000" t="str">
            <v>g__unclassified_o__Oscillospirales</v>
          </cell>
          <cell r="I16000" t="str">
            <v>s__unclassified_o__Oscillospirales</v>
          </cell>
        </row>
        <row r="16001">
          <cell r="G16001" t="str">
            <v>ASV18913</v>
          </cell>
          <cell r="H16001" t="str">
            <v>g__norank_f__Muribaculaceae</v>
          </cell>
          <cell r="I16001" t="str">
            <v>s__uncultured_bacterium_g__norank_f__Muribaculaceae</v>
          </cell>
        </row>
        <row r="16002">
          <cell r="G16002" t="str">
            <v>ASV9554</v>
          </cell>
          <cell r="H16002" t="str">
            <v>g__Escherichia-Shigella</v>
          </cell>
          <cell r="I16002" t="str">
            <v>s__unclassified_g__Escherichia-Shigella</v>
          </cell>
        </row>
        <row r="16003">
          <cell r="G16003" t="str">
            <v>ASV15834</v>
          </cell>
          <cell r="H16003" t="str">
            <v>g__Bacillus</v>
          </cell>
          <cell r="I16003" t="str">
            <v>s__Lactobacillus_vaginalis_g__Bacillus</v>
          </cell>
        </row>
        <row r="16004">
          <cell r="G16004" t="str">
            <v>ASV7963</v>
          </cell>
          <cell r="H16004" t="str">
            <v>g__unclassified_c__Clostridia</v>
          </cell>
          <cell r="I16004" t="str">
            <v>s__unclassified_c__Clostridia</v>
          </cell>
        </row>
        <row r="16005">
          <cell r="G16005" t="str">
            <v>ASV2285</v>
          </cell>
          <cell r="H16005" t="str">
            <v>g__Lactobacillus</v>
          </cell>
          <cell r="I16005" t="str">
            <v>s__unclassified_g__Lactobacillus</v>
          </cell>
        </row>
        <row r="16006">
          <cell r="G16006" t="str">
            <v>ASV12853</v>
          </cell>
          <cell r="H16006" t="str">
            <v>g__norank_f__Eubacterium_coprostanoligenes_group</v>
          </cell>
          <cell r="I16006" t="str">
            <v>s__uncultured_bacterium_g__norank_f__Eubacterium_coprostanoligenes_group</v>
          </cell>
        </row>
        <row r="16007">
          <cell r="G16007" t="str">
            <v>ASV15456</v>
          </cell>
          <cell r="H16007" t="str">
            <v>g__norank_f__Eubacterium_coprostanoligenes_group</v>
          </cell>
          <cell r="I16007" t="str">
            <v>s__unclassified_g__norank_f__Eubacterium_coprostanoligenes_group</v>
          </cell>
        </row>
        <row r="16008">
          <cell r="G16008" t="str">
            <v>ASV8515</v>
          </cell>
          <cell r="H16008" t="str">
            <v>g__unclassified_o__Veillonellales-Selenomonadales</v>
          </cell>
          <cell r="I16008" t="str">
            <v>s__unclassified_o__Veillonellales-Selenomonadales</v>
          </cell>
        </row>
        <row r="16009">
          <cell r="G16009" t="str">
            <v>ASV16515</v>
          </cell>
          <cell r="H16009" t="str">
            <v>g__unclassified_c__Clostridia</v>
          </cell>
          <cell r="I16009" t="str">
            <v>s__unclassified_c__Clostridia</v>
          </cell>
        </row>
        <row r="16010">
          <cell r="G16010" t="str">
            <v>ASV23774</v>
          </cell>
          <cell r="H16010" t="str">
            <v>g__unclassified_c__Clostridia</v>
          </cell>
          <cell r="I16010" t="str">
            <v>s__unclassified_c__Clostridia</v>
          </cell>
        </row>
        <row r="16011">
          <cell r="G16011" t="str">
            <v>ASV19765</v>
          </cell>
          <cell r="H16011" t="str">
            <v>g__Pseudoflavonifractor</v>
          </cell>
          <cell r="I16011" t="str">
            <v>s__uncultured_bacterium_g__Pseudoflavonifractor</v>
          </cell>
        </row>
        <row r="16012">
          <cell r="G16012" t="str">
            <v>ASV12840</v>
          </cell>
          <cell r="H16012" t="str">
            <v>g__unclassified_c__Clostridia</v>
          </cell>
          <cell r="I16012" t="str">
            <v>s__unclassified_c__Clostridia</v>
          </cell>
        </row>
        <row r="16013">
          <cell r="G16013" t="str">
            <v>ASV7355</v>
          </cell>
          <cell r="H16013" t="str">
            <v>g__Campylobacter</v>
          </cell>
          <cell r="I16013" t="str">
            <v>s__unclassified_g__Campylobacter</v>
          </cell>
        </row>
        <row r="16014">
          <cell r="G16014" t="str">
            <v>ASV14491</v>
          </cell>
          <cell r="H16014" t="str">
            <v>g__Rikenellaceae_RC9_gut_group</v>
          </cell>
          <cell r="I16014" t="str">
            <v>s__uncultured_bacterium_g__Rikenellaceae_RC9_gut_group</v>
          </cell>
        </row>
        <row r="16015">
          <cell r="G16015" t="str">
            <v>ASV1017</v>
          </cell>
          <cell r="H16015" t="str">
            <v>g__unclassified_o__Oscillospirales</v>
          </cell>
          <cell r="I16015" t="str">
            <v>s__unclassified_o__Oscillospirales</v>
          </cell>
        </row>
        <row r="16016">
          <cell r="G16016" t="str">
            <v>ASV16016</v>
          </cell>
          <cell r="H16016" t="str">
            <v>g__unclassified_f__Veillonellaceae</v>
          </cell>
          <cell r="I16016" t="str">
            <v>s__unclassified_f__Veillonellaceae</v>
          </cell>
        </row>
        <row r="16017">
          <cell r="G16017" t="str">
            <v>ASV22371</v>
          </cell>
          <cell r="H16017" t="str">
            <v>g__unclassified_f__Oscillospiraceae</v>
          </cell>
          <cell r="I16017" t="str">
            <v>s__unclassified_f__Oscillospiraceae</v>
          </cell>
        </row>
        <row r="16018">
          <cell r="G16018" t="str">
            <v>ASV13733</v>
          </cell>
          <cell r="H16018" t="str">
            <v>g__Mitsuokella</v>
          </cell>
          <cell r="I16018" t="str">
            <v>s__unclassified_g__Mitsuokella</v>
          </cell>
        </row>
        <row r="16019">
          <cell r="G16019" t="str">
            <v>ASV3235</v>
          </cell>
          <cell r="H16019" t="str">
            <v>g__Streptococcus</v>
          </cell>
          <cell r="I16019" t="str">
            <v>s__unclassified_g__Streptococcus</v>
          </cell>
        </row>
        <row r="16020">
          <cell r="G16020" t="str">
            <v>ASV10217</v>
          </cell>
          <cell r="H16020" t="str">
            <v>g__Lactobacillus</v>
          </cell>
          <cell r="I16020" t="str">
            <v>s__unclassified_g__Lactobacillus</v>
          </cell>
        </row>
        <row r="16021">
          <cell r="G16021" t="str">
            <v>ASV20274</v>
          </cell>
          <cell r="H16021" t="str">
            <v>g__Paraeggerthella</v>
          </cell>
          <cell r="I16021" t="str">
            <v>s__unclassified_g__Paraeggerthella</v>
          </cell>
        </row>
        <row r="16022">
          <cell r="G16022" t="str">
            <v>ASV14345</v>
          </cell>
          <cell r="H16022" t="str">
            <v>g__unclassified_f__Prevotellaceae</v>
          </cell>
          <cell r="I16022" t="str">
            <v>s__unclassified_f__Prevotellaceae</v>
          </cell>
        </row>
        <row r="16023">
          <cell r="G16023" t="str">
            <v>ASV16061</v>
          </cell>
          <cell r="H16023" t="str">
            <v>g__Fusobacterium</v>
          </cell>
          <cell r="I16023" t="str">
            <v>s__Bacillus_bogoriensis_ATCC_BAA-922</v>
          </cell>
        </row>
        <row r="16024">
          <cell r="G16024" t="str">
            <v>ASV7951</v>
          </cell>
          <cell r="H16024" t="str">
            <v>g__Lactobacillus</v>
          </cell>
          <cell r="I16024" t="str">
            <v>s__unclassified_g__Lactobacillus</v>
          </cell>
        </row>
        <row r="16025">
          <cell r="G16025" t="str">
            <v>ASV16006</v>
          </cell>
          <cell r="H16025" t="str">
            <v>g__unclassified_o__Lactobacillales</v>
          </cell>
          <cell r="I16025" t="str">
            <v>s__unclassified_o__Lactobacillales</v>
          </cell>
        </row>
        <row r="16026">
          <cell r="G16026" t="str">
            <v>ASV4884</v>
          </cell>
          <cell r="H16026" t="str">
            <v>g__Anaerofustis</v>
          </cell>
          <cell r="I16026" t="str">
            <v>s__uncultured_bacterium_g__Anaerofustis</v>
          </cell>
        </row>
        <row r="16027">
          <cell r="G16027" t="str">
            <v>ASV15830</v>
          </cell>
          <cell r="H16027" t="str">
            <v>g__Veillonella</v>
          </cell>
          <cell r="I16027" t="str">
            <v>s__bacterium_RA2114</v>
          </cell>
        </row>
        <row r="16028">
          <cell r="G16028" t="str">
            <v>ASV7947</v>
          </cell>
          <cell r="H16028" t="str">
            <v>g__Corynebacterium</v>
          </cell>
          <cell r="I16028" t="str">
            <v>s__unclassified_g__Corynebacterium</v>
          </cell>
        </row>
        <row r="16029">
          <cell r="G16029" t="str">
            <v>ASV11912</v>
          </cell>
          <cell r="H16029" t="str">
            <v>g__Treponema</v>
          </cell>
          <cell r="I16029" t="str">
            <v>s__uncultured_bacterium_g__Treponema</v>
          </cell>
        </row>
        <row r="16030">
          <cell r="G16030" t="str">
            <v>ASV7892</v>
          </cell>
          <cell r="H16030" t="str">
            <v>g__NK4A214_group</v>
          </cell>
          <cell r="I16030" t="str">
            <v>s__unclassified_g__NK4A214_group</v>
          </cell>
        </row>
        <row r="16031">
          <cell r="G16031" t="str">
            <v>ASV20899</v>
          </cell>
          <cell r="H16031" t="str">
            <v>g__norank_f__Eubacterium_coprostanoligenes_group</v>
          </cell>
          <cell r="I16031" t="str">
            <v>s__uncultured_bacterium_g__norank_f__Eubacterium_coprostanoligenes_group</v>
          </cell>
        </row>
        <row r="16032">
          <cell r="G16032" t="str">
            <v>ASV14427</v>
          </cell>
          <cell r="H16032" t="str">
            <v>g__unclassified_o__Oscillospirales</v>
          </cell>
          <cell r="I16032" t="str">
            <v>s__unclassified_o__Oscillospirales</v>
          </cell>
        </row>
        <row r="16033">
          <cell r="G16033" t="str">
            <v>ASV15993</v>
          </cell>
          <cell r="H16033" t="str">
            <v>g__Terrisporobacter</v>
          </cell>
          <cell r="I16033" t="str">
            <v>s__unclassified_g__Terrisporobacter</v>
          </cell>
        </row>
        <row r="16034">
          <cell r="G16034" t="str">
            <v>ASV20954</v>
          </cell>
          <cell r="H16034" t="str">
            <v>g__unclassified_f__Lachnospiraceae</v>
          </cell>
          <cell r="I16034" t="str">
            <v>s__unclassified_f__Lachnospiraceae</v>
          </cell>
        </row>
        <row r="16035">
          <cell r="G16035" t="str">
            <v>ASV18047</v>
          </cell>
          <cell r="H16035" t="str">
            <v>g__unclassified_c__Clostridia</v>
          </cell>
          <cell r="I16035" t="str">
            <v>s__unclassified_c__Clostridia</v>
          </cell>
        </row>
        <row r="16036">
          <cell r="G16036" t="str">
            <v>ASV7881</v>
          </cell>
          <cell r="H16036" t="str">
            <v>g__Enterorhabdus</v>
          </cell>
          <cell r="I16036" t="str">
            <v>s__uncultured_bacterium_g__Enterorhabdus</v>
          </cell>
        </row>
        <row r="16037">
          <cell r="G16037" t="str">
            <v>ASV1052</v>
          </cell>
          <cell r="H16037" t="str">
            <v>g__Christensenellaceae_R-7_group</v>
          </cell>
          <cell r="I16037" t="str">
            <v>s__uncultured_spirochete_g__Christensenellaceae_R-7_group</v>
          </cell>
        </row>
        <row r="16038">
          <cell r="G16038" t="str">
            <v>ASV16983</v>
          </cell>
          <cell r="H16038" t="str">
            <v>g__unclassified_f__Lachnospiraceae</v>
          </cell>
          <cell r="I16038" t="str">
            <v>s__unclassified_f__Lachnospiraceae</v>
          </cell>
        </row>
        <row r="16039">
          <cell r="G16039" t="str">
            <v>ASV17371</v>
          </cell>
          <cell r="H16039" t="str">
            <v>g__Coprococcus</v>
          </cell>
          <cell r="I16039" t="str">
            <v>s__unclassified_g__Coprococcus</v>
          </cell>
        </row>
        <row r="16040">
          <cell r="G16040" t="str">
            <v>ASV6116</v>
          </cell>
          <cell r="H16040" t="str">
            <v>g__unclassified_c__Clostridia</v>
          </cell>
          <cell r="I16040" t="str">
            <v>s__unclassified_c__Clostridia</v>
          </cell>
        </row>
        <row r="16041">
          <cell r="G16041" t="str">
            <v>ASV21503</v>
          </cell>
          <cell r="H16041" t="str">
            <v>g__Megasphaera</v>
          </cell>
          <cell r="I16041" t="str">
            <v>s__unclassified_g__Megasphaera</v>
          </cell>
        </row>
        <row r="16042">
          <cell r="G16042" t="str">
            <v>ASV18110</v>
          </cell>
          <cell r="H16042" t="str">
            <v>g__norank_f__Eubacterium_coprostanoligenes_group</v>
          </cell>
          <cell r="I16042" t="str">
            <v>s__uncultured_bacterium_g__norank_f__Eubacterium_coprostanoligenes_group</v>
          </cell>
        </row>
        <row r="16043">
          <cell r="G16043" t="str">
            <v>ASV20916</v>
          </cell>
          <cell r="H16043" t="str">
            <v>g__unclassified_f__Lachnospiraceae</v>
          </cell>
          <cell r="I16043" t="str">
            <v>s__unclassified_f__Lachnospiraceae</v>
          </cell>
        </row>
        <row r="16044">
          <cell r="G16044" t="str">
            <v>ASV11814</v>
          </cell>
          <cell r="H16044" t="str">
            <v>g__unclassified_f__Lachnospiraceae</v>
          </cell>
          <cell r="I16044" t="str">
            <v>s__unclassified_f__Lachnospiraceae</v>
          </cell>
        </row>
        <row r="16045">
          <cell r="G16045" t="str">
            <v>ASV15820</v>
          </cell>
          <cell r="H16045" t="str">
            <v>g__Dorea</v>
          </cell>
          <cell r="I16045" t="str">
            <v>s__unclassified_g__Dorea</v>
          </cell>
        </row>
        <row r="16046">
          <cell r="G16046" t="str">
            <v>ASV16483</v>
          </cell>
          <cell r="H16046" t="str">
            <v>g__unclassified_k__norank_d__Bacteria</v>
          </cell>
          <cell r="I16046" t="str">
            <v>s__unclassified_k__norank_d__Bacteria</v>
          </cell>
        </row>
        <row r="16047">
          <cell r="G16047" t="str">
            <v>ASV12947</v>
          </cell>
          <cell r="H16047" t="str">
            <v>g__unclassified_f__Lachnospiraceae</v>
          </cell>
          <cell r="I16047" t="str">
            <v>s__unclassified_f__Lachnospiraceae</v>
          </cell>
        </row>
        <row r="16048">
          <cell r="G16048" t="str">
            <v>ASV22456</v>
          </cell>
          <cell r="H16048" t="str">
            <v>g__unclassified_o__Oscillospirales</v>
          </cell>
          <cell r="I16048" t="str">
            <v>s__unclassified_o__Oscillospirales</v>
          </cell>
        </row>
        <row r="16049">
          <cell r="G16049" t="str">
            <v>ASV15466</v>
          </cell>
          <cell r="H16049" t="str">
            <v>g__Eubacterium_oxidoreducens_group</v>
          </cell>
          <cell r="I16049" t="str">
            <v>s__uncultured_bacterium_g__Eubacterium_oxidoreducens_group</v>
          </cell>
        </row>
        <row r="16050">
          <cell r="G16050" t="str">
            <v>ASV23402</v>
          </cell>
          <cell r="H16050" t="str">
            <v>g__Escherichia-Shigella</v>
          </cell>
          <cell r="I16050" t="str">
            <v>s__unclassified_g__Escherichia-Shigella</v>
          </cell>
        </row>
        <row r="16051">
          <cell r="G16051" t="str">
            <v>ASV12882</v>
          </cell>
          <cell r="H16051" t="str">
            <v>g__unclassified_f__Oscillospiraceae</v>
          </cell>
          <cell r="I16051" t="str">
            <v>s__unclassified_f__Oscillospiraceae</v>
          </cell>
        </row>
        <row r="16052">
          <cell r="G16052" t="str">
            <v>ASV18635</v>
          </cell>
          <cell r="H16052" t="str">
            <v>g__unclassified_c__Bacilli</v>
          </cell>
          <cell r="I16052" t="str">
            <v>s__unclassified_c__Bacilli</v>
          </cell>
        </row>
        <row r="16053">
          <cell r="G16053" t="str">
            <v>ASV6135</v>
          </cell>
          <cell r="H16053" t="str">
            <v>g__Turicibacter</v>
          </cell>
          <cell r="I16053" t="str">
            <v>s__unclassified_g__Turicibacter</v>
          </cell>
        </row>
        <row r="16054">
          <cell r="G16054" t="str">
            <v>ASV12815</v>
          </cell>
          <cell r="H16054" t="str">
            <v>g__Eubacterium_oxidoreducens_group</v>
          </cell>
          <cell r="I16054" t="str">
            <v>s__uncultured_bacterium_g__Eubacterium_oxidoreducens_group</v>
          </cell>
        </row>
        <row r="16055">
          <cell r="G16055" t="str">
            <v>ASV15538</v>
          </cell>
          <cell r="H16055" t="str">
            <v>g__unclassified_c__Clostridia</v>
          </cell>
          <cell r="I16055" t="str">
            <v>s__unclassified_c__Clostridia</v>
          </cell>
        </row>
        <row r="16056">
          <cell r="G16056" t="str">
            <v>ASV19827</v>
          </cell>
          <cell r="H16056" t="str">
            <v>g__Lachnospiraceae_NC2004_group</v>
          </cell>
          <cell r="I16056" t="str">
            <v>s__unclassified_g__Lachnospiraceae_NC2004_group</v>
          </cell>
        </row>
        <row r="16057">
          <cell r="G16057" t="str">
            <v>ASV9457</v>
          </cell>
          <cell r="H16057" t="str">
            <v>g__norank_f__Muribaculaceae</v>
          </cell>
          <cell r="I16057" t="str">
            <v>s__uncultured_bacterium_g__norank_f__Muribaculaceae</v>
          </cell>
        </row>
        <row r="16058">
          <cell r="G16058" t="str">
            <v>ASV9539</v>
          </cell>
          <cell r="H16058" t="str">
            <v>g__unclassified_f__Oscillospiraceae</v>
          </cell>
          <cell r="I16058" t="str">
            <v>s__unclassified_f__Oscillospiraceae</v>
          </cell>
        </row>
        <row r="16059">
          <cell r="G16059" t="str">
            <v>ASV5095</v>
          </cell>
          <cell r="H16059" t="str">
            <v>g__unclassified_c__Clostridia</v>
          </cell>
          <cell r="I16059" t="str">
            <v>s__unclassified_c__Clostridia</v>
          </cell>
        </row>
        <row r="16060">
          <cell r="G16060" t="str">
            <v>ASV10754</v>
          </cell>
          <cell r="H16060" t="str">
            <v>g__norank_f__norank_o__Clostridia_vadinBB60_group</v>
          </cell>
          <cell r="I16060" t="str">
            <v>s__unclassified_g__norank_f__norank_o__Clostridia_vadinBB60_group</v>
          </cell>
        </row>
        <row r="16061">
          <cell r="G16061" t="str">
            <v>ASV18236</v>
          </cell>
          <cell r="H16061" t="str">
            <v>g__unclassified_o__Oscillospirales</v>
          </cell>
          <cell r="I16061" t="str">
            <v>s__unclassified_o__Oscillospirales</v>
          </cell>
        </row>
        <row r="16062">
          <cell r="G16062" t="str">
            <v>ASV4105</v>
          </cell>
          <cell r="H16062" t="str">
            <v>g__unclassified_c__Bacilli</v>
          </cell>
          <cell r="I16062" t="str">
            <v>s__unclassified_c__Bacilli</v>
          </cell>
        </row>
        <row r="16063">
          <cell r="G16063" t="str">
            <v>ASV20855</v>
          </cell>
          <cell r="H16063" t="str">
            <v>g__unclassified_f__Peptostreptococcaceae</v>
          </cell>
          <cell r="I16063" t="str">
            <v>s__unclassified_f__Peptostreptococcaceae</v>
          </cell>
        </row>
        <row r="16064">
          <cell r="G16064" t="str">
            <v>ASV13808</v>
          </cell>
          <cell r="H16064" t="str">
            <v>g__unclassified_c__Clostridia</v>
          </cell>
          <cell r="I16064" t="str">
            <v>s__unclassified_c__Clostridia</v>
          </cell>
        </row>
        <row r="16065">
          <cell r="G16065" t="str">
            <v>ASV10741</v>
          </cell>
          <cell r="H16065" t="str">
            <v>g__unclassified_c__Clostridia</v>
          </cell>
          <cell r="I16065" t="str">
            <v>s__unclassified_c__Clostridia</v>
          </cell>
        </row>
        <row r="16066">
          <cell r="G16066" t="str">
            <v>ASV14484</v>
          </cell>
          <cell r="H16066" t="str">
            <v>g__Corynebacterium</v>
          </cell>
          <cell r="I16066" t="str">
            <v>s__unclassified_g__Corynebacterium</v>
          </cell>
        </row>
        <row r="16067">
          <cell r="G16067" t="str">
            <v>ASV15462</v>
          </cell>
          <cell r="H16067" t="str">
            <v>g__Candidatus_Soleaferrea</v>
          </cell>
          <cell r="I16067" t="str">
            <v>s__uncultured_bacterium_g__Candidatus_Soleaferrea</v>
          </cell>
        </row>
        <row r="16068">
          <cell r="G16068" t="str">
            <v>ASV23767</v>
          </cell>
          <cell r="H16068" t="str">
            <v>g__Catenisphaera</v>
          </cell>
          <cell r="I16068" t="str">
            <v>s__unclassified_g__Catenisphaera</v>
          </cell>
        </row>
        <row r="16069">
          <cell r="G16069" t="str">
            <v>ASV21631</v>
          </cell>
          <cell r="H16069" t="str">
            <v>g__unclassified_f__Lachnospiraceae</v>
          </cell>
          <cell r="I16069" t="str">
            <v>s__unclassified_f__Lachnospiraceae</v>
          </cell>
        </row>
        <row r="16070">
          <cell r="G16070" t="str">
            <v>ASV18776</v>
          </cell>
          <cell r="H16070" t="str">
            <v>g__unclassified_c__Bacilli</v>
          </cell>
          <cell r="I16070" t="str">
            <v>s__unclassified_c__Bacilli</v>
          </cell>
        </row>
        <row r="16071">
          <cell r="G16071" t="str">
            <v>ASV7937</v>
          </cell>
          <cell r="H16071" t="str">
            <v>g__Megasphaera</v>
          </cell>
          <cell r="I16071" t="str">
            <v>s__unclassified_g__Megasphaera</v>
          </cell>
        </row>
        <row r="16072">
          <cell r="G16072" t="str">
            <v>ASV4889</v>
          </cell>
          <cell r="H16072" t="str">
            <v>g__unclassified_k__norank_d__Bacteria</v>
          </cell>
          <cell r="I16072" t="str">
            <v>s__unclassified_k__norank_d__Bacteria</v>
          </cell>
        </row>
        <row r="16073">
          <cell r="G16073" t="str">
            <v>ASV15549</v>
          </cell>
          <cell r="H16073" t="str">
            <v>g__norank_f__norank_o__Clostridia_vadinBB60_group</v>
          </cell>
          <cell r="I16073" t="str">
            <v>s__uncultured_bacterium_g__norank_f__norank_o__Clostridia_vadinBB60_group</v>
          </cell>
        </row>
        <row r="16074">
          <cell r="G16074" t="str">
            <v>ASV21642</v>
          </cell>
          <cell r="H16074" t="str">
            <v>g__Howardella</v>
          </cell>
          <cell r="I16074" t="str">
            <v>s__unclassified_g__Howardella</v>
          </cell>
        </row>
        <row r="16075">
          <cell r="G16075" t="str">
            <v>ASV22391</v>
          </cell>
          <cell r="H16075" t="str">
            <v>g__unclassified_o__Peptostreptococcales-Tissierellales</v>
          </cell>
          <cell r="I16075" t="str">
            <v>s__unclassified_o__Peptostreptococcales-Tissierellales</v>
          </cell>
        </row>
        <row r="16076">
          <cell r="G16076" t="str">
            <v>ASV10712</v>
          </cell>
          <cell r="H16076" t="str">
            <v>g__Terrisporobacter</v>
          </cell>
          <cell r="I16076" t="str">
            <v>s__unclassified_g__Terrisporobacter</v>
          </cell>
        </row>
        <row r="16077">
          <cell r="G16077" t="str">
            <v>ASV18918</v>
          </cell>
          <cell r="H16077" t="str">
            <v>g__Fusobacterium</v>
          </cell>
          <cell r="I16077" t="str">
            <v>s__unclassified_g__Fusobacterium</v>
          </cell>
        </row>
        <row r="16078">
          <cell r="G16078" t="str">
            <v>ASV18149</v>
          </cell>
          <cell r="H16078" t="str">
            <v>g__unclassified_c__Clostridia</v>
          </cell>
          <cell r="I16078" t="str">
            <v>s__unclassified_c__Clostridia</v>
          </cell>
        </row>
        <row r="16079">
          <cell r="G16079" t="str">
            <v>ASV6733</v>
          </cell>
          <cell r="H16079" t="str">
            <v>g__Bacteroides</v>
          </cell>
          <cell r="I16079" t="str">
            <v>s__unclassified_g__Bacteroides</v>
          </cell>
        </row>
        <row r="16080">
          <cell r="G16080" t="str">
            <v>ASV19867</v>
          </cell>
          <cell r="H16080" t="str">
            <v>g__unclassified_f__Oscillospiraceae</v>
          </cell>
          <cell r="I16080" t="str">
            <v>s__unclassified_f__Oscillospiraceae</v>
          </cell>
        </row>
        <row r="16081">
          <cell r="G16081" t="str">
            <v>ASV5127</v>
          </cell>
          <cell r="H16081" t="str">
            <v>g__Treponema</v>
          </cell>
          <cell r="I16081" t="str">
            <v>s__uncultured_bacterium_g__Treponema</v>
          </cell>
        </row>
        <row r="16082">
          <cell r="G16082" t="str">
            <v>ASV19782</v>
          </cell>
          <cell r="H16082" t="str">
            <v>g__unclassified_p__Firmicutes</v>
          </cell>
          <cell r="I16082" t="str">
            <v>s__unclassified_p__Firmicutes</v>
          </cell>
        </row>
        <row r="16083">
          <cell r="G16083" t="str">
            <v>ASV3267</v>
          </cell>
          <cell r="H16083" t="str">
            <v>g__Lactobacillus</v>
          </cell>
          <cell r="I16083" t="str">
            <v>s__unclassified_g__Lactobacillus</v>
          </cell>
        </row>
        <row r="16084">
          <cell r="G16084" t="str">
            <v>ASV5007</v>
          </cell>
          <cell r="H16084" t="str">
            <v>g__Bacteroides</v>
          </cell>
          <cell r="I16084" t="str">
            <v>s__unclassified_g__Bacteroides</v>
          </cell>
        </row>
        <row r="16085">
          <cell r="G16085" t="str">
            <v>ASV12930</v>
          </cell>
          <cell r="H16085" t="str">
            <v>g__unclassified_c__Clostridia</v>
          </cell>
          <cell r="I16085" t="str">
            <v>s__unclassified_c__Clostridia</v>
          </cell>
        </row>
        <row r="16086">
          <cell r="G16086" t="str">
            <v>ASV22353</v>
          </cell>
          <cell r="H16086" t="str">
            <v>g__unclassified_f__Lachnospiraceae</v>
          </cell>
          <cell r="I16086" t="str">
            <v>s__unclassified_f__Lachnospiraceae</v>
          </cell>
        </row>
        <row r="16087">
          <cell r="G16087" t="str">
            <v>ASV17492</v>
          </cell>
          <cell r="H16087" t="str">
            <v>g__Escherichia-Shigella</v>
          </cell>
          <cell r="I16087" t="str">
            <v>s__unclassified_g__Escherichia-Shigella</v>
          </cell>
        </row>
        <row r="16088">
          <cell r="G16088" t="str">
            <v>ASV16074</v>
          </cell>
          <cell r="H16088" t="str">
            <v>g__Bacteroides</v>
          </cell>
          <cell r="I16088" t="str">
            <v>s__unclassified_g__Bacteroides</v>
          </cell>
        </row>
        <row r="16089">
          <cell r="G16089" t="str">
            <v>ASV11969</v>
          </cell>
          <cell r="H16089" t="str">
            <v>g__norank_f__Ruminococcaceae</v>
          </cell>
          <cell r="I16089" t="str">
            <v>s__unclassified_g__norank_f__Ruminococcaceae</v>
          </cell>
        </row>
        <row r="16090">
          <cell r="G16090" t="str">
            <v>ASV19862</v>
          </cell>
          <cell r="H16090" t="str">
            <v>g__Lactobacillus</v>
          </cell>
          <cell r="I16090" t="str">
            <v>s__unclassified_g__Lactobacillus</v>
          </cell>
        </row>
        <row r="16091">
          <cell r="G16091" t="str">
            <v>ASV2363</v>
          </cell>
          <cell r="H16091" t="str">
            <v>g__Lactobacillus</v>
          </cell>
          <cell r="I16091" t="str">
            <v>s__unclassified_g__Lactobacillus</v>
          </cell>
        </row>
        <row r="16092">
          <cell r="G16092" t="str">
            <v>ASV13535</v>
          </cell>
          <cell r="H16092" t="str">
            <v>g__Turicibacter</v>
          </cell>
          <cell r="I16092" t="str">
            <v>s__uncultured_bacterium_g__Turicibacter</v>
          </cell>
        </row>
        <row r="16093">
          <cell r="G16093" t="str">
            <v>ASV14346</v>
          </cell>
          <cell r="H16093" t="str">
            <v>g__Eubacterium_siraeum_group</v>
          </cell>
          <cell r="I16093" t="str">
            <v>s__unclassified_g__Eubacterium_siraeum_group</v>
          </cell>
        </row>
        <row r="16094">
          <cell r="G16094" t="str">
            <v>ASV10707</v>
          </cell>
          <cell r="H16094" t="str">
            <v>g__unclassified_c__Clostridia</v>
          </cell>
          <cell r="I16094" t="str">
            <v>s__unclassified_c__Clostridia</v>
          </cell>
        </row>
        <row r="16095">
          <cell r="G16095" t="str">
            <v>ASV5994</v>
          </cell>
          <cell r="H16095" t="str">
            <v>g__unclassified_c__Clostridia</v>
          </cell>
          <cell r="I16095" t="str">
            <v>s__unclassified_c__Clostridia</v>
          </cell>
        </row>
        <row r="16096">
          <cell r="G16096" t="str">
            <v>ASV8539</v>
          </cell>
          <cell r="H16096" t="str">
            <v>g__unclassified_c__Bacilli</v>
          </cell>
          <cell r="I16096" t="str">
            <v>s__unclassified_c__Bacilli</v>
          </cell>
        </row>
        <row r="16097">
          <cell r="G16097" t="str">
            <v>ASV22435</v>
          </cell>
          <cell r="H16097" t="str">
            <v>g__unclassified_f__Lachnospiraceae</v>
          </cell>
          <cell r="I16097" t="str">
            <v>s__unclassified_f__Lachnospiraceae</v>
          </cell>
        </row>
        <row r="16098">
          <cell r="G16098" t="str">
            <v>ASV15458</v>
          </cell>
          <cell r="H16098" t="str">
            <v>g__Prevotellaceae_UCG-001</v>
          </cell>
          <cell r="I16098" t="str">
            <v>s__uncultured_bacterium_g__Prevotellaceae_UCG-001</v>
          </cell>
        </row>
        <row r="16099">
          <cell r="G16099" t="str">
            <v>ASV1007</v>
          </cell>
          <cell r="H16099" t="str">
            <v>g__unclassified_f__Lachnospiraceae</v>
          </cell>
          <cell r="I16099" t="str">
            <v>s__unclassified_f__Lachnospiraceae</v>
          </cell>
        </row>
        <row r="16100">
          <cell r="G16100" t="str">
            <v>ASV22415</v>
          </cell>
          <cell r="H16100" t="str">
            <v>g__Peptococcus</v>
          </cell>
          <cell r="I16100" t="str">
            <v>s__uncultured_bacterium_g__Peptococcus</v>
          </cell>
        </row>
        <row r="16101">
          <cell r="G16101" t="str">
            <v>ASV5032</v>
          </cell>
          <cell r="H16101" t="str">
            <v>g__Sphaerochaeta</v>
          </cell>
          <cell r="I16101" t="str">
            <v>s__uncultured_bacterium_g__Sphaerochaeta</v>
          </cell>
        </row>
        <row r="16102">
          <cell r="G16102" t="str">
            <v>ASV11798</v>
          </cell>
          <cell r="H16102" t="str">
            <v>g__unclassified_o__Oscillospirales</v>
          </cell>
          <cell r="I16102" t="str">
            <v>s__unclassified_o__Oscillospirales</v>
          </cell>
        </row>
        <row r="16103">
          <cell r="G16103" t="str">
            <v>ASV10752</v>
          </cell>
          <cell r="H16103" t="str">
            <v>g__unclassified_p__Firmicutes</v>
          </cell>
          <cell r="I16103" t="str">
            <v>s__unclassified_p__Firmicutes</v>
          </cell>
        </row>
        <row r="16104">
          <cell r="G16104" t="str">
            <v>ASV5064</v>
          </cell>
          <cell r="H16104" t="str">
            <v>g__norank_f__norank_o__Clostridia_UCG-014</v>
          </cell>
          <cell r="I16104" t="str">
            <v>s__uncultured_bacterium_g__norank_f__norank_o__Clostridia_UCG-014</v>
          </cell>
        </row>
        <row r="16105">
          <cell r="G16105" t="str">
            <v>ASV8542</v>
          </cell>
          <cell r="H16105" t="str">
            <v>g__Megasphaera</v>
          </cell>
          <cell r="I16105" t="str">
            <v>s__unclassified_g__Megasphaera</v>
          </cell>
        </row>
        <row r="16106">
          <cell r="G16106" t="str">
            <v>ASV16500</v>
          </cell>
          <cell r="H16106" t="str">
            <v>g__UCG-005</v>
          </cell>
          <cell r="I16106" t="str">
            <v>s__unclassified_g__UCG-005</v>
          </cell>
        </row>
        <row r="16107">
          <cell r="G16107" t="str">
            <v>ASV22473</v>
          </cell>
          <cell r="H16107" t="str">
            <v>g__unclassified_f__Ruminococcaceae</v>
          </cell>
          <cell r="I16107" t="str">
            <v>s__unclassified_f__Ruminococcaceae</v>
          </cell>
        </row>
        <row r="16108">
          <cell r="G16108" t="str">
            <v>ASV2253</v>
          </cell>
          <cell r="H16108" t="str">
            <v>g__unclassified_o__Oscillospirales</v>
          </cell>
          <cell r="I16108" t="str">
            <v>s__unclassified_o__Oscillospirales</v>
          </cell>
        </row>
        <row r="16109">
          <cell r="G16109" t="str">
            <v>ASV19752</v>
          </cell>
          <cell r="H16109" t="str">
            <v>g__unclassified_o__Oscillospirales</v>
          </cell>
          <cell r="I16109" t="str">
            <v>s__unclassified_o__Oscillospirales</v>
          </cell>
        </row>
        <row r="16110">
          <cell r="G16110" t="str">
            <v>ASV21294</v>
          </cell>
          <cell r="H16110" t="str">
            <v>g__Lactobacillus</v>
          </cell>
          <cell r="I16110" t="str">
            <v>s__unclassified_g__Lactobacillus</v>
          </cell>
        </row>
        <row r="16111">
          <cell r="G16111" t="str">
            <v>ASV9513</v>
          </cell>
          <cell r="H16111" t="str">
            <v>g__unclassified_f__Lachnospiraceae</v>
          </cell>
          <cell r="I16111" t="str">
            <v>s__unclassified_f__Lachnospiraceae</v>
          </cell>
        </row>
        <row r="16112">
          <cell r="G16112" t="str">
            <v>ASV15467</v>
          </cell>
          <cell r="H16112" t="str">
            <v>g__norank_f__Muribaculaceae</v>
          </cell>
          <cell r="I16112" t="str">
            <v>s__uncultured_bacterium_g__norank_f__Muribaculaceae</v>
          </cell>
        </row>
        <row r="16113">
          <cell r="G16113" t="str">
            <v>ASV1041</v>
          </cell>
          <cell r="H16113" t="str">
            <v>g__Bacillus</v>
          </cell>
          <cell r="I16113" t="str">
            <v>s__Lactobacillus_vaginalis_g__Bacillus</v>
          </cell>
        </row>
        <row r="16114">
          <cell r="G16114" t="str">
            <v>ASV825</v>
          </cell>
          <cell r="H16114" t="str">
            <v>g__unclassified_f__Lachnospiraceae</v>
          </cell>
          <cell r="I16114" t="str">
            <v>s__unclassified_f__Lachnospiraceae</v>
          </cell>
        </row>
        <row r="16115">
          <cell r="G16115" t="str">
            <v>ASV882</v>
          </cell>
          <cell r="H16115" t="str">
            <v>g__Bacteroides</v>
          </cell>
          <cell r="I16115" t="str">
            <v>s__unclassified_g__Bacteroides</v>
          </cell>
        </row>
        <row r="16116">
          <cell r="G16116" t="str">
            <v>ASV16488</v>
          </cell>
          <cell r="H16116" t="str">
            <v>g__Terrisporobacter</v>
          </cell>
          <cell r="I16116" t="str">
            <v>s__unclassified_g__Terrisporobacter</v>
          </cell>
        </row>
        <row r="16117">
          <cell r="G16117" t="str">
            <v>ASV14549</v>
          </cell>
          <cell r="H16117" t="str">
            <v>g__unclassified_o__Bacteroidales</v>
          </cell>
          <cell r="I16117" t="str">
            <v>s__unclassified_o__Bacteroidales</v>
          </cell>
        </row>
        <row r="16118">
          <cell r="G16118" t="str">
            <v>ASV22455</v>
          </cell>
          <cell r="H16118" t="str">
            <v>g__unclassified_c__Clostridia</v>
          </cell>
          <cell r="I16118" t="str">
            <v>s__unclassified_c__Clostridia</v>
          </cell>
        </row>
        <row r="16119">
          <cell r="G16119" t="str">
            <v>ASV18185</v>
          </cell>
          <cell r="H16119" t="str">
            <v>g__norank_f__Eubacterium_coprostanoligenes_group</v>
          </cell>
          <cell r="I16119" t="str">
            <v>s__uncultured_bacterium_g__norank_f__Eubacterium_coprostanoligenes_group</v>
          </cell>
        </row>
        <row r="16120">
          <cell r="G16120" t="str">
            <v>ASV5012</v>
          </cell>
          <cell r="H16120" t="str">
            <v>g__unclassified_c__Bacilli</v>
          </cell>
          <cell r="I16120" t="str">
            <v>s__unclassified_c__Bacilli</v>
          </cell>
        </row>
        <row r="16121">
          <cell r="G16121" t="str">
            <v>ASV11933</v>
          </cell>
          <cell r="H16121" t="str">
            <v>g__unclassified_f__Peptostreptococcaceae</v>
          </cell>
          <cell r="I16121" t="str">
            <v>s__unclassified_f__Peptostreptococcaceae</v>
          </cell>
        </row>
        <row r="16122">
          <cell r="G16122" t="str">
            <v>ASV12903</v>
          </cell>
          <cell r="H16122" t="str">
            <v>g__unclassified_c__Clostridia</v>
          </cell>
          <cell r="I16122" t="str">
            <v>s__unclassified_c__Clostridia</v>
          </cell>
        </row>
        <row r="16123">
          <cell r="G16123" t="str">
            <v>ASV17512</v>
          </cell>
          <cell r="H16123" t="str">
            <v>g__unclassified_f__Anaerovoracaceae</v>
          </cell>
          <cell r="I16123" t="str">
            <v>s__unclassified_f__Anaerovoracaceae</v>
          </cell>
        </row>
        <row r="16124">
          <cell r="G16124" t="str">
            <v>ASV2384</v>
          </cell>
          <cell r="H16124" t="str">
            <v>g__unclassified_f__Peptostreptococcaceae</v>
          </cell>
          <cell r="I16124" t="str">
            <v>s__unclassified_f__Peptostreptococcaceae</v>
          </cell>
        </row>
        <row r="16125">
          <cell r="G16125" t="str">
            <v>ASV7806</v>
          </cell>
          <cell r="H16125" t="str">
            <v>g__unclassified_k__norank_d__Bacteria</v>
          </cell>
          <cell r="I16125" t="str">
            <v>s__unclassified_k__norank_d__Bacteria</v>
          </cell>
        </row>
        <row r="16126">
          <cell r="G16126" t="str">
            <v>ASV6837</v>
          </cell>
          <cell r="H16126" t="str">
            <v>g__unclassified_c__Bacilli</v>
          </cell>
          <cell r="I16126" t="str">
            <v>s__unclassified_c__Bacilli</v>
          </cell>
        </row>
        <row r="16127">
          <cell r="G16127" t="str">
            <v>ASV23422</v>
          </cell>
          <cell r="H16127" t="str">
            <v>g__unclassified_k__norank_d__Bacteria</v>
          </cell>
          <cell r="I16127" t="str">
            <v>s__unclassified_k__norank_d__Bacteria</v>
          </cell>
        </row>
        <row r="16128">
          <cell r="G16128" t="str">
            <v>ASV23441</v>
          </cell>
          <cell r="H16128" t="str">
            <v>g__unclassified_f__Ruminococcaceae</v>
          </cell>
          <cell r="I16128" t="str">
            <v>s__unclassified_f__Ruminococcaceae</v>
          </cell>
        </row>
        <row r="16129">
          <cell r="G16129" t="str">
            <v>ASV10721</v>
          </cell>
          <cell r="H16129" t="str">
            <v>g__Christensenellaceae_R-7_group</v>
          </cell>
          <cell r="I16129" t="str">
            <v>s__unclassified_g__Christensenellaceae_R-7_group</v>
          </cell>
        </row>
        <row r="16130">
          <cell r="G16130" t="str">
            <v>ASV4896</v>
          </cell>
          <cell r="H16130" t="str">
            <v>g__Christensenellaceae_R-7_group</v>
          </cell>
          <cell r="I16130" t="str">
            <v>s__uncultured_bacterium_g__Christensenellaceae_R-7_group</v>
          </cell>
        </row>
        <row r="16131">
          <cell r="G16131" t="str">
            <v>ASV14355</v>
          </cell>
          <cell r="H16131" t="str">
            <v>g__unclassified_f__Lachnospiraceae</v>
          </cell>
          <cell r="I16131" t="str">
            <v>s__unclassified_f__Lachnospiraceae</v>
          </cell>
        </row>
        <row r="16132">
          <cell r="G16132" t="str">
            <v>ASV15420</v>
          </cell>
          <cell r="H16132" t="str">
            <v>g__unclassified_f__Lachnospiraceae</v>
          </cell>
          <cell r="I16132" t="str">
            <v>s__unclassified_f__Lachnospiraceae</v>
          </cell>
        </row>
        <row r="16133">
          <cell r="G16133" t="str">
            <v>ASV16486</v>
          </cell>
          <cell r="H16133" t="str">
            <v>g__Clostridium_sensu_stricto_1</v>
          </cell>
          <cell r="I16133" t="str">
            <v>s__unclassified_g__Clostridium_sensu_stricto_1</v>
          </cell>
        </row>
        <row r="16134">
          <cell r="G16134" t="str">
            <v>ASV19734</v>
          </cell>
          <cell r="H16134" t="str">
            <v>g__Subdoligranulum</v>
          </cell>
          <cell r="I16134" t="str">
            <v>s__unclassified_g__Subdoligranulum</v>
          </cell>
        </row>
        <row r="16135">
          <cell r="G16135" t="str">
            <v>ASV6822</v>
          </cell>
          <cell r="H16135" t="str">
            <v>g__Escherichia-Shigella</v>
          </cell>
          <cell r="I16135" t="str">
            <v>s__unclassified_g__Escherichia-Shigella</v>
          </cell>
        </row>
        <row r="16136">
          <cell r="G16136" t="str">
            <v>ASV11873</v>
          </cell>
          <cell r="H16136" t="str">
            <v>g__unclassified_f__Rikenellaceae</v>
          </cell>
          <cell r="I16136" t="str">
            <v>s__unclassified_f__Rikenellaceae</v>
          </cell>
        </row>
        <row r="16137">
          <cell r="G16137" t="str">
            <v>ASV20955</v>
          </cell>
          <cell r="H16137" t="str">
            <v>g__unclassified_p__Firmicutes</v>
          </cell>
          <cell r="I16137" t="str">
            <v>s__unclassified_p__Firmicutes</v>
          </cell>
        </row>
        <row r="16138">
          <cell r="G16138" t="str">
            <v>ASV12929</v>
          </cell>
          <cell r="H16138" t="str">
            <v>g__norank_f__Muribaculaceae</v>
          </cell>
          <cell r="I16138" t="str">
            <v>s__uncultured_bacterium_g__norank_f__Muribaculaceae</v>
          </cell>
        </row>
        <row r="16139">
          <cell r="G16139" t="str">
            <v>ASV939</v>
          </cell>
          <cell r="H16139" t="str">
            <v>g__Lactobacillus</v>
          </cell>
          <cell r="I16139" t="str">
            <v>s__unclassified_g__Lactobacillus</v>
          </cell>
        </row>
        <row r="16140">
          <cell r="G16140" t="str">
            <v>ASV11927</v>
          </cell>
          <cell r="H16140" t="str">
            <v>g__Collinsella</v>
          </cell>
          <cell r="I16140" t="str">
            <v>s__uncultured_bacterium_g__Collinsella</v>
          </cell>
        </row>
        <row r="16141">
          <cell r="G16141" t="str">
            <v>ASV18900</v>
          </cell>
          <cell r="H16141" t="str">
            <v>g__Enterococcus</v>
          </cell>
          <cell r="I16141" t="str">
            <v>s__unclassified_g__Enterococcus</v>
          </cell>
        </row>
        <row r="16142">
          <cell r="G16142" t="str">
            <v>ASV7978</v>
          </cell>
          <cell r="H16142" t="str">
            <v>g__norank_f__UCG-011</v>
          </cell>
          <cell r="I16142" t="str">
            <v>s__uncultured_bacterium_g__norank_f__UCG-011</v>
          </cell>
        </row>
        <row r="16143">
          <cell r="G16143" t="str">
            <v>ASV12854</v>
          </cell>
          <cell r="H16143" t="str">
            <v>g__Lachnoclostridium</v>
          </cell>
          <cell r="I16143" t="str">
            <v>s__unclassified_g__Lachnoclostridium</v>
          </cell>
        </row>
        <row r="16144">
          <cell r="G16144" t="str">
            <v>ASV871</v>
          </cell>
          <cell r="H16144" t="str">
            <v>g__Eubacterium_hallii_group</v>
          </cell>
          <cell r="I16144" t="str">
            <v>s__unclassified_g__Eubacterium_hallii_group</v>
          </cell>
        </row>
        <row r="16145">
          <cell r="G16145" t="str">
            <v>ASV12938</v>
          </cell>
          <cell r="H16145" t="str">
            <v>g__norank_f__Muribaculaceae</v>
          </cell>
          <cell r="I16145" t="str">
            <v>s__uncultured_bacterium_g__norank_f__Muribaculaceae</v>
          </cell>
        </row>
        <row r="16146">
          <cell r="G16146" t="str">
            <v>ASV6091</v>
          </cell>
          <cell r="H16146" t="str">
            <v>g__Oribacterium</v>
          </cell>
          <cell r="I16146" t="str">
            <v>s__unclassified_g__Oribacterium</v>
          </cell>
        </row>
        <row r="16147">
          <cell r="G16147" t="str">
            <v>ASV19612</v>
          </cell>
          <cell r="H16147" t="str">
            <v>g__norank_f__Muribaculaceae</v>
          </cell>
          <cell r="I16147" t="str">
            <v>s__uncultured_bacterium_g__norank_f__Muribaculaceae</v>
          </cell>
        </row>
        <row r="16148">
          <cell r="G16148" t="str">
            <v>ASV6121</v>
          </cell>
          <cell r="H16148" t="str">
            <v>g__unclassified_f__Peptostreptococcaceae</v>
          </cell>
          <cell r="I16148" t="str">
            <v>s__unclassified_f__Peptostreptococcaceae</v>
          </cell>
        </row>
        <row r="16149">
          <cell r="G16149" t="str">
            <v>ASV14475</v>
          </cell>
          <cell r="H16149" t="str">
            <v>g__unclassified_f__Lachnospiraceae</v>
          </cell>
          <cell r="I16149" t="str">
            <v>s__unclassified_f__Lachnospiraceae</v>
          </cell>
        </row>
        <row r="16150">
          <cell r="G16150" t="str">
            <v>ASV8530</v>
          </cell>
          <cell r="H16150" t="str">
            <v>g__unclassified_f__Lachnospiraceae</v>
          </cell>
          <cell r="I16150" t="str">
            <v>s__unclassified_f__Lachnospiraceae</v>
          </cell>
        </row>
        <row r="16151">
          <cell r="G16151" t="str">
            <v>ASV21246</v>
          </cell>
          <cell r="H16151" t="str">
            <v>g__Bacteroides</v>
          </cell>
          <cell r="I16151" t="str">
            <v>s__unclassified_g__Bacteroides</v>
          </cell>
        </row>
        <row r="16152">
          <cell r="G16152" t="str">
            <v>ASV14445</v>
          </cell>
          <cell r="H16152" t="str">
            <v>g__unclassified_p__Firmicutes</v>
          </cell>
          <cell r="I16152" t="str">
            <v>s__unclassified_p__Firmicutes</v>
          </cell>
        </row>
        <row r="16153">
          <cell r="G16153" t="str">
            <v>ASV14297</v>
          </cell>
          <cell r="H16153" t="str">
            <v>g__Lactobacillus</v>
          </cell>
          <cell r="I16153" t="str">
            <v>s__unclassified_g__Lactobacillus</v>
          </cell>
        </row>
        <row r="16154">
          <cell r="G16154" t="str">
            <v>ASV981</v>
          </cell>
          <cell r="H16154" t="str">
            <v>g__Rikenellaceae_RC9_gut_group</v>
          </cell>
          <cell r="I16154" t="str">
            <v>s__uncultured_bacterium_g__Rikenellaceae_RC9_gut_group</v>
          </cell>
        </row>
        <row r="16155">
          <cell r="G16155" t="str">
            <v>ASV23987</v>
          </cell>
          <cell r="H16155" t="str">
            <v>g__Clostridium_sensu_stricto_1</v>
          </cell>
          <cell r="I16155" t="str">
            <v>s__unclassified_g__Clostridium_sensu_stricto_1</v>
          </cell>
        </row>
        <row r="16156">
          <cell r="G16156" t="str">
            <v>ASV4119</v>
          </cell>
          <cell r="H16156" t="str">
            <v>g__Cloacibacillus</v>
          </cell>
          <cell r="I16156" t="str">
            <v>s__unclassified_g__Cloacibacillus</v>
          </cell>
        </row>
        <row r="16157">
          <cell r="G16157" t="str">
            <v>ASV20814</v>
          </cell>
          <cell r="H16157" t="str">
            <v>g__unclassified_c__Clostridia</v>
          </cell>
          <cell r="I16157" t="str">
            <v>s__unclassified_c__Clostridia</v>
          </cell>
        </row>
        <row r="16158">
          <cell r="G16158" t="str">
            <v>ASV1073</v>
          </cell>
          <cell r="H16158" t="str">
            <v>g__unclassified_c__Clostridia</v>
          </cell>
          <cell r="I16158" t="str">
            <v>s__unclassified_c__Clostridia</v>
          </cell>
        </row>
        <row r="16159">
          <cell r="G16159" t="str">
            <v>ASV23309</v>
          </cell>
          <cell r="H16159" t="str">
            <v>g__unclassified_c__Clostridia</v>
          </cell>
          <cell r="I16159" t="str">
            <v>s__unclassified_c__Clostridia</v>
          </cell>
        </row>
        <row r="16160">
          <cell r="G16160" t="str">
            <v>ASV22306</v>
          </cell>
          <cell r="H16160" t="str">
            <v>g__unclassified_c__Clostridia</v>
          </cell>
          <cell r="I16160" t="str">
            <v>s__unclassified_c__Clostridia</v>
          </cell>
        </row>
        <row r="16161">
          <cell r="G16161" t="str">
            <v>ASV21466</v>
          </cell>
          <cell r="H16161" t="str">
            <v>g__unclassified_f__Selenomonadaceae</v>
          </cell>
          <cell r="I16161" t="str">
            <v>s__unclassified_f__Selenomonadaceae</v>
          </cell>
        </row>
        <row r="16162">
          <cell r="G16162" t="str">
            <v>ASV22459</v>
          </cell>
          <cell r="H16162" t="str">
            <v>g__unclassified_f__Oscillospiraceae</v>
          </cell>
          <cell r="I16162" t="str">
            <v>s__unclassified_f__Oscillospiraceae</v>
          </cell>
        </row>
        <row r="16163">
          <cell r="G16163" t="str">
            <v>ASV6148</v>
          </cell>
          <cell r="H16163" t="str">
            <v>g__unclassified_f__Lachnospiraceae</v>
          </cell>
          <cell r="I16163" t="str">
            <v>s__unclassified_f__Lachnospiraceae</v>
          </cell>
        </row>
        <row r="16164">
          <cell r="G16164" t="str">
            <v>ASV3258</v>
          </cell>
          <cell r="H16164" t="str">
            <v>g__Lactobacillus</v>
          </cell>
          <cell r="I16164" t="str">
            <v>s__unclassified_g__Lactobacillus</v>
          </cell>
        </row>
        <row r="16165">
          <cell r="G16165" t="str">
            <v>ASV20888</v>
          </cell>
          <cell r="H16165" t="str">
            <v>g__norank_f__Eubacterium_coprostanoligenes_group</v>
          </cell>
          <cell r="I16165" t="str">
            <v>s__uncultured_bacterium_g__norank_f__Eubacterium_coprostanoligenes_group</v>
          </cell>
        </row>
        <row r="16166">
          <cell r="G16166" t="str">
            <v>ASV12961</v>
          </cell>
          <cell r="H16166" t="str">
            <v>g__unclassified_c__Clostridia</v>
          </cell>
          <cell r="I16166" t="str">
            <v>s__unclassified_c__Clostridia</v>
          </cell>
        </row>
        <row r="16167">
          <cell r="G16167" t="str">
            <v>ASV14394</v>
          </cell>
          <cell r="H16167" t="str">
            <v>g__unclassified_c__Clostridia</v>
          </cell>
          <cell r="I16167" t="str">
            <v>s__unclassified_c__Clostridia</v>
          </cell>
        </row>
        <row r="16168">
          <cell r="G16168" t="str">
            <v>ASV14379</v>
          </cell>
          <cell r="H16168" t="str">
            <v>g__unclassified_f__Lachnospiraceae</v>
          </cell>
          <cell r="I16168" t="str">
            <v>s__unclassified_f__Lachnospiraceae</v>
          </cell>
        </row>
        <row r="16169">
          <cell r="G16169" t="str">
            <v>ASV18051</v>
          </cell>
          <cell r="H16169" t="str">
            <v>g__unclassified_p__Firmicutes</v>
          </cell>
          <cell r="I16169" t="str">
            <v>s__unclassified_p__Firmicutes</v>
          </cell>
        </row>
        <row r="16170">
          <cell r="G16170" t="str">
            <v>ASV19837</v>
          </cell>
          <cell r="H16170" t="str">
            <v>g__Rikenellaceae_RC9_gut_group</v>
          </cell>
          <cell r="I16170" t="str">
            <v>s__uncultured_bacterium_g__Rikenellaceae_RC9_gut_group</v>
          </cell>
        </row>
        <row r="16171">
          <cell r="G16171" t="str">
            <v>ASV23846</v>
          </cell>
          <cell r="H16171" t="str">
            <v>g__norank_f__Atopobiaceae</v>
          </cell>
          <cell r="I16171" t="str">
            <v>s__uncultured_bacterium_g__norank_f__Atopobiaceae</v>
          </cell>
        </row>
        <row r="16172">
          <cell r="G16172" t="str">
            <v>ASV20919</v>
          </cell>
          <cell r="H16172" t="str">
            <v>g__Phascolarctobacterium</v>
          </cell>
          <cell r="I16172" t="str">
            <v>s__Ruminococcus_sp._N15.MGS-57_g__Phascolarctobacterium</v>
          </cell>
        </row>
        <row r="16173">
          <cell r="G16173" t="str">
            <v>ASV23352</v>
          </cell>
          <cell r="H16173" t="str">
            <v>g__Lactobacillus</v>
          </cell>
          <cell r="I16173" t="str">
            <v>s__unclassified_g__Lactobacillus</v>
          </cell>
        </row>
        <row r="16174">
          <cell r="G16174" t="str">
            <v>ASV14360</v>
          </cell>
          <cell r="H16174" t="str">
            <v>g__unclassified_f__Oscillospiraceae</v>
          </cell>
          <cell r="I16174" t="str">
            <v>s__unclassified_f__Oscillospiraceae</v>
          </cell>
        </row>
        <row r="16175">
          <cell r="G16175" t="str">
            <v>ASV16930</v>
          </cell>
          <cell r="H16175" t="str">
            <v>g__unclassified_p__Firmicutes</v>
          </cell>
          <cell r="I16175" t="str">
            <v>s__unclassified_p__Firmicutes</v>
          </cell>
        </row>
        <row r="16176">
          <cell r="G16176" t="str">
            <v>ASV4058</v>
          </cell>
          <cell r="H16176" t="str">
            <v>g__unclassified_c__Clostridia</v>
          </cell>
          <cell r="I16176" t="str">
            <v>s__unclassified_c__Clostridia</v>
          </cell>
        </row>
        <row r="16177">
          <cell r="G16177" t="str">
            <v>ASV2770</v>
          </cell>
          <cell r="H16177" t="str">
            <v>g__unclassified_p__Firmicutes</v>
          </cell>
          <cell r="I16177" t="str">
            <v>s__unclassified_p__Firmicutes</v>
          </cell>
        </row>
        <row r="16178">
          <cell r="G16178" t="str">
            <v>ASV10051</v>
          </cell>
          <cell r="H16178" t="str">
            <v>g__Lachnospiraceae_UCG-010</v>
          </cell>
          <cell r="I16178" t="str">
            <v>s__uncultured_bacterium_g__Lachnospiraceae_UCG-010</v>
          </cell>
        </row>
        <row r="16179">
          <cell r="G16179" t="str">
            <v>ASV10315</v>
          </cell>
          <cell r="H16179" t="str">
            <v>g__unclassified_f__Pasteurellaceae</v>
          </cell>
          <cell r="I16179" t="str">
            <v>s__unclassified_f__Pasteurellaceae</v>
          </cell>
        </row>
        <row r="16180">
          <cell r="G16180" t="str">
            <v>ASV24175</v>
          </cell>
          <cell r="H16180" t="str">
            <v>g__Bilophila</v>
          </cell>
          <cell r="I16180" t="str">
            <v>s__unclassified_g__Bilophila</v>
          </cell>
        </row>
        <row r="16181">
          <cell r="G16181" t="str">
            <v>ASV19695</v>
          </cell>
          <cell r="H16181" t="str">
            <v>g__Peptococcus</v>
          </cell>
          <cell r="I16181" t="str">
            <v>s__uncultured_bacterium_g__Peptococcus</v>
          </cell>
        </row>
        <row r="16182">
          <cell r="G16182" t="str">
            <v>ASV10812</v>
          </cell>
          <cell r="H16182" t="str">
            <v>g__Clostridium_sensu_stricto_1</v>
          </cell>
          <cell r="I16182" t="str">
            <v>s__unclassified_g__Clostridium_sensu_stricto_1</v>
          </cell>
        </row>
        <row r="16183">
          <cell r="G16183" t="str">
            <v>ASV21248</v>
          </cell>
          <cell r="H16183" t="str">
            <v>g__unclassified_c__Bacilli</v>
          </cell>
          <cell r="I16183" t="str">
            <v>s__unclassified_c__Bacilli</v>
          </cell>
        </row>
        <row r="16184">
          <cell r="G16184" t="str">
            <v>ASV9494</v>
          </cell>
          <cell r="H16184" t="str">
            <v>g__unclassified_c__Clostridia</v>
          </cell>
          <cell r="I16184" t="str">
            <v>s__unclassified_c__Clostridia</v>
          </cell>
        </row>
        <row r="16185">
          <cell r="G16185" t="str">
            <v>ASV14323</v>
          </cell>
          <cell r="H16185" t="str">
            <v>g__unclassified_p__Firmicutes</v>
          </cell>
          <cell r="I16185" t="str">
            <v>s__unclassified_p__Firmicutes</v>
          </cell>
        </row>
        <row r="16186">
          <cell r="G16186" t="str">
            <v>ASV12926</v>
          </cell>
          <cell r="H16186" t="str">
            <v>g__Bacteroides</v>
          </cell>
          <cell r="I16186" t="str">
            <v>s__unclassified_g__Bacteroides</v>
          </cell>
        </row>
        <row r="16187">
          <cell r="G16187" t="str">
            <v>ASV22323</v>
          </cell>
          <cell r="H16187" t="str">
            <v>g__Eubacterium_oxidoreducens_group</v>
          </cell>
          <cell r="I16187" t="str">
            <v>s__uncultured_bacterium_g__Eubacterium_oxidoreducens_group</v>
          </cell>
        </row>
        <row r="16188">
          <cell r="G16188" t="str">
            <v>ASV6027</v>
          </cell>
          <cell r="H16188" t="str">
            <v>g__unclassified_f__Lachnospiraceae</v>
          </cell>
          <cell r="I16188" t="str">
            <v>s__unclassified_f__Lachnospiraceae</v>
          </cell>
        </row>
        <row r="16189">
          <cell r="G16189" t="str">
            <v>ASV7969</v>
          </cell>
          <cell r="H16189" t="str">
            <v>g__unclassified_f__Anaerovoracaceae</v>
          </cell>
          <cell r="I16189" t="str">
            <v>s__unclassified_f__Anaerovoracaceae</v>
          </cell>
        </row>
        <row r="16190">
          <cell r="G16190" t="str">
            <v>ASV11919</v>
          </cell>
          <cell r="H16190" t="str">
            <v>g__UCG-005</v>
          </cell>
          <cell r="I16190" t="str">
            <v>s__uncultured_bacterium_g__UCG-005</v>
          </cell>
        </row>
        <row r="16191">
          <cell r="G16191" t="str">
            <v>ASV9509</v>
          </cell>
          <cell r="H16191" t="str">
            <v>g__unclassified_f__Lachnospiraceae</v>
          </cell>
          <cell r="I16191" t="str">
            <v>s__unclassified_f__Lachnospiraceae</v>
          </cell>
        </row>
        <row r="16192">
          <cell r="G16192" t="str">
            <v>ASV24389</v>
          </cell>
          <cell r="H16192" t="str">
            <v>g__Lactobacillus</v>
          </cell>
          <cell r="I16192" t="str">
            <v>s__unclassified_g__Lactobacillus</v>
          </cell>
        </row>
        <row r="16193">
          <cell r="G16193" t="str">
            <v>ASV4996</v>
          </cell>
          <cell r="H16193" t="str">
            <v>g__Prevotellaceae_UCG-003</v>
          </cell>
          <cell r="I16193" t="str">
            <v>s__uncultured_bacterium_g__Prevotellaceae_UCG-003</v>
          </cell>
        </row>
        <row r="16194">
          <cell r="G16194" t="str">
            <v>ASV17619</v>
          </cell>
          <cell r="H16194" t="str">
            <v>g__Mitsuokella</v>
          </cell>
          <cell r="I16194" t="str">
            <v>s__unclassified_g__Mitsuokella</v>
          </cell>
        </row>
        <row r="16195">
          <cell r="G16195" t="str">
            <v>ASV802</v>
          </cell>
          <cell r="H16195" t="str">
            <v>g__norank_f__UCG-010</v>
          </cell>
          <cell r="I16195" t="str">
            <v>s__unclassified_g__norank_f__UCG-010</v>
          </cell>
        </row>
        <row r="16196">
          <cell r="G16196" t="str">
            <v>ASV6131</v>
          </cell>
          <cell r="H16196" t="str">
            <v>g__unclassified_f__Lachnospiraceae</v>
          </cell>
          <cell r="I16196" t="str">
            <v>s__unclassified_f__Lachnospiraceae</v>
          </cell>
        </row>
        <row r="16197">
          <cell r="G16197" t="str">
            <v>ASV17317</v>
          </cell>
          <cell r="H16197" t="str">
            <v>g__Streptococcus</v>
          </cell>
          <cell r="I16197" t="str">
            <v>s__unclassified_g__Streptococcus</v>
          </cell>
        </row>
        <row r="16198">
          <cell r="G16198" t="str">
            <v>ASV4096</v>
          </cell>
          <cell r="H16198" t="str">
            <v>g__unclassified_k__norank_d__Bacteria</v>
          </cell>
          <cell r="I16198" t="str">
            <v>s__unclassified_k__norank_d__Bacteria</v>
          </cell>
        </row>
        <row r="16199">
          <cell r="G16199" t="str">
            <v>ASV18605</v>
          </cell>
          <cell r="H16199" t="str">
            <v>g__Lactobacillus</v>
          </cell>
          <cell r="I16199" t="str">
            <v>s__unclassified_g__Lactobacillus</v>
          </cell>
        </row>
        <row r="16200">
          <cell r="G16200" t="str">
            <v>ASV4946</v>
          </cell>
          <cell r="H16200" t="str">
            <v>g__unclassified_c__Clostridia</v>
          </cell>
          <cell r="I16200" t="str">
            <v>s__unclassified_c__Clostridia</v>
          </cell>
        </row>
        <row r="16201">
          <cell r="G16201" t="str">
            <v>ASV19698</v>
          </cell>
          <cell r="H16201" t="str">
            <v>g__Phascolarctobacterium</v>
          </cell>
          <cell r="I16201" t="str">
            <v>s__uncultured_bacterium_g__Phascolarctobacterium</v>
          </cell>
        </row>
        <row r="16202">
          <cell r="G16202" t="str">
            <v>ASV9515</v>
          </cell>
          <cell r="H16202" t="str">
            <v>g__Lactobacillus</v>
          </cell>
          <cell r="I16202" t="str">
            <v>s__unclassified_g__Lactobacillus</v>
          </cell>
        </row>
        <row r="16203">
          <cell r="G16203" t="str">
            <v>ASV8833</v>
          </cell>
          <cell r="H16203" t="str">
            <v>g__Actinomyces</v>
          </cell>
          <cell r="I16203" t="str">
            <v>s__unclassified_g__Actinomyces</v>
          </cell>
        </row>
        <row r="16204">
          <cell r="G16204" t="str">
            <v>ASV21266</v>
          </cell>
          <cell r="H16204" t="str">
            <v>g__Bacillus</v>
          </cell>
          <cell r="I16204" t="str">
            <v>s__Lactobacillus_vaginalis_g__Bacillus</v>
          </cell>
        </row>
        <row r="16205">
          <cell r="G16205" t="str">
            <v>ASV1690</v>
          </cell>
          <cell r="H16205" t="str">
            <v>g__unclassified_f__Lachnospiraceae</v>
          </cell>
          <cell r="I16205" t="str">
            <v>s__unclassified_f__Lachnospiraceae</v>
          </cell>
        </row>
        <row r="16206">
          <cell r="G16206" t="str">
            <v>ASV7888</v>
          </cell>
          <cell r="H16206" t="str">
            <v>g__unclassified_f__Peptostreptococcaceae</v>
          </cell>
          <cell r="I16206" t="str">
            <v>s__unclassified_f__Peptostreptococcaceae</v>
          </cell>
        </row>
        <row r="16207">
          <cell r="G16207" t="str">
            <v>ASV18221</v>
          </cell>
          <cell r="H16207" t="str">
            <v>g__norank_f__Eubacterium_coprostanoligenes_group</v>
          </cell>
          <cell r="I16207" t="str">
            <v>s__uncultured_bacterium_g__norank_f__Eubacterium_coprostanoligenes_group</v>
          </cell>
        </row>
        <row r="16208">
          <cell r="G16208" t="str">
            <v>ASV18209</v>
          </cell>
          <cell r="H16208" t="str">
            <v>g__Bilophila</v>
          </cell>
          <cell r="I16208" t="str">
            <v>s__uncultured_delta_proteobacterium_g__Bilophila</v>
          </cell>
        </row>
        <row r="16209">
          <cell r="G16209" t="str">
            <v>ASV4994</v>
          </cell>
          <cell r="H16209" t="str">
            <v>g__unclassified_k__norank_d__Bacteria</v>
          </cell>
          <cell r="I16209" t="str">
            <v>s__unclassified_k__norank_d__Bacteria</v>
          </cell>
        </row>
        <row r="16210">
          <cell r="G16210" t="str">
            <v>ASV7902</v>
          </cell>
          <cell r="H16210" t="str">
            <v>g__unclassified_f__Peptostreptococcaceae</v>
          </cell>
          <cell r="I16210" t="str">
            <v>s__unclassified_f__Peptostreptococcaceae</v>
          </cell>
        </row>
        <row r="16211">
          <cell r="G16211" t="str">
            <v>ASV4957</v>
          </cell>
          <cell r="H16211" t="str">
            <v>g__norank_f__norank_o__Clostridia_UCG-014</v>
          </cell>
          <cell r="I16211" t="str">
            <v>s__uncultured_bacterium_g__norank_f__norank_o__Clostridia_UCG-014</v>
          </cell>
        </row>
        <row r="16212">
          <cell r="G16212" t="str">
            <v>ASV11828</v>
          </cell>
          <cell r="H16212" t="str">
            <v>g__unclassified_o__Bacteroidales</v>
          </cell>
          <cell r="I16212" t="str">
            <v>s__unclassified_o__Bacteroidales</v>
          </cell>
        </row>
        <row r="16213">
          <cell r="G16213" t="str">
            <v>ASV11763</v>
          </cell>
          <cell r="H16213" t="str">
            <v>g__unclassified_f__Lachnospiraceae</v>
          </cell>
          <cell r="I16213" t="str">
            <v>s__unclassified_f__Lachnospiraceae</v>
          </cell>
        </row>
        <row r="16214">
          <cell r="G16214" t="str">
            <v>ASV23856</v>
          </cell>
          <cell r="H16214" t="str">
            <v>g__Fusobacterium</v>
          </cell>
          <cell r="I16214" t="str">
            <v>s__Fusobacterium_necrophorum_subsp._funduliforme_ATCC_51357</v>
          </cell>
        </row>
        <row r="16215">
          <cell r="G16215" t="str">
            <v>ASV9001</v>
          </cell>
          <cell r="H16215" t="str">
            <v>g__unclassified_o__Bacteroidales</v>
          </cell>
          <cell r="I16215" t="str">
            <v>s__unclassified_o__Bacteroidales</v>
          </cell>
        </row>
        <row r="16216">
          <cell r="G16216" t="str">
            <v>ASV10768</v>
          </cell>
          <cell r="H16216" t="str">
            <v>g__Clostridium_sensu_stricto_1</v>
          </cell>
          <cell r="I16216" t="str">
            <v>s__unclassified_g__Clostridium_sensu_stricto_1</v>
          </cell>
        </row>
        <row r="16217">
          <cell r="G16217" t="str">
            <v>ASV17310</v>
          </cell>
          <cell r="H16217" t="str">
            <v>g__Lactobacillus</v>
          </cell>
          <cell r="I16217" t="str">
            <v>s__uncultured_bacterium_g__Lactobacillus</v>
          </cell>
        </row>
        <row r="16218">
          <cell r="G16218" t="str">
            <v>ASV16942</v>
          </cell>
          <cell r="H16218" t="str">
            <v>g__unclassified_k__norank_d__Bacteria</v>
          </cell>
          <cell r="I16218" t="str">
            <v>s__unclassified_k__norank_d__Bacteria</v>
          </cell>
        </row>
        <row r="16219">
          <cell r="G16219" t="str">
            <v>ASV11713</v>
          </cell>
          <cell r="H16219" t="str">
            <v>g__unclassified_f__Lachnospiraceae</v>
          </cell>
          <cell r="I16219" t="str">
            <v>s__unclassified_f__Lachnospiraceae</v>
          </cell>
        </row>
        <row r="16220">
          <cell r="G16220" t="str">
            <v>ASV22311</v>
          </cell>
          <cell r="H16220" t="str">
            <v>g__unclassified_f__Lachnospiraceae</v>
          </cell>
          <cell r="I16220" t="str">
            <v>s__unclassified_f__Lachnospiraceae</v>
          </cell>
        </row>
        <row r="16221">
          <cell r="G16221" t="str">
            <v>ASV4109</v>
          </cell>
          <cell r="H16221" t="str">
            <v>g__Escherichia-Shigella</v>
          </cell>
          <cell r="I16221" t="str">
            <v>s__unclassified_g__Escherichia-Shigella</v>
          </cell>
        </row>
        <row r="16222">
          <cell r="G16222" t="str">
            <v>ASV9014</v>
          </cell>
          <cell r="H16222" t="str">
            <v>g__unclassified_f__Neisseriaceae</v>
          </cell>
          <cell r="I16222" t="str">
            <v>s__unclassified_f__Neisseriaceae</v>
          </cell>
        </row>
        <row r="16223">
          <cell r="G16223" t="str">
            <v>ASV1088</v>
          </cell>
          <cell r="H16223" t="str">
            <v>g__unclassified_f__Lachnospiraceae</v>
          </cell>
          <cell r="I16223" t="str">
            <v>s__unclassified_f__Lachnospiraceae</v>
          </cell>
        </row>
        <row r="16224">
          <cell r="G16224" t="str">
            <v>ASV15412</v>
          </cell>
          <cell r="H16224" t="str">
            <v>g__unclassified_k__norank_d__Bacteria</v>
          </cell>
          <cell r="I16224" t="str">
            <v>s__unclassified_k__norank_d__Bacteria</v>
          </cell>
        </row>
        <row r="16225">
          <cell r="G16225" t="str">
            <v>ASV8535</v>
          </cell>
          <cell r="H16225" t="str">
            <v>g__Lactobacillus</v>
          </cell>
          <cell r="I16225" t="str">
            <v>s__unclassified_g__Lactobacillus</v>
          </cell>
        </row>
        <row r="16226">
          <cell r="G16226" t="str">
            <v>ASV13461</v>
          </cell>
          <cell r="H16226" t="str">
            <v>g__Lactobacillus</v>
          </cell>
          <cell r="I16226" t="str">
            <v>s__unclassified_g__Lactobacillus</v>
          </cell>
        </row>
        <row r="16227">
          <cell r="G16227" t="str">
            <v>ASV14352</v>
          </cell>
          <cell r="H16227" t="str">
            <v>g__unclassified_f__Lachnospiraceae</v>
          </cell>
          <cell r="I16227" t="str">
            <v>s__unclassified_f__Lachnospiraceae</v>
          </cell>
        </row>
        <row r="16228">
          <cell r="G16228" t="str">
            <v>ASV16962</v>
          </cell>
          <cell r="H16228" t="str">
            <v>g__norank_f__Muribaculaceae</v>
          </cell>
          <cell r="I16228" t="str">
            <v>s__uncultured_bacterium_g__norank_f__Muribaculaceae</v>
          </cell>
        </row>
        <row r="16229">
          <cell r="G16229" t="str">
            <v>ASV22381</v>
          </cell>
          <cell r="H16229" t="str">
            <v>g__unclassified_c__Bacilli</v>
          </cell>
          <cell r="I16229" t="str">
            <v>s__unclassified_c__Bacilli</v>
          </cell>
        </row>
        <row r="16230">
          <cell r="G16230" t="str">
            <v>ASV21458</v>
          </cell>
          <cell r="H16230" t="str">
            <v>g__unclassified_p__Firmicutes</v>
          </cell>
          <cell r="I16230" t="str">
            <v>s__unclassified_p__Firmicutes</v>
          </cell>
        </row>
        <row r="16231">
          <cell r="G16231" t="str">
            <v>ASV9499</v>
          </cell>
          <cell r="H16231" t="str">
            <v>g__unclassified_c__Clostridia</v>
          </cell>
          <cell r="I16231" t="str">
            <v>s__unclassified_c__Clostridia</v>
          </cell>
        </row>
        <row r="16232">
          <cell r="G16232" t="str">
            <v>ASV15500</v>
          </cell>
          <cell r="H16232" t="str">
            <v>g__unclassified_c__Clostridia</v>
          </cell>
          <cell r="I16232" t="str">
            <v>s__unclassified_c__Clostridia</v>
          </cell>
        </row>
        <row r="16233">
          <cell r="G16233" t="str">
            <v>ASV17499</v>
          </cell>
          <cell r="H16233" t="str">
            <v>g__unclassified_f__Oscillospiraceae</v>
          </cell>
          <cell r="I16233" t="str">
            <v>s__unclassified_f__Oscillospiraceae</v>
          </cell>
        </row>
        <row r="16234">
          <cell r="G16234" t="str">
            <v>ASV6842</v>
          </cell>
          <cell r="H16234" t="str">
            <v>g__norank_f__Peptostreptococcaceae</v>
          </cell>
          <cell r="I16234" t="str">
            <v>s__uncultured_bacterium_g__norank_f__Peptostreptococcaceae</v>
          </cell>
        </row>
        <row r="16235">
          <cell r="G16235" t="str">
            <v>ASV24174</v>
          </cell>
          <cell r="H16235" t="str">
            <v>g__norank_f__Erysipelotrichaceae</v>
          </cell>
          <cell r="I16235" t="str">
            <v>s__uncultured_bacterium_g__norank_f__Erysipelotrichaceae</v>
          </cell>
        </row>
        <row r="16236">
          <cell r="G16236" t="str">
            <v>ASV10325</v>
          </cell>
          <cell r="H16236" t="str">
            <v>g__Collinsella</v>
          </cell>
          <cell r="I16236" t="str">
            <v>s__uncultured_bacterium_g__Collinsella</v>
          </cell>
        </row>
        <row r="16237">
          <cell r="G16237" t="str">
            <v>ASV9555</v>
          </cell>
          <cell r="H16237" t="str">
            <v>g__unclassified_f__Lachnospiraceae</v>
          </cell>
          <cell r="I16237" t="str">
            <v>s__unclassified_f__Lachnospiraceae</v>
          </cell>
        </row>
        <row r="16238">
          <cell r="G16238" t="str">
            <v>ASV10708</v>
          </cell>
          <cell r="H16238" t="str">
            <v>g__unclassified_o__Oscillospirales</v>
          </cell>
          <cell r="I16238" t="str">
            <v>s__unclassified_o__Oscillospirales</v>
          </cell>
        </row>
        <row r="16239">
          <cell r="G16239" t="str">
            <v>ASV18074</v>
          </cell>
          <cell r="H16239" t="str">
            <v>g__unclassified_c__Clostridia</v>
          </cell>
          <cell r="I16239" t="str">
            <v>s__unclassified_c__Clostridia</v>
          </cell>
        </row>
        <row r="16240">
          <cell r="G16240" t="str">
            <v>ASV14349</v>
          </cell>
          <cell r="H16240" t="str">
            <v>g__unclassified_f__Lachnospiraceae</v>
          </cell>
          <cell r="I16240" t="str">
            <v>s__unclassified_f__Lachnospiraceae</v>
          </cell>
        </row>
        <row r="16241">
          <cell r="G16241" t="str">
            <v>ASV6103</v>
          </cell>
          <cell r="H16241" t="str">
            <v>g__UCG-002</v>
          </cell>
          <cell r="I16241" t="str">
            <v>s__unclassified_g__UCG-002</v>
          </cell>
        </row>
        <row r="16242">
          <cell r="G16242" t="str">
            <v>ASV13825</v>
          </cell>
          <cell r="H16242" t="str">
            <v>g__Lactobacillus</v>
          </cell>
          <cell r="I16242" t="str">
            <v>s__unclassified_g__Lactobacillus</v>
          </cell>
        </row>
        <row r="16243">
          <cell r="G16243" t="str">
            <v>ASV18089</v>
          </cell>
          <cell r="H16243" t="str">
            <v>g__Eubacterium_oxidoreducens_group</v>
          </cell>
          <cell r="I16243" t="str">
            <v>s__uncultured_bacterium_g__Eubacterium_oxidoreducens_group</v>
          </cell>
        </row>
        <row r="16244">
          <cell r="G16244" t="str">
            <v>ASV15514</v>
          </cell>
          <cell r="H16244" t="str">
            <v>g__Lactobacillus</v>
          </cell>
          <cell r="I16244" t="str">
            <v>s__unclassified_g__Lactobacillus</v>
          </cell>
        </row>
        <row r="16245">
          <cell r="G16245" t="str">
            <v>ASV9022</v>
          </cell>
          <cell r="H16245" t="str">
            <v>g__unclassified_c__Bacilli</v>
          </cell>
          <cell r="I16245" t="str">
            <v>s__unclassified_c__Bacilli</v>
          </cell>
        </row>
        <row r="16246">
          <cell r="G16246" t="str">
            <v>ASV4954</v>
          </cell>
          <cell r="H16246" t="str">
            <v>g__unclassified_c__Clostridia</v>
          </cell>
          <cell r="I16246" t="str">
            <v>s__unclassified_c__Clostridia</v>
          </cell>
        </row>
        <row r="16247">
          <cell r="G16247" t="str">
            <v>ASV23964</v>
          </cell>
          <cell r="H16247" t="str">
            <v>g__Veillonella</v>
          </cell>
          <cell r="I16247" t="str">
            <v>s__unclassified_g__Veillonella</v>
          </cell>
        </row>
        <row r="16248">
          <cell r="G16248" t="str">
            <v>ASV5051</v>
          </cell>
          <cell r="H16248" t="str">
            <v>g__unclassified_c__Clostridia</v>
          </cell>
          <cell r="I16248" t="str">
            <v>s__unclassified_c__Clostridia</v>
          </cell>
        </row>
        <row r="16249">
          <cell r="G16249" t="str">
            <v>ASV20289</v>
          </cell>
          <cell r="H16249" t="str">
            <v>g__unclassified_f__Lachnospiraceae</v>
          </cell>
          <cell r="I16249" t="str">
            <v>s__unclassified_f__Lachnospiraceae</v>
          </cell>
        </row>
        <row r="16250">
          <cell r="G16250" t="str">
            <v>ASV19741</v>
          </cell>
          <cell r="H16250" t="str">
            <v>g__unclassified_k__norank_d__Bacteria</v>
          </cell>
          <cell r="I16250" t="str">
            <v>s__unclassified_k__norank_d__Bacteria</v>
          </cell>
        </row>
        <row r="16251">
          <cell r="G16251" t="str">
            <v>ASV7368</v>
          </cell>
          <cell r="H16251" t="str">
            <v>g__Campylobacter</v>
          </cell>
          <cell r="I16251" t="str">
            <v>s__unclassified_g__Campylobacter</v>
          </cell>
        </row>
        <row r="16252">
          <cell r="G16252" t="str">
            <v>ASV14414</v>
          </cell>
          <cell r="H16252" t="str">
            <v>g__unclassified_c__Clostridia</v>
          </cell>
          <cell r="I16252" t="str">
            <v>s__unclassified_c__Clostridia</v>
          </cell>
        </row>
        <row r="16253">
          <cell r="G16253" t="str">
            <v>ASV12935</v>
          </cell>
          <cell r="H16253" t="str">
            <v>g__Clostridium_sensu_stricto_1</v>
          </cell>
          <cell r="I16253" t="str">
            <v>s__uncultured_bacterium_g__Clostridium_sensu_stricto_1</v>
          </cell>
        </row>
        <row r="16254">
          <cell r="G16254" t="str">
            <v>ASV14327</v>
          </cell>
          <cell r="H16254" t="str">
            <v>g__unclassified_c__Clostridia</v>
          </cell>
          <cell r="I16254" t="str">
            <v>s__unclassified_c__Clostridia</v>
          </cell>
        </row>
        <row r="16255">
          <cell r="G16255" t="str">
            <v>ASV17495</v>
          </cell>
          <cell r="H16255" t="str">
            <v>g__unclassified_c__Bacilli</v>
          </cell>
          <cell r="I16255" t="str">
            <v>s__unclassified_c__Bacilli</v>
          </cell>
        </row>
        <row r="16256">
          <cell r="G16256" t="str">
            <v>ASV4139</v>
          </cell>
          <cell r="H16256" t="str">
            <v>g__Escherichia-Shigella</v>
          </cell>
          <cell r="I16256" t="str">
            <v>s__unclassified_g__Escherichia-Shigella</v>
          </cell>
        </row>
        <row r="16257">
          <cell r="G16257" t="str">
            <v>ASV20862</v>
          </cell>
          <cell r="H16257" t="str">
            <v>g__unclassified_c__Clostridia</v>
          </cell>
          <cell r="I16257" t="str">
            <v>s__unclassified_c__Clostridia</v>
          </cell>
        </row>
        <row r="16258">
          <cell r="G16258" t="str">
            <v>ASV22366</v>
          </cell>
          <cell r="H16258" t="str">
            <v>g__unclassified_c__Clostridia</v>
          </cell>
          <cell r="I16258" t="str">
            <v>s__unclassified_c__Clostridia</v>
          </cell>
        </row>
        <row r="16259">
          <cell r="G16259" t="str">
            <v>ASV23373</v>
          </cell>
          <cell r="H16259" t="str">
            <v>g__norank_f__norank_o__RF39</v>
          </cell>
          <cell r="I16259" t="str">
            <v>s__uncultured_bacterium_g__norank_f__norank_o__RF39</v>
          </cell>
        </row>
        <row r="16260">
          <cell r="G16260" t="str">
            <v>ASV11995</v>
          </cell>
          <cell r="H16260" t="str">
            <v>g__unclassified_c__Clostridia</v>
          </cell>
          <cell r="I16260" t="str">
            <v>s__unclassified_c__Clostridia</v>
          </cell>
        </row>
        <row r="16261">
          <cell r="G16261" t="str">
            <v>ASV8826</v>
          </cell>
          <cell r="H16261" t="str">
            <v>g__Rikenellaceae_RC9_gut_group</v>
          </cell>
          <cell r="I16261" t="str">
            <v>s__uncultured_bacterium_g__Rikenellaceae_RC9_gut_group</v>
          </cell>
        </row>
        <row r="16262">
          <cell r="G16262" t="str">
            <v>ASV8505</v>
          </cell>
          <cell r="H16262" t="str">
            <v>g__unclassified_c__Bacilli</v>
          </cell>
          <cell r="I16262" t="str">
            <v>s__unclassified_c__Bacilli</v>
          </cell>
        </row>
        <row r="16263">
          <cell r="G16263" t="str">
            <v>ASV4168</v>
          </cell>
          <cell r="H16263" t="str">
            <v>g__unclassified_f__Lachnospiraceae</v>
          </cell>
          <cell r="I16263" t="str">
            <v>s__unclassified_f__Lachnospiraceae</v>
          </cell>
        </row>
        <row r="16264">
          <cell r="G16264" t="str">
            <v>ASV11767</v>
          </cell>
          <cell r="H16264" t="str">
            <v>g__Eubacterium_oxidoreducens_group</v>
          </cell>
          <cell r="I16264" t="str">
            <v>s__uncultured_bacterium_g__Eubacterium_oxidoreducens_group</v>
          </cell>
        </row>
        <row r="16265">
          <cell r="G16265" t="str">
            <v>ASV21747</v>
          </cell>
          <cell r="H16265" t="str">
            <v>g__Alloprevotella</v>
          </cell>
          <cell r="I16265" t="str">
            <v>s__uncultured_bacterium_g__Alloprevotella</v>
          </cell>
        </row>
        <row r="16266">
          <cell r="G16266" t="str">
            <v>ASV19641</v>
          </cell>
          <cell r="H16266" t="str">
            <v>g__unclassified_o__Oscillospirales</v>
          </cell>
          <cell r="I16266" t="str">
            <v>s__unclassified_o__Oscillospirales</v>
          </cell>
        </row>
        <row r="16267">
          <cell r="G16267" t="str">
            <v>ASV19697</v>
          </cell>
          <cell r="H16267" t="str">
            <v>g__unclassified_f__Lachnospiraceae</v>
          </cell>
          <cell r="I16267" t="str">
            <v>s__unclassified_f__Lachnospiraceae</v>
          </cell>
        </row>
        <row r="16268">
          <cell r="G16268" t="str">
            <v>ASV21492</v>
          </cell>
          <cell r="H16268" t="str">
            <v>g__unclassified_f__Lachnospiraceae</v>
          </cell>
          <cell r="I16268" t="str">
            <v>s__unclassified_f__Lachnospiraceae</v>
          </cell>
        </row>
        <row r="16269">
          <cell r="G16269" t="str">
            <v>ASV20833</v>
          </cell>
          <cell r="H16269" t="str">
            <v>g__Bacteroides</v>
          </cell>
          <cell r="I16269" t="str">
            <v>s__unclassified_g__Bacteroides</v>
          </cell>
        </row>
        <row r="16270">
          <cell r="G16270" t="str">
            <v>ASV20938</v>
          </cell>
          <cell r="H16270" t="str">
            <v>g__Clostridium_sensu_stricto_1</v>
          </cell>
          <cell r="I16270" t="str">
            <v>s__unclassified_g__Clostridium_sensu_stricto_1</v>
          </cell>
        </row>
        <row r="16271">
          <cell r="G16271" t="str">
            <v>ASV4942</v>
          </cell>
          <cell r="H16271" t="str">
            <v>g__unclassified_f__Lachnospiraceae</v>
          </cell>
          <cell r="I16271" t="str">
            <v>s__unclassified_f__Lachnospiraceae</v>
          </cell>
        </row>
        <row r="16272">
          <cell r="G16272" t="str">
            <v>ASV9460</v>
          </cell>
          <cell r="H16272" t="str">
            <v>g__unclassified_f__Ruminococcaceae</v>
          </cell>
          <cell r="I16272" t="str">
            <v>s__unclassified_f__Ruminococcaceae</v>
          </cell>
        </row>
        <row r="16273">
          <cell r="G16273" t="str">
            <v>ASV14431</v>
          </cell>
          <cell r="H16273" t="str">
            <v>g__Phascolarctobacterium</v>
          </cell>
          <cell r="I16273" t="str">
            <v>s__uncultured_bacterium_g__Phascolarctobacterium</v>
          </cell>
        </row>
        <row r="16274">
          <cell r="G16274" t="str">
            <v>ASV8364</v>
          </cell>
          <cell r="H16274" t="str">
            <v>g__Lactobacillus</v>
          </cell>
          <cell r="I16274" t="str">
            <v>s__unclassified_g__Lactobacillus</v>
          </cell>
        </row>
        <row r="16275">
          <cell r="G16275" t="str">
            <v>ASV3517</v>
          </cell>
          <cell r="H16275" t="str">
            <v>g__Mitsuokella</v>
          </cell>
          <cell r="I16275" t="str">
            <v>s__unclassified_g__Mitsuokella</v>
          </cell>
        </row>
        <row r="16276">
          <cell r="G16276" t="str">
            <v>ASV23387</v>
          </cell>
          <cell r="H16276" t="str">
            <v>g__Lactobacillus</v>
          </cell>
          <cell r="I16276" t="str">
            <v>s__unclassified_g__Lactobacillus</v>
          </cell>
        </row>
        <row r="16277">
          <cell r="G16277" t="str">
            <v>ASV3237</v>
          </cell>
          <cell r="H16277" t="str">
            <v>g__Mitsuokella</v>
          </cell>
          <cell r="I16277" t="str">
            <v>s__unclassified_g__Mitsuokella</v>
          </cell>
        </row>
        <row r="16278">
          <cell r="G16278" t="str">
            <v>ASV14557</v>
          </cell>
          <cell r="H16278" t="str">
            <v>g__unclassified_f__Clostridiaceae</v>
          </cell>
          <cell r="I16278" t="str">
            <v>s__unclassified_f__Clostridiaceae</v>
          </cell>
        </row>
        <row r="16279">
          <cell r="G16279" t="str">
            <v>ASV8716</v>
          </cell>
          <cell r="H16279" t="str">
            <v>g__Clostridium_sensu_stricto_1</v>
          </cell>
          <cell r="I16279" t="str">
            <v>s__unclassified_g__Clostridium_sensu_stricto_1</v>
          </cell>
        </row>
        <row r="16280">
          <cell r="G16280" t="str">
            <v>ASV10326</v>
          </cell>
          <cell r="H16280" t="str">
            <v>g__unclassified_f__Oscillospiraceae</v>
          </cell>
          <cell r="I16280" t="str">
            <v>s__unclassified_f__Oscillospiraceae</v>
          </cell>
        </row>
        <row r="16281">
          <cell r="G16281" t="str">
            <v>ASV18214</v>
          </cell>
          <cell r="H16281" t="str">
            <v>g__Eubacterium_nodatum_group</v>
          </cell>
          <cell r="I16281" t="str">
            <v>s__Eubacterium_sp._68-3-10</v>
          </cell>
        </row>
        <row r="16282">
          <cell r="G16282" t="str">
            <v>ASV1020</v>
          </cell>
          <cell r="H16282" t="str">
            <v>g__unclassified_f__Lachnospiraceae</v>
          </cell>
          <cell r="I16282" t="str">
            <v>s__unclassified_f__Lachnospiraceae</v>
          </cell>
        </row>
        <row r="16283">
          <cell r="G16283" t="str">
            <v>ASV23412</v>
          </cell>
          <cell r="H16283" t="str">
            <v>g__Fusobacterium</v>
          </cell>
          <cell r="I16283" t="str">
            <v>s__unclassified_g__Fusobacterium</v>
          </cell>
        </row>
        <row r="16284">
          <cell r="G16284" t="str">
            <v>ASV22407</v>
          </cell>
          <cell r="H16284" t="str">
            <v>g__Prevotella</v>
          </cell>
          <cell r="I16284" t="str">
            <v>s__unclassified_g__Prevotella</v>
          </cell>
        </row>
        <row r="16285">
          <cell r="G16285" t="str">
            <v>ASV22470</v>
          </cell>
          <cell r="H16285" t="str">
            <v>g__unclassified_o__Oscillospirales</v>
          </cell>
          <cell r="I16285" t="str">
            <v>s__unclassified_o__Oscillospirales</v>
          </cell>
        </row>
        <row r="16286">
          <cell r="G16286" t="str">
            <v>ASV2274</v>
          </cell>
          <cell r="H16286" t="str">
            <v>g__NK4A214_group</v>
          </cell>
          <cell r="I16286" t="str">
            <v>s__uncultured_bacterium_g__NK4A214_group</v>
          </cell>
        </row>
        <row r="16287">
          <cell r="G16287" t="str">
            <v>ASV14368</v>
          </cell>
          <cell r="H16287" t="str">
            <v>g__Lactobacillus</v>
          </cell>
          <cell r="I16287" t="str">
            <v>s__unclassified_g__Lactobacillus</v>
          </cell>
        </row>
        <row r="16288">
          <cell r="G16288" t="str">
            <v>ASV11775</v>
          </cell>
          <cell r="H16288" t="str">
            <v>g__unclassified_c__Clostridia</v>
          </cell>
          <cell r="I16288" t="str">
            <v>s__unclassified_c__Clostridia</v>
          </cell>
        </row>
        <row r="16289">
          <cell r="G16289" t="str">
            <v>ASV10800</v>
          </cell>
          <cell r="H16289" t="str">
            <v>g__Lactobacillus</v>
          </cell>
          <cell r="I16289" t="str">
            <v>s__unclassified_g__Lactobacillus</v>
          </cell>
        </row>
        <row r="16290">
          <cell r="G16290" t="str">
            <v>ASV1067</v>
          </cell>
          <cell r="H16290" t="str">
            <v>g__unclassified_f__Lachnospiraceae</v>
          </cell>
          <cell r="I16290" t="str">
            <v>s__unclassified_f__Lachnospiraceae</v>
          </cell>
        </row>
        <row r="16291">
          <cell r="G16291" t="str">
            <v>ASV6750</v>
          </cell>
          <cell r="H16291" t="str">
            <v>g__unclassified_c__Clostridia</v>
          </cell>
          <cell r="I16291" t="str">
            <v>s__unclassified_c__Clostridia</v>
          </cell>
        </row>
        <row r="16292">
          <cell r="G16292" t="str">
            <v>ASV23409</v>
          </cell>
          <cell r="H16292" t="str">
            <v>g__Negativibacillus</v>
          </cell>
          <cell r="I16292" t="str">
            <v>s__uncultured_bacterium_g__Negativibacillus</v>
          </cell>
        </row>
        <row r="16293">
          <cell r="G16293" t="str">
            <v>ASV22278</v>
          </cell>
          <cell r="H16293" t="str">
            <v>g__unclassified_p__Firmicutes</v>
          </cell>
          <cell r="I16293" t="str">
            <v>s__unclassified_p__Firmicutes</v>
          </cell>
        </row>
        <row r="16294">
          <cell r="G16294" t="str">
            <v>ASV21273</v>
          </cell>
          <cell r="H16294" t="str">
            <v>g__Streptococcus</v>
          </cell>
          <cell r="I16294" t="str">
            <v>s__unclassified_g__Streptococcus</v>
          </cell>
        </row>
        <row r="16295">
          <cell r="G16295" t="str">
            <v>ASV23457</v>
          </cell>
          <cell r="H16295" t="str">
            <v>g__Subdoligranulum</v>
          </cell>
          <cell r="I16295" t="str">
            <v>s__unclassified_g__Subdoligranulum</v>
          </cell>
        </row>
        <row r="16296">
          <cell r="G16296" t="str">
            <v>ASV23326</v>
          </cell>
          <cell r="H16296" t="str">
            <v>g__norank_f__UCG-011</v>
          </cell>
          <cell r="I16296" t="str">
            <v>s__uncultured_bacterium_g__norank_f__UCG-011</v>
          </cell>
        </row>
        <row r="16297">
          <cell r="G16297" t="str">
            <v>ASV1021</v>
          </cell>
          <cell r="H16297" t="str">
            <v>g__Family_XIII_AD3011_group</v>
          </cell>
          <cell r="I16297" t="str">
            <v>s__uncultured_bacterium_g__Family_XIII_AD3011_group</v>
          </cell>
        </row>
        <row r="16298">
          <cell r="G16298" t="str">
            <v>ASV2609</v>
          </cell>
          <cell r="H16298" t="str">
            <v>g__unclassified_k__norank_d__Bacteria</v>
          </cell>
          <cell r="I16298" t="str">
            <v>s__unclassified_k__norank_d__Bacteria</v>
          </cell>
        </row>
        <row r="16299">
          <cell r="G16299" t="str">
            <v>ASV19753</v>
          </cell>
          <cell r="H16299" t="str">
            <v>g__unclassified_o__Bacteroidales</v>
          </cell>
          <cell r="I16299" t="str">
            <v>s__unclassified_o__Bacteroidales</v>
          </cell>
        </row>
        <row r="16300">
          <cell r="G16300" t="str">
            <v>ASV10773</v>
          </cell>
          <cell r="H16300" t="str">
            <v>g__unclassified_f__Ruminococcaceae</v>
          </cell>
          <cell r="I16300" t="str">
            <v>s__unclassified_f__Ruminococcaceae</v>
          </cell>
        </row>
        <row r="16301">
          <cell r="G16301" t="str">
            <v>ASV4069</v>
          </cell>
          <cell r="H16301" t="str">
            <v>g__unclassified_k__norank_d__Bacteria</v>
          </cell>
          <cell r="I16301" t="str">
            <v>s__unclassified_k__norank_d__Bacteria</v>
          </cell>
        </row>
        <row r="16302">
          <cell r="G16302" t="str">
            <v>ASV19737</v>
          </cell>
          <cell r="H16302" t="str">
            <v>g__unclassified_f__Ruminococcaceae</v>
          </cell>
          <cell r="I16302" t="str">
            <v>s__unclassified_f__Ruminococcaceae</v>
          </cell>
        </row>
        <row r="16303">
          <cell r="G16303" t="str">
            <v>ASV12827</v>
          </cell>
          <cell r="H16303" t="str">
            <v>g__unclassified_c__Clostridia</v>
          </cell>
          <cell r="I16303" t="str">
            <v>s__unclassified_c__Clostridia</v>
          </cell>
        </row>
        <row r="16304">
          <cell r="G16304" t="str">
            <v>ASV22502</v>
          </cell>
          <cell r="H16304" t="str">
            <v>g__Holdemanella</v>
          </cell>
          <cell r="I16304" t="str">
            <v>s__unclassified_g__Holdemanella</v>
          </cell>
        </row>
        <row r="16305">
          <cell r="G16305" t="str">
            <v>ASV12881</v>
          </cell>
          <cell r="H16305" t="str">
            <v>g__norank_f__Eubacterium_coprostanoligenes_group</v>
          </cell>
          <cell r="I16305" t="str">
            <v>s__human_gut_metagenome_g__norank_f__Eubacterium_coprostanoligenes_group</v>
          </cell>
        </row>
        <row r="16306">
          <cell r="G16306" t="str">
            <v>ASV11882</v>
          </cell>
          <cell r="H16306" t="str">
            <v>g__NK4A214_group</v>
          </cell>
          <cell r="I16306" t="str">
            <v>s__unclassified_g__NK4A214_group</v>
          </cell>
        </row>
        <row r="16307">
          <cell r="G16307" t="str">
            <v>ASV22345</v>
          </cell>
          <cell r="H16307" t="str">
            <v>g__Subdoligranulum</v>
          </cell>
          <cell r="I16307" t="str">
            <v>s__unclassified_g__Subdoligranulum</v>
          </cell>
        </row>
        <row r="16308">
          <cell r="G16308" t="str">
            <v>ASV16069</v>
          </cell>
          <cell r="H16308" t="str">
            <v>g__Lactobacillus</v>
          </cell>
          <cell r="I16308" t="str">
            <v>s__unclassified_g__Lactobacillus</v>
          </cell>
        </row>
        <row r="16309">
          <cell r="G16309" t="str">
            <v>ASV10048</v>
          </cell>
          <cell r="H16309" t="str">
            <v>g__Butyricicoccus</v>
          </cell>
          <cell r="I16309" t="str">
            <v>s__unclassified_g__Butyricicoccus</v>
          </cell>
        </row>
        <row r="16310">
          <cell r="G16310" t="str">
            <v>ASV7924</v>
          </cell>
          <cell r="H16310" t="str">
            <v>g__Lactobacillus</v>
          </cell>
          <cell r="I16310" t="str">
            <v>s__unclassified_g__Lactobacillus</v>
          </cell>
        </row>
        <row r="16311">
          <cell r="G16311" t="str">
            <v>ASV5048</v>
          </cell>
          <cell r="H16311" t="str">
            <v>g__unclassified_c__Bacilli</v>
          </cell>
          <cell r="I16311" t="str">
            <v>s__unclassified_c__Bacilli</v>
          </cell>
        </row>
        <row r="16312">
          <cell r="G16312" t="str">
            <v>ASV22340</v>
          </cell>
          <cell r="H16312" t="str">
            <v>g__unclassified_c__Clostridia</v>
          </cell>
          <cell r="I16312" t="str">
            <v>s__unclassified_c__Clostridia</v>
          </cell>
        </row>
        <row r="16313">
          <cell r="G16313" t="str">
            <v>ASV3244</v>
          </cell>
          <cell r="H16313" t="str">
            <v>g__unclassified_c__Bacilli</v>
          </cell>
          <cell r="I16313" t="str">
            <v>s__unclassified_c__Bacilli</v>
          </cell>
        </row>
        <row r="16314">
          <cell r="G16314" t="str">
            <v>ASV18653</v>
          </cell>
          <cell r="H16314" t="str">
            <v>g__unclassified_c__Clostridia</v>
          </cell>
          <cell r="I16314" t="str">
            <v>s__unclassified_c__Clostridia</v>
          </cell>
        </row>
        <row r="16315">
          <cell r="G16315" t="str">
            <v>ASV23297</v>
          </cell>
          <cell r="H16315" t="str">
            <v>g__unclassified_c__Clostridia</v>
          </cell>
          <cell r="I16315" t="str">
            <v>s__unclassified_c__Clostridia</v>
          </cell>
        </row>
        <row r="16316">
          <cell r="G16316" t="str">
            <v>ASV6835</v>
          </cell>
          <cell r="H16316" t="str">
            <v>g__Streptococcus</v>
          </cell>
          <cell r="I16316" t="str">
            <v>s__unclassified_g__Streptococcus</v>
          </cell>
        </row>
        <row r="16317">
          <cell r="G16317" t="str">
            <v>ASV10091</v>
          </cell>
          <cell r="H16317" t="str">
            <v>g__Prevotella</v>
          </cell>
          <cell r="I16317" t="str">
            <v>s__uncultured_Wautersiella_sp._g__Prevotella</v>
          </cell>
        </row>
        <row r="16318">
          <cell r="G16318" t="str">
            <v>ASV20468</v>
          </cell>
          <cell r="H16318" t="str">
            <v>g__Sphingopyxis</v>
          </cell>
          <cell r="I16318" t="str">
            <v>s__unclassified_g__Sphingopyxis</v>
          </cell>
        </row>
        <row r="16319">
          <cell r="G16319" t="str">
            <v>ASV4934</v>
          </cell>
          <cell r="H16319" t="str">
            <v>g__unclassified_f__Lachnospiraceae</v>
          </cell>
          <cell r="I16319" t="str">
            <v>s__unclassified_f__Lachnospiraceae</v>
          </cell>
        </row>
        <row r="16320">
          <cell r="G16320" t="str">
            <v>ASV12836</v>
          </cell>
          <cell r="H16320" t="str">
            <v>g__unclassified_c__Clostridia</v>
          </cell>
          <cell r="I16320" t="str">
            <v>s__unclassified_c__Clostridia</v>
          </cell>
        </row>
        <row r="16321">
          <cell r="G16321" t="str">
            <v>ASV7200</v>
          </cell>
          <cell r="H16321" t="str">
            <v>g__Nocardioides</v>
          </cell>
          <cell r="I16321" t="str">
            <v>s__Nocardioides_furvisabuli</v>
          </cell>
        </row>
        <row r="16322">
          <cell r="G16322" t="str">
            <v>ASV22419</v>
          </cell>
          <cell r="H16322" t="str">
            <v>g__unclassified_f__Lachnospiraceae</v>
          </cell>
          <cell r="I16322" t="str">
            <v>s__unclassified_f__Lachnospiraceae</v>
          </cell>
        </row>
        <row r="16323">
          <cell r="G16323" t="str">
            <v>ASV24235</v>
          </cell>
          <cell r="H16323" t="str">
            <v>g__unclassified_f__Lachnospiraceae</v>
          </cell>
          <cell r="I16323" t="str">
            <v>s__unclassified_f__Lachnospiraceae</v>
          </cell>
        </row>
        <row r="16324">
          <cell r="G16324" t="str">
            <v>ASV14313</v>
          </cell>
          <cell r="H16324" t="str">
            <v>g__unclassified_p__Firmicutes</v>
          </cell>
          <cell r="I16324" t="str">
            <v>s__unclassified_p__Firmicutes</v>
          </cell>
        </row>
        <row r="16325">
          <cell r="G16325" t="str">
            <v>ASV22934</v>
          </cell>
          <cell r="H16325" t="str">
            <v>g__Lactobacillus</v>
          </cell>
          <cell r="I16325" t="str">
            <v>s__unclassified_g__Lactobacillus</v>
          </cell>
        </row>
        <row r="16326">
          <cell r="G16326" t="str">
            <v>ASV7867</v>
          </cell>
          <cell r="H16326" t="str">
            <v>g__norank_f__Muribaculaceae</v>
          </cell>
          <cell r="I16326" t="str">
            <v>s__uncultured_bacterium_g__norank_f__Muribaculaceae</v>
          </cell>
        </row>
        <row r="16327">
          <cell r="G16327" t="str">
            <v>ASV24219</v>
          </cell>
          <cell r="H16327" t="str">
            <v>g__unclassified_c__Bacilli</v>
          </cell>
          <cell r="I16327" t="str">
            <v>s__unclassified_c__Bacilli</v>
          </cell>
        </row>
        <row r="16328">
          <cell r="G16328" t="str">
            <v>ASV18906</v>
          </cell>
          <cell r="H16328" t="str">
            <v>g__Blautia</v>
          </cell>
          <cell r="I16328" t="str">
            <v>s__unclassified_g__Blautia</v>
          </cell>
        </row>
        <row r="16329">
          <cell r="G16329" t="str">
            <v>ASV12943</v>
          </cell>
          <cell r="H16329" t="str">
            <v>g__unclassified_f__Ruminococcaceae</v>
          </cell>
          <cell r="I16329" t="str">
            <v>s__unclassified_f__Ruminococcaceae</v>
          </cell>
        </row>
        <row r="16330">
          <cell r="G16330" t="str">
            <v>ASV6013</v>
          </cell>
          <cell r="H16330" t="str">
            <v>g__unclassified_f__Erysipelotrichaceae</v>
          </cell>
          <cell r="I16330" t="str">
            <v>s__unclassified_f__Erysipelotrichaceae</v>
          </cell>
        </row>
        <row r="16331">
          <cell r="G16331" t="str">
            <v>ASV15510</v>
          </cell>
          <cell r="H16331" t="str">
            <v>g__norank_f__Ruminococcaceae</v>
          </cell>
          <cell r="I16331" t="str">
            <v>s__unclassified_g__norank_f__Ruminococcaceae</v>
          </cell>
        </row>
        <row r="16332">
          <cell r="G16332" t="str">
            <v>ASV878</v>
          </cell>
          <cell r="H16332" t="str">
            <v>g__NK4A214_group</v>
          </cell>
          <cell r="I16332" t="str">
            <v>s__unclassified_g__NK4A214_group</v>
          </cell>
        </row>
        <row r="16333">
          <cell r="G16333" t="str">
            <v>ASV2320</v>
          </cell>
          <cell r="H16333" t="str">
            <v>g__Lactobacillus</v>
          </cell>
          <cell r="I16333" t="str">
            <v>s__unclassified_g__Lactobacillus</v>
          </cell>
        </row>
        <row r="16334">
          <cell r="G16334" t="str">
            <v>ASV19812</v>
          </cell>
          <cell r="H16334" t="str">
            <v>g__unclassified_f__Ruminococcaceae</v>
          </cell>
          <cell r="I16334" t="str">
            <v>s__unclassified_f__Ruminococcaceae</v>
          </cell>
        </row>
        <row r="16335">
          <cell r="G16335" t="str">
            <v>ASV13724</v>
          </cell>
          <cell r="H16335" t="str">
            <v>g__unclassified_f__Veillonellaceae</v>
          </cell>
          <cell r="I16335" t="str">
            <v>s__unclassified_f__Veillonellaceae</v>
          </cell>
        </row>
        <row r="16336">
          <cell r="G16336" t="str">
            <v>ASV23483</v>
          </cell>
          <cell r="H16336" t="str">
            <v>g__unclassified_o__Oscillospirales</v>
          </cell>
          <cell r="I16336" t="str">
            <v>s__unclassified_o__Oscillospirales</v>
          </cell>
        </row>
        <row r="16337">
          <cell r="G16337" t="str">
            <v>ASV933</v>
          </cell>
          <cell r="H16337" t="str">
            <v>g__Colidextribacter</v>
          </cell>
          <cell r="I16337" t="str">
            <v>s__unclassified_g__Colidextribacter</v>
          </cell>
        </row>
        <row r="16338">
          <cell r="G16338" t="str">
            <v>ASV20835</v>
          </cell>
          <cell r="H16338" t="str">
            <v>g__unclassified_c__Clostridia</v>
          </cell>
          <cell r="I16338" t="str">
            <v>s__unclassified_c__Clostridia</v>
          </cell>
        </row>
        <row r="16339">
          <cell r="G16339" t="str">
            <v>ASV3381</v>
          </cell>
          <cell r="H16339" t="str">
            <v>g__unclassified_f__Lachnospiraceae</v>
          </cell>
          <cell r="I16339" t="str">
            <v>s__unclassified_f__Lachnospiraceae</v>
          </cell>
        </row>
        <row r="16340">
          <cell r="G16340" t="str">
            <v>ASV20934</v>
          </cell>
          <cell r="H16340" t="str">
            <v>g__Bacillus</v>
          </cell>
          <cell r="I16340" t="str">
            <v>s__unclassified_g__Bacillus</v>
          </cell>
        </row>
        <row r="16341">
          <cell r="G16341" t="str">
            <v>ASV17211</v>
          </cell>
          <cell r="H16341" t="str">
            <v>g__unclassified_p__Firmicutes</v>
          </cell>
          <cell r="I16341" t="str">
            <v>s__unclassified_p__Firmicutes</v>
          </cell>
        </row>
        <row r="16342">
          <cell r="G16342" t="str">
            <v>ASV6006</v>
          </cell>
          <cell r="H16342" t="str">
            <v>g__unclassified_o__Bacteroidales</v>
          </cell>
          <cell r="I16342" t="str">
            <v>s__unclassified_o__Bacteroidales</v>
          </cell>
        </row>
        <row r="16343">
          <cell r="G16343" t="str">
            <v>ASV14452</v>
          </cell>
          <cell r="H16343" t="str">
            <v>g__unclassified_o__Bacteroidales</v>
          </cell>
          <cell r="I16343" t="str">
            <v>s__unclassified_o__Bacteroidales</v>
          </cell>
        </row>
        <row r="16344">
          <cell r="G16344" t="str">
            <v>ASV20868</v>
          </cell>
          <cell r="H16344" t="str">
            <v>g__unclassified_c__Clostridia</v>
          </cell>
          <cell r="I16344" t="str">
            <v>s__unclassified_c__Clostridia</v>
          </cell>
        </row>
        <row r="16345">
          <cell r="G16345" t="str">
            <v>ASV17314</v>
          </cell>
          <cell r="H16345" t="str">
            <v>g__Lactobacillus</v>
          </cell>
          <cell r="I16345" t="str">
            <v>s__unclassified_g__Lactobacillus</v>
          </cell>
        </row>
        <row r="16346">
          <cell r="G16346" t="str">
            <v>ASV3500</v>
          </cell>
          <cell r="H16346" t="str">
            <v>g__Escherichia-Shigella</v>
          </cell>
          <cell r="I16346" t="str">
            <v>s__unclassified_g__Escherichia-Shigella</v>
          </cell>
        </row>
        <row r="16347">
          <cell r="G16347" t="str">
            <v>ASV23365</v>
          </cell>
          <cell r="H16347" t="str">
            <v>g__unclassified_p__Firmicutes</v>
          </cell>
          <cell r="I16347" t="str">
            <v>s__unclassified_p__Firmicutes</v>
          </cell>
        </row>
        <row r="16348">
          <cell r="G16348" t="str">
            <v>ASV3226</v>
          </cell>
          <cell r="H16348" t="str">
            <v>g__Parabacteroides</v>
          </cell>
          <cell r="I16348" t="str">
            <v>s__unclassified_g__Parabacteroides</v>
          </cell>
        </row>
        <row r="16349">
          <cell r="G16349" t="str">
            <v>ASV23392</v>
          </cell>
          <cell r="H16349" t="str">
            <v>g__Monoglobus</v>
          </cell>
          <cell r="I16349" t="str">
            <v>s__uncultured_bacterium_g__Monoglobus</v>
          </cell>
        </row>
        <row r="16350">
          <cell r="G16350" t="str">
            <v>ASV18612</v>
          </cell>
          <cell r="H16350" t="str">
            <v>g__Lactobacillus</v>
          </cell>
          <cell r="I16350" t="str">
            <v>s__unclassified_g__Lactobacillus</v>
          </cell>
        </row>
        <row r="16351">
          <cell r="G16351" t="str">
            <v>ASV10092</v>
          </cell>
          <cell r="H16351" t="str">
            <v>g__Catenisphaera</v>
          </cell>
          <cell r="I16351" t="str">
            <v>s__uncultured_rumen_bacterium_g__Catenisphaera</v>
          </cell>
        </row>
        <row r="16352">
          <cell r="G16352" t="str">
            <v>ASV22272</v>
          </cell>
          <cell r="H16352" t="str">
            <v>g__unclassified_f__Lachnospiraceae</v>
          </cell>
          <cell r="I16352" t="str">
            <v>s__unclassified_f__Lachnospiraceae</v>
          </cell>
        </row>
        <row r="16353">
          <cell r="G16353" t="str">
            <v>ASV18098</v>
          </cell>
          <cell r="H16353" t="str">
            <v>g__unclassified_f__Lachnospiraceae</v>
          </cell>
          <cell r="I16353" t="str">
            <v>s__unclassified_f__Lachnospiraceae</v>
          </cell>
        </row>
        <row r="16354">
          <cell r="G16354" t="str">
            <v>ASV1700</v>
          </cell>
          <cell r="H16354" t="str">
            <v>g__unclassified_c__Clostridia</v>
          </cell>
          <cell r="I16354" t="str">
            <v>s__unclassified_c__Clostridia</v>
          </cell>
        </row>
        <row r="16355">
          <cell r="G16355" t="str">
            <v>ASV11916</v>
          </cell>
          <cell r="H16355" t="str">
            <v>g__Succiniclasticum</v>
          </cell>
          <cell r="I16355" t="str">
            <v>s__unclassified_g__Succiniclasticum</v>
          </cell>
        </row>
        <row r="16356">
          <cell r="G16356" t="str">
            <v>ASV10780</v>
          </cell>
          <cell r="H16356" t="str">
            <v>g__Family_XIII_AD3011_group</v>
          </cell>
          <cell r="I16356" t="str">
            <v>s__uncultured_bacterium_g__Family_XIII_AD3011_group</v>
          </cell>
        </row>
        <row r="16357">
          <cell r="G16357" t="str">
            <v>ASV23451</v>
          </cell>
          <cell r="H16357" t="str">
            <v>g__unclassified_o__Oscillospirales</v>
          </cell>
          <cell r="I16357" t="str">
            <v>s__unclassified_o__Oscillospirales</v>
          </cell>
        </row>
        <row r="16358">
          <cell r="G16358" t="str">
            <v>ASV14523</v>
          </cell>
          <cell r="H16358" t="str">
            <v>g__unclassified_f__Lachnospiraceae</v>
          </cell>
          <cell r="I16358" t="str">
            <v>s__unclassified_f__Lachnospiraceae</v>
          </cell>
        </row>
        <row r="16359">
          <cell r="G16359" t="str">
            <v>ASV9477</v>
          </cell>
          <cell r="H16359" t="str">
            <v>g__unclassified_o__Oscillospirales</v>
          </cell>
          <cell r="I16359" t="str">
            <v>s__unclassified_o__Oscillospirales</v>
          </cell>
        </row>
        <row r="16360">
          <cell r="G16360" t="str">
            <v>ASV14464</v>
          </cell>
          <cell r="H16360" t="str">
            <v>g__norank_f__UCG-010</v>
          </cell>
          <cell r="I16360" t="str">
            <v>s__unclassified_g__norank_f__UCG-010</v>
          </cell>
        </row>
        <row r="16361">
          <cell r="G16361" t="str">
            <v>ASV5022</v>
          </cell>
          <cell r="H16361" t="str">
            <v>g__Enterococcus</v>
          </cell>
          <cell r="I16361" t="str">
            <v>s__unclassified_g__Enterococcus</v>
          </cell>
        </row>
        <row r="16362">
          <cell r="G16362" t="str">
            <v>ASV4103</v>
          </cell>
          <cell r="H16362" t="str">
            <v>g__Phascolarctobacterium</v>
          </cell>
          <cell r="I16362" t="str">
            <v>s__Ruminococcus_sp._N15.MGS-57_g__Phascolarctobacterium</v>
          </cell>
        </row>
        <row r="16363">
          <cell r="G16363" t="str">
            <v>ASV16977</v>
          </cell>
          <cell r="H16363" t="str">
            <v>g__unclassified_f__Lachnospiraceae</v>
          </cell>
          <cell r="I16363" t="str">
            <v>s__unclassified_f__Lachnospiraceae</v>
          </cell>
        </row>
        <row r="16364">
          <cell r="G16364" t="str">
            <v>ASV17229</v>
          </cell>
          <cell r="H16364" t="str">
            <v>g__unclassified_c__Bacilli</v>
          </cell>
          <cell r="I16364" t="str">
            <v>s__unclassified_c__Bacilli</v>
          </cell>
        </row>
        <row r="16365">
          <cell r="G16365" t="str">
            <v>ASV10796</v>
          </cell>
          <cell r="H16365" t="str">
            <v>g__unclassified_f__Anaerovoracaceae</v>
          </cell>
          <cell r="I16365" t="str">
            <v>s__unclassified_f__Anaerovoracaceae</v>
          </cell>
        </row>
        <row r="16366">
          <cell r="G16366" t="str">
            <v>ASV19620</v>
          </cell>
          <cell r="H16366" t="str">
            <v>g__unclassified_p__Firmicutes</v>
          </cell>
          <cell r="I16366" t="str">
            <v>s__unclassified_p__Firmicutes</v>
          </cell>
        </row>
        <row r="16367">
          <cell r="G16367" t="str">
            <v>ASV20910</v>
          </cell>
          <cell r="H16367" t="str">
            <v>g__unclassified_c__Clostridia</v>
          </cell>
          <cell r="I16367" t="str">
            <v>s__unclassified_c__Clostridia</v>
          </cell>
        </row>
        <row r="16368">
          <cell r="G16368" t="str">
            <v>ASV23391</v>
          </cell>
          <cell r="H16368" t="str">
            <v>g__unclassified_f__Oscillospiraceae</v>
          </cell>
          <cell r="I16368" t="str">
            <v>s__unclassified_f__Oscillospiraceae</v>
          </cell>
        </row>
        <row r="16369">
          <cell r="G16369" t="str">
            <v>ASV18086</v>
          </cell>
          <cell r="H16369" t="str">
            <v>g__unclassified_k__norank_d__Bacteria</v>
          </cell>
          <cell r="I16369" t="str">
            <v>s__unclassified_k__norank_d__Bacteria</v>
          </cell>
        </row>
        <row r="16370">
          <cell r="G16370" t="str">
            <v>ASV8526</v>
          </cell>
          <cell r="H16370" t="str">
            <v>g__unclassified_o__Veillonellales-Selenomonadales</v>
          </cell>
          <cell r="I16370" t="str">
            <v>s__unclassified_o__Veillonellales-Selenomonadales</v>
          </cell>
        </row>
        <row r="16371">
          <cell r="G16371" t="str">
            <v>ASV2250</v>
          </cell>
          <cell r="H16371" t="str">
            <v>g__unclassified_o__Oscillospirales</v>
          </cell>
          <cell r="I16371" t="str">
            <v>s__unclassified_o__Oscillospirales</v>
          </cell>
        </row>
        <row r="16372">
          <cell r="G16372" t="str">
            <v>ASV2306</v>
          </cell>
          <cell r="H16372" t="str">
            <v>g__unclassified_f__Lachnospiraceae</v>
          </cell>
          <cell r="I16372" t="str">
            <v>s__unclassified_f__Lachnospiraceae</v>
          </cell>
        </row>
        <row r="16373">
          <cell r="G16373" t="str">
            <v>ASV9591</v>
          </cell>
          <cell r="H16373" t="str">
            <v>g__unclassified_f__Lachnospiraceae</v>
          </cell>
          <cell r="I16373" t="str">
            <v>s__unclassified_f__Lachnospiraceae</v>
          </cell>
        </row>
        <row r="16374">
          <cell r="G16374" t="str">
            <v>ASV16022</v>
          </cell>
          <cell r="H16374" t="str">
            <v>g__unclassified_k__norank_d__Bacteria</v>
          </cell>
          <cell r="I16374" t="str">
            <v>s__unclassified_k__norank_d__Bacteria</v>
          </cell>
        </row>
        <row r="16375">
          <cell r="G16375" t="str">
            <v>ASV15485</v>
          </cell>
          <cell r="H16375" t="str">
            <v>g__unclassified_c__Clostridia</v>
          </cell>
          <cell r="I16375" t="str">
            <v>s__unclassified_c__Clostridia</v>
          </cell>
        </row>
        <row r="16376">
          <cell r="G16376" t="str">
            <v>ASV913</v>
          </cell>
          <cell r="H16376" t="str">
            <v>g__Veillonella</v>
          </cell>
          <cell r="I16376" t="str">
            <v>s__unclassified_g__Veillonella</v>
          </cell>
        </row>
        <row r="16377">
          <cell r="G16377" t="str">
            <v>ASV17520</v>
          </cell>
          <cell r="H16377" t="str">
            <v>g__unclassified_o__Oscillospirales</v>
          </cell>
          <cell r="I16377" t="str">
            <v>s__unclassified_o__Oscillospirales</v>
          </cell>
        </row>
        <row r="16378">
          <cell r="G16378" t="str">
            <v>ASV19769</v>
          </cell>
          <cell r="H16378" t="str">
            <v>g__Monoglobus</v>
          </cell>
          <cell r="I16378" t="str">
            <v>s__unclassified_g__Monoglobus</v>
          </cell>
        </row>
        <row r="16379">
          <cell r="G16379" t="str">
            <v>ASV18085</v>
          </cell>
          <cell r="H16379" t="str">
            <v>g__unclassified_c__Clostridia</v>
          </cell>
          <cell r="I16379" t="str">
            <v>s__unclassified_c__Clostridia</v>
          </cell>
        </row>
        <row r="16380">
          <cell r="G16380" t="str">
            <v>ASV1698</v>
          </cell>
          <cell r="H16380" t="str">
            <v>g__unclassified_f__Lachnospiraceae</v>
          </cell>
          <cell r="I16380" t="str">
            <v>s__unclassified_f__Lachnospiraceae</v>
          </cell>
        </row>
        <row r="16381">
          <cell r="G16381" t="str">
            <v>ASV21249</v>
          </cell>
          <cell r="H16381" t="str">
            <v>g__unclassified_f__Lachnospiraceae</v>
          </cell>
          <cell r="I16381" t="str">
            <v>s__unclassified_f__Lachnospiraceae</v>
          </cell>
        </row>
        <row r="16382">
          <cell r="G16382" t="str">
            <v>ASV3229</v>
          </cell>
          <cell r="H16382" t="str">
            <v>g__Fusobacterium</v>
          </cell>
          <cell r="I16382" t="str">
            <v>s__unclassified_g__Fusobacterium</v>
          </cell>
        </row>
        <row r="16383">
          <cell r="G16383" t="str">
            <v>ASV5015</v>
          </cell>
          <cell r="H16383" t="str">
            <v>g__unclassified_f__Oscillospiraceae</v>
          </cell>
          <cell r="I16383" t="str">
            <v>s__unclassified_f__Oscillospiraceae</v>
          </cell>
        </row>
        <row r="16384">
          <cell r="G16384" t="str">
            <v>ASV23336</v>
          </cell>
          <cell r="H16384" t="str">
            <v>g__unclassified_c__Clostridia</v>
          </cell>
          <cell r="I16384" t="str">
            <v>s__unclassified_c__Clostridia</v>
          </cell>
        </row>
        <row r="16385">
          <cell r="G16385" t="str">
            <v>ASV20922</v>
          </cell>
          <cell r="H16385" t="str">
            <v>g__unclassified_c__Clostridia</v>
          </cell>
          <cell r="I16385" t="str">
            <v>s__unclassified_c__Clostridia</v>
          </cell>
        </row>
        <row r="16386">
          <cell r="G16386" t="str">
            <v>ASV6809</v>
          </cell>
          <cell r="H16386" t="str">
            <v>g__Clostridium_sensu_stricto_1</v>
          </cell>
          <cell r="I16386" t="str">
            <v>s__unclassified_g__Clostridium_sensu_stricto_1</v>
          </cell>
        </row>
        <row r="16387">
          <cell r="G16387" t="str">
            <v>ASV20840</v>
          </cell>
          <cell r="H16387" t="str">
            <v>g__unclassified_f__Christensenellaceae</v>
          </cell>
          <cell r="I16387" t="str">
            <v>s__unclassified_f__Christensenellaceae</v>
          </cell>
        </row>
        <row r="16388">
          <cell r="G16388" t="str">
            <v>ASV22427</v>
          </cell>
          <cell r="H16388" t="str">
            <v>g__unclassified_f__Oscillospiraceae</v>
          </cell>
          <cell r="I16388" t="str">
            <v>s__unclassified_f__Oscillospiraceae</v>
          </cell>
        </row>
        <row r="16389">
          <cell r="G16389" t="str">
            <v>ASV16964</v>
          </cell>
          <cell r="H16389" t="str">
            <v>g__Lactobacillus</v>
          </cell>
          <cell r="I16389" t="str">
            <v>s__unclassified_g__Lactobacillus</v>
          </cell>
        </row>
        <row r="16390">
          <cell r="G16390" t="str">
            <v>ASV14319</v>
          </cell>
          <cell r="H16390" t="str">
            <v>g__unclassified_c__Clostridia</v>
          </cell>
          <cell r="I16390" t="str">
            <v>s__unclassified_c__Clostridia</v>
          </cell>
        </row>
        <row r="16391">
          <cell r="G16391" t="str">
            <v>ASV3032</v>
          </cell>
          <cell r="H16391" t="str">
            <v>g__Flavobacterium</v>
          </cell>
          <cell r="I16391" t="str">
            <v>s__unclassified_g__Flavobacterium</v>
          </cell>
        </row>
        <row r="16392">
          <cell r="G16392" t="str">
            <v>ASV943</v>
          </cell>
          <cell r="H16392" t="str">
            <v>g__Prevotella</v>
          </cell>
          <cell r="I16392" t="str">
            <v>s__unclassified_g__Prevotella</v>
          </cell>
        </row>
        <row r="16393">
          <cell r="G16393" t="str">
            <v>ASV9030</v>
          </cell>
          <cell r="H16393" t="str">
            <v>g__Actinobacillus</v>
          </cell>
          <cell r="I16393" t="str">
            <v>s__unclassified_g__Actinobacillus</v>
          </cell>
        </row>
        <row r="16394">
          <cell r="G16394" t="str">
            <v>ASV9495</v>
          </cell>
          <cell r="H16394" t="str">
            <v>g__unclassified_c__Clostridia</v>
          </cell>
          <cell r="I16394" t="str">
            <v>s__unclassified_c__Clostridia</v>
          </cell>
        </row>
        <row r="16395">
          <cell r="G16395" t="str">
            <v>ASV2295</v>
          </cell>
          <cell r="H16395" t="str">
            <v>g__norank_f__Eubacterium_coprostanoligenes_group</v>
          </cell>
          <cell r="I16395" t="str">
            <v>s__uncultured_bacterium_g__norank_f__Eubacterium_coprostanoligenes_group</v>
          </cell>
        </row>
        <row r="16396">
          <cell r="G16396" t="str">
            <v>ASV23979</v>
          </cell>
          <cell r="H16396" t="str">
            <v>g__unclassified_c__Bacilli</v>
          </cell>
          <cell r="I16396" t="str">
            <v>s__unclassified_c__Bacilli</v>
          </cell>
        </row>
        <row r="16397">
          <cell r="G16397" t="str">
            <v>ASV10802</v>
          </cell>
          <cell r="H16397" t="str">
            <v>g__unclassified_f__Lachnospiraceae</v>
          </cell>
          <cell r="I16397" t="str">
            <v>s__unclassified_f__Lachnospiraceae</v>
          </cell>
        </row>
        <row r="16398">
          <cell r="G16398" t="str">
            <v>ASV12969</v>
          </cell>
          <cell r="H16398" t="str">
            <v>g__unclassified_f__Prevotellaceae</v>
          </cell>
          <cell r="I16398" t="str">
            <v>s__unclassified_f__Prevotellaceae</v>
          </cell>
        </row>
        <row r="16399">
          <cell r="G16399" t="str">
            <v>ASV10095</v>
          </cell>
          <cell r="H16399" t="str">
            <v>g__Lactobacillus</v>
          </cell>
          <cell r="I16399" t="str">
            <v>s__unclassified_g__Lactobacillus</v>
          </cell>
        </row>
        <row r="16400">
          <cell r="G16400" t="str">
            <v>ASV23458</v>
          </cell>
          <cell r="H16400" t="str">
            <v>g__norank_f__Muribaculaceae</v>
          </cell>
          <cell r="I16400" t="str">
            <v>s__unclassified_g__norank_f__Muribaculaceae</v>
          </cell>
        </row>
        <row r="16401">
          <cell r="G16401" t="str">
            <v>ASV19714</v>
          </cell>
          <cell r="H16401" t="str">
            <v>g__unclassified_c__Clostridia</v>
          </cell>
          <cell r="I16401" t="str">
            <v>s__unclassified_c__Clostridia</v>
          </cell>
        </row>
        <row r="16402">
          <cell r="G16402" t="str">
            <v>ASV1053</v>
          </cell>
          <cell r="H16402" t="str">
            <v>g__unclassified_o__Lactobacillales</v>
          </cell>
          <cell r="I16402" t="str">
            <v>s__unclassified_o__Lactobacillales</v>
          </cell>
        </row>
        <row r="16403">
          <cell r="G16403" t="str">
            <v>ASV858</v>
          </cell>
          <cell r="H16403" t="str">
            <v>g__Sphaerochaeta</v>
          </cell>
          <cell r="I16403" t="str">
            <v>s__uncultured_bacterium_g__Sphaerochaeta</v>
          </cell>
        </row>
        <row r="16404">
          <cell r="G16404" t="str">
            <v>ASV9453</v>
          </cell>
          <cell r="H16404" t="str">
            <v>g__unclassified_k__norank_d__Bacteria</v>
          </cell>
          <cell r="I16404" t="str">
            <v>s__unclassified_k__norank_d__Bacteria</v>
          </cell>
        </row>
        <row r="16405">
          <cell r="G16405" t="str">
            <v>ASV18081</v>
          </cell>
          <cell r="H16405" t="str">
            <v>g__unclassified_k__norank_d__Bacteria</v>
          </cell>
          <cell r="I16405" t="str">
            <v>s__unclassified_k__norank_d__Bacteria</v>
          </cell>
        </row>
        <row r="16406">
          <cell r="G16406" t="str">
            <v>ASV20867</v>
          </cell>
          <cell r="H16406" t="str">
            <v>g__Christensenellaceae_R-7_group</v>
          </cell>
          <cell r="I16406" t="str">
            <v>s__unclassified_g__Christensenellaceae_R-7_group</v>
          </cell>
        </row>
        <row r="16407">
          <cell r="G16407" t="str">
            <v>ASV954</v>
          </cell>
          <cell r="H16407" t="str">
            <v>g__unclassified_f__Oscillospiraceae</v>
          </cell>
          <cell r="I16407" t="str">
            <v>s__unclassified_f__Oscillospiraceae</v>
          </cell>
        </row>
        <row r="16408">
          <cell r="G16408" t="str">
            <v>ASV11908</v>
          </cell>
          <cell r="H16408" t="str">
            <v>g__Veillonella</v>
          </cell>
          <cell r="I16408" t="str">
            <v>s__unclassified_g__Veillonella</v>
          </cell>
        </row>
        <row r="16409">
          <cell r="G16409" t="str">
            <v>ASV8363</v>
          </cell>
          <cell r="H16409" t="str">
            <v>g__Terrisporobacter</v>
          </cell>
          <cell r="I16409" t="str">
            <v>s__unclassified_g__Terrisporobacter</v>
          </cell>
        </row>
        <row r="16410">
          <cell r="G16410" t="str">
            <v>ASV2387</v>
          </cell>
          <cell r="H16410" t="str">
            <v>g__unclassified_f__Lachnospiraceae</v>
          </cell>
          <cell r="I16410" t="str">
            <v>s__unclassified_f__Lachnospiraceae</v>
          </cell>
        </row>
        <row r="16411">
          <cell r="G16411" t="str">
            <v>ASV20825</v>
          </cell>
          <cell r="H16411" t="str">
            <v>g__unclassified_f__Lachnospiraceae</v>
          </cell>
          <cell r="I16411" t="str">
            <v>s__unclassified_f__Lachnospiraceae</v>
          </cell>
        </row>
        <row r="16412">
          <cell r="G16412" t="str">
            <v>ASV21644</v>
          </cell>
          <cell r="H16412" t="str">
            <v>g__Lactobacillus</v>
          </cell>
          <cell r="I16412" t="str">
            <v>s__unclassified_g__Lactobacillus</v>
          </cell>
        </row>
        <row r="16413">
          <cell r="G16413" t="str">
            <v>ASV7925</v>
          </cell>
          <cell r="H16413" t="str">
            <v>g__Eubacterium_oxidoreducens_group</v>
          </cell>
          <cell r="I16413" t="str">
            <v>s__uncultured_bacterium_g__Eubacterium_oxidoreducens_group</v>
          </cell>
        </row>
        <row r="16414">
          <cell r="G16414" t="str">
            <v>ASV7959</v>
          </cell>
          <cell r="H16414" t="str">
            <v>g__unclassified_c__Clostridia</v>
          </cell>
          <cell r="I16414" t="str">
            <v>s__unclassified_c__Clostridia</v>
          </cell>
        </row>
        <row r="16415">
          <cell r="G16415" t="str">
            <v>ASV19662</v>
          </cell>
          <cell r="H16415" t="str">
            <v>g__unclassified_f__Lachnospiraceae</v>
          </cell>
          <cell r="I16415" t="str">
            <v>s__unclassified_f__Lachnospiraceae</v>
          </cell>
        </row>
        <row r="16416">
          <cell r="G16416" t="str">
            <v>ASV814</v>
          </cell>
          <cell r="H16416" t="str">
            <v>g__unclassified_o__Bacteroidales</v>
          </cell>
          <cell r="I16416" t="str">
            <v>s__unclassified_o__Bacteroidales</v>
          </cell>
        </row>
        <row r="16417">
          <cell r="G16417" t="str">
            <v>ASV14422</v>
          </cell>
          <cell r="H16417" t="str">
            <v>g__unclassified_f__Muribaculaceae</v>
          </cell>
          <cell r="I16417" t="str">
            <v>s__unclassified_f__Muribaculaceae</v>
          </cell>
        </row>
        <row r="16418">
          <cell r="G16418" t="str">
            <v>ASV21609</v>
          </cell>
          <cell r="H16418" t="str">
            <v>g__unclassified_f__Lachnospiraceae</v>
          </cell>
          <cell r="I16418" t="str">
            <v>s__unclassified_f__Lachnospiraceae</v>
          </cell>
        </row>
        <row r="16419">
          <cell r="G16419" t="str">
            <v>ASV11954</v>
          </cell>
          <cell r="H16419" t="str">
            <v>g__unclassified_f__Lachnospiraceae</v>
          </cell>
          <cell r="I16419" t="str">
            <v>s__unclassified_f__Lachnospiraceae</v>
          </cell>
        </row>
        <row r="16420">
          <cell r="G16420" t="str">
            <v>ASV23449</v>
          </cell>
          <cell r="H16420" t="str">
            <v>g__unclassified_p__Firmicutes</v>
          </cell>
          <cell r="I16420" t="str">
            <v>s__unclassified_p__Firmicutes</v>
          </cell>
        </row>
        <row r="16421">
          <cell r="G16421" t="str">
            <v>ASV2299</v>
          </cell>
          <cell r="H16421" t="str">
            <v>g__Lactobacillus</v>
          </cell>
          <cell r="I16421" t="str">
            <v>s__unclassified_g__Lactobacillus</v>
          </cell>
        </row>
        <row r="16422">
          <cell r="G16422" t="str">
            <v>ASV16456</v>
          </cell>
          <cell r="H16422" t="str">
            <v>g__UCG-004</v>
          </cell>
          <cell r="I16422" t="str">
            <v>s__uncultured_bacterium_g__UCG-004</v>
          </cell>
        </row>
        <row r="16423">
          <cell r="G16423" t="str">
            <v>ASV16446</v>
          </cell>
          <cell r="H16423" t="str">
            <v>g__Bacteroides</v>
          </cell>
          <cell r="I16423" t="str">
            <v>s__unclassified_g__Bacteroides</v>
          </cell>
        </row>
        <row r="16424">
          <cell r="G16424" t="str">
            <v>ASV19088</v>
          </cell>
          <cell r="H16424" t="str">
            <v>g__unclassified_f__Lachnospiraceae</v>
          </cell>
          <cell r="I16424" t="str">
            <v>s__unclassified_f__Lachnospiraceae</v>
          </cell>
        </row>
        <row r="16425">
          <cell r="G16425" t="str">
            <v>ASV19614</v>
          </cell>
          <cell r="H16425" t="str">
            <v>g__unclassified_k__norank_d__Bacteria</v>
          </cell>
          <cell r="I16425" t="str">
            <v>s__unclassified_k__norank_d__Bacteria</v>
          </cell>
        </row>
        <row r="16426">
          <cell r="G16426" t="str">
            <v>ASV2291</v>
          </cell>
          <cell r="H16426" t="str">
            <v>g__norank_f__UCG-010</v>
          </cell>
          <cell r="I16426" t="str">
            <v>s__unclassified_g__norank_f__UCG-010</v>
          </cell>
        </row>
        <row r="16427">
          <cell r="G16427" t="str">
            <v>ASV896</v>
          </cell>
          <cell r="H16427" t="str">
            <v>g__norank_f__Muribaculaceae</v>
          </cell>
          <cell r="I16427" t="str">
            <v>s__unclassified_g__norank_f__Muribaculaceae</v>
          </cell>
        </row>
        <row r="16428">
          <cell r="G16428" t="str">
            <v>ASV10703</v>
          </cell>
          <cell r="H16428" t="str">
            <v>g__Christensenellaceae_R-7_group</v>
          </cell>
          <cell r="I16428" t="str">
            <v>s__uncultured_bacterium_g__Christensenellaceae_R-7_group</v>
          </cell>
        </row>
        <row r="16429">
          <cell r="G16429" t="str">
            <v>ASV17312</v>
          </cell>
          <cell r="H16429" t="str">
            <v>g__unclassified_c__Bacilli</v>
          </cell>
          <cell r="I16429" t="str">
            <v>s__unclassified_c__Bacilli</v>
          </cell>
        </row>
        <row r="16430">
          <cell r="G16430" t="str">
            <v>ASV8842</v>
          </cell>
          <cell r="H16430" t="str">
            <v>g__norank_f__UCG-011</v>
          </cell>
          <cell r="I16430" t="str">
            <v>s__uncultured_bacterium_g__norank_f__UCG-011</v>
          </cell>
        </row>
        <row r="16431">
          <cell r="G16431" t="str">
            <v>ASV18935</v>
          </cell>
          <cell r="H16431" t="str">
            <v>g__unclassified_f__Pasteurellaceae</v>
          </cell>
          <cell r="I16431" t="str">
            <v>s__unclassified_f__Pasteurellaceae</v>
          </cell>
        </row>
        <row r="16432">
          <cell r="G16432" t="str">
            <v>ASV23379</v>
          </cell>
          <cell r="H16432" t="str">
            <v>g__unclassified_p__Firmicutes</v>
          </cell>
          <cell r="I16432" t="str">
            <v>s__unclassified_p__Firmicutes</v>
          </cell>
        </row>
        <row r="16433">
          <cell r="G16433" t="str">
            <v>ASV4064</v>
          </cell>
          <cell r="H16433" t="str">
            <v>g__unclassified_f__Synergistaceae</v>
          </cell>
          <cell r="I16433" t="str">
            <v>s__unclassified_f__Synergistaceae</v>
          </cell>
        </row>
        <row r="16434">
          <cell r="G16434" t="str">
            <v>ASV12026</v>
          </cell>
          <cell r="H16434" t="str">
            <v>g__unclassified_f__Lachnospiraceae</v>
          </cell>
          <cell r="I16434" t="str">
            <v>s__unclassified_f__Lachnospiraceae</v>
          </cell>
        </row>
        <row r="16435">
          <cell r="G16435" t="str">
            <v>ASV18235</v>
          </cell>
          <cell r="H16435" t="str">
            <v>g__Christensenellaceae_R-7_group</v>
          </cell>
          <cell r="I16435" t="str">
            <v>s__unclassified_g__Christensenellaceae_R-7_group</v>
          </cell>
        </row>
        <row r="16436">
          <cell r="G16436" t="str">
            <v>ASV21463</v>
          </cell>
          <cell r="H16436" t="str">
            <v>g__norank_f__Muribaculaceae</v>
          </cell>
          <cell r="I16436" t="str">
            <v>s__uncultured_bacterium_g__norank_f__Muribaculaceae</v>
          </cell>
        </row>
        <row r="16437">
          <cell r="G16437" t="str">
            <v>ASV19850</v>
          </cell>
          <cell r="H16437" t="str">
            <v>g__Enterococcus</v>
          </cell>
          <cell r="I16437" t="str">
            <v>s__unclassified_g__Enterococcus</v>
          </cell>
        </row>
        <row r="16438">
          <cell r="G16438" t="str">
            <v>ASV14416</v>
          </cell>
          <cell r="H16438" t="str">
            <v>g__UCG-002</v>
          </cell>
          <cell r="I16438" t="str">
            <v>s__uncultured_bacterium_g__UCG-002</v>
          </cell>
        </row>
        <row r="16439">
          <cell r="G16439" t="str">
            <v>ASV7866</v>
          </cell>
          <cell r="H16439" t="str">
            <v>g__Coprococcus</v>
          </cell>
          <cell r="I16439" t="str">
            <v>s__unclassified_g__Coprococcus</v>
          </cell>
        </row>
        <row r="16440">
          <cell r="G16440" t="str">
            <v>ASV6042</v>
          </cell>
          <cell r="H16440" t="str">
            <v>g__Christensenellaceae_R-7_group</v>
          </cell>
          <cell r="I16440" t="str">
            <v>s__uncultured_bacterium_g__Christensenellaceae_R-7_group</v>
          </cell>
        </row>
        <row r="16441">
          <cell r="G16441" t="str">
            <v>ASV7835</v>
          </cell>
          <cell r="H16441" t="str">
            <v>g__unclassified_p__Firmicutes</v>
          </cell>
          <cell r="I16441" t="str">
            <v>s__unclassified_p__Firmicutes</v>
          </cell>
        </row>
        <row r="16442">
          <cell r="G16442" t="str">
            <v>ASV23396</v>
          </cell>
          <cell r="H16442" t="str">
            <v>g__unclassified_f__Oscillospiraceae</v>
          </cell>
          <cell r="I16442" t="str">
            <v>s__unclassified_f__Oscillospiraceae</v>
          </cell>
        </row>
        <row r="16443">
          <cell r="G16443" t="str">
            <v>ASV969</v>
          </cell>
          <cell r="H16443" t="str">
            <v>g__unclassified_f__Lachnospiraceae</v>
          </cell>
          <cell r="I16443" t="str">
            <v>s__unclassified_f__Lachnospiraceae</v>
          </cell>
        </row>
        <row r="16444">
          <cell r="G16444" t="str">
            <v>ASV15534</v>
          </cell>
          <cell r="H16444" t="str">
            <v>g__Bacteroides</v>
          </cell>
          <cell r="I16444" t="str">
            <v>s__unclassified_g__Bacteroides</v>
          </cell>
        </row>
        <row r="16445">
          <cell r="G16445" t="str">
            <v>ASV23773</v>
          </cell>
          <cell r="H16445" t="str">
            <v>g__Streptococcus</v>
          </cell>
          <cell r="I16445" t="str">
            <v>s__unclassified_g__Streptococcus</v>
          </cell>
        </row>
        <row r="16446">
          <cell r="G16446" t="str">
            <v>ASV21236</v>
          </cell>
          <cell r="H16446" t="str">
            <v>g__unclassified_c__Clostridia</v>
          </cell>
          <cell r="I16446" t="str">
            <v>s__unclassified_c__Clostridia</v>
          </cell>
        </row>
        <row r="16447">
          <cell r="G16447" t="str">
            <v>ASV5087</v>
          </cell>
          <cell r="H16447" t="str">
            <v>g__unclassified_f__Lachnospiraceae</v>
          </cell>
          <cell r="I16447" t="str">
            <v>s__unclassified_f__Lachnospiraceae</v>
          </cell>
        </row>
        <row r="16448">
          <cell r="G16448" t="str">
            <v>ASV7194</v>
          </cell>
          <cell r="H16448" t="str">
            <v>g__Turicibacter</v>
          </cell>
          <cell r="I16448" t="str">
            <v>s__uncultured_bacterium_g__Turicibacter</v>
          </cell>
        </row>
        <row r="16449">
          <cell r="G16449" t="str">
            <v>ASV851</v>
          </cell>
          <cell r="H16449" t="str">
            <v>g__unclassified_o__Peptostreptococcales-Tissierellales</v>
          </cell>
          <cell r="I16449" t="str">
            <v>s__unclassified_o__Peptostreptococcales-Tissierellales</v>
          </cell>
        </row>
        <row r="16450">
          <cell r="G16450" t="str">
            <v>ASV18197</v>
          </cell>
          <cell r="H16450" t="str">
            <v>g__Christensenellaceae_R-7_group</v>
          </cell>
          <cell r="I16450" t="str">
            <v>s__unclassified_g__Christensenellaceae_R-7_group</v>
          </cell>
        </row>
        <row r="16451">
          <cell r="G16451" t="str">
            <v>ASV11944</v>
          </cell>
          <cell r="H16451" t="str">
            <v>g__Eubacterium_oxidoreducens_group</v>
          </cell>
          <cell r="I16451" t="str">
            <v>s__uncultured_bacterium_g__Eubacterium_oxidoreducens_group</v>
          </cell>
        </row>
        <row r="16452">
          <cell r="G16452" t="str">
            <v>ASV17509</v>
          </cell>
          <cell r="H16452" t="str">
            <v>g__Blautia</v>
          </cell>
          <cell r="I16452" t="str">
            <v>s__unclassified_g__Blautia</v>
          </cell>
        </row>
        <row r="16453">
          <cell r="G16453" t="str">
            <v>ASV20838</v>
          </cell>
          <cell r="H16453" t="str">
            <v>g__unclassified_c__Clostridia</v>
          </cell>
          <cell r="I16453" t="str">
            <v>s__unclassified_c__Clostridia</v>
          </cell>
        </row>
        <row r="16454">
          <cell r="G16454" t="str">
            <v>ASV9578</v>
          </cell>
          <cell r="H16454" t="str">
            <v>g__norank_f__Erysipelotrichaceae</v>
          </cell>
          <cell r="I16454" t="str">
            <v>s__uncultured_bacterium_g__norank_f__Erysipelotrichaceae</v>
          </cell>
        </row>
        <row r="16455">
          <cell r="G16455" t="str">
            <v>ASV16052</v>
          </cell>
          <cell r="H16455" t="str">
            <v>g__Prevotella</v>
          </cell>
          <cell r="I16455" t="str">
            <v>s__unclassified_g__Prevotella</v>
          </cell>
        </row>
        <row r="16456">
          <cell r="G16456" t="str">
            <v>ASV23332</v>
          </cell>
          <cell r="H16456" t="str">
            <v>g__Actinomyces</v>
          </cell>
          <cell r="I16456" t="str">
            <v>s__unclassified_g__Actinomyces</v>
          </cell>
        </row>
        <row r="16457">
          <cell r="G16457" t="str">
            <v>ASV15434</v>
          </cell>
          <cell r="H16457" t="str">
            <v>g__unclassified_c__Clostridia</v>
          </cell>
          <cell r="I16457" t="str">
            <v>s__unclassified_c__Clostridia</v>
          </cell>
        </row>
        <row r="16458">
          <cell r="G16458" t="str">
            <v>ASV9597</v>
          </cell>
          <cell r="H16458" t="str">
            <v>g__unclassified_c__Clostridia</v>
          </cell>
          <cell r="I16458" t="str">
            <v>s__unclassified_c__Clostridia</v>
          </cell>
        </row>
        <row r="16459">
          <cell r="G16459" t="str">
            <v>ASV22434</v>
          </cell>
          <cell r="H16459" t="str">
            <v>g__unclassified_c__Clostridia</v>
          </cell>
          <cell r="I16459" t="str">
            <v>s__unclassified_c__Clostridia</v>
          </cell>
        </row>
        <row r="16460">
          <cell r="G16460" t="str">
            <v>ASV15551</v>
          </cell>
          <cell r="H16460" t="str">
            <v>g__unclassified_c__Clostridia</v>
          </cell>
          <cell r="I16460" t="str">
            <v>s__unclassified_c__Clostridia</v>
          </cell>
        </row>
        <row r="16461">
          <cell r="G16461" t="str">
            <v>ASV9489</v>
          </cell>
          <cell r="H16461" t="str">
            <v>g__unclassified_f__Oscillospiraceae</v>
          </cell>
          <cell r="I16461" t="str">
            <v>s__unclassified_f__Oscillospiraceae</v>
          </cell>
        </row>
        <row r="16462">
          <cell r="G16462" t="str">
            <v>ASV6152</v>
          </cell>
          <cell r="H16462" t="str">
            <v>g__Cloacibacillus</v>
          </cell>
          <cell r="I16462" t="str">
            <v>s__unclassified_g__Cloacibacillus</v>
          </cell>
        </row>
        <row r="16463">
          <cell r="G16463" t="str">
            <v>ASV19821</v>
          </cell>
          <cell r="H16463" t="str">
            <v>g__Lactobacillus</v>
          </cell>
          <cell r="I16463" t="str">
            <v>s__unclassified_g__Lactobacillus</v>
          </cell>
        </row>
        <row r="16464">
          <cell r="G16464" t="str">
            <v>ASV14418</v>
          </cell>
          <cell r="H16464" t="str">
            <v>g__Lactobacillus</v>
          </cell>
          <cell r="I16464" t="str">
            <v>s__unclassified_g__Lactobacillus</v>
          </cell>
        </row>
        <row r="16465">
          <cell r="G16465" t="str">
            <v>ASV22414</v>
          </cell>
          <cell r="H16465" t="str">
            <v>g__unclassified_c__Clostridia</v>
          </cell>
          <cell r="I16465" t="str">
            <v>s__unclassified_c__Clostridia</v>
          </cell>
        </row>
        <row r="16466">
          <cell r="G16466" t="str">
            <v>ASV23413</v>
          </cell>
          <cell r="H16466" t="str">
            <v>g__Christensenellaceae_R-7_group</v>
          </cell>
          <cell r="I16466" t="str">
            <v>s__unclassified_g__Christensenellaceae_R-7_group</v>
          </cell>
        </row>
        <row r="16467">
          <cell r="G16467" t="str">
            <v>ASV10212</v>
          </cell>
          <cell r="H16467" t="str">
            <v>g__Bacteroides</v>
          </cell>
          <cell r="I16467" t="str">
            <v>s__unclassified_g__Bacteroides</v>
          </cell>
        </row>
        <row r="16468">
          <cell r="G16468" t="str">
            <v>ASV18105</v>
          </cell>
          <cell r="H16468" t="str">
            <v>g__unclassified_o__Oscillospirales</v>
          </cell>
          <cell r="I16468" t="str">
            <v>s__unclassified_o__Oscillospirales</v>
          </cell>
        </row>
        <row r="16469">
          <cell r="G16469" t="str">
            <v>ASV5949</v>
          </cell>
          <cell r="H16469" t="str">
            <v>g__unclassified_c__Clostridia</v>
          </cell>
          <cell r="I16469" t="str">
            <v>s__unclassified_c__Clostridia</v>
          </cell>
        </row>
        <row r="16470">
          <cell r="G16470" t="str">
            <v>ASV23401</v>
          </cell>
          <cell r="H16470" t="str">
            <v>g__Sphaerochaeta</v>
          </cell>
          <cell r="I16470" t="str">
            <v>s__uncultured_bacterium_g__Sphaerochaeta</v>
          </cell>
        </row>
        <row r="16471">
          <cell r="G16471" t="str">
            <v>ASV10761</v>
          </cell>
          <cell r="H16471" t="str">
            <v>g__unclassified_f__Lachnospiraceae</v>
          </cell>
          <cell r="I16471" t="str">
            <v>s__unclassified_f__Lachnospiraceae</v>
          </cell>
        </row>
        <row r="16472">
          <cell r="G16472" t="str">
            <v>ASV11751</v>
          </cell>
          <cell r="H16472" t="str">
            <v>g__unclassified_f__Lachnospiraceae</v>
          </cell>
          <cell r="I16472" t="str">
            <v>s__unclassified_f__Lachnospiraceae</v>
          </cell>
        </row>
        <row r="16473">
          <cell r="G16473" t="str">
            <v>ASV4152</v>
          </cell>
          <cell r="H16473" t="str">
            <v>g__Bacteroides</v>
          </cell>
          <cell r="I16473" t="str">
            <v>s__uncultured_bacterium_g__Bacteroides</v>
          </cell>
        </row>
        <row r="16474">
          <cell r="G16474" t="str">
            <v>ASV14525</v>
          </cell>
          <cell r="H16474" t="str">
            <v>g__unclassified_k__norank_d__Bacteria</v>
          </cell>
          <cell r="I16474" t="str">
            <v>s__unclassified_k__norank_d__Bacteria</v>
          </cell>
        </row>
        <row r="16475">
          <cell r="G16475" t="str">
            <v>ASV16010</v>
          </cell>
          <cell r="H16475" t="str">
            <v>g__unclassified_f__Lachnospiraceae</v>
          </cell>
          <cell r="I16475" t="str">
            <v>s__unclassified_f__Lachnospiraceae</v>
          </cell>
        </row>
        <row r="16476">
          <cell r="G16476" t="str">
            <v>ASV3270</v>
          </cell>
          <cell r="H16476" t="str">
            <v>g__unclassified_c__Clostridia</v>
          </cell>
          <cell r="I16476" t="str">
            <v>s__unclassified_c__Clostridia</v>
          </cell>
        </row>
        <row r="16477">
          <cell r="G16477" t="str">
            <v>ASV9511</v>
          </cell>
          <cell r="H16477" t="str">
            <v>g__unclassified_o__Oscillospirales</v>
          </cell>
          <cell r="I16477" t="str">
            <v>s__unclassified_o__Oscillospirales</v>
          </cell>
        </row>
        <row r="16478">
          <cell r="G16478" t="str">
            <v>ASV22416</v>
          </cell>
          <cell r="H16478" t="str">
            <v>g__Lactobacillus</v>
          </cell>
          <cell r="I16478" t="str">
            <v>s__unclassified_g__Lactobacillus</v>
          </cell>
        </row>
        <row r="16479">
          <cell r="G16479" t="str">
            <v>ASV16067</v>
          </cell>
          <cell r="H16479" t="str">
            <v>g__unclassified_f__Lachnospiraceae</v>
          </cell>
          <cell r="I16479" t="str">
            <v>s__unclassified_f__Lachnospiraceae</v>
          </cell>
        </row>
        <row r="16480">
          <cell r="G16480" t="str">
            <v>ASV11765</v>
          </cell>
          <cell r="H16480" t="str">
            <v>g__norank_f__UCG-011</v>
          </cell>
          <cell r="I16480" t="str">
            <v>s__uncultured_bacterium_g__norank_f__UCG-011</v>
          </cell>
        </row>
        <row r="16481">
          <cell r="G16481" t="str">
            <v>ASV9541</v>
          </cell>
          <cell r="H16481" t="str">
            <v>g__unclassified_c__Clostridia</v>
          </cell>
          <cell r="I16481" t="str">
            <v>s__unclassified_c__Clostridia</v>
          </cell>
        </row>
        <row r="16482">
          <cell r="G16482" t="str">
            <v>ASV5106</v>
          </cell>
          <cell r="H16482" t="str">
            <v>g__unclassified_f__Christensenellaceae</v>
          </cell>
          <cell r="I16482" t="str">
            <v>s__unclassified_f__Christensenellaceae</v>
          </cell>
        </row>
        <row r="16483">
          <cell r="G16483" t="str">
            <v>ASV23361</v>
          </cell>
          <cell r="H16483" t="str">
            <v>g__unclassified_c__Clostridia</v>
          </cell>
          <cell r="I16483" t="str">
            <v>s__unclassified_c__Clostridia</v>
          </cell>
        </row>
        <row r="16484">
          <cell r="G16484" t="str">
            <v>ASV9029</v>
          </cell>
          <cell r="H16484" t="str">
            <v>g__unclassified_k__norank_d__Bacteria</v>
          </cell>
          <cell r="I16484" t="str">
            <v>s__unclassified_k__norank_d__Bacteria</v>
          </cell>
        </row>
        <row r="16485">
          <cell r="G16485" t="str">
            <v>ASV17508</v>
          </cell>
          <cell r="H16485" t="str">
            <v>g__Lachnoclostridium</v>
          </cell>
          <cell r="I16485" t="str">
            <v>s__unclassified_g__Lachnoclostridium</v>
          </cell>
        </row>
        <row r="16486">
          <cell r="G16486" t="str">
            <v>ASV9557</v>
          </cell>
          <cell r="H16486" t="str">
            <v>g__Alloprevotella</v>
          </cell>
          <cell r="I16486" t="str">
            <v>s__uncultured_bacterium_g__Alloprevotella</v>
          </cell>
        </row>
        <row r="16487">
          <cell r="G16487" t="str">
            <v>ASV17504</v>
          </cell>
          <cell r="H16487" t="str">
            <v>g__Bacteroides</v>
          </cell>
          <cell r="I16487" t="str">
            <v>s__uncultured_bacterium_g__Bacteroides</v>
          </cell>
        </row>
        <row r="16488">
          <cell r="G16488" t="str">
            <v>ASV17614</v>
          </cell>
          <cell r="H16488" t="str">
            <v>g__Prevotella</v>
          </cell>
          <cell r="I16488" t="str">
            <v>s__unclassified_g__Prevotella</v>
          </cell>
        </row>
        <row r="16489">
          <cell r="G16489" t="str">
            <v>ASV950</v>
          </cell>
          <cell r="H16489" t="str">
            <v>g__norank_f__UCG-010</v>
          </cell>
          <cell r="I16489" t="str">
            <v>s__uncultured_bacterium_g__norank_f__UCG-010</v>
          </cell>
        </row>
        <row r="16490">
          <cell r="G16490" t="str">
            <v>ASV7861</v>
          </cell>
          <cell r="H16490" t="str">
            <v>g__unclassified_p__Firmicutes</v>
          </cell>
          <cell r="I16490" t="str">
            <v>s__unclassified_p__Firmicutes</v>
          </cell>
        </row>
        <row r="16491">
          <cell r="G16491" t="str">
            <v>ASV22313</v>
          </cell>
          <cell r="H16491" t="str">
            <v>g__unclassified_o__Oscillospirales</v>
          </cell>
          <cell r="I16491" t="str">
            <v>s__unclassified_o__Oscillospirales</v>
          </cell>
        </row>
        <row r="16492">
          <cell r="G16492" t="str">
            <v>ASV13437</v>
          </cell>
          <cell r="H16492" t="str">
            <v>g__unclassified_c__Clostridia</v>
          </cell>
          <cell r="I16492" t="str">
            <v>s__unclassified_c__Clostridia</v>
          </cell>
        </row>
        <row r="16493">
          <cell r="G16493" t="str">
            <v>ASV11946</v>
          </cell>
          <cell r="H16493" t="str">
            <v>g__unclassified_c__Clostridia</v>
          </cell>
          <cell r="I16493" t="str">
            <v>s__unclassified_c__Clostridia</v>
          </cell>
        </row>
        <row r="16494">
          <cell r="G16494" t="str">
            <v>ASV13522</v>
          </cell>
          <cell r="H16494" t="str">
            <v>g__norank_f__UCG-011</v>
          </cell>
          <cell r="I16494" t="str">
            <v>s__uncultured_bacterium_g__norank_f__UCG-011</v>
          </cell>
        </row>
        <row r="16495">
          <cell r="G16495" t="str">
            <v>ASV19624</v>
          </cell>
          <cell r="H16495" t="str">
            <v>g__unclassified_p__Firmicutes</v>
          </cell>
          <cell r="I16495" t="str">
            <v>s__unclassified_p__Firmicutes</v>
          </cell>
        </row>
        <row r="16496">
          <cell r="G16496" t="str">
            <v>ASV23414</v>
          </cell>
          <cell r="H16496" t="str">
            <v>g__Peptococcus</v>
          </cell>
          <cell r="I16496" t="str">
            <v>s__uncultured_bacterium_g__Peptococcus</v>
          </cell>
        </row>
        <row r="16497">
          <cell r="G16497" t="str">
            <v>ASV13495</v>
          </cell>
          <cell r="H16497" t="str">
            <v>g__Ruminococcus</v>
          </cell>
          <cell r="I16497" t="str">
            <v>s__uncultured_bacterium_g__Ruminococcus</v>
          </cell>
        </row>
        <row r="16498">
          <cell r="G16498" t="str">
            <v>ASV14415</v>
          </cell>
          <cell r="H16498" t="str">
            <v>g__unclassified_c__Clostridia</v>
          </cell>
          <cell r="I16498" t="str">
            <v>s__unclassified_c__Clostridia</v>
          </cell>
        </row>
        <row r="16499">
          <cell r="G16499" t="str">
            <v>ASV20821</v>
          </cell>
          <cell r="H16499" t="str">
            <v>g__unclassified_c__Clostridia</v>
          </cell>
          <cell r="I16499" t="str">
            <v>s__unclassified_c__Clostridia</v>
          </cell>
        </row>
        <row r="16500">
          <cell r="G16500" t="str">
            <v>ASV797</v>
          </cell>
          <cell r="H16500" t="str">
            <v>g__unclassified_p__Firmicutes</v>
          </cell>
          <cell r="I16500" t="str">
            <v>s__unclassified_p__Firmicutes</v>
          </cell>
        </row>
        <row r="16501">
          <cell r="G16501" t="str">
            <v>ASV19761</v>
          </cell>
          <cell r="H16501" t="str">
            <v>g__unclassified_k__norank_d__Bacteria</v>
          </cell>
          <cell r="I16501" t="str">
            <v>s__unclassified_k__norank_d__Bacteria</v>
          </cell>
        </row>
        <row r="16502">
          <cell r="G16502" t="str">
            <v>ASV18193</v>
          </cell>
          <cell r="H16502" t="str">
            <v>g__unclassified_c__Clostridia</v>
          </cell>
          <cell r="I16502" t="str">
            <v>s__unclassified_c__Clostridia</v>
          </cell>
        </row>
        <row r="16503">
          <cell r="G16503" t="str">
            <v>ASV23999</v>
          </cell>
          <cell r="H16503" t="str">
            <v>g__unclassified_p__Firmicutes</v>
          </cell>
          <cell r="I16503" t="str">
            <v>s__unclassified_p__Firmicutes</v>
          </cell>
        </row>
        <row r="16504">
          <cell r="G16504" t="str">
            <v>ASV9481</v>
          </cell>
          <cell r="H16504" t="str">
            <v>g__Lactobacillus</v>
          </cell>
          <cell r="I16504" t="str">
            <v>s__unclassified_g__Lactobacillus</v>
          </cell>
        </row>
        <row r="16505">
          <cell r="G16505" t="str">
            <v>ASV6826</v>
          </cell>
          <cell r="H16505" t="str">
            <v>g__unclassified_f__Lachnospiraceae</v>
          </cell>
          <cell r="I16505" t="str">
            <v>s__unclassified_f__Lachnospiraceae</v>
          </cell>
        </row>
        <row r="16506">
          <cell r="G16506" t="str">
            <v>ASV13456</v>
          </cell>
          <cell r="H16506" t="str">
            <v>g__unclassified_f__Lachnospiraceae</v>
          </cell>
          <cell r="I16506" t="str">
            <v>s__unclassified_f__Lachnospiraceae</v>
          </cell>
        </row>
        <row r="16507">
          <cell r="G16507" t="str">
            <v>ASV2214</v>
          </cell>
          <cell r="H16507" t="str">
            <v>g__unclassified_c__Bacilli</v>
          </cell>
          <cell r="I16507" t="str">
            <v>s__unclassified_c__Bacilli</v>
          </cell>
        </row>
        <row r="16508">
          <cell r="G16508" t="str">
            <v>ASV17502</v>
          </cell>
          <cell r="H16508" t="str">
            <v>g__Blautia</v>
          </cell>
          <cell r="I16508" t="str">
            <v>s__unclassified_g__Blautia</v>
          </cell>
        </row>
        <row r="16509">
          <cell r="G16509" t="str">
            <v>ASV23385</v>
          </cell>
          <cell r="H16509" t="str">
            <v>g__Christensenellaceae_R-7_group</v>
          </cell>
          <cell r="I16509" t="str">
            <v>s__uncultured_Clostridia_bacterium_g__Christensenellaceae_R-7_group</v>
          </cell>
        </row>
        <row r="16510">
          <cell r="G16510" t="str">
            <v>ASV4931</v>
          </cell>
          <cell r="H16510" t="str">
            <v>g__Prevotella</v>
          </cell>
          <cell r="I16510" t="str">
            <v>s__unclassified_g__Prevotella</v>
          </cell>
        </row>
        <row r="16511">
          <cell r="G16511" t="str">
            <v>ASV6060</v>
          </cell>
          <cell r="H16511" t="str">
            <v>g__norank_f__p-2534-18B5_gut_group</v>
          </cell>
          <cell r="I16511" t="str">
            <v>s__uncultured_bacterium_g__norank_f__p-2534-18B5_gut_group</v>
          </cell>
        </row>
        <row r="16512">
          <cell r="G16512" t="str">
            <v>ASV18641</v>
          </cell>
          <cell r="H16512" t="str">
            <v>g__Lactobacillus</v>
          </cell>
          <cell r="I16512" t="str">
            <v>s__unclassified_g__Lactobacillus</v>
          </cell>
        </row>
        <row r="16513">
          <cell r="G16513" t="str">
            <v>ASV21284</v>
          </cell>
          <cell r="H16513" t="str">
            <v>g__unclassified_c__Clostridia</v>
          </cell>
          <cell r="I16513" t="str">
            <v>s__unclassified_c__Clostridia</v>
          </cell>
        </row>
        <row r="16514">
          <cell r="G16514" t="str">
            <v>ASV6052</v>
          </cell>
          <cell r="H16514" t="str">
            <v>g__unclassified_k__norank_d__Bacteria</v>
          </cell>
          <cell r="I16514" t="str">
            <v>s__unclassified_k__norank_d__Bacteria</v>
          </cell>
        </row>
        <row r="16515">
          <cell r="G16515" t="str">
            <v>ASV20891</v>
          </cell>
          <cell r="H16515" t="str">
            <v>g__unclassified_c__Clostridia</v>
          </cell>
          <cell r="I16515" t="str">
            <v>s__unclassified_c__Clostridia</v>
          </cell>
        </row>
        <row r="16516">
          <cell r="G16516" t="str">
            <v>ASV14316</v>
          </cell>
          <cell r="H16516" t="str">
            <v>g__Bacillus</v>
          </cell>
          <cell r="I16516" t="str">
            <v>s__Lactobacillus_vaginalis_g__Bacillus</v>
          </cell>
        </row>
        <row r="16517">
          <cell r="G16517" t="str">
            <v>ASV7206</v>
          </cell>
          <cell r="H16517" t="str">
            <v>g__Corynebacterium</v>
          </cell>
          <cell r="I16517" t="str">
            <v>s__Corynebacterium_suicordis</v>
          </cell>
        </row>
        <row r="16518">
          <cell r="G16518" t="str">
            <v>ASV6746</v>
          </cell>
          <cell r="H16518" t="str">
            <v>g__unclassified_f__Peptostreptococcaceae</v>
          </cell>
          <cell r="I16518" t="str">
            <v>s__unclassified_f__Peptostreptococcaceae</v>
          </cell>
        </row>
        <row r="16519">
          <cell r="G16519" t="str">
            <v>ASV7099</v>
          </cell>
          <cell r="H16519" t="str">
            <v>g__Collinsella</v>
          </cell>
          <cell r="I16519" t="str">
            <v>s__uncultured_bacterium_g__Collinsella</v>
          </cell>
        </row>
        <row r="16520">
          <cell r="G16520" t="str">
            <v>ASV18625</v>
          </cell>
          <cell r="H16520" t="str">
            <v>g__unclassified_f__Lachnospiraceae</v>
          </cell>
          <cell r="I16520" t="str">
            <v>s__unclassified_f__Lachnospiraceae</v>
          </cell>
        </row>
        <row r="16521">
          <cell r="G16521" t="str">
            <v>ASV15443</v>
          </cell>
          <cell r="H16521" t="str">
            <v>g__unclassified_f__Lachnospiraceae</v>
          </cell>
          <cell r="I16521" t="str">
            <v>s__unclassified_f__Lachnospiraceae</v>
          </cell>
        </row>
        <row r="16522">
          <cell r="G16522" t="str">
            <v>ASV24215</v>
          </cell>
          <cell r="H16522" t="str">
            <v>g__unclassified_k__norank_d__Bacteria</v>
          </cell>
          <cell r="I16522" t="str">
            <v>s__unclassified_k__norank_d__Bacteria</v>
          </cell>
        </row>
        <row r="16523">
          <cell r="G16523" t="str">
            <v>ASV19865</v>
          </cell>
          <cell r="H16523" t="str">
            <v>g__Subdoligranulum</v>
          </cell>
          <cell r="I16523" t="str">
            <v>s__uncultured_bacterium_g__Subdoligranulum</v>
          </cell>
        </row>
        <row r="16524">
          <cell r="G16524" t="str">
            <v>ASV13438</v>
          </cell>
          <cell r="H16524" t="str">
            <v>g__unclassified_k__norank_d__Bacteria</v>
          </cell>
          <cell r="I16524" t="str">
            <v>s__unclassified_k__norank_d__Bacteria</v>
          </cell>
        </row>
        <row r="16525">
          <cell r="G16525" t="str">
            <v>ASV11861</v>
          </cell>
          <cell r="H16525" t="str">
            <v>g__unclassified_c__Clostridia</v>
          </cell>
          <cell r="I16525" t="str">
            <v>s__unclassified_c__Clostridia</v>
          </cell>
        </row>
        <row r="16526">
          <cell r="G16526" t="str">
            <v>ASV5125</v>
          </cell>
          <cell r="H16526" t="str">
            <v>g__Candidatus_Soleaferrea</v>
          </cell>
          <cell r="I16526" t="str">
            <v>s__uncultured_bacterium_g__Candidatus_Soleaferrea</v>
          </cell>
        </row>
        <row r="16527">
          <cell r="G16527" t="str">
            <v>ASV16018</v>
          </cell>
          <cell r="H16527" t="str">
            <v>g__unclassified_o__Oscillospirales</v>
          </cell>
          <cell r="I16527" t="str">
            <v>s__unclassified_o__Oscillospirales</v>
          </cell>
        </row>
        <row r="16528">
          <cell r="G16528" t="str">
            <v>ASV9474</v>
          </cell>
          <cell r="H16528" t="str">
            <v>g__norank_f__Eubacterium_coprostanoligenes_group</v>
          </cell>
          <cell r="I16528" t="str">
            <v>s__uncultured_bacterium_g__norank_f__Eubacterium_coprostanoligenes_group</v>
          </cell>
        </row>
        <row r="16529">
          <cell r="G16529" t="str">
            <v>ASV19611</v>
          </cell>
          <cell r="H16529" t="str">
            <v>g__unclassified_c__Clostridia</v>
          </cell>
          <cell r="I16529" t="str">
            <v>s__unclassified_c__Clostridia</v>
          </cell>
        </row>
        <row r="16530">
          <cell r="G16530" t="str">
            <v>ASV4948</v>
          </cell>
          <cell r="H16530" t="str">
            <v>g__norank_f__Eubacterium_coprostanoligenes_group</v>
          </cell>
          <cell r="I16530" t="str">
            <v>s__uncultured_bacterium_g__norank_f__Eubacterium_coprostanoligenes_group</v>
          </cell>
        </row>
        <row r="16531">
          <cell r="G16531" t="str">
            <v>ASV11773</v>
          </cell>
          <cell r="H16531" t="str">
            <v>g__unclassified_f__Lachnospiraceae</v>
          </cell>
          <cell r="I16531" t="str">
            <v>s__unclassified_f__Lachnospiraceae</v>
          </cell>
        </row>
        <row r="16532">
          <cell r="G16532" t="str">
            <v>ASV11717</v>
          </cell>
          <cell r="H16532" t="str">
            <v>g__Bifidobacterium</v>
          </cell>
          <cell r="I16532" t="str">
            <v>s__unclassified_g__Bifidobacterium</v>
          </cell>
        </row>
        <row r="16533">
          <cell r="G16533" t="str">
            <v>ASV2238</v>
          </cell>
          <cell r="H16533" t="str">
            <v>g__unclassified_c__Clostridia</v>
          </cell>
          <cell r="I16533" t="str">
            <v>s__unclassified_c__Clostridia</v>
          </cell>
        </row>
        <row r="16534">
          <cell r="G16534" t="str">
            <v>ASV24196</v>
          </cell>
          <cell r="H16534" t="str">
            <v>g__Lachnospiraceae_NC2004_group</v>
          </cell>
          <cell r="I16534" t="str">
            <v>s__uncultured_bacterium_g__Lachnospiraceae_NC2004_group</v>
          </cell>
        </row>
        <row r="16535">
          <cell r="G16535" t="str">
            <v>ASV7981</v>
          </cell>
          <cell r="H16535" t="str">
            <v>g__Christensenellaceae_R-7_group</v>
          </cell>
          <cell r="I16535" t="str">
            <v>s__unclassified_g__Christensenellaceae_R-7_group</v>
          </cell>
        </row>
        <row r="16536">
          <cell r="G16536" t="str">
            <v>ASV4973</v>
          </cell>
          <cell r="H16536" t="str">
            <v>g__unclassified_c__Clostridia</v>
          </cell>
          <cell r="I16536" t="str">
            <v>s__unclassified_c__Clostridia</v>
          </cell>
        </row>
        <row r="16537">
          <cell r="G16537" t="str">
            <v>ASV12959</v>
          </cell>
          <cell r="H16537" t="str">
            <v>g__Turicibacter</v>
          </cell>
          <cell r="I16537" t="str">
            <v>s__uncultured_bacterium_g__Turicibacter</v>
          </cell>
        </row>
        <row r="16538">
          <cell r="G16538" t="str">
            <v>ASV21496</v>
          </cell>
          <cell r="H16538" t="str">
            <v>g__Megasphaera</v>
          </cell>
          <cell r="I16538" t="str">
            <v>s__unclassified_g__Megasphaera</v>
          </cell>
        </row>
        <row r="16539">
          <cell r="G16539" t="str">
            <v>ASV9003</v>
          </cell>
          <cell r="H16539" t="str">
            <v>g__Neisseria</v>
          </cell>
          <cell r="I16539" t="str">
            <v>s__unclassified_g__Neisseria</v>
          </cell>
        </row>
        <row r="16540">
          <cell r="G16540" t="str">
            <v>ASV16559</v>
          </cell>
          <cell r="H16540" t="str">
            <v>g__unclassified_f__Rikenellaceae</v>
          </cell>
          <cell r="I16540" t="str">
            <v>s__unclassified_f__Rikenellaceae</v>
          </cell>
        </row>
        <row r="16541">
          <cell r="G16541" t="str">
            <v>ASV11700</v>
          </cell>
          <cell r="H16541" t="str">
            <v>g__unclassified_p__Firmicutes</v>
          </cell>
          <cell r="I16541" t="str">
            <v>s__unclassified_p__Firmicutes</v>
          </cell>
        </row>
        <row r="16542">
          <cell r="G16542" t="str">
            <v>ASV18928</v>
          </cell>
          <cell r="H16542" t="str">
            <v>g__Mogibacterium</v>
          </cell>
          <cell r="I16542" t="str">
            <v>s__uncultured_bacterium_g__Mogibacterium</v>
          </cell>
        </row>
        <row r="16543">
          <cell r="G16543" t="str">
            <v>ASV15517</v>
          </cell>
          <cell r="H16543" t="str">
            <v>g__Christensenellaceae_R-7_group</v>
          </cell>
          <cell r="I16543" t="str">
            <v>s__uncultured_spirochete_g__Christensenellaceae_R-7_group</v>
          </cell>
        </row>
        <row r="16544">
          <cell r="G16544" t="str">
            <v>ASV9521</v>
          </cell>
          <cell r="H16544" t="str">
            <v>g__Christensenellaceae_R-7_group</v>
          </cell>
          <cell r="I16544" t="str">
            <v>s__unclassified_g__Christensenellaceae_R-7_group</v>
          </cell>
        </row>
        <row r="16545">
          <cell r="G16545" t="str">
            <v>ASV11841</v>
          </cell>
          <cell r="H16545" t="str">
            <v>g__unclassified_c__Clostridia</v>
          </cell>
          <cell r="I16545" t="str">
            <v>s__unclassified_c__Clostridia</v>
          </cell>
        </row>
        <row r="16546">
          <cell r="G16546" t="str">
            <v>ASV4987</v>
          </cell>
          <cell r="H16546" t="str">
            <v>g__unclassified_c__Clostridia</v>
          </cell>
          <cell r="I16546" t="str">
            <v>s__unclassified_c__Clostridia</v>
          </cell>
        </row>
        <row r="16547">
          <cell r="G16547" t="str">
            <v>ASV18600</v>
          </cell>
          <cell r="H16547" t="str">
            <v>g__Veillonella</v>
          </cell>
          <cell r="I16547" t="str">
            <v>s__unclassified_g__Veillonella</v>
          </cell>
        </row>
        <row r="16548">
          <cell r="G16548" t="str">
            <v>ASV18598</v>
          </cell>
          <cell r="H16548" t="str">
            <v>g__Butyricimonas</v>
          </cell>
          <cell r="I16548" t="str">
            <v>s__unclassified_g__Butyricimonas</v>
          </cell>
        </row>
        <row r="16549">
          <cell r="G16549" t="str">
            <v>ASV14939</v>
          </cell>
          <cell r="H16549" t="str">
            <v>g__Lactobacillus</v>
          </cell>
          <cell r="I16549" t="str">
            <v>s__unclassified_g__Lactobacillus</v>
          </cell>
        </row>
        <row r="16550">
          <cell r="G16550" t="str">
            <v>ASV5067</v>
          </cell>
          <cell r="H16550" t="str">
            <v>g__unclassified_f__Lachnospiraceae</v>
          </cell>
          <cell r="I16550" t="str">
            <v>s__unclassified_f__Lachnospiraceae</v>
          </cell>
        </row>
        <row r="16551">
          <cell r="G16551" t="str">
            <v>ASV11680</v>
          </cell>
          <cell r="H16551" t="str">
            <v>g__norank_f__UCG-011</v>
          </cell>
          <cell r="I16551" t="str">
            <v>s__uncultured_bacterium_g__norank_f__UCG-011</v>
          </cell>
        </row>
        <row r="16552">
          <cell r="G16552" t="str">
            <v>ASV816</v>
          </cell>
          <cell r="H16552" t="str">
            <v>g__unclassified_k__norank_d__Bacteria</v>
          </cell>
          <cell r="I16552" t="str">
            <v>s__unclassified_k__norank_d__Bacteria</v>
          </cell>
        </row>
        <row r="16553">
          <cell r="G16553" t="str">
            <v>ASV18044</v>
          </cell>
          <cell r="H16553" t="str">
            <v>g__unclassified_f__Peptostreptococcaceae</v>
          </cell>
          <cell r="I16553" t="str">
            <v>s__unclassified_f__Peptostreptococcaceae</v>
          </cell>
        </row>
        <row r="16554">
          <cell r="G16554" t="str">
            <v>ASV11706</v>
          </cell>
          <cell r="H16554" t="str">
            <v>g__Streptococcus</v>
          </cell>
          <cell r="I16554" t="str">
            <v>s__unclassified_g__Streptococcus</v>
          </cell>
        </row>
        <row r="16555">
          <cell r="G16555" t="str">
            <v>ASV7077</v>
          </cell>
          <cell r="H16555" t="str">
            <v>g__Bacteroides</v>
          </cell>
          <cell r="I16555" t="str">
            <v>s__unclassified_g__Bacteroides</v>
          </cell>
        </row>
        <row r="16556">
          <cell r="G16556" t="str">
            <v>ASV7933</v>
          </cell>
          <cell r="H16556" t="str">
            <v>g__unclassified_c__Clostridia</v>
          </cell>
          <cell r="I16556" t="str">
            <v>s__unclassified_c__Clostridia</v>
          </cell>
        </row>
        <row r="16557">
          <cell r="G16557" t="str">
            <v>ASV16478</v>
          </cell>
          <cell r="H16557" t="str">
            <v>g__norank_f__Oscillospiraceae</v>
          </cell>
          <cell r="I16557" t="str">
            <v>s__unclassified_g__norank_f__Oscillospiraceae</v>
          </cell>
        </row>
        <row r="16558">
          <cell r="G16558" t="str">
            <v>ASV895</v>
          </cell>
          <cell r="H16558" t="str">
            <v>g__unclassified_c__Clostridia</v>
          </cell>
          <cell r="I16558" t="str">
            <v>s__unclassified_c__Clostridia</v>
          </cell>
        </row>
        <row r="16559">
          <cell r="G16559" t="str">
            <v>ASV16011</v>
          </cell>
          <cell r="H16559" t="str">
            <v>g__unclassified_f__Oscillospiraceae</v>
          </cell>
          <cell r="I16559" t="str">
            <v>s__unclassified_f__Oscillospiraceae</v>
          </cell>
        </row>
        <row r="16560">
          <cell r="G16560" t="str">
            <v>ASV13501</v>
          </cell>
          <cell r="H16560" t="str">
            <v>g__unclassified_c__Clostridia</v>
          </cell>
          <cell r="I16560" t="str">
            <v>s__unclassified_c__Clostridia</v>
          </cell>
        </row>
        <row r="16561">
          <cell r="G16561" t="str">
            <v>ASV7076</v>
          </cell>
          <cell r="H16561" t="str">
            <v>g__Lactobacillus</v>
          </cell>
          <cell r="I16561" t="str">
            <v>s__unclassified_g__Lactobacillus</v>
          </cell>
        </row>
        <row r="16562">
          <cell r="G16562" t="str">
            <v>ASV3685</v>
          </cell>
          <cell r="H16562" t="str">
            <v>g__Deinococcus</v>
          </cell>
          <cell r="I16562" t="str">
            <v>s__Deinococcus_swuensis</v>
          </cell>
        </row>
        <row r="16563">
          <cell r="G16563" t="str">
            <v>ASV22393</v>
          </cell>
          <cell r="H16563" t="str">
            <v>g__unclassified_f__Lachnospiraceae</v>
          </cell>
          <cell r="I16563" t="str">
            <v>s__unclassified_f__Lachnospiraceae</v>
          </cell>
        </row>
        <row r="16564">
          <cell r="G16564" t="str">
            <v>ASV6128</v>
          </cell>
          <cell r="H16564" t="str">
            <v>g__unclassified_f__Spirochaetaceae</v>
          </cell>
          <cell r="I16564" t="str">
            <v>s__unclassified_f__Spirochaetaceae</v>
          </cell>
        </row>
        <row r="16565">
          <cell r="G16565" t="str">
            <v>ASV9508</v>
          </cell>
          <cell r="H16565" t="str">
            <v>g__norank_f__Erysipelotrichaceae</v>
          </cell>
          <cell r="I16565" t="str">
            <v>s__uncultured_bacterium_g__norank_f__Erysipelotrichaceae</v>
          </cell>
        </row>
        <row r="16566">
          <cell r="G16566" t="str">
            <v>ASV22437</v>
          </cell>
          <cell r="H16566" t="str">
            <v>g__unclassified_c__Clostridia</v>
          </cell>
          <cell r="I16566" t="str">
            <v>s__unclassified_c__Clostridia</v>
          </cell>
        </row>
        <row r="16567">
          <cell r="G16567" t="str">
            <v>ASV14498</v>
          </cell>
          <cell r="H16567" t="str">
            <v>g__unclassified_f__Clostridiaceae</v>
          </cell>
          <cell r="I16567" t="str">
            <v>s__unclassified_f__Clostridiaceae</v>
          </cell>
        </row>
        <row r="16568">
          <cell r="G16568" t="str">
            <v>ASV23369</v>
          </cell>
          <cell r="H16568" t="str">
            <v>g__norank_f__Oscillospiraceae</v>
          </cell>
          <cell r="I16568" t="str">
            <v>s__unclassified_g__norank_f__Oscillospiraceae</v>
          </cell>
        </row>
        <row r="16569">
          <cell r="G16569" t="str">
            <v>ASV15492</v>
          </cell>
          <cell r="H16569" t="str">
            <v>g__Rikenellaceae_RC9_gut_group</v>
          </cell>
          <cell r="I16569" t="str">
            <v>s__uncultured_bacterium_g__Rikenellaceae_RC9_gut_group</v>
          </cell>
        </row>
        <row r="16570">
          <cell r="G16570" t="str">
            <v>ASV18082</v>
          </cell>
          <cell r="H16570" t="str">
            <v>g__unclassified_c__Clostridia</v>
          </cell>
          <cell r="I16570" t="str">
            <v>s__unclassified_c__Clostridia</v>
          </cell>
        </row>
        <row r="16571">
          <cell r="G16571" t="str">
            <v>ASV12980</v>
          </cell>
          <cell r="H16571" t="str">
            <v>g__unclassified_c__Bacilli</v>
          </cell>
          <cell r="I16571" t="str">
            <v>s__unclassified_c__Bacilli</v>
          </cell>
        </row>
        <row r="16572">
          <cell r="G16572" t="str">
            <v>ASV20942</v>
          </cell>
          <cell r="H16572" t="str">
            <v>g__norank_f__Oscillospiraceae</v>
          </cell>
          <cell r="I16572" t="str">
            <v>s__Pseudoflavonifractor_sp._Marseille-P3106</v>
          </cell>
        </row>
        <row r="16573">
          <cell r="G16573" t="str">
            <v>ASV7932</v>
          </cell>
          <cell r="H16573" t="str">
            <v>g__unclassified_c__Bacilli</v>
          </cell>
          <cell r="I16573" t="str">
            <v>s__unclassified_c__Bacilli</v>
          </cell>
        </row>
        <row r="16574">
          <cell r="G16574" t="str">
            <v>ASV6142</v>
          </cell>
          <cell r="H16574" t="str">
            <v>g__unclassified_k__norank_d__Bacteria</v>
          </cell>
          <cell r="I16574" t="str">
            <v>s__unclassified_k__norank_d__Bacteria</v>
          </cell>
        </row>
        <row r="16575">
          <cell r="G16575" t="str">
            <v>ASV15515</v>
          </cell>
          <cell r="H16575" t="str">
            <v>g__unclassified_f__Lachnospiraceae</v>
          </cell>
          <cell r="I16575" t="str">
            <v>s__unclassified_f__Lachnospiraceae</v>
          </cell>
        </row>
        <row r="16576">
          <cell r="G16576" t="str">
            <v>ASV10744</v>
          </cell>
          <cell r="H16576" t="str">
            <v>g__unclassified_c__Clostridia</v>
          </cell>
          <cell r="I16576" t="str">
            <v>s__unclassified_c__Clostridia</v>
          </cell>
        </row>
        <row r="16577">
          <cell r="G16577" t="str">
            <v>ASV22384</v>
          </cell>
          <cell r="H16577" t="str">
            <v>g__Clostridium_sensu_stricto_1</v>
          </cell>
          <cell r="I16577" t="str">
            <v>s__unclassified_g__Clostridium_sensu_stricto_1</v>
          </cell>
        </row>
        <row r="16578">
          <cell r="G16578" t="str">
            <v>ASV6780</v>
          </cell>
          <cell r="H16578" t="str">
            <v>g__Subdoligranulum</v>
          </cell>
          <cell r="I16578" t="str">
            <v>s__uncultured_bacterium_g__Subdoligranulum</v>
          </cell>
        </row>
        <row r="16579">
          <cell r="G16579" t="str">
            <v>ASV7362</v>
          </cell>
          <cell r="H16579" t="str">
            <v>g__unclassified_k__norank_d__Bacteria</v>
          </cell>
          <cell r="I16579" t="str">
            <v>s__unclassified_k__norank_d__Bacteria</v>
          </cell>
        </row>
        <row r="16580">
          <cell r="G16580" t="str">
            <v>ASV4066</v>
          </cell>
          <cell r="H16580" t="str">
            <v>g__Eubacterium_oxidoreducens_group</v>
          </cell>
          <cell r="I16580" t="str">
            <v>s__uncultured_bacterium_g__Eubacterium_oxidoreducens_group</v>
          </cell>
        </row>
        <row r="16581">
          <cell r="G16581" t="str">
            <v>ASV14510</v>
          </cell>
          <cell r="H16581" t="str">
            <v>g__unclassified_c__Clostridia</v>
          </cell>
          <cell r="I16581" t="str">
            <v>s__unclassified_c__Clostridia</v>
          </cell>
        </row>
        <row r="16582">
          <cell r="G16582" t="str">
            <v>ASV23427</v>
          </cell>
          <cell r="H16582" t="str">
            <v>g__unclassified_c__Clostridia</v>
          </cell>
          <cell r="I16582" t="str">
            <v>s__unclassified_c__Clostridia</v>
          </cell>
        </row>
        <row r="16583">
          <cell r="G16583" t="str">
            <v>ASV8818</v>
          </cell>
          <cell r="H16583" t="str">
            <v>g__unclassified_o__Saccharimonadales</v>
          </cell>
          <cell r="I16583" t="str">
            <v>s__unclassified_o__Saccharimonadales</v>
          </cell>
        </row>
        <row r="16584">
          <cell r="G16584" t="str">
            <v>ASV8837</v>
          </cell>
          <cell r="H16584" t="str">
            <v>g__Bordetella</v>
          </cell>
          <cell r="I16584" t="str">
            <v>s__unclassified_g__Bordetella</v>
          </cell>
        </row>
        <row r="16585">
          <cell r="G16585" t="str">
            <v>ASV14336</v>
          </cell>
          <cell r="H16585" t="str">
            <v>g__unclassified_c__Clostridia</v>
          </cell>
          <cell r="I16585" t="str">
            <v>s__unclassified_c__Clostridia</v>
          </cell>
        </row>
        <row r="16586">
          <cell r="G16586" t="str">
            <v>ASV4203</v>
          </cell>
          <cell r="H16586" t="str">
            <v>g__unclassified_f__Lachnospiraceae</v>
          </cell>
          <cell r="I16586" t="str">
            <v>s__unclassified_f__Lachnospiraceae</v>
          </cell>
        </row>
        <row r="16587">
          <cell r="G16587" t="str">
            <v>ASV6079</v>
          </cell>
          <cell r="H16587" t="str">
            <v>g__unclassified_c__Clostridia</v>
          </cell>
          <cell r="I16587" t="str">
            <v>s__unclassified_c__Clostridia</v>
          </cell>
        </row>
        <row r="16588">
          <cell r="G16588" t="str">
            <v>ASV2234</v>
          </cell>
          <cell r="H16588" t="str">
            <v>g__Lactobacillus</v>
          </cell>
          <cell r="I16588" t="str">
            <v>s__unclassified_g__Lactobacillus</v>
          </cell>
        </row>
        <row r="16589">
          <cell r="G16589" t="str">
            <v>ASV10783</v>
          </cell>
          <cell r="H16589" t="str">
            <v>g__Clostridium_sensu_stricto_1</v>
          </cell>
          <cell r="I16589" t="str">
            <v>s__unclassified_g__Clostridium_sensu_stricto_1</v>
          </cell>
        </row>
        <row r="16590">
          <cell r="G16590" t="str">
            <v>ASV9456</v>
          </cell>
          <cell r="H16590" t="str">
            <v>g__Subdoligranulum</v>
          </cell>
          <cell r="I16590" t="str">
            <v>s__uncultured_bacterium_g__Subdoligranulum</v>
          </cell>
        </row>
        <row r="16591">
          <cell r="G16591" t="str">
            <v>ASV19863</v>
          </cell>
          <cell r="H16591" t="str">
            <v>g__unclassified_c__Clostridia</v>
          </cell>
          <cell r="I16591" t="str">
            <v>s__unclassified_c__Clostridia</v>
          </cell>
        </row>
        <row r="16592">
          <cell r="G16592" t="str">
            <v>ASV22977</v>
          </cell>
          <cell r="H16592" t="str">
            <v>g__unclassified_c__Bacilli</v>
          </cell>
          <cell r="I16592" t="str">
            <v>s__unclassified_c__Bacilli</v>
          </cell>
        </row>
        <row r="16593">
          <cell r="G16593" t="str">
            <v>ASV17514</v>
          </cell>
          <cell r="H16593" t="str">
            <v>g__Bacteroides</v>
          </cell>
          <cell r="I16593" t="str">
            <v>s__unclassified_g__Bacteroides</v>
          </cell>
        </row>
        <row r="16594">
          <cell r="G16594" t="str">
            <v>ASV21288</v>
          </cell>
          <cell r="H16594" t="str">
            <v>g__Phascolarctobacterium</v>
          </cell>
          <cell r="I16594" t="str">
            <v>s__unclassified_g__Phascolarctobacterium</v>
          </cell>
        </row>
        <row r="16595">
          <cell r="G16595" t="str">
            <v>ASV866</v>
          </cell>
          <cell r="H16595" t="str">
            <v>g__unclassified_p__Firmicutes</v>
          </cell>
          <cell r="I16595" t="str">
            <v>s__unclassified_p__Firmicutes</v>
          </cell>
        </row>
        <row r="16596">
          <cell r="G16596" t="str">
            <v>ASV13814</v>
          </cell>
          <cell r="H16596" t="str">
            <v>g__norank_f__Eubacterium_coprostanoligenes_group</v>
          </cell>
          <cell r="I16596" t="str">
            <v>s__uncultured_Clostridiales_bacterium_g__norank_f__Eubacterium_coprostanoligenes_group</v>
          </cell>
        </row>
        <row r="16597">
          <cell r="G16597" t="str">
            <v>ASV822</v>
          </cell>
          <cell r="H16597" t="str">
            <v>g__unclassified_f__Anaerovoracaceae</v>
          </cell>
          <cell r="I16597" t="str">
            <v>s__unclassified_f__Anaerovoracaceae</v>
          </cell>
        </row>
        <row r="16598">
          <cell r="G16598" t="str">
            <v>ASV2348</v>
          </cell>
          <cell r="H16598" t="str">
            <v>g__unclassified_o__Oscillospirales</v>
          </cell>
          <cell r="I16598" t="str">
            <v>s__unclassified_o__Oscillospirales</v>
          </cell>
        </row>
        <row r="16599">
          <cell r="G16599" t="str">
            <v>ASV18899</v>
          </cell>
          <cell r="H16599" t="str">
            <v>g__unclassified_c__Clostridia</v>
          </cell>
          <cell r="I16599" t="str">
            <v>s__unclassified_c__Clostridia</v>
          </cell>
        </row>
        <row r="16600">
          <cell r="G16600" t="str">
            <v>ASV19663</v>
          </cell>
          <cell r="H16600" t="str">
            <v>g__Prevotella</v>
          </cell>
          <cell r="I16600" t="str">
            <v>s__unclassified_g__Prevotella</v>
          </cell>
        </row>
        <row r="16601">
          <cell r="G16601" t="str">
            <v>ASV23456</v>
          </cell>
          <cell r="H16601" t="str">
            <v>g__unclassified_p__Firmicutes</v>
          </cell>
          <cell r="I16601" t="str">
            <v>s__unclassified_p__Firmicutes</v>
          </cell>
        </row>
        <row r="16602">
          <cell r="G16602" t="str">
            <v>ASV11781</v>
          </cell>
          <cell r="H16602" t="str">
            <v>g__unclassified_f__Lachnospiraceae</v>
          </cell>
          <cell r="I16602" t="str">
            <v>s__unclassified_f__Lachnospiraceae</v>
          </cell>
        </row>
        <row r="16603">
          <cell r="G16603" t="str">
            <v>ASV9542</v>
          </cell>
          <cell r="H16603" t="str">
            <v>g__unclassified_f__Peptostreptococcaceae</v>
          </cell>
          <cell r="I16603" t="str">
            <v>s__unclassified_f__Peptostreptococcaceae</v>
          </cell>
        </row>
        <row r="16604">
          <cell r="G16604" t="str">
            <v>ASV16547</v>
          </cell>
          <cell r="H16604" t="str">
            <v>g__Family_XIII_AD3011_group</v>
          </cell>
          <cell r="I16604" t="str">
            <v>s__unclassified_g__Family_XIII_AD3011_group</v>
          </cell>
        </row>
        <row r="16605">
          <cell r="G16605" t="str">
            <v>ASV17368</v>
          </cell>
          <cell r="H16605" t="str">
            <v>g__Globicatella</v>
          </cell>
          <cell r="I16605" t="str">
            <v>s__Globicatella_sp._canine_oral_taxon_218</v>
          </cell>
        </row>
        <row r="16606">
          <cell r="G16606" t="str">
            <v>ASV8843</v>
          </cell>
          <cell r="H16606" t="str">
            <v>g__unclassified_p__Firmicutes</v>
          </cell>
          <cell r="I16606" t="str">
            <v>s__unclassified_p__Firmicutes</v>
          </cell>
        </row>
        <row r="16607">
          <cell r="G16607" t="str">
            <v>ASV12013</v>
          </cell>
          <cell r="H16607" t="str">
            <v>g__unclassified_c__Clostridia</v>
          </cell>
          <cell r="I16607" t="str">
            <v>s__unclassified_c__Clostridia</v>
          </cell>
        </row>
        <row r="16608">
          <cell r="G16608" t="str">
            <v>ASV18048</v>
          </cell>
          <cell r="H16608" t="str">
            <v>g__Christensenellaceae_R-7_group</v>
          </cell>
          <cell r="I16608" t="str">
            <v>s__uncultured_Clostridia_bacterium_g__Christensenellaceae_R-7_group</v>
          </cell>
        </row>
        <row r="16609">
          <cell r="G16609" t="str">
            <v>ASV14558</v>
          </cell>
          <cell r="H16609" t="str">
            <v>g__unclassified_f__Oscillospiraceae</v>
          </cell>
          <cell r="I16609" t="str">
            <v>s__unclassified_f__Oscillospiraceae</v>
          </cell>
        </row>
        <row r="16610">
          <cell r="G16610" t="str">
            <v>ASV20846</v>
          </cell>
          <cell r="H16610" t="str">
            <v>g__Christensenellaceae_R-7_group</v>
          </cell>
          <cell r="I16610" t="str">
            <v>s__unclassified_g__Christensenellaceae_R-7_group</v>
          </cell>
        </row>
        <row r="16611">
          <cell r="G16611" t="str">
            <v>ASV17376</v>
          </cell>
          <cell r="H16611" t="str">
            <v>g__Veillonella</v>
          </cell>
          <cell r="I16611" t="str">
            <v>s__unclassified_g__Veillonella</v>
          </cell>
        </row>
        <row r="16612">
          <cell r="G16612" t="str">
            <v>ASV16015</v>
          </cell>
          <cell r="H16612" t="str">
            <v>g__unclassified_c__Clostridia</v>
          </cell>
          <cell r="I16612" t="str">
            <v>s__unclassified_c__Clostridia</v>
          </cell>
        </row>
        <row r="16613">
          <cell r="G16613" t="str">
            <v>ASV19639</v>
          </cell>
          <cell r="H16613" t="str">
            <v>g__norank_f__Eubacterium_coprostanoligenes_group</v>
          </cell>
          <cell r="I16613" t="str">
            <v>s__uncultured_bacterium_g__norank_f__Eubacterium_coprostanoligenes_group</v>
          </cell>
        </row>
        <row r="16614">
          <cell r="G16614" t="str">
            <v>ASV4877</v>
          </cell>
          <cell r="H16614" t="str">
            <v>g__unclassified_c__Clostridia</v>
          </cell>
          <cell r="I16614" t="str">
            <v>s__unclassified_c__Clostridia</v>
          </cell>
        </row>
        <row r="16615">
          <cell r="G16615" t="str">
            <v>ASV18055</v>
          </cell>
          <cell r="H16615" t="str">
            <v>g__unclassified_c__Clostridia</v>
          </cell>
          <cell r="I16615" t="str">
            <v>s__unclassified_c__Clostridia</v>
          </cell>
        </row>
        <row r="16616">
          <cell r="G16616" t="str">
            <v>ASV18120</v>
          </cell>
          <cell r="H16616" t="str">
            <v>g__Synergistes</v>
          </cell>
          <cell r="I16616" t="str">
            <v>s__uncultured_organism_g__Synergistes</v>
          </cell>
        </row>
        <row r="16617">
          <cell r="G16617" t="str">
            <v>ASV11976</v>
          </cell>
          <cell r="H16617" t="str">
            <v>g__unclassified_c__Clostridia</v>
          </cell>
          <cell r="I16617" t="str">
            <v>s__unclassified_c__Clostridia</v>
          </cell>
        </row>
        <row r="16618">
          <cell r="G16618" t="str">
            <v>ASV16056</v>
          </cell>
          <cell r="H16618" t="str">
            <v>g__Lactobacillus</v>
          </cell>
          <cell r="I16618" t="str">
            <v>s__unclassified_g__Lactobacillus</v>
          </cell>
        </row>
        <row r="16619">
          <cell r="G16619" t="str">
            <v>ASV4167</v>
          </cell>
          <cell r="H16619" t="str">
            <v>g__Christensenellaceae_R-7_group</v>
          </cell>
          <cell r="I16619" t="str">
            <v>s__unclassified_g__Christensenellaceae_R-7_group</v>
          </cell>
        </row>
        <row r="16620">
          <cell r="G16620" t="str">
            <v>ASV18107</v>
          </cell>
          <cell r="H16620" t="str">
            <v>g__unclassified_k__norank_d__Bacteria</v>
          </cell>
          <cell r="I16620" t="str">
            <v>s__unclassified_k__norank_d__Bacteria</v>
          </cell>
        </row>
        <row r="16621">
          <cell r="G16621" t="str">
            <v>ASV8519</v>
          </cell>
          <cell r="H16621" t="str">
            <v>g__unclassified_f__Veillonellaceae</v>
          </cell>
          <cell r="I16621" t="str">
            <v>s__unclassified_f__Veillonellaceae</v>
          </cell>
        </row>
        <row r="16622">
          <cell r="G16622" t="str">
            <v>ASV23400</v>
          </cell>
          <cell r="H16622" t="str">
            <v>g__Clostridium_sensu_stricto_1</v>
          </cell>
          <cell r="I16622" t="str">
            <v>s__unclassified_g__Clostridium_sensu_stricto_1</v>
          </cell>
        </row>
        <row r="16623">
          <cell r="G16623" t="str">
            <v>ASV23482</v>
          </cell>
          <cell r="H16623" t="str">
            <v>g__Lachnoclostridium</v>
          </cell>
          <cell r="I16623" t="str">
            <v>s__unclassified_g__Lachnoclostridium</v>
          </cell>
        </row>
        <row r="16624">
          <cell r="G16624" t="str">
            <v>ASV9464</v>
          </cell>
          <cell r="H16624" t="str">
            <v>g__unclassified_p__Firmicutes</v>
          </cell>
          <cell r="I16624" t="str">
            <v>s__unclassified_p__Firmicutes</v>
          </cell>
        </row>
        <row r="16625">
          <cell r="G16625" t="str">
            <v>ASV14944</v>
          </cell>
          <cell r="H16625" t="str">
            <v>g__Mogibacterium</v>
          </cell>
          <cell r="I16625" t="str">
            <v>s__uncultured_bacterium_g__Mogibacterium</v>
          </cell>
        </row>
        <row r="16626">
          <cell r="G16626" t="str">
            <v>ASV22332</v>
          </cell>
          <cell r="H16626" t="str">
            <v>g__norank_f__UCG-010</v>
          </cell>
          <cell r="I16626" t="str">
            <v>s__unclassified_g__norank_f__UCG-010</v>
          </cell>
        </row>
        <row r="16627">
          <cell r="G16627" t="str">
            <v>ASV19615</v>
          </cell>
          <cell r="H16627" t="str">
            <v>g__unclassified_p__Firmicutes</v>
          </cell>
          <cell r="I16627" t="str">
            <v>s__unclassified_p__Firmicutes</v>
          </cell>
        </row>
        <row r="16628">
          <cell r="G16628" t="str">
            <v>ASV11823</v>
          </cell>
          <cell r="H16628" t="str">
            <v>g__Christensenellaceae_R-7_group</v>
          </cell>
          <cell r="I16628" t="str">
            <v>s__unclassified_g__Christensenellaceae_R-7_group</v>
          </cell>
        </row>
        <row r="16629">
          <cell r="G16629" t="str">
            <v>ASV9023</v>
          </cell>
          <cell r="H16629" t="str">
            <v>g__Porphyromonas</v>
          </cell>
          <cell r="I16629" t="str">
            <v>s__unclassified_g__Porphyromonas</v>
          </cell>
        </row>
        <row r="16630">
          <cell r="G16630" t="str">
            <v>ASV19084</v>
          </cell>
          <cell r="H16630" t="str">
            <v>g__Fusobacterium</v>
          </cell>
          <cell r="I16630" t="str">
            <v>s__unclassified_g__Fusobacterium</v>
          </cell>
        </row>
        <row r="16631">
          <cell r="G16631" t="str">
            <v>ASV17377</v>
          </cell>
          <cell r="H16631" t="str">
            <v>g__Veillonella</v>
          </cell>
          <cell r="I16631" t="str">
            <v>s__unclassified_g__Veillonella</v>
          </cell>
        </row>
        <row r="16632">
          <cell r="G16632" t="str">
            <v>ASV22360</v>
          </cell>
          <cell r="H16632" t="str">
            <v>g__unclassified_f__Oscillospiraceae</v>
          </cell>
          <cell r="I16632" t="str">
            <v>s__unclassified_f__Oscillospiraceae</v>
          </cell>
        </row>
        <row r="16633">
          <cell r="G16633" t="str">
            <v>ASV10319</v>
          </cell>
          <cell r="H16633" t="str">
            <v>g__Bacillus</v>
          </cell>
          <cell r="I16633" t="str">
            <v>s__Lactobacillus_vaginalis_g__Bacillus</v>
          </cell>
        </row>
        <row r="16634">
          <cell r="G16634" t="str">
            <v>ASV7843</v>
          </cell>
          <cell r="H16634" t="str">
            <v>g__Bifidobacterium</v>
          </cell>
          <cell r="I16634" t="str">
            <v>s__unclassified_g__Bifidobacterium</v>
          </cell>
        </row>
        <row r="16635">
          <cell r="G16635" t="str">
            <v>ASV19733</v>
          </cell>
          <cell r="H16635" t="str">
            <v>g__unclassified_f__Oscillospiraceae</v>
          </cell>
          <cell r="I16635" t="str">
            <v>s__unclassified_f__Oscillospiraceae</v>
          </cell>
        </row>
        <row r="16636">
          <cell r="G16636" t="str">
            <v>ASV19847</v>
          </cell>
          <cell r="H16636" t="str">
            <v>g__Sharpea</v>
          </cell>
          <cell r="I16636" t="str">
            <v>s__unclassified_g__Sharpea</v>
          </cell>
        </row>
        <row r="16637">
          <cell r="G16637" t="str">
            <v>ASV20881</v>
          </cell>
          <cell r="H16637" t="str">
            <v>g__unclassified_p__Firmicutes</v>
          </cell>
          <cell r="I16637" t="str">
            <v>s__unclassified_p__Firmicutes</v>
          </cell>
        </row>
        <row r="16638">
          <cell r="G16638" t="str">
            <v>ASV10099</v>
          </cell>
          <cell r="H16638" t="str">
            <v>g__Lactobacillus</v>
          </cell>
          <cell r="I16638" t="str">
            <v>s__unclassified_g__Lactobacillus</v>
          </cell>
        </row>
        <row r="16639">
          <cell r="G16639" t="str">
            <v>ASV3682</v>
          </cell>
          <cell r="H16639" t="str">
            <v>g__Lactobacillus</v>
          </cell>
          <cell r="I16639" t="str">
            <v>s__unclassified_g__Lactobacillus</v>
          </cell>
        </row>
        <row r="16640">
          <cell r="G16640" t="str">
            <v>ASV19649</v>
          </cell>
          <cell r="H16640" t="str">
            <v>g__unclassified_f__Lachnospiraceae</v>
          </cell>
          <cell r="I16640" t="str">
            <v>s__unclassified_f__Lachnospiraceae</v>
          </cell>
        </row>
        <row r="16641">
          <cell r="G16641" t="str">
            <v>ASV4185</v>
          </cell>
          <cell r="H16641" t="str">
            <v>g__unclassified_c__Clostridia</v>
          </cell>
          <cell r="I16641" t="str">
            <v>s__unclassified_c__Clostridia</v>
          </cell>
        </row>
        <row r="16642">
          <cell r="G16642" t="str">
            <v>ASV18162</v>
          </cell>
          <cell r="H16642" t="str">
            <v>g__unclassified_c__Clostridia</v>
          </cell>
          <cell r="I16642" t="str">
            <v>s__unclassified_c__Clostridia</v>
          </cell>
        </row>
        <row r="16643">
          <cell r="G16643" t="str">
            <v>ASV9006</v>
          </cell>
          <cell r="H16643" t="str">
            <v>g__Treponema</v>
          </cell>
          <cell r="I16643" t="str">
            <v>s__Treponema_sp._canine_oral_taxon_356</v>
          </cell>
        </row>
        <row r="16644">
          <cell r="G16644" t="str">
            <v>ASV3662</v>
          </cell>
          <cell r="H16644" t="str">
            <v>g__Aeromicrobium</v>
          </cell>
          <cell r="I16644" t="str">
            <v>s__unclassified_g__Aeromicrobium</v>
          </cell>
        </row>
        <row r="16645">
          <cell r="G16645" t="str">
            <v>ASV6019</v>
          </cell>
          <cell r="H16645" t="str">
            <v>g__unclassified_f__Lachnospiraceae</v>
          </cell>
          <cell r="I16645" t="str">
            <v>s__unclassified_f__Lachnospiraceae</v>
          </cell>
        </row>
        <row r="16646">
          <cell r="G16646" t="str">
            <v>ASV21480</v>
          </cell>
          <cell r="H16646" t="str">
            <v>g__unclassified_c__Bacilli</v>
          </cell>
          <cell r="I16646" t="str">
            <v>s__unclassified_c__Bacilli</v>
          </cell>
        </row>
        <row r="16647">
          <cell r="G16647" t="str">
            <v>ASV8834</v>
          </cell>
          <cell r="H16647" t="str">
            <v>g__Christensenellaceae_R-7_group</v>
          </cell>
          <cell r="I16647" t="str">
            <v>s__unclassified_g__Christensenellaceae_R-7_group</v>
          </cell>
        </row>
        <row r="16648">
          <cell r="G16648" t="str">
            <v>ASV3233</v>
          </cell>
          <cell r="H16648" t="str">
            <v>g__Lactobacillus</v>
          </cell>
          <cell r="I16648" t="str">
            <v>s__unclassified_g__Lactobacillus</v>
          </cell>
        </row>
        <row r="16649">
          <cell r="G16649" t="str">
            <v>ASV16920</v>
          </cell>
          <cell r="H16649" t="str">
            <v>g__unclassified_c__Clostridia</v>
          </cell>
          <cell r="I16649" t="str">
            <v>s__unclassified_c__Clostridia</v>
          </cell>
        </row>
        <row r="16650">
          <cell r="G16650" t="str">
            <v>ASV19095</v>
          </cell>
          <cell r="H16650" t="str">
            <v>g__Escherichia-Shigella</v>
          </cell>
          <cell r="I16650" t="str">
            <v>s__unclassified_g__Escherichia-Shigella</v>
          </cell>
        </row>
        <row r="16651">
          <cell r="G16651" t="str">
            <v>ASV24246</v>
          </cell>
          <cell r="H16651" t="str">
            <v>g__unclassified_f__Oscillospiraceae</v>
          </cell>
          <cell r="I16651" t="str">
            <v>s__unclassified_f__Oscillospiraceae</v>
          </cell>
        </row>
        <row r="16652">
          <cell r="G16652" t="str">
            <v>ASV11911</v>
          </cell>
          <cell r="H16652" t="str">
            <v>g__norank_f__norank_o__Clostridia_UCG-014</v>
          </cell>
          <cell r="I16652" t="str">
            <v>s__uncultured_bacterium_g__norank_f__norank_o__Clostridia_UCG-014</v>
          </cell>
        </row>
        <row r="16653">
          <cell r="G16653" t="str">
            <v>ASV4070</v>
          </cell>
          <cell r="H16653" t="str">
            <v>g__Escherichia-Shigella</v>
          </cell>
          <cell r="I16653" t="str">
            <v>s__unclassified_g__Escherichia-Shigella</v>
          </cell>
        </row>
        <row r="16654">
          <cell r="G16654" t="str">
            <v>ASV13729</v>
          </cell>
          <cell r="H16654" t="str">
            <v>g__Lactobacillus</v>
          </cell>
          <cell r="I16654" t="str">
            <v>s__unclassified_g__Lactobacillus</v>
          </cell>
        </row>
        <row r="16655">
          <cell r="G16655" t="str">
            <v>ASV7830</v>
          </cell>
          <cell r="H16655" t="str">
            <v>g__unclassified_f__Peptostreptococcaceae</v>
          </cell>
          <cell r="I16655" t="str">
            <v>s__unclassified_f__Peptostreptococcaceae</v>
          </cell>
        </row>
        <row r="16656">
          <cell r="G16656" t="str">
            <v>ASV22397</v>
          </cell>
          <cell r="H16656" t="str">
            <v>g__unclassified_c__Clostridia</v>
          </cell>
          <cell r="I16656" t="str">
            <v>s__unclassified_c__Clostridia</v>
          </cell>
        </row>
        <row r="16657">
          <cell r="G16657" t="str">
            <v>ASV10769</v>
          </cell>
          <cell r="H16657" t="str">
            <v>g__unclassified_c__Clostridia</v>
          </cell>
          <cell r="I16657" t="str">
            <v>s__unclassified_c__Clostridia</v>
          </cell>
        </row>
        <row r="16658">
          <cell r="G16658" t="str">
            <v>ASV14374</v>
          </cell>
          <cell r="H16658" t="str">
            <v>g__unclassified_p__Firmicutes</v>
          </cell>
          <cell r="I16658" t="str">
            <v>s__unclassified_p__Firmicutes</v>
          </cell>
        </row>
        <row r="16659">
          <cell r="G16659" t="str">
            <v>ASV16447</v>
          </cell>
          <cell r="H16659" t="str">
            <v>g__Escherichia-Shigella</v>
          </cell>
          <cell r="I16659" t="str">
            <v>s__unclassified_g__Escherichia-Shigella</v>
          </cell>
        </row>
        <row r="16660">
          <cell r="G16660" t="str">
            <v>ASV13719</v>
          </cell>
          <cell r="H16660" t="str">
            <v>g__Streptococcus</v>
          </cell>
          <cell r="I16660" t="str">
            <v>s__unclassified_g__Streptococcus</v>
          </cell>
        </row>
        <row r="16661">
          <cell r="G16661" t="str">
            <v>ASV9585</v>
          </cell>
          <cell r="H16661" t="str">
            <v>g__Eubacterium_oxidoreducens_group</v>
          </cell>
          <cell r="I16661" t="str">
            <v>s__uncultured_bacterium_g__Eubacterium_oxidoreducens_group</v>
          </cell>
        </row>
        <row r="16662">
          <cell r="G16662" t="str">
            <v>ASV19652</v>
          </cell>
          <cell r="H16662" t="str">
            <v>g__unclassified_c__Bacilli</v>
          </cell>
          <cell r="I16662" t="str">
            <v>s__unclassified_c__Bacilli</v>
          </cell>
        </row>
        <row r="16663">
          <cell r="G16663" t="str">
            <v>ASV21639</v>
          </cell>
          <cell r="H16663" t="str">
            <v>g__Phascolarctobacterium</v>
          </cell>
          <cell r="I16663" t="str">
            <v>s__uncultured_bacterium_g__Phascolarctobacterium</v>
          </cell>
        </row>
        <row r="16664">
          <cell r="G16664" t="str">
            <v>ASV18052</v>
          </cell>
          <cell r="H16664" t="str">
            <v>g__Alistipes</v>
          </cell>
          <cell r="I16664" t="str">
            <v>s__unclassified_g__Alistipes</v>
          </cell>
        </row>
        <row r="16665">
          <cell r="G16665" t="str">
            <v>ASV810</v>
          </cell>
          <cell r="H16665" t="str">
            <v>g__unclassified_o__Oscillospirales</v>
          </cell>
          <cell r="I16665" t="str">
            <v>s__unclassified_o__Oscillospirales</v>
          </cell>
        </row>
        <row r="16666">
          <cell r="G16666" t="str">
            <v>ASV7952</v>
          </cell>
          <cell r="H16666" t="str">
            <v>g__norank_f__Oscillospiraceae</v>
          </cell>
          <cell r="I16666" t="str">
            <v>s__uncultured_rumen_bacterium_g__norank_f__Oscillospiraceae</v>
          </cell>
        </row>
        <row r="16667">
          <cell r="G16667" t="str">
            <v>ASV955</v>
          </cell>
          <cell r="H16667" t="str">
            <v>g__Lactobacillus</v>
          </cell>
          <cell r="I16667" t="str">
            <v>s__unclassified_g__Lactobacillus</v>
          </cell>
        </row>
        <row r="16668">
          <cell r="G16668" t="str">
            <v>ASV10026</v>
          </cell>
          <cell r="H16668" t="str">
            <v>g__unclassified_f__Ruminococcaceae</v>
          </cell>
          <cell r="I16668" t="str">
            <v>s__unclassified_f__Ruminococcaceae</v>
          </cell>
        </row>
        <row r="16669">
          <cell r="G16669" t="str">
            <v>ASV5082</v>
          </cell>
          <cell r="H16669" t="str">
            <v>g__unclassified_f__Christensenellaceae</v>
          </cell>
          <cell r="I16669" t="str">
            <v>s__unclassified_f__Christensenellaceae</v>
          </cell>
        </row>
        <row r="16670">
          <cell r="G16670" t="str">
            <v>ASV9441</v>
          </cell>
          <cell r="H16670" t="str">
            <v>g__unclassified_c__Clostridia</v>
          </cell>
          <cell r="I16670" t="str">
            <v>s__unclassified_c__Clostridia</v>
          </cell>
        </row>
        <row r="16671">
          <cell r="G16671" t="str">
            <v>ASV983</v>
          </cell>
          <cell r="H16671" t="str">
            <v>g__unclassified_o__Oscillospirales</v>
          </cell>
          <cell r="I16671" t="str">
            <v>s__unclassified_o__Oscillospirales</v>
          </cell>
        </row>
        <row r="16672">
          <cell r="G16672" t="str">
            <v>ASV18225</v>
          </cell>
          <cell r="H16672" t="str">
            <v>g__unclassified_f__Lachnospiraceae</v>
          </cell>
          <cell r="I16672" t="str">
            <v>s__unclassified_f__Lachnospiraceae</v>
          </cell>
        </row>
        <row r="16673">
          <cell r="G16673" t="str">
            <v>ASV6035</v>
          </cell>
          <cell r="H16673" t="str">
            <v>g__Synergistes</v>
          </cell>
          <cell r="I16673" t="str">
            <v>s__Synergistes_jonesii</v>
          </cell>
        </row>
        <row r="16674">
          <cell r="G16674" t="str">
            <v>ASV18116</v>
          </cell>
          <cell r="H16674" t="str">
            <v>g__Rikenellaceae_RC9_gut_group</v>
          </cell>
          <cell r="I16674" t="str">
            <v>s__uncultured_bacterium_g__Rikenellaceae_RC9_gut_group</v>
          </cell>
        </row>
        <row r="16675">
          <cell r="G16675" t="str">
            <v>ASV1016</v>
          </cell>
          <cell r="H16675" t="str">
            <v>g__unclassified_f__Lachnospiraceae</v>
          </cell>
          <cell r="I16675" t="str">
            <v>s__unclassified_f__Lachnospiraceae</v>
          </cell>
        </row>
        <row r="16676">
          <cell r="G16676" t="str">
            <v>ASV14301</v>
          </cell>
          <cell r="H16676" t="str">
            <v>g__norank_f__norank_o__Clostridia_vadinBB60_group</v>
          </cell>
          <cell r="I16676" t="str">
            <v>s__unclassified_g__norank_f__norank_o__Clostridia_vadinBB60_group</v>
          </cell>
        </row>
        <row r="16677">
          <cell r="G16677" t="str">
            <v>ASV20261</v>
          </cell>
          <cell r="H16677" t="str">
            <v>g__unclassified_f__Lachnospiraceae</v>
          </cell>
          <cell r="I16677" t="str">
            <v>s__unclassified_f__Lachnospiraceae</v>
          </cell>
        </row>
        <row r="16678">
          <cell r="G16678" t="str">
            <v>ASV3684</v>
          </cell>
          <cell r="H16678" t="str">
            <v>g__unclassified_f__Lachnospiraceae</v>
          </cell>
          <cell r="I16678" t="str">
            <v>s__unclassified_f__Lachnospiraceae</v>
          </cell>
        </row>
        <row r="16679">
          <cell r="G16679" t="str">
            <v>ASV24223</v>
          </cell>
          <cell r="H16679" t="str">
            <v>g__unclassified_p__Firmicutes</v>
          </cell>
          <cell r="I16679" t="str">
            <v>s__unclassified_p__Firmicutes</v>
          </cell>
        </row>
        <row r="16680">
          <cell r="G16680" t="str">
            <v>ASV16533</v>
          </cell>
          <cell r="H16680" t="str">
            <v>g__Hydrogenoanaerobacterium</v>
          </cell>
          <cell r="I16680" t="str">
            <v>s__Selenomonadales_bacterium_Marseille-P2399</v>
          </cell>
        </row>
        <row r="16681">
          <cell r="G16681" t="str">
            <v>ASV22486</v>
          </cell>
          <cell r="H16681" t="str">
            <v>g__Megasphaera</v>
          </cell>
          <cell r="I16681" t="str">
            <v>s__unclassified_g__Megasphaera</v>
          </cell>
        </row>
        <row r="16682">
          <cell r="G16682" t="str">
            <v>ASV10704</v>
          </cell>
          <cell r="H16682" t="str">
            <v>g__unclassified_f__Clostridiaceae</v>
          </cell>
          <cell r="I16682" t="str">
            <v>s__unclassified_f__Clostridiaceae</v>
          </cell>
        </row>
        <row r="16683">
          <cell r="G16683" t="str">
            <v>ASV21772</v>
          </cell>
          <cell r="H16683" t="str">
            <v>g__norank_f__Saccharimonadaceae</v>
          </cell>
          <cell r="I16683" t="str">
            <v>s__unclassified_g__norank_f__Saccharimonadaceae</v>
          </cell>
        </row>
        <row r="16684">
          <cell r="G16684" t="str">
            <v>ASV3266</v>
          </cell>
          <cell r="H16684" t="str">
            <v>g__unclassified_f__Pasteurellaceae</v>
          </cell>
          <cell r="I16684" t="str">
            <v>s__unclassified_f__Pasteurellaceae</v>
          </cell>
        </row>
        <row r="16685">
          <cell r="G16685" t="str">
            <v>ASV11699</v>
          </cell>
          <cell r="H16685" t="str">
            <v>g__unclassified_k__norank_d__Bacteria</v>
          </cell>
          <cell r="I16685" t="str">
            <v>s__unclassified_k__norank_d__Bacteria</v>
          </cell>
        </row>
        <row r="16686">
          <cell r="G16686" t="str">
            <v>ASV7920</v>
          </cell>
          <cell r="H16686" t="str">
            <v>g__norank_f__Erysipelotrichaceae</v>
          </cell>
          <cell r="I16686" t="str">
            <v>s__uncultured_bacterium_g__norank_f__Erysipelotrichaceae</v>
          </cell>
        </row>
        <row r="16687">
          <cell r="G16687" t="str">
            <v>ASV11937</v>
          </cell>
          <cell r="H16687" t="str">
            <v>g__Treponema</v>
          </cell>
          <cell r="I16687" t="str">
            <v>s__uncultured_bacterium_g__Treponema</v>
          </cell>
        </row>
        <row r="16688">
          <cell r="G16688" t="str">
            <v>ASV21498</v>
          </cell>
          <cell r="H16688" t="str">
            <v>g__unclassified_f__Veillonellaceae</v>
          </cell>
          <cell r="I16688" t="str">
            <v>s__unclassified_f__Veillonellaceae</v>
          </cell>
        </row>
        <row r="16689">
          <cell r="G16689" t="str">
            <v>ASV7358</v>
          </cell>
          <cell r="H16689" t="str">
            <v>g__unclassified_f__Lachnospiraceae</v>
          </cell>
          <cell r="I16689" t="str">
            <v>s__unclassified_f__Lachnospiraceae</v>
          </cell>
        </row>
        <row r="16690">
          <cell r="G16690" t="str">
            <v>ASV10740</v>
          </cell>
          <cell r="H16690" t="str">
            <v>g__norank_f__Peptococcaceae</v>
          </cell>
          <cell r="I16690" t="str">
            <v>s__unclassified_g__norank_f__Peptococcaceae</v>
          </cell>
        </row>
        <row r="16691">
          <cell r="G16691" t="str">
            <v>ASV7958</v>
          </cell>
          <cell r="H16691" t="str">
            <v>g__Lactobacillus</v>
          </cell>
          <cell r="I16691" t="str">
            <v>s__unclassified_g__Lactobacillus</v>
          </cell>
        </row>
        <row r="16692">
          <cell r="G16692" t="str">
            <v>ASV9514</v>
          </cell>
          <cell r="H16692" t="str">
            <v>g__unclassified_c__Clostridia</v>
          </cell>
          <cell r="I16692" t="str">
            <v>s__unclassified_c__Clostridia</v>
          </cell>
        </row>
        <row r="16693">
          <cell r="G16693" t="str">
            <v>ASV22261</v>
          </cell>
          <cell r="H16693" t="str">
            <v>g__Lactobacillus</v>
          </cell>
          <cell r="I16693" t="str">
            <v>s__unclassified_g__Lactobacillus</v>
          </cell>
        </row>
        <row r="16694">
          <cell r="G16694" t="str">
            <v>ASV19619</v>
          </cell>
          <cell r="H16694" t="str">
            <v>g__norank_f__norank_o__RF39</v>
          </cell>
          <cell r="I16694" t="str">
            <v>s__uncultured_bacterium_g__norank_f__norank_o__RF39</v>
          </cell>
        </row>
        <row r="16695">
          <cell r="G16695" t="str">
            <v>ASV24247</v>
          </cell>
          <cell r="H16695" t="str">
            <v>g__unclassified_c__Clostridia</v>
          </cell>
          <cell r="I16695" t="str">
            <v>s__unclassified_c__Clostridia</v>
          </cell>
        </row>
        <row r="16696">
          <cell r="G16696" t="str">
            <v>ASV6143</v>
          </cell>
          <cell r="H16696" t="str">
            <v>g__unclassified_c__Clostridia</v>
          </cell>
          <cell r="I16696" t="str">
            <v>s__unclassified_c__Clostridia</v>
          </cell>
        </row>
        <row r="16697">
          <cell r="G16697" t="str">
            <v>ASV6817</v>
          </cell>
          <cell r="H16697" t="str">
            <v>g__unclassified_f__Lachnospiraceae</v>
          </cell>
          <cell r="I16697" t="str">
            <v>s__unclassified_f__Lachnospiraceae</v>
          </cell>
        </row>
        <row r="16698">
          <cell r="G16698" t="str">
            <v>ASV2232</v>
          </cell>
          <cell r="H16698" t="str">
            <v>g__unclassified_f__Lachnospiraceae</v>
          </cell>
          <cell r="I16698" t="str">
            <v>s__unclassified_f__Lachnospiraceae</v>
          </cell>
        </row>
        <row r="16699">
          <cell r="G16699" t="str">
            <v>ASV920</v>
          </cell>
          <cell r="H16699" t="str">
            <v>g__UCG-005</v>
          </cell>
          <cell r="I16699" t="str">
            <v>s__uncultured_bacterium_g__UCG-005</v>
          </cell>
        </row>
        <row r="16700">
          <cell r="G16700" t="str">
            <v>ASV6742</v>
          </cell>
          <cell r="H16700" t="str">
            <v>g__unclassified_p__Firmicutes</v>
          </cell>
          <cell r="I16700" t="str">
            <v>s__unclassified_p__Firmicutes</v>
          </cell>
        </row>
        <row r="16701">
          <cell r="G16701" t="str">
            <v>ASV19683</v>
          </cell>
          <cell r="H16701" t="str">
            <v>g__unclassified_c__Clostridia</v>
          </cell>
          <cell r="I16701" t="str">
            <v>s__unclassified_c__Clostridia</v>
          </cell>
        </row>
        <row r="16702">
          <cell r="G16702" t="str">
            <v>ASV11681</v>
          </cell>
          <cell r="H16702" t="str">
            <v>g__unclassified_k__norank_d__Bacteria</v>
          </cell>
          <cell r="I16702" t="str">
            <v>s__unclassified_k__norank_d__Bacteria</v>
          </cell>
        </row>
        <row r="16703">
          <cell r="G16703" t="str">
            <v>ASV7844</v>
          </cell>
          <cell r="H16703" t="str">
            <v>g__unclassified_c__Clostridia</v>
          </cell>
          <cell r="I16703" t="str">
            <v>s__unclassified_c__Clostridia</v>
          </cell>
        </row>
        <row r="16704">
          <cell r="G16704" t="str">
            <v>ASV23329</v>
          </cell>
          <cell r="H16704" t="str">
            <v>g__unclassified_f__Christensenellaceae</v>
          </cell>
          <cell r="I16704" t="str">
            <v>s__unclassified_f__Christensenellaceae</v>
          </cell>
        </row>
        <row r="16705">
          <cell r="G16705" t="str">
            <v>ASV22440</v>
          </cell>
          <cell r="H16705" t="str">
            <v>g__Quinella</v>
          </cell>
          <cell r="I16705" t="str">
            <v>s__uncultured_bacterium_g__Quinella</v>
          </cell>
        </row>
        <row r="16706">
          <cell r="G16706" t="str">
            <v>ASV11729</v>
          </cell>
          <cell r="H16706" t="str">
            <v>g__Ruminococcus</v>
          </cell>
          <cell r="I16706" t="str">
            <v>s__uncultured_bacterium_g__Ruminococcus</v>
          </cell>
        </row>
        <row r="16707">
          <cell r="G16707" t="str">
            <v>ASV11939</v>
          </cell>
          <cell r="H16707" t="str">
            <v>g__Eubacterium_oxidoreducens_group</v>
          </cell>
          <cell r="I16707" t="str">
            <v>s__uncultured_bacterium_g__Eubacterium_oxidoreducens_group</v>
          </cell>
        </row>
        <row r="16708">
          <cell r="G16708" t="str">
            <v>ASV15511</v>
          </cell>
          <cell r="H16708" t="str">
            <v>g__Streptococcus</v>
          </cell>
          <cell r="I16708" t="str">
            <v>s__unclassified_g__Streptococcus</v>
          </cell>
        </row>
        <row r="16709">
          <cell r="G16709" t="str">
            <v>ASV6010</v>
          </cell>
          <cell r="H16709" t="str">
            <v>g__norank_f__Erysipelotrichaceae</v>
          </cell>
          <cell r="I16709" t="str">
            <v>s__unclassified_g__norank_f__Erysipelotrichaceae</v>
          </cell>
        </row>
        <row r="16710">
          <cell r="G16710" t="str">
            <v>ASV6758</v>
          </cell>
          <cell r="H16710" t="str">
            <v>g__Enterococcus</v>
          </cell>
          <cell r="I16710" t="str">
            <v>s__unclassified_g__Enterococcus</v>
          </cell>
        </row>
        <row r="16711">
          <cell r="G16711" t="str">
            <v>ASV10813</v>
          </cell>
          <cell r="H16711" t="str">
            <v>g__unclassified_f__Lachnospiraceae</v>
          </cell>
          <cell r="I16711" t="str">
            <v>s__unclassified_f__Lachnospiraceae</v>
          </cell>
        </row>
        <row r="16712">
          <cell r="G16712" t="str">
            <v>ASV18171</v>
          </cell>
          <cell r="H16712" t="str">
            <v>g__Bacteroides</v>
          </cell>
          <cell r="I16712" t="str">
            <v>s__unclassified_g__Bacteroides</v>
          </cell>
        </row>
        <row r="16713">
          <cell r="G16713" t="str">
            <v>ASV24200</v>
          </cell>
          <cell r="H16713" t="str">
            <v>g__Enterococcus</v>
          </cell>
          <cell r="I16713" t="str">
            <v>s__unclassified_g__Enterococcus</v>
          </cell>
        </row>
        <row r="16714">
          <cell r="G16714" t="str">
            <v>ASV11857</v>
          </cell>
          <cell r="H16714" t="str">
            <v>g__norank_f__Muribaculaceae</v>
          </cell>
          <cell r="I16714" t="str">
            <v>s__uncultured_bacterium_g__norank_f__Muribaculaceae</v>
          </cell>
        </row>
        <row r="16715">
          <cell r="G16715" t="str">
            <v>ASV4135</v>
          </cell>
          <cell r="H16715" t="str">
            <v>g__unclassified_f__Lachnospiraceae</v>
          </cell>
          <cell r="I16715" t="str">
            <v>s__unclassified_f__Lachnospiraceae</v>
          </cell>
        </row>
        <row r="16716">
          <cell r="G16716" t="str">
            <v>ASV5978</v>
          </cell>
          <cell r="H16716" t="str">
            <v>g__unclassified_o__Oscillospirales</v>
          </cell>
          <cell r="I16716" t="str">
            <v>s__unclassified_o__Oscillospirales</v>
          </cell>
        </row>
        <row r="16717">
          <cell r="G16717" t="str">
            <v>ASV22302</v>
          </cell>
          <cell r="H16717" t="str">
            <v>g__unclassified_o__Oscillospirales</v>
          </cell>
          <cell r="I16717" t="str">
            <v>s__unclassified_o__Oscillospirales</v>
          </cell>
        </row>
        <row r="16718">
          <cell r="G16718" t="str">
            <v>ASV6806</v>
          </cell>
          <cell r="H16718" t="str">
            <v>g__Sharpea</v>
          </cell>
          <cell r="I16718" t="str">
            <v>s__unclassified_g__Sharpea</v>
          </cell>
        </row>
        <row r="16719">
          <cell r="G16719" t="str">
            <v>ASV779</v>
          </cell>
          <cell r="H16719" t="str">
            <v>g__unclassified_o__Bacteroidales</v>
          </cell>
          <cell r="I16719" t="str">
            <v>s__unclassified_o__Bacteroidales</v>
          </cell>
        </row>
        <row r="16720">
          <cell r="G16720" t="str">
            <v>ASV8532</v>
          </cell>
          <cell r="H16720" t="str">
            <v>g__unclassified_p__Firmicutes</v>
          </cell>
          <cell r="I16720" t="str">
            <v>s__unclassified_p__Firmicutes</v>
          </cell>
        </row>
        <row r="16721">
          <cell r="G16721" t="str">
            <v>ASV18177</v>
          </cell>
          <cell r="H16721" t="str">
            <v>g__Desulfovibrio</v>
          </cell>
          <cell r="I16721" t="str">
            <v>s__bacterium_g__Desulfovibrio</v>
          </cell>
        </row>
        <row r="16722">
          <cell r="G16722" t="str">
            <v>ASV11769</v>
          </cell>
          <cell r="H16722" t="str">
            <v>g__unclassified_k__norank_d__Bacteria</v>
          </cell>
          <cell r="I16722" t="str">
            <v>s__unclassified_k__norank_d__Bacteria</v>
          </cell>
        </row>
        <row r="16723">
          <cell r="G16723" t="str">
            <v>ASV23972</v>
          </cell>
          <cell r="H16723" t="str">
            <v>g__Allisonella</v>
          </cell>
          <cell r="I16723" t="str">
            <v>s__unclassified_g__Allisonella</v>
          </cell>
        </row>
        <row r="16724">
          <cell r="G16724" t="str">
            <v>ASV7819</v>
          </cell>
          <cell r="H16724" t="str">
            <v>g__unclassified_c__Clostridia</v>
          </cell>
          <cell r="I16724" t="str">
            <v>s__unclassified_c__Clostridia</v>
          </cell>
        </row>
        <row r="16725">
          <cell r="G16725" t="str">
            <v>ASV18890</v>
          </cell>
          <cell r="H16725" t="str">
            <v>g__unclassified_c__Bacilli</v>
          </cell>
          <cell r="I16725" t="str">
            <v>s__unclassified_c__Bacilli</v>
          </cell>
        </row>
        <row r="16726">
          <cell r="G16726" t="str">
            <v>ASV6793</v>
          </cell>
          <cell r="H16726" t="str">
            <v>g__Clostridium_sensu_stricto_1</v>
          </cell>
          <cell r="I16726" t="str">
            <v>s__unclassified_g__Clostridium_sensu_stricto_1</v>
          </cell>
        </row>
        <row r="16727">
          <cell r="G16727" t="str">
            <v>ASV14555</v>
          </cell>
          <cell r="H16727" t="str">
            <v>g__Lactobacillus</v>
          </cell>
          <cell r="I16727" t="str">
            <v>s__unclassified_g__Lactobacillus</v>
          </cell>
        </row>
        <row r="16728">
          <cell r="G16728" t="str">
            <v>ASV8660</v>
          </cell>
          <cell r="H16728" t="str">
            <v>g__Pedobacter</v>
          </cell>
          <cell r="I16728" t="str">
            <v>s__unclassified_g__Pedobacter</v>
          </cell>
        </row>
        <row r="16729">
          <cell r="G16729" t="str">
            <v>ASV17517</v>
          </cell>
          <cell r="H16729" t="str">
            <v>g__Finegoldia</v>
          </cell>
          <cell r="I16729" t="str">
            <v>s__uncultured_bacterium_g__Finegoldia</v>
          </cell>
        </row>
        <row r="16730">
          <cell r="G16730" t="str">
            <v>ASV24257</v>
          </cell>
          <cell r="H16730" t="str">
            <v>g__Streptococcus</v>
          </cell>
          <cell r="I16730" t="str">
            <v>s__unclassified_g__Streptococcus</v>
          </cell>
        </row>
        <row r="16731">
          <cell r="G16731" t="str">
            <v>ASV790</v>
          </cell>
          <cell r="H16731" t="str">
            <v>g__unclassified_k__norank_d__Bacteria</v>
          </cell>
          <cell r="I16731" t="str">
            <v>s__unclassified_k__norank_d__Bacteria</v>
          </cell>
        </row>
        <row r="16732">
          <cell r="G16732" t="str">
            <v>ASV6732</v>
          </cell>
          <cell r="H16732" t="str">
            <v>g__unclassified_c__Clostridia</v>
          </cell>
          <cell r="I16732" t="str">
            <v>s__unclassified_c__Clostridia</v>
          </cell>
        </row>
        <row r="16733">
          <cell r="G16733" t="str">
            <v>ASV23307</v>
          </cell>
          <cell r="H16733" t="str">
            <v>g__unclassified_f__Lachnospiraceae</v>
          </cell>
          <cell r="I16733" t="str">
            <v>s__unclassified_f__Lachnospiraceae</v>
          </cell>
        </row>
        <row r="16734">
          <cell r="G16734" t="str">
            <v>ASV9587</v>
          </cell>
          <cell r="H16734" t="str">
            <v>g__norank_f__Eubacterium_coprostanoligenes_group</v>
          </cell>
          <cell r="I16734" t="str">
            <v>s__Eubacterium_coprostanoligenes</v>
          </cell>
        </row>
        <row r="16735">
          <cell r="G16735" t="str">
            <v>ASV4164</v>
          </cell>
          <cell r="H16735" t="str">
            <v>g__Christensenellaceae_R-7_group</v>
          </cell>
          <cell r="I16735" t="str">
            <v>s__unclassified_g__Christensenellaceae_R-7_group</v>
          </cell>
        </row>
        <row r="16736">
          <cell r="G16736" t="str">
            <v>ASV18239</v>
          </cell>
          <cell r="H16736" t="str">
            <v>g__unclassified_c__Clostridia</v>
          </cell>
          <cell r="I16736" t="str">
            <v>s__unclassified_c__Clostridia</v>
          </cell>
        </row>
        <row r="16737">
          <cell r="G16737" t="str">
            <v>ASV19796</v>
          </cell>
          <cell r="H16737" t="str">
            <v>g__Eubacterium_oxidoreducens_group</v>
          </cell>
          <cell r="I16737" t="str">
            <v>s__uncultured_bacterium_g__Eubacterium_oxidoreducens_group</v>
          </cell>
        </row>
        <row r="16738">
          <cell r="G16738" t="str">
            <v>ASV17374</v>
          </cell>
          <cell r="H16738" t="str">
            <v>g__Veillonella</v>
          </cell>
          <cell r="I16738" t="str">
            <v>s__bacterium_RA2114</v>
          </cell>
        </row>
        <row r="16739">
          <cell r="G16739" t="str">
            <v>ASV15539</v>
          </cell>
          <cell r="H16739" t="str">
            <v>g__Eubacterium_oxidoreducens_group</v>
          </cell>
          <cell r="I16739" t="str">
            <v>s__uncultured_bacterium_g__Eubacterium_oxidoreducens_group</v>
          </cell>
        </row>
        <row r="16740">
          <cell r="G16740" t="str">
            <v>ASV23317</v>
          </cell>
          <cell r="H16740" t="str">
            <v>g__unclassified_k__norank_d__Bacteria</v>
          </cell>
          <cell r="I16740" t="str">
            <v>s__unclassified_k__norank_d__Bacteria</v>
          </cell>
        </row>
        <row r="16741">
          <cell r="G16741" t="str">
            <v>ASV22425</v>
          </cell>
          <cell r="H16741" t="str">
            <v>g__unclassified_c__Clostridia</v>
          </cell>
          <cell r="I16741" t="str">
            <v>s__unclassified_c__Clostridia</v>
          </cell>
        </row>
        <row r="16742">
          <cell r="G16742" t="str">
            <v>ASV4081</v>
          </cell>
          <cell r="H16742" t="str">
            <v>g__unclassified_c__Clostridia</v>
          </cell>
          <cell r="I16742" t="str">
            <v>s__unclassified_c__Clostridia</v>
          </cell>
        </row>
        <row r="16743">
          <cell r="G16743" t="str">
            <v>ASV7080</v>
          </cell>
          <cell r="H16743" t="str">
            <v>g__Lactobacillus</v>
          </cell>
          <cell r="I16743" t="str">
            <v>s__unclassified_g__Lactobacillus</v>
          </cell>
        </row>
        <row r="16744">
          <cell r="G16744" t="str">
            <v>ASV15518</v>
          </cell>
          <cell r="H16744" t="str">
            <v>g__Clostridium_sensu_stricto_1</v>
          </cell>
          <cell r="I16744" t="str">
            <v>s__unclassified_g__Clostridium_sensu_stricto_1</v>
          </cell>
        </row>
        <row r="16745">
          <cell r="G16745" t="str">
            <v>ASV11905</v>
          </cell>
          <cell r="H16745" t="str">
            <v>g__norank_f__Muribaculaceae</v>
          </cell>
          <cell r="I16745" t="str">
            <v>s__uncultured_bacterium_g__norank_f__Muribaculaceae</v>
          </cell>
        </row>
        <row r="16746">
          <cell r="G16746" t="str">
            <v>ASV1008</v>
          </cell>
          <cell r="H16746" t="str">
            <v>g__norank_f__Ruminococcaceae</v>
          </cell>
          <cell r="I16746" t="str">
            <v>s__unclassified_g__norank_f__Ruminococcaceae</v>
          </cell>
        </row>
        <row r="16747">
          <cell r="G16747" t="str">
            <v>ASV15502</v>
          </cell>
          <cell r="H16747" t="str">
            <v>g__norank_f__Eubacterium_coprostanoligenes_group</v>
          </cell>
          <cell r="I16747" t="str">
            <v>s__uncultured_bacterium_g__norank_f__Eubacterium_coprostanoligenes_group</v>
          </cell>
        </row>
        <row r="16748">
          <cell r="G16748" t="str">
            <v>ASV23978</v>
          </cell>
          <cell r="H16748" t="str">
            <v>g__unclassified_k__norank_d__Bacteria</v>
          </cell>
          <cell r="I16748" t="str">
            <v>s__unclassified_k__norank_d__Bacteria</v>
          </cell>
        </row>
        <row r="16749">
          <cell r="G16749" t="str">
            <v>ASV783</v>
          </cell>
          <cell r="H16749" t="str">
            <v>g__unclassified_p__Firmicutes</v>
          </cell>
          <cell r="I16749" t="str">
            <v>s__unclassified_p__Firmicutes</v>
          </cell>
        </row>
        <row r="16750">
          <cell r="G16750" t="str">
            <v>ASV23306</v>
          </cell>
          <cell r="H16750" t="str">
            <v>g__norank_f__Ruminococcaceae</v>
          </cell>
          <cell r="I16750" t="str">
            <v>s__uncultured_bacterium_g__norank_f__Ruminococcaceae</v>
          </cell>
        </row>
        <row r="16751">
          <cell r="G16751" t="str">
            <v>ASV10715</v>
          </cell>
          <cell r="H16751" t="str">
            <v>g__norank_f__Ruminococcaceae</v>
          </cell>
          <cell r="I16751" t="str">
            <v>s__unclassified_g__norank_f__Ruminococcaceae</v>
          </cell>
        </row>
        <row r="16752">
          <cell r="G16752" t="str">
            <v>ASV15484</v>
          </cell>
          <cell r="H16752" t="str">
            <v>g__unclassified_f__Clostridiaceae</v>
          </cell>
          <cell r="I16752" t="str">
            <v>s__unclassified_f__Clostridiaceae</v>
          </cell>
        </row>
        <row r="16753">
          <cell r="G16753" t="str">
            <v>ASV21261</v>
          </cell>
          <cell r="H16753" t="str">
            <v>g__Slackia</v>
          </cell>
          <cell r="I16753" t="str">
            <v>s__Slackia_piriformis</v>
          </cell>
        </row>
        <row r="16754">
          <cell r="G16754" t="str">
            <v>ASV15431</v>
          </cell>
          <cell r="H16754" t="str">
            <v>g__unclassified_f__Lachnospiraceae</v>
          </cell>
          <cell r="I16754" t="str">
            <v>s__unclassified_f__Lachnospiraceae</v>
          </cell>
        </row>
        <row r="16755">
          <cell r="G16755" t="str">
            <v>ASV16924</v>
          </cell>
          <cell r="H16755" t="str">
            <v>g__Alloprevotella</v>
          </cell>
          <cell r="I16755" t="str">
            <v>s__uncultured_bacterium_g__Alloprevotella</v>
          </cell>
        </row>
        <row r="16756">
          <cell r="G16756" t="str">
            <v>ASV3219</v>
          </cell>
          <cell r="H16756" t="str">
            <v>g__unclassified_c__Clostridia</v>
          </cell>
          <cell r="I16756" t="str">
            <v>s__unclassified_c__Clostridia</v>
          </cell>
        </row>
        <row r="16757">
          <cell r="G16757" t="str">
            <v>ASV4951</v>
          </cell>
          <cell r="H16757" t="str">
            <v>g__Treponema</v>
          </cell>
          <cell r="I16757" t="str">
            <v>s__uncultured_bacterium_g__Treponema</v>
          </cell>
        </row>
        <row r="16758">
          <cell r="G16758" t="str">
            <v>ASV20267</v>
          </cell>
          <cell r="H16758" t="str">
            <v>g__Olsenella</v>
          </cell>
          <cell r="I16758" t="str">
            <v>s__Olsenella_congonensis</v>
          </cell>
        </row>
        <row r="16759">
          <cell r="G16759" t="str">
            <v>ASV13809</v>
          </cell>
          <cell r="H16759" t="str">
            <v>g__Anaerorhabdus_furcosa_group</v>
          </cell>
          <cell r="I16759" t="str">
            <v>s__uncultured_bacterium_g__Anaerorhabdus_furcosa_group</v>
          </cell>
        </row>
        <row r="16760">
          <cell r="G16760" t="str">
            <v>ASV6770</v>
          </cell>
          <cell r="H16760" t="str">
            <v>g__unclassified_o__Oscillospirales</v>
          </cell>
          <cell r="I16760" t="str">
            <v>s__unclassified_o__Oscillospirales</v>
          </cell>
        </row>
        <row r="16761">
          <cell r="G16761" t="str">
            <v>ASV964</v>
          </cell>
          <cell r="H16761" t="str">
            <v>g__unclassified_o__Bacteroidales</v>
          </cell>
          <cell r="I16761" t="str">
            <v>s__unclassified_o__Bacteroidales</v>
          </cell>
        </row>
        <row r="16762">
          <cell r="G16762" t="str">
            <v>ASV5110</v>
          </cell>
          <cell r="H16762" t="str">
            <v>g__unclassified_p__Firmicutes</v>
          </cell>
          <cell r="I16762" t="str">
            <v>s__unclassified_p__Firmicutes</v>
          </cell>
        </row>
        <row r="16763">
          <cell r="G16763" t="str">
            <v>ASV12831</v>
          </cell>
          <cell r="H16763" t="str">
            <v>g__Enterococcus</v>
          </cell>
          <cell r="I16763" t="str">
            <v>s__unclassified_g__Enterococcus</v>
          </cell>
        </row>
        <row r="16764">
          <cell r="G16764" t="str">
            <v>ASV11705</v>
          </cell>
          <cell r="H16764" t="str">
            <v>g__unclassified_k__norank_d__Bacteria</v>
          </cell>
          <cell r="I16764" t="str">
            <v>s__unclassified_k__norank_d__Bacteria</v>
          </cell>
        </row>
        <row r="16765">
          <cell r="G16765" t="str">
            <v>ASV19798</v>
          </cell>
          <cell r="H16765" t="str">
            <v>g__Veillonella</v>
          </cell>
          <cell r="I16765" t="str">
            <v>s__unclassified_g__Veillonella</v>
          </cell>
        </row>
        <row r="16766">
          <cell r="G16766" t="str">
            <v>ASV922</v>
          </cell>
          <cell r="H16766" t="str">
            <v>g__unclassified_c__Clostridia</v>
          </cell>
          <cell r="I16766" t="str">
            <v>s__unclassified_c__Clostridia</v>
          </cell>
        </row>
        <row r="16767">
          <cell r="G16767" t="str">
            <v>ASV7371</v>
          </cell>
          <cell r="H16767" t="str">
            <v>g__Mitsuokella</v>
          </cell>
          <cell r="I16767" t="str">
            <v>s__unclassified_g__Mitsuokella</v>
          </cell>
        </row>
        <row r="16768">
          <cell r="G16768" t="str">
            <v>ASV11887</v>
          </cell>
          <cell r="H16768" t="str">
            <v>g__unclassified_o__Bacteroidales</v>
          </cell>
          <cell r="I16768" t="str">
            <v>s__unclassified_o__Bacteroidales</v>
          </cell>
        </row>
        <row r="16769">
          <cell r="G16769" t="str">
            <v>ASV22971</v>
          </cell>
          <cell r="H16769" t="str">
            <v>g__unclassified_f__Lachnospiraceae</v>
          </cell>
          <cell r="I16769" t="str">
            <v>s__unclassified_f__Lachnospiraceae</v>
          </cell>
        </row>
        <row r="16770">
          <cell r="G16770" t="str">
            <v>ASV18628</v>
          </cell>
          <cell r="H16770" t="str">
            <v>g__Bacteroides</v>
          </cell>
          <cell r="I16770" t="str">
            <v>s__unclassified_g__Bacteroides</v>
          </cell>
        </row>
        <row r="16771">
          <cell r="G16771" t="str">
            <v>ASV19633</v>
          </cell>
          <cell r="H16771" t="str">
            <v>g__Phascolarctobacterium</v>
          </cell>
          <cell r="I16771" t="str">
            <v>s__unclassified_g__Phascolarctobacterium</v>
          </cell>
        </row>
        <row r="16772">
          <cell r="G16772" t="str">
            <v>ASV11983</v>
          </cell>
          <cell r="H16772" t="str">
            <v>g__unclassified_f__Lachnospiraceae</v>
          </cell>
          <cell r="I16772" t="str">
            <v>s__unclassified_f__Lachnospiraceae</v>
          </cell>
        </row>
        <row r="16773">
          <cell r="G16773" t="str">
            <v>ASV1018</v>
          </cell>
          <cell r="H16773" t="str">
            <v>g__Anaerorhabdus_furcosa_group</v>
          </cell>
          <cell r="I16773" t="str">
            <v>s__uncultured_bacterium_g__Anaerorhabdus_furcosa_group</v>
          </cell>
        </row>
        <row r="16774">
          <cell r="G16774" t="str">
            <v>ASV22343</v>
          </cell>
          <cell r="H16774" t="str">
            <v>g__unclassified_f__Lachnospiraceae</v>
          </cell>
          <cell r="I16774" t="str">
            <v>s__unclassified_f__Lachnospiraceae</v>
          </cell>
        </row>
        <row r="16775">
          <cell r="G16775" t="str">
            <v>ASV6812</v>
          </cell>
          <cell r="H16775" t="str">
            <v>g__unclassified_c__Clostridia</v>
          </cell>
          <cell r="I16775" t="str">
            <v>s__unclassified_c__Clostridia</v>
          </cell>
        </row>
        <row r="16776">
          <cell r="G16776" t="str">
            <v>ASV7962</v>
          </cell>
          <cell r="H16776" t="str">
            <v>g__unclassified_f__Lachnospiraceae</v>
          </cell>
          <cell r="I16776" t="str">
            <v>s__unclassified_f__Lachnospiraceae</v>
          </cell>
        </row>
        <row r="16777">
          <cell r="G16777" t="str">
            <v>ASV7876</v>
          </cell>
          <cell r="H16777" t="str">
            <v>g__Lactobacillus</v>
          </cell>
          <cell r="I16777" t="str">
            <v>s__unclassified_g__Lactobacillus</v>
          </cell>
        </row>
        <row r="16778">
          <cell r="G16778" t="str">
            <v>ASV2292</v>
          </cell>
          <cell r="H16778" t="str">
            <v>g__unclassified_c__Clostridia</v>
          </cell>
          <cell r="I16778" t="str">
            <v>s__unclassified_c__Clostridia</v>
          </cell>
        </row>
        <row r="16779">
          <cell r="G16779" t="str">
            <v>ASV10753</v>
          </cell>
          <cell r="H16779" t="str">
            <v>g__unclassified_c__Bacilli</v>
          </cell>
          <cell r="I16779" t="str">
            <v>s__unclassified_c__Bacilli</v>
          </cell>
        </row>
        <row r="16780">
          <cell r="G16780" t="str">
            <v>ASV19665</v>
          </cell>
          <cell r="H16780" t="str">
            <v>g__Christensenellaceae_R-7_group</v>
          </cell>
          <cell r="I16780" t="str">
            <v>s__unclassified_g__Christensenellaceae_R-7_group</v>
          </cell>
        </row>
        <row r="16781">
          <cell r="G16781" t="str">
            <v>ASV15816</v>
          </cell>
          <cell r="H16781" t="str">
            <v>g__Escherichia-Shigella</v>
          </cell>
          <cell r="I16781" t="str">
            <v>s__unclassified_g__Escherichia-Shigella</v>
          </cell>
        </row>
        <row r="16782">
          <cell r="G16782" t="str">
            <v>ASV3496</v>
          </cell>
          <cell r="H16782" t="str">
            <v>g__Megasphaera</v>
          </cell>
          <cell r="I16782" t="str">
            <v>s__unclassified_g__Megasphaera</v>
          </cell>
        </row>
        <row r="16783">
          <cell r="G16783" t="str">
            <v>ASV16445</v>
          </cell>
          <cell r="H16783" t="str">
            <v>g__Rikenellaceae_RC9_gut_group</v>
          </cell>
          <cell r="I16783" t="str">
            <v>s__uncultured_Rikenella_sp._g__Rikenellaceae_RC9_gut_group</v>
          </cell>
        </row>
        <row r="16784">
          <cell r="G16784" t="str">
            <v>ASV20953</v>
          </cell>
          <cell r="H16784" t="str">
            <v>g__unclassified_c__Clostridia</v>
          </cell>
          <cell r="I16784" t="str">
            <v>s__unclassified_c__Clostridia</v>
          </cell>
        </row>
        <row r="16785">
          <cell r="G16785" t="str">
            <v>ASV8841</v>
          </cell>
          <cell r="H16785" t="str">
            <v>g__unclassified_f__Lachnospiraceae</v>
          </cell>
          <cell r="I16785" t="str">
            <v>s__unclassified_f__Lachnospiraceae</v>
          </cell>
        </row>
        <row r="16786">
          <cell r="G16786" t="str">
            <v>ASV18626</v>
          </cell>
          <cell r="H16786" t="str">
            <v>g__Escherichia-Shigella</v>
          </cell>
          <cell r="I16786" t="str">
            <v>s__unclassified_g__Escherichia-Shigella</v>
          </cell>
        </row>
        <row r="16787">
          <cell r="G16787" t="str">
            <v>ASV20907</v>
          </cell>
          <cell r="H16787" t="str">
            <v>g__Eubacterium_oxidoreducens_group</v>
          </cell>
          <cell r="I16787" t="str">
            <v>s__uncultured_bacterium_g__Eubacterium_oxidoreducens_group</v>
          </cell>
        </row>
        <row r="16788">
          <cell r="G16788" t="str">
            <v>ASV14441</v>
          </cell>
          <cell r="H16788" t="str">
            <v>g__unclassified_k__norank_d__Bacteria</v>
          </cell>
          <cell r="I16788" t="str">
            <v>s__unclassified_k__norank_d__Bacteria</v>
          </cell>
        </row>
        <row r="16789">
          <cell r="G16789" t="str">
            <v>ASV4983</v>
          </cell>
          <cell r="H16789" t="str">
            <v>g__Enterococcus</v>
          </cell>
          <cell r="I16789" t="str">
            <v>s__unclassified_g__Enterococcus</v>
          </cell>
        </row>
        <row r="16790">
          <cell r="G16790" t="str">
            <v>ASV20944</v>
          </cell>
          <cell r="H16790" t="str">
            <v>g__unclassified_o__Oscillospirales</v>
          </cell>
          <cell r="I16790" t="str">
            <v>s__unclassified_o__Oscillospirales</v>
          </cell>
        </row>
        <row r="16791">
          <cell r="G16791" t="str">
            <v>ASV14397</v>
          </cell>
          <cell r="H16791" t="str">
            <v>g__unclassified_f__Ruminococcaceae</v>
          </cell>
          <cell r="I16791" t="str">
            <v>s__unclassified_f__Ruminococcaceae</v>
          </cell>
        </row>
        <row r="16792">
          <cell r="G16792" t="str">
            <v>ASV15836</v>
          </cell>
          <cell r="H16792" t="str">
            <v>g__Megasphaera</v>
          </cell>
          <cell r="I16792" t="str">
            <v>s__unclassified_g__Megasphaera</v>
          </cell>
        </row>
        <row r="16793">
          <cell r="G16793" t="str">
            <v>ASV18191</v>
          </cell>
          <cell r="H16793" t="str">
            <v>g__unclassified_c__Clostridia</v>
          </cell>
          <cell r="I16793" t="str">
            <v>s__unclassified_c__Clostridia</v>
          </cell>
        </row>
        <row r="16794">
          <cell r="G16794" t="str">
            <v>ASV18039</v>
          </cell>
          <cell r="H16794" t="str">
            <v>g__unclassified_c__Clostridia</v>
          </cell>
          <cell r="I16794" t="str">
            <v>s__unclassified_c__Clostridia</v>
          </cell>
        </row>
        <row r="16795">
          <cell r="G16795" t="str">
            <v>ASV4916</v>
          </cell>
          <cell r="H16795" t="str">
            <v>g__unclassified_k__norank_d__Bacteria</v>
          </cell>
          <cell r="I16795" t="str">
            <v>s__unclassified_k__norank_d__Bacteria</v>
          </cell>
        </row>
        <row r="16796">
          <cell r="G16796" t="str">
            <v>ASV20909</v>
          </cell>
          <cell r="H16796" t="str">
            <v>g__Eubacterium_nodatum_group</v>
          </cell>
          <cell r="I16796" t="str">
            <v>s__Eubacterium_sp._68-3-10</v>
          </cell>
        </row>
        <row r="16797">
          <cell r="G16797" t="str">
            <v>ASV9503</v>
          </cell>
          <cell r="H16797" t="str">
            <v>g__unclassified_c__Clostridia</v>
          </cell>
          <cell r="I16797" t="str">
            <v>s__unclassified_c__Clostridia</v>
          </cell>
        </row>
        <row r="16798">
          <cell r="G16798" t="str">
            <v>ASV2265</v>
          </cell>
          <cell r="H16798" t="str">
            <v>g__norank_f__Peptostreptococcaceae</v>
          </cell>
          <cell r="I16798" t="str">
            <v>s__uncultured_bacterium_g__norank_f__Peptostreptococcaceae</v>
          </cell>
        </row>
        <row r="16799">
          <cell r="G16799" t="str">
            <v>ASV7921</v>
          </cell>
          <cell r="H16799" t="str">
            <v>g__unclassified_p__Firmicutes</v>
          </cell>
          <cell r="I16799" t="str">
            <v>s__unclassified_p__Firmicutes</v>
          </cell>
        </row>
        <row r="16800">
          <cell r="G16800" t="str">
            <v>ASV20268</v>
          </cell>
          <cell r="H16800" t="str">
            <v>g__Parabacteroides</v>
          </cell>
          <cell r="I16800" t="str">
            <v>s__unclassified_g__Parabacteroides</v>
          </cell>
        </row>
        <row r="16801">
          <cell r="G16801" t="str">
            <v>ASV1005</v>
          </cell>
          <cell r="H16801" t="str">
            <v>g__Lactobacillus</v>
          </cell>
          <cell r="I16801" t="str">
            <v>s__unclassified_g__Lactobacillus</v>
          </cell>
        </row>
        <row r="16802">
          <cell r="G16802" t="str">
            <v>ASV9038</v>
          </cell>
          <cell r="H16802" t="str">
            <v>g__Lactobacillus</v>
          </cell>
          <cell r="I16802" t="str">
            <v>s__unclassified_g__Lactobacillus</v>
          </cell>
        </row>
        <row r="16803">
          <cell r="G16803" t="str">
            <v>ASV16511</v>
          </cell>
          <cell r="H16803" t="str">
            <v>g__unclassified_c__Clostridia</v>
          </cell>
          <cell r="I16803" t="str">
            <v>s__unclassified_c__Clostridia</v>
          </cell>
        </row>
        <row r="16804">
          <cell r="G16804" t="str">
            <v>ASV22476</v>
          </cell>
          <cell r="H16804" t="str">
            <v>g__unclassified_c__Clostridia</v>
          </cell>
          <cell r="I16804" t="str">
            <v>s__unclassified_c__Clostridia</v>
          </cell>
        </row>
        <row r="16805">
          <cell r="G16805" t="str">
            <v>ASV18161</v>
          </cell>
          <cell r="H16805" t="str">
            <v>g__Ruminococcus</v>
          </cell>
          <cell r="I16805" t="str">
            <v>s__unclassified_g__Ruminococcus</v>
          </cell>
        </row>
        <row r="16806">
          <cell r="G16806" t="str">
            <v>ASV23486</v>
          </cell>
          <cell r="H16806" t="str">
            <v>g__Christensenellaceae_R-7_group</v>
          </cell>
          <cell r="I16806" t="str">
            <v>s__bacterium_YE57</v>
          </cell>
        </row>
        <row r="16807">
          <cell r="G16807" t="str">
            <v>ASV19607</v>
          </cell>
          <cell r="H16807" t="str">
            <v>g__unclassified_c__Clostridia</v>
          </cell>
          <cell r="I16807" t="str">
            <v>s__unclassified_c__Clostridia</v>
          </cell>
        </row>
        <row r="16808">
          <cell r="G16808" t="str">
            <v>ASV23406</v>
          </cell>
          <cell r="H16808" t="str">
            <v>g__unclassified_o__Oscillospirales</v>
          </cell>
          <cell r="I16808" t="str">
            <v>s__unclassified_o__Oscillospirales</v>
          </cell>
        </row>
        <row r="16809">
          <cell r="G16809" t="str">
            <v>ASV12848</v>
          </cell>
          <cell r="H16809" t="str">
            <v>g__Prevotella</v>
          </cell>
          <cell r="I16809" t="str">
            <v>s__unclassified_g__Prevotella</v>
          </cell>
        </row>
        <row r="16810">
          <cell r="G16810" t="str">
            <v>ASV2459</v>
          </cell>
          <cell r="H16810" t="str">
            <v>g__Escherichia-Shigella</v>
          </cell>
          <cell r="I16810" t="str">
            <v>s__unclassified_g__Escherichia-Shigella</v>
          </cell>
        </row>
        <row r="16811">
          <cell r="G16811" t="str">
            <v>ASV12209</v>
          </cell>
          <cell r="H16811" t="str">
            <v>g__unclassified_k__norank_d__Bacteria</v>
          </cell>
          <cell r="I16811" t="str">
            <v>s__unclassified_k__norank_d__Bacteria</v>
          </cell>
        </row>
        <row r="16812">
          <cell r="G16812" t="str">
            <v>ASV12405</v>
          </cell>
          <cell r="H16812" t="str">
            <v>g__norank_f__Muribaculaceae</v>
          </cell>
          <cell r="I16812" t="str">
            <v>s__uncultured_bacterium_g__norank_f__Muribaculaceae</v>
          </cell>
        </row>
        <row r="16813">
          <cell r="G16813" t="str">
            <v>ASV2611</v>
          </cell>
          <cell r="H16813" t="str">
            <v>g__unclassified_k__norank_d__Bacteria</v>
          </cell>
          <cell r="I16813" t="str">
            <v>s__unclassified_k__norank_d__Bacteria</v>
          </cell>
        </row>
        <row r="16814">
          <cell r="G16814" t="str">
            <v>ASV21050</v>
          </cell>
          <cell r="H16814" t="str">
            <v>g__norank_f__Oscillospiraceae</v>
          </cell>
          <cell r="I16814" t="str">
            <v>s__uncultured_bacterium_g__norank_f__Oscillospiraceae</v>
          </cell>
        </row>
        <row r="16815">
          <cell r="G16815" t="str">
            <v>ASV4259</v>
          </cell>
          <cell r="H16815" t="str">
            <v>g__unclassified_c__Clostridia</v>
          </cell>
          <cell r="I16815" t="str">
            <v>s__unclassified_c__Clostridia</v>
          </cell>
        </row>
        <row r="16816">
          <cell r="G16816" t="str">
            <v>ASV21006</v>
          </cell>
          <cell r="H16816" t="str">
            <v>g__norank_f__UCG-011</v>
          </cell>
          <cell r="I16816" t="str">
            <v>s__uncultured_bacterium_g__norank_f__UCG-011</v>
          </cell>
        </row>
        <row r="16817">
          <cell r="G16817" t="str">
            <v>ASV6394</v>
          </cell>
          <cell r="H16817" t="str">
            <v>g__unclassified_f__Ruminococcaceae</v>
          </cell>
          <cell r="I16817" t="str">
            <v>s__unclassified_f__Ruminococcaceae</v>
          </cell>
        </row>
        <row r="16818">
          <cell r="G16818" t="str">
            <v>ASV4261</v>
          </cell>
          <cell r="H16818" t="str">
            <v>g__unclassified_c__Clostridia</v>
          </cell>
          <cell r="I16818" t="str">
            <v>s__unclassified_c__Clostridia</v>
          </cell>
        </row>
        <row r="16819">
          <cell r="G16819" t="str">
            <v>ASV22775</v>
          </cell>
          <cell r="H16819" t="str">
            <v>g__unclassified_f__Lachnospiraceae</v>
          </cell>
          <cell r="I16819" t="str">
            <v>s__unclassified_f__Lachnospiraceae</v>
          </cell>
        </row>
        <row r="16820">
          <cell r="G16820" t="str">
            <v>ASV8197</v>
          </cell>
          <cell r="H16820" t="str">
            <v>g__unclassified_f__Clostridiaceae</v>
          </cell>
          <cell r="I16820" t="str">
            <v>s__unclassified_f__Clostridiaceae</v>
          </cell>
        </row>
        <row r="16821">
          <cell r="G16821" t="str">
            <v>ASV8304</v>
          </cell>
          <cell r="H16821" t="str">
            <v>g__Lactococcus</v>
          </cell>
          <cell r="I16821" t="str">
            <v>s__unclassified_g__Lactococcus</v>
          </cell>
        </row>
        <row r="16822">
          <cell r="G16822" t="str">
            <v>ASV20196</v>
          </cell>
          <cell r="H16822" t="str">
            <v>g__norank_f__Eubacterium_coprostanoligenes_group</v>
          </cell>
          <cell r="I16822" t="str">
            <v>s__uncultured_bacterium_g__norank_f__Eubacterium_coprostanoligenes_group</v>
          </cell>
        </row>
        <row r="16823">
          <cell r="G16823" t="str">
            <v>ASV19943</v>
          </cell>
          <cell r="H16823" t="str">
            <v>g__Prevotella</v>
          </cell>
          <cell r="I16823" t="str">
            <v>s__uncultured_bacterium_g__Prevotella</v>
          </cell>
        </row>
        <row r="16824">
          <cell r="G16824" t="str">
            <v>ASV1167</v>
          </cell>
          <cell r="H16824" t="str">
            <v>g__unclassified_c__Clostridia</v>
          </cell>
          <cell r="I16824" t="str">
            <v>s__unclassified_c__Clostridia</v>
          </cell>
        </row>
        <row r="16825">
          <cell r="G16825" t="str">
            <v>ASV13014</v>
          </cell>
          <cell r="H16825" t="str">
            <v>g__Lactobacillus</v>
          </cell>
          <cell r="I16825" t="str">
            <v>s__unclassified_g__Lactobacillus</v>
          </cell>
        </row>
        <row r="16826">
          <cell r="G16826" t="str">
            <v>ASV12179</v>
          </cell>
          <cell r="H16826" t="str">
            <v>g__unclassified_p__Firmicutes</v>
          </cell>
          <cell r="I16826" t="str">
            <v>s__unclassified_p__Firmicutes</v>
          </cell>
        </row>
        <row r="16827">
          <cell r="G16827" t="str">
            <v>ASV2478</v>
          </cell>
          <cell r="H16827" t="str">
            <v>g__Escherichia-Shigella</v>
          </cell>
          <cell r="I16827" t="str">
            <v>s__unclassified_g__Escherichia-Shigella</v>
          </cell>
        </row>
        <row r="16828">
          <cell r="G16828" t="str">
            <v>ASV4372</v>
          </cell>
          <cell r="H16828" t="str">
            <v>g__unclassified_f__Oscillospiraceae</v>
          </cell>
          <cell r="I16828" t="str">
            <v>s__unclassified_f__Oscillospiraceae</v>
          </cell>
        </row>
        <row r="16829">
          <cell r="G16829" t="str">
            <v>ASV13028</v>
          </cell>
          <cell r="H16829" t="str">
            <v>g__Lactobacillus</v>
          </cell>
          <cell r="I16829" t="str">
            <v>s__unclassified_g__Lactobacillus</v>
          </cell>
        </row>
        <row r="16830">
          <cell r="G16830" t="str">
            <v>ASV5446</v>
          </cell>
          <cell r="H16830" t="str">
            <v>g__Candidatus_Soleaferrea</v>
          </cell>
          <cell r="I16830" t="str">
            <v>s__uncultured_bacterium_g__Candidatus_Soleaferrea</v>
          </cell>
        </row>
        <row r="16831">
          <cell r="G16831" t="str">
            <v>ASV13657</v>
          </cell>
          <cell r="H16831" t="str">
            <v>g__Christensenellaceae_R-7_group</v>
          </cell>
          <cell r="I16831" t="str">
            <v>s__uncultured_bacterium_g__Christensenellaceae_R-7_group</v>
          </cell>
        </row>
        <row r="16832">
          <cell r="G16832" t="str">
            <v>ASV15631</v>
          </cell>
          <cell r="H16832" t="str">
            <v>g__Lactobacillus</v>
          </cell>
          <cell r="I16832" t="str">
            <v>s__unclassified_g__Lactobacillus</v>
          </cell>
        </row>
        <row r="16833">
          <cell r="G16833" t="str">
            <v>ASV20335</v>
          </cell>
          <cell r="H16833" t="str">
            <v>g__Blautia</v>
          </cell>
          <cell r="I16833" t="str">
            <v>s__unclassified_g__Blautia</v>
          </cell>
        </row>
        <row r="16834">
          <cell r="G16834" t="str">
            <v>ASV14884</v>
          </cell>
          <cell r="H16834" t="str">
            <v>g__Christensenellaceae_R-7_group</v>
          </cell>
          <cell r="I16834" t="str">
            <v>s__uncultured_Spirochaetales_bacterium_g__Christensenellaceae_R-7_group</v>
          </cell>
        </row>
        <row r="16835">
          <cell r="G16835" t="str">
            <v>ASV4222</v>
          </cell>
          <cell r="H16835" t="str">
            <v>g__CAG-873</v>
          </cell>
          <cell r="I16835" t="str">
            <v>s__uncultured_bacterium_g__CAG-873</v>
          </cell>
        </row>
        <row r="16836">
          <cell r="G16836" t="str">
            <v>ASV2961</v>
          </cell>
          <cell r="H16836" t="str">
            <v>g__Kurthia</v>
          </cell>
          <cell r="I16836" t="str">
            <v>s__unclassified_g__Kurthia</v>
          </cell>
        </row>
        <row r="16837">
          <cell r="G16837" t="str">
            <v>ASV8227</v>
          </cell>
          <cell r="H16837" t="str">
            <v>g__unclassified_o__Lactobacillales</v>
          </cell>
          <cell r="I16837" t="str">
            <v>s__unclassified_o__Lactobacillales</v>
          </cell>
        </row>
        <row r="16838">
          <cell r="G16838" t="str">
            <v>ASV8060</v>
          </cell>
          <cell r="H16838" t="str">
            <v>g__unclassified_f__Lachnospiraceae</v>
          </cell>
          <cell r="I16838" t="str">
            <v>s__unclassified_f__Lachnospiraceae</v>
          </cell>
        </row>
        <row r="16839">
          <cell r="G16839" t="str">
            <v>ASV8883</v>
          </cell>
          <cell r="H16839" t="str">
            <v>g__Prevotella</v>
          </cell>
          <cell r="I16839" t="str">
            <v>s__unclassified_g__Prevotella</v>
          </cell>
        </row>
        <row r="16840">
          <cell r="G16840" t="str">
            <v>ASV15583</v>
          </cell>
          <cell r="H16840" t="str">
            <v>g__Clostridium_sensu_stricto_1</v>
          </cell>
          <cell r="I16840" t="str">
            <v>s__unclassified_g__Clostridium_sensu_stricto_1</v>
          </cell>
        </row>
        <row r="16841">
          <cell r="G16841" t="str">
            <v>ASV7411</v>
          </cell>
          <cell r="H16841" t="str">
            <v>g__Streptococcus</v>
          </cell>
          <cell r="I16841" t="str">
            <v>s__unclassified_g__Streptococcus</v>
          </cell>
        </row>
        <row r="16842">
          <cell r="G16842" t="str">
            <v>ASV21317</v>
          </cell>
          <cell r="H16842" t="str">
            <v>g__unclassified_k__norank_d__Bacteria</v>
          </cell>
          <cell r="I16842" t="str">
            <v>s__unclassified_k__norank_d__Bacteria</v>
          </cell>
        </row>
        <row r="16843">
          <cell r="G16843" t="str">
            <v>ASV8041</v>
          </cell>
          <cell r="H16843" t="str">
            <v>g__unclassified_c__Clostridia</v>
          </cell>
          <cell r="I16843" t="str">
            <v>s__unclassified_c__Clostridia</v>
          </cell>
        </row>
        <row r="16844">
          <cell r="G16844" t="str">
            <v>ASV15587</v>
          </cell>
          <cell r="H16844" t="str">
            <v>g__unclassified_p__Firmicutes</v>
          </cell>
          <cell r="I16844" t="str">
            <v>s__unclassified_p__Firmicutes</v>
          </cell>
        </row>
        <row r="16845">
          <cell r="G16845" t="str">
            <v>ASV19994</v>
          </cell>
          <cell r="H16845" t="str">
            <v>g__norank_f__Ruminococcaceae</v>
          </cell>
          <cell r="I16845" t="str">
            <v>s__unclassified_g__norank_f__Ruminococcaceae</v>
          </cell>
        </row>
        <row r="16846">
          <cell r="G16846" t="str">
            <v>ASV21507</v>
          </cell>
          <cell r="H16846" t="str">
            <v>g__unclassified_p__Firmicutes</v>
          </cell>
          <cell r="I16846" t="str">
            <v>s__unclassified_p__Firmicutes</v>
          </cell>
        </row>
        <row r="16847">
          <cell r="G16847" t="str">
            <v>ASV20493</v>
          </cell>
          <cell r="H16847" t="str">
            <v>g__Flavobacterium</v>
          </cell>
          <cell r="I16847" t="str">
            <v>s__Flavobacterium_hauense</v>
          </cell>
        </row>
        <row r="16848">
          <cell r="G16848" t="str">
            <v>ASV2451</v>
          </cell>
          <cell r="H16848" t="str">
            <v>g__unclassified_c__Clostridia</v>
          </cell>
          <cell r="I16848" t="str">
            <v>s__unclassified_c__Clostridia</v>
          </cell>
        </row>
        <row r="16849">
          <cell r="G16849" t="str">
            <v>ASV17073</v>
          </cell>
          <cell r="H16849" t="str">
            <v>g__unclassified_o__Oscillospirales</v>
          </cell>
          <cell r="I16849" t="str">
            <v>s__unclassified_o__Oscillospirales</v>
          </cell>
        </row>
        <row r="16850">
          <cell r="G16850" t="str">
            <v>ASV1465</v>
          </cell>
          <cell r="H16850" t="str">
            <v>g__unclassified_c__Clostridia</v>
          </cell>
          <cell r="I16850" t="str">
            <v>s__unclassified_c__Clostridia</v>
          </cell>
        </row>
        <row r="16851">
          <cell r="G16851" t="str">
            <v>ASV5210</v>
          </cell>
          <cell r="H16851" t="str">
            <v>g__unclassified_f__Peptostreptococcaceae</v>
          </cell>
          <cell r="I16851" t="str">
            <v>s__unclassified_f__Peptostreptococcaceae</v>
          </cell>
        </row>
        <row r="16852">
          <cell r="G16852" t="str">
            <v>ASV9054</v>
          </cell>
          <cell r="H16852" t="str">
            <v>g__unclassified_c__Clostridia</v>
          </cell>
          <cell r="I16852" t="str">
            <v>s__unclassified_c__Clostridia</v>
          </cell>
        </row>
        <row r="16853">
          <cell r="G16853" t="str">
            <v>ASV6464</v>
          </cell>
          <cell r="H16853" t="str">
            <v>g__unclassified_p__Firmicutes</v>
          </cell>
          <cell r="I16853" t="str">
            <v>s__unclassified_p__Firmicutes</v>
          </cell>
        </row>
        <row r="16854">
          <cell r="G16854" t="str">
            <v>ASV21374</v>
          </cell>
          <cell r="H16854" t="str">
            <v>g__Fusicatenibacter</v>
          </cell>
          <cell r="I16854" t="str">
            <v>s__unclassified_g__Fusicatenibacter</v>
          </cell>
        </row>
        <row r="16855">
          <cell r="G16855" t="str">
            <v>ASV3327</v>
          </cell>
          <cell r="H16855" t="str">
            <v>g__unclassified_f__Lachnospiraceae</v>
          </cell>
          <cell r="I16855" t="str">
            <v>s__unclassified_f__Lachnospiraceae</v>
          </cell>
        </row>
        <row r="16856">
          <cell r="G16856" t="str">
            <v>ASV1126</v>
          </cell>
          <cell r="H16856" t="str">
            <v>g__Phascolarctobacterium</v>
          </cell>
          <cell r="I16856" t="str">
            <v>s__unclassified_g__Phascolarctobacterium</v>
          </cell>
        </row>
        <row r="16857">
          <cell r="G16857" t="str">
            <v>ASV5303</v>
          </cell>
          <cell r="H16857" t="str">
            <v>g__NK4A214_group</v>
          </cell>
          <cell r="I16857" t="str">
            <v>s__uncultured_bacterium_g__NK4A214_group</v>
          </cell>
        </row>
        <row r="16858">
          <cell r="G16858" t="str">
            <v>ASV8151</v>
          </cell>
          <cell r="H16858" t="str">
            <v>g__unclassified_o__Oscillospirales</v>
          </cell>
          <cell r="I16858" t="str">
            <v>s__unclassified_o__Oscillospirales</v>
          </cell>
        </row>
        <row r="16859">
          <cell r="G16859" t="str">
            <v>ASV18266</v>
          </cell>
          <cell r="H16859" t="str">
            <v>g__unclassified_c__Clostridia</v>
          </cell>
          <cell r="I16859" t="str">
            <v>s__unclassified_c__Clostridia</v>
          </cell>
        </row>
        <row r="16860">
          <cell r="G16860" t="str">
            <v>ASV15687</v>
          </cell>
          <cell r="H16860" t="str">
            <v>g__Christensenellaceae_R-7_group</v>
          </cell>
          <cell r="I16860" t="str">
            <v>s__unclassified_g__Christensenellaceae_R-7_group</v>
          </cell>
        </row>
        <row r="16861">
          <cell r="G16861" t="str">
            <v>ASV22653</v>
          </cell>
          <cell r="H16861" t="str">
            <v>g__unclassified_p__Firmicutes</v>
          </cell>
          <cell r="I16861" t="str">
            <v>s__unclassified_p__Firmicutes</v>
          </cell>
        </row>
        <row r="16862">
          <cell r="G16862" t="str">
            <v>ASV4288</v>
          </cell>
          <cell r="H16862" t="str">
            <v>g__unclassified_c__Clostridia</v>
          </cell>
          <cell r="I16862" t="str">
            <v>s__unclassified_c__Clostridia</v>
          </cell>
        </row>
        <row r="16863">
          <cell r="G16863" t="str">
            <v>ASV6224</v>
          </cell>
          <cell r="H16863" t="str">
            <v>g__unclassified_c__Bacilli</v>
          </cell>
          <cell r="I16863" t="str">
            <v>s__unclassified_c__Bacilli</v>
          </cell>
        </row>
        <row r="16864">
          <cell r="G16864" t="str">
            <v>ASV8186</v>
          </cell>
          <cell r="H16864" t="str">
            <v>g__unclassified_c__Clostridia</v>
          </cell>
          <cell r="I16864" t="str">
            <v>s__unclassified_c__Clostridia</v>
          </cell>
        </row>
        <row r="16865">
          <cell r="G16865" t="str">
            <v>ASV12172</v>
          </cell>
          <cell r="H16865" t="str">
            <v>g__Prevotellaceae_UCG-001</v>
          </cell>
          <cell r="I16865" t="str">
            <v>s__uncultured_bacterium_g__Prevotellaceae_UCG-001</v>
          </cell>
        </row>
        <row r="16866">
          <cell r="G16866" t="str">
            <v>ASV8869</v>
          </cell>
          <cell r="H16866" t="str">
            <v>g__unclassified_c__Bacilli</v>
          </cell>
          <cell r="I16866" t="str">
            <v>s__unclassified_c__Bacilli</v>
          </cell>
        </row>
        <row r="16867">
          <cell r="G16867" t="str">
            <v>ASV8153</v>
          </cell>
          <cell r="H16867" t="str">
            <v>g__norank_f__norank_o__RF39</v>
          </cell>
          <cell r="I16867" t="str">
            <v>s__unclassified_g__norank_f__norank_o__RF39</v>
          </cell>
        </row>
        <row r="16868">
          <cell r="G16868" t="str">
            <v>ASV18709</v>
          </cell>
          <cell r="H16868" t="str">
            <v>g__UCG-002</v>
          </cell>
          <cell r="I16868" t="str">
            <v>s__unclassified_g__UCG-002</v>
          </cell>
        </row>
        <row r="16869">
          <cell r="G16869" t="str">
            <v>ASV3400</v>
          </cell>
          <cell r="H16869" t="str">
            <v>g__unclassified_f__Lachnospiraceae</v>
          </cell>
          <cell r="I16869" t="str">
            <v>s__unclassified_f__Lachnospiraceae</v>
          </cell>
        </row>
        <row r="16870">
          <cell r="G16870" t="str">
            <v>ASV14696</v>
          </cell>
          <cell r="H16870" t="str">
            <v>g__unclassified_o__Oscillospirales</v>
          </cell>
          <cell r="I16870" t="str">
            <v>s__unclassified_o__Oscillospirales</v>
          </cell>
        </row>
        <row r="16871">
          <cell r="G16871" t="str">
            <v>ASV14694</v>
          </cell>
          <cell r="H16871" t="str">
            <v>g__Lactobacillus</v>
          </cell>
          <cell r="I16871" t="str">
            <v>s__unclassified_g__Lactobacillus</v>
          </cell>
        </row>
        <row r="16872">
          <cell r="G16872" t="str">
            <v>ASV2395</v>
          </cell>
          <cell r="H16872" t="str">
            <v>g__norank_f__norank_o__RF39</v>
          </cell>
          <cell r="I16872" t="str">
            <v>s__uncultured_bacterium_g__norank_f__norank_o__RF39</v>
          </cell>
        </row>
        <row r="16873">
          <cell r="G16873" t="str">
            <v>ASV6465</v>
          </cell>
          <cell r="H16873" t="str">
            <v>g__unclassified_c__Clostridia</v>
          </cell>
          <cell r="I16873" t="str">
            <v>s__unclassified_c__Clostridia</v>
          </cell>
        </row>
        <row r="16874">
          <cell r="G16874" t="str">
            <v>ASV20297</v>
          </cell>
          <cell r="H16874" t="str">
            <v>g__unclassified_f__Lachnospiraceae</v>
          </cell>
          <cell r="I16874" t="str">
            <v>s__unclassified_f__Lachnospiraceae</v>
          </cell>
        </row>
        <row r="16875">
          <cell r="G16875" t="str">
            <v>ASV24007</v>
          </cell>
          <cell r="H16875" t="str">
            <v>g__unclassified_c__Bacilli</v>
          </cell>
          <cell r="I16875" t="str">
            <v>s__unclassified_c__Bacilli</v>
          </cell>
        </row>
        <row r="16876">
          <cell r="G16876" t="str">
            <v>ASV6344</v>
          </cell>
          <cell r="H16876" t="str">
            <v>g__unclassified_f__Lachnospiraceae</v>
          </cell>
          <cell r="I16876" t="str">
            <v>s__unclassified_f__Lachnospiraceae</v>
          </cell>
        </row>
        <row r="16877">
          <cell r="G16877" t="str">
            <v>ASV12115</v>
          </cell>
          <cell r="H16877" t="str">
            <v>g__unclassified_c__Clostridia</v>
          </cell>
          <cell r="I16877" t="str">
            <v>s__unclassified_c__Clostridia</v>
          </cell>
        </row>
        <row r="16878">
          <cell r="G16878" t="str">
            <v>ASV4352</v>
          </cell>
          <cell r="H16878" t="str">
            <v>g__unclassified_f__Lachnospiraceae</v>
          </cell>
          <cell r="I16878" t="str">
            <v>s__unclassified_f__Lachnospiraceae</v>
          </cell>
        </row>
        <row r="16879">
          <cell r="G16879" t="str">
            <v>ASV5432</v>
          </cell>
          <cell r="H16879" t="str">
            <v>g__norank_f__UCG-010</v>
          </cell>
          <cell r="I16879" t="str">
            <v>s__uncultured_bacterium_g__norank_f__UCG-010</v>
          </cell>
        </row>
        <row r="16880">
          <cell r="G16880" t="str">
            <v>ASV1138</v>
          </cell>
          <cell r="H16880" t="str">
            <v>g__Veillonella</v>
          </cell>
          <cell r="I16880" t="str">
            <v>s__unclassified_g__Veillonella</v>
          </cell>
        </row>
        <row r="16881">
          <cell r="G16881" t="str">
            <v>ASV1094</v>
          </cell>
          <cell r="H16881" t="str">
            <v>g__Succinivibrio</v>
          </cell>
          <cell r="I16881" t="str">
            <v>s__uncultured_Succinivibrio_sp.</v>
          </cell>
        </row>
        <row r="16882">
          <cell r="G16882" t="str">
            <v>ASV3313</v>
          </cell>
          <cell r="H16882" t="str">
            <v>g__unclassified_p__Firmicutes</v>
          </cell>
          <cell r="I16882" t="str">
            <v>s__unclassified_p__Firmicutes</v>
          </cell>
        </row>
        <row r="16883">
          <cell r="G16883" t="str">
            <v>ASV18412</v>
          </cell>
          <cell r="H16883" t="str">
            <v>g__unclassified_o__Oscillospirales</v>
          </cell>
          <cell r="I16883" t="str">
            <v>s__unclassified_o__Oscillospirales</v>
          </cell>
        </row>
        <row r="16884">
          <cell r="G16884" t="str">
            <v>ASV13024</v>
          </cell>
          <cell r="H16884" t="str">
            <v>g__norank_f__norank_o__WCHB1-41</v>
          </cell>
          <cell r="I16884" t="str">
            <v>s__uncultured_bacterium_g__norank_f__norank_o__WCHB1-41</v>
          </cell>
        </row>
        <row r="16885">
          <cell r="G16885" t="str">
            <v>ASV16092</v>
          </cell>
          <cell r="H16885" t="str">
            <v>g__unclassified_f__Lachnospiraceae</v>
          </cell>
          <cell r="I16885" t="str">
            <v>s__unclassified_f__Lachnospiraceae</v>
          </cell>
        </row>
        <row r="16886">
          <cell r="G16886" t="str">
            <v>ASV15848</v>
          </cell>
          <cell r="H16886" t="str">
            <v>g__Veillonella</v>
          </cell>
          <cell r="I16886" t="str">
            <v>s__unclassified_g__Veillonella</v>
          </cell>
        </row>
        <row r="16887">
          <cell r="G16887" t="str">
            <v>ASV20979</v>
          </cell>
          <cell r="H16887" t="str">
            <v>g__unclassified_o__Peptostreptococcales-Tissierellales</v>
          </cell>
          <cell r="I16887" t="str">
            <v>s__unclassified_o__Peptostreptococcales-Tissierellales</v>
          </cell>
        </row>
        <row r="16888">
          <cell r="G16888" t="str">
            <v>ASV3715</v>
          </cell>
          <cell r="H16888" t="str">
            <v>g__unclassified_f__Lachnospiraceae</v>
          </cell>
          <cell r="I16888" t="str">
            <v>s__unclassified_f__Lachnospiraceae</v>
          </cell>
        </row>
        <row r="16889">
          <cell r="G16889" t="str">
            <v>ASV6328</v>
          </cell>
          <cell r="H16889" t="str">
            <v>g__unclassified_f__Lachnospiraceae</v>
          </cell>
          <cell r="I16889" t="str">
            <v>s__unclassified_f__Lachnospiraceae</v>
          </cell>
        </row>
        <row r="16890">
          <cell r="G16890" t="str">
            <v>ASV22875</v>
          </cell>
          <cell r="H16890" t="str">
            <v>g__unclassified_f__Lachnospiraceae</v>
          </cell>
          <cell r="I16890" t="str">
            <v>s__unclassified_f__Lachnospiraceae</v>
          </cell>
        </row>
        <row r="16891">
          <cell r="G16891" t="str">
            <v>ASV8563</v>
          </cell>
          <cell r="H16891" t="str">
            <v>g__Denitrobacterium</v>
          </cell>
          <cell r="I16891" t="str">
            <v>s__Eggerthellaceae_bacterium_AT8</v>
          </cell>
        </row>
        <row r="16892">
          <cell r="G16892" t="str">
            <v>ASV22652</v>
          </cell>
          <cell r="H16892" t="str">
            <v>g__Enterorhabdus</v>
          </cell>
          <cell r="I16892" t="str">
            <v>s__uncultured_bacterium_g__Enterorhabdus</v>
          </cell>
        </row>
        <row r="16893">
          <cell r="G16893" t="str">
            <v>ASV7432</v>
          </cell>
          <cell r="H16893" t="str">
            <v>g__Clostridium_sensu_stricto_1</v>
          </cell>
          <cell r="I16893" t="str">
            <v>s__uncultured_bacterium_g__Clostridium_sensu_stricto_1</v>
          </cell>
        </row>
        <row r="16894">
          <cell r="G16894" t="str">
            <v>ASV15625</v>
          </cell>
          <cell r="H16894" t="str">
            <v>g__unclassified_f__Rikenellaceae</v>
          </cell>
          <cell r="I16894" t="str">
            <v>s__unclassified_f__Rikenellaceae</v>
          </cell>
        </row>
        <row r="16895">
          <cell r="G16895" t="str">
            <v>ASV8239</v>
          </cell>
          <cell r="H16895" t="str">
            <v>g__Bifidobacterium</v>
          </cell>
          <cell r="I16895" t="str">
            <v>s__unclassified_g__Bifidobacterium</v>
          </cell>
        </row>
        <row r="16896">
          <cell r="G16896" t="str">
            <v>ASV16651</v>
          </cell>
          <cell r="H16896" t="str">
            <v>g__unclassified_o__Oscillospirales</v>
          </cell>
          <cell r="I16896" t="str">
            <v>s__unclassified_o__Oscillospirales</v>
          </cell>
        </row>
        <row r="16897">
          <cell r="G16897" t="str">
            <v>ASV1225</v>
          </cell>
          <cell r="H16897" t="str">
            <v>g__unclassified_c__Bacilli</v>
          </cell>
          <cell r="I16897" t="str">
            <v>s__unclassified_c__Bacilli</v>
          </cell>
        </row>
        <row r="16898">
          <cell r="G16898" t="str">
            <v>ASV13000</v>
          </cell>
          <cell r="H16898" t="str">
            <v>g__unclassified_k__norank_d__Bacteria</v>
          </cell>
          <cell r="I16898" t="str">
            <v>s__unclassified_k__norank_d__Bacteria</v>
          </cell>
        </row>
        <row r="16899">
          <cell r="G16899" t="str">
            <v>ASV20077</v>
          </cell>
          <cell r="H16899" t="str">
            <v>g__Subdoligranulum</v>
          </cell>
          <cell r="I16899" t="str">
            <v>s__uncultured_bacterium_g__Subdoligranulum</v>
          </cell>
        </row>
        <row r="16900">
          <cell r="G16900" t="str">
            <v>ASV9644</v>
          </cell>
          <cell r="H16900" t="str">
            <v>g__unclassified_o__Oscillospirales</v>
          </cell>
          <cell r="I16900" t="str">
            <v>s__unclassified_o__Oscillospirales</v>
          </cell>
        </row>
        <row r="16901">
          <cell r="G16901" t="str">
            <v>ASV14777</v>
          </cell>
          <cell r="H16901" t="str">
            <v>g__Lactobacillus</v>
          </cell>
          <cell r="I16901" t="str">
            <v>s__unclassified_g__Lactobacillus</v>
          </cell>
        </row>
        <row r="16902">
          <cell r="G16902" t="str">
            <v>ASV21373</v>
          </cell>
          <cell r="H16902" t="str">
            <v>g__unclassified_f__Lachnospiraceae</v>
          </cell>
          <cell r="I16902" t="str">
            <v>s__unclassified_f__Lachnospiraceae</v>
          </cell>
        </row>
        <row r="16903">
          <cell r="G16903" t="str">
            <v>ASV12248</v>
          </cell>
          <cell r="H16903" t="str">
            <v>g__unclassified_c__Clostridia</v>
          </cell>
          <cell r="I16903" t="str">
            <v>s__unclassified_c__Clostridia</v>
          </cell>
        </row>
        <row r="16904">
          <cell r="G16904" t="str">
            <v>ASV4345</v>
          </cell>
          <cell r="H16904" t="str">
            <v>g__Megasphaera</v>
          </cell>
          <cell r="I16904" t="str">
            <v>s__unclassified_g__Megasphaera</v>
          </cell>
        </row>
        <row r="16905">
          <cell r="G16905" t="str">
            <v>ASV19898</v>
          </cell>
          <cell r="H16905" t="str">
            <v>g__Treponema</v>
          </cell>
          <cell r="I16905" t="str">
            <v>s__unclassified_g__Treponema</v>
          </cell>
        </row>
        <row r="16906">
          <cell r="G16906" t="str">
            <v>ASV8162</v>
          </cell>
          <cell r="H16906" t="str">
            <v>g__unclassified_f__Lachnospiraceae</v>
          </cell>
          <cell r="I16906" t="str">
            <v>s__unclassified_f__Lachnospiraceae</v>
          </cell>
        </row>
        <row r="16907">
          <cell r="G16907" t="str">
            <v>ASV23890</v>
          </cell>
          <cell r="H16907" t="str">
            <v>g__unclassified_f__Lachnospiraceae</v>
          </cell>
          <cell r="I16907" t="str">
            <v>s__unclassified_f__Lachnospiraceae</v>
          </cell>
        </row>
        <row r="16908">
          <cell r="G16908" t="str">
            <v>ASV22833</v>
          </cell>
          <cell r="H16908" t="str">
            <v>g__unclassified_c__Clostridia</v>
          </cell>
          <cell r="I16908" t="str">
            <v>s__unclassified_c__Clostridia</v>
          </cell>
        </row>
        <row r="16909">
          <cell r="G16909" t="str">
            <v>ASV8181</v>
          </cell>
          <cell r="H16909" t="str">
            <v>g__Streptococcus</v>
          </cell>
          <cell r="I16909" t="str">
            <v>s__unclassified_g__Streptococcus</v>
          </cell>
        </row>
        <row r="16910">
          <cell r="G16910" t="str">
            <v>ASV1461</v>
          </cell>
          <cell r="H16910" t="str">
            <v>g__unclassified_o__Oscillospirales</v>
          </cell>
          <cell r="I16910" t="str">
            <v>s__unclassified_o__Oscillospirales</v>
          </cell>
        </row>
        <row r="16911">
          <cell r="G16911" t="str">
            <v>ASV13219</v>
          </cell>
          <cell r="H16911" t="str">
            <v>g__unclassified_c__Clostridia</v>
          </cell>
          <cell r="I16911" t="str">
            <v>s__unclassified_c__Clostridia</v>
          </cell>
        </row>
        <row r="16912">
          <cell r="G16912" t="str">
            <v>ASV17388</v>
          </cell>
          <cell r="H16912" t="str">
            <v>g__Veillonella</v>
          </cell>
          <cell r="I16912" t="str">
            <v>s__unclassified_g__Veillonella</v>
          </cell>
        </row>
        <row r="16913">
          <cell r="G16913" t="str">
            <v>ASV20985</v>
          </cell>
          <cell r="H16913" t="str">
            <v>g__unclassified_c__Clostridia</v>
          </cell>
          <cell r="I16913" t="str">
            <v>s__unclassified_c__Clostridia</v>
          </cell>
        </row>
        <row r="16914">
          <cell r="G16914" t="str">
            <v>ASV15692</v>
          </cell>
          <cell r="H16914" t="str">
            <v>g__unclassified_p__Firmicutes</v>
          </cell>
          <cell r="I16914" t="str">
            <v>s__unclassified_p__Firmicutes</v>
          </cell>
        </row>
        <row r="16915">
          <cell r="G16915" t="str">
            <v>ASV1443</v>
          </cell>
          <cell r="H16915" t="str">
            <v>g__Eubacterium_oxidoreducens_group</v>
          </cell>
          <cell r="I16915" t="str">
            <v>s__unclassified_g__Eubacterium_oxidoreducens_group</v>
          </cell>
        </row>
        <row r="16916">
          <cell r="G16916" t="str">
            <v>ASV8089</v>
          </cell>
          <cell r="H16916" t="str">
            <v>g__Streptococcus</v>
          </cell>
          <cell r="I16916" t="str">
            <v>s__unclassified_g__Streptococcus</v>
          </cell>
        </row>
        <row r="16917">
          <cell r="G16917" t="str">
            <v>ASV1251</v>
          </cell>
          <cell r="H16917" t="str">
            <v>g__Phascolarctobacterium</v>
          </cell>
          <cell r="I16917" t="str">
            <v>s__uncultured_bacterium_g__Phascolarctobacterium</v>
          </cell>
        </row>
        <row r="16918">
          <cell r="G16918" t="str">
            <v>ASV21090</v>
          </cell>
          <cell r="H16918" t="str">
            <v>g__unclassified_p__Firmicutes</v>
          </cell>
          <cell r="I16918" t="str">
            <v>s__unclassified_p__Firmicutes</v>
          </cell>
        </row>
        <row r="16919">
          <cell r="G16919" t="str">
            <v>ASV22936</v>
          </cell>
          <cell r="H16919" t="str">
            <v>g__Leptotrichia</v>
          </cell>
          <cell r="I16919" t="str">
            <v>s__unclassified_g__Leptotrichia</v>
          </cell>
        </row>
        <row r="16920">
          <cell r="G16920" t="str">
            <v>ASV12198</v>
          </cell>
          <cell r="H16920" t="str">
            <v>g__norank_f__Eubacterium_coprostanoligenes_group</v>
          </cell>
          <cell r="I16920" t="str">
            <v>s__uncultured_bacterium_g__norank_f__Eubacterium_coprostanoligenes_group</v>
          </cell>
        </row>
        <row r="16921">
          <cell r="G16921" t="str">
            <v>ASV6449</v>
          </cell>
          <cell r="H16921" t="str">
            <v>g__unclassified_f__Lachnospiraceae</v>
          </cell>
          <cell r="I16921" t="str">
            <v>s__unclassified_f__Lachnospiraceae</v>
          </cell>
        </row>
        <row r="16922">
          <cell r="G16922" t="str">
            <v>ASV16164</v>
          </cell>
          <cell r="H16922" t="str">
            <v>g__Fusobacterium</v>
          </cell>
          <cell r="I16922" t="str">
            <v>s__unclassified_g__Fusobacterium</v>
          </cell>
        </row>
        <row r="16923">
          <cell r="G16923" t="str">
            <v>ASV5410</v>
          </cell>
          <cell r="H16923" t="str">
            <v>g__unclassified_f__Lachnospiraceae</v>
          </cell>
          <cell r="I16923" t="str">
            <v>s__unclassified_f__Lachnospiraceae</v>
          </cell>
        </row>
        <row r="16924">
          <cell r="G16924" t="str">
            <v>ASV10229</v>
          </cell>
          <cell r="H16924" t="str">
            <v>g__Escherichia-Shigella</v>
          </cell>
          <cell r="I16924" t="str">
            <v>s__unclassified_g__Escherichia-Shigella</v>
          </cell>
        </row>
        <row r="16925">
          <cell r="G16925" t="str">
            <v>ASV4278</v>
          </cell>
          <cell r="H16925" t="str">
            <v>g__unclassified_c__Clostridia</v>
          </cell>
          <cell r="I16925" t="str">
            <v>s__unclassified_c__Clostridia</v>
          </cell>
        </row>
        <row r="16926">
          <cell r="G16926" t="str">
            <v>ASV13164</v>
          </cell>
          <cell r="H16926" t="str">
            <v>g__unclassified_f__Lachnospiraceae</v>
          </cell>
          <cell r="I16926" t="str">
            <v>s__unclassified_f__Lachnospiraceae</v>
          </cell>
        </row>
        <row r="16927">
          <cell r="G16927" t="str">
            <v>ASV9092</v>
          </cell>
          <cell r="H16927" t="str">
            <v>g__Clostridium_sensu_stricto_1</v>
          </cell>
          <cell r="I16927" t="str">
            <v>s__uncultured_bacterium_g__Clostridium_sensu_stricto_1</v>
          </cell>
        </row>
        <row r="16928">
          <cell r="G16928" t="str">
            <v>ASV23561</v>
          </cell>
          <cell r="H16928" t="str">
            <v>g__UCG-005</v>
          </cell>
          <cell r="I16928" t="str">
            <v>s__uncultured_bacterium_adhufec108</v>
          </cell>
        </row>
        <row r="16929">
          <cell r="G16929" t="str">
            <v>ASV1418</v>
          </cell>
          <cell r="H16929" t="str">
            <v>g__unclassified_p__Firmicutes</v>
          </cell>
          <cell r="I16929" t="str">
            <v>s__unclassified_p__Firmicutes</v>
          </cell>
        </row>
        <row r="16930">
          <cell r="G16930" t="str">
            <v>ASV24358</v>
          </cell>
          <cell r="H16930" t="str">
            <v>g__unclassified_c__Clostridia</v>
          </cell>
          <cell r="I16930" t="str">
            <v>s__unclassified_c__Clostridia</v>
          </cell>
        </row>
        <row r="16931">
          <cell r="G16931" t="str">
            <v>ASV20133</v>
          </cell>
          <cell r="H16931" t="str">
            <v>g__Monoglobus</v>
          </cell>
          <cell r="I16931" t="str">
            <v>s__unclassified_g__Monoglobus</v>
          </cell>
        </row>
        <row r="16932">
          <cell r="G16932" t="str">
            <v>ASV3563</v>
          </cell>
          <cell r="H16932" t="str">
            <v>g__Howardella</v>
          </cell>
          <cell r="I16932" t="str">
            <v>s__uncultured_bacterium_g__Howardella</v>
          </cell>
        </row>
        <row r="16933">
          <cell r="G16933" t="str">
            <v>ASV5448</v>
          </cell>
          <cell r="H16933" t="str">
            <v>g__unclassified_c__Clostridia</v>
          </cell>
          <cell r="I16933" t="str">
            <v>s__unclassified_c__Clostridia</v>
          </cell>
        </row>
        <row r="16934">
          <cell r="G16934" t="str">
            <v>ASV1163</v>
          </cell>
          <cell r="H16934" t="str">
            <v>g__Lactobacillus</v>
          </cell>
          <cell r="I16934" t="str">
            <v>s__unclassified_g__Lactobacillus</v>
          </cell>
        </row>
        <row r="16935">
          <cell r="G16935" t="str">
            <v>ASV5218</v>
          </cell>
          <cell r="H16935" t="str">
            <v>g__unclassified_c__Clostridia</v>
          </cell>
          <cell r="I16935" t="str">
            <v>s__unclassified_c__Clostridia</v>
          </cell>
        </row>
        <row r="16936">
          <cell r="G16936" t="str">
            <v>ASV14636</v>
          </cell>
          <cell r="H16936" t="str">
            <v>g__norank_f__Eubacterium_coprostanoligenes_group</v>
          </cell>
          <cell r="I16936" t="str">
            <v>s__uncultured_bacterium_g__norank_f__Eubacterium_coprostanoligenes_group</v>
          </cell>
        </row>
        <row r="16937">
          <cell r="G16937" t="str">
            <v>ASV2804</v>
          </cell>
          <cell r="H16937" t="str">
            <v>g__Arthrobacter</v>
          </cell>
          <cell r="I16937" t="str">
            <v>s__unclassified_g__Arthrobacter</v>
          </cell>
        </row>
        <row r="16938">
          <cell r="G16938" t="str">
            <v>ASV8152</v>
          </cell>
          <cell r="H16938" t="str">
            <v>g__unclassified_c__Clostridia</v>
          </cell>
          <cell r="I16938" t="str">
            <v>s__unclassified_c__Clostridia</v>
          </cell>
        </row>
        <row r="16939">
          <cell r="G16939" t="str">
            <v>ASV7375</v>
          </cell>
          <cell r="H16939" t="str">
            <v>g__unclassified_c__Actinobacteria</v>
          </cell>
          <cell r="I16939" t="str">
            <v>s__unclassified_c__Actinobacteria</v>
          </cell>
        </row>
        <row r="16940">
          <cell r="G16940" t="str">
            <v>ASV15685</v>
          </cell>
          <cell r="H16940" t="str">
            <v>g__Lachnospiraceae_NC2004_group</v>
          </cell>
          <cell r="I16940" t="str">
            <v>s__uncultured_bacterium_g__Lachnospiraceae_NC2004_group</v>
          </cell>
        </row>
        <row r="16941">
          <cell r="G16941" t="str">
            <v>ASV13644</v>
          </cell>
          <cell r="H16941" t="str">
            <v>g__norank_f__UCG-011</v>
          </cell>
          <cell r="I16941" t="str">
            <v>s__uncultured_bacterium_g__norank_f__UCG-011</v>
          </cell>
        </row>
        <row r="16942">
          <cell r="G16942" t="str">
            <v>ASV15674</v>
          </cell>
          <cell r="H16942" t="str">
            <v>g__unclassified_f__Lachnospiraceae</v>
          </cell>
          <cell r="I16942" t="str">
            <v>s__unclassified_f__Lachnospiraceae</v>
          </cell>
        </row>
        <row r="16943">
          <cell r="G16943" t="str">
            <v>ASV8124</v>
          </cell>
          <cell r="H16943" t="str">
            <v>g__Clostridium_sensu_stricto_1</v>
          </cell>
          <cell r="I16943" t="str">
            <v>s__unclassified_g__Clostridium_sensu_stricto_1</v>
          </cell>
        </row>
        <row r="16944">
          <cell r="G16944" t="str">
            <v>ASV12411</v>
          </cell>
          <cell r="H16944" t="str">
            <v>g__unclassified_o__Oscillospirales</v>
          </cell>
          <cell r="I16944" t="str">
            <v>s__unclassified_o__Oscillospirales</v>
          </cell>
        </row>
        <row r="16945">
          <cell r="G16945" t="str">
            <v>ASV20014</v>
          </cell>
          <cell r="H16945" t="str">
            <v>g__unclassified_o__Oscillospirales</v>
          </cell>
          <cell r="I16945" t="str">
            <v>s__unclassified_o__Oscillospirales</v>
          </cell>
        </row>
        <row r="16946">
          <cell r="G16946" t="str">
            <v>ASV4347</v>
          </cell>
          <cell r="H16946" t="str">
            <v>g__unclassified_f__Selenomonadaceae</v>
          </cell>
          <cell r="I16946" t="str">
            <v>s__unclassified_f__Selenomonadaceae</v>
          </cell>
        </row>
        <row r="16947">
          <cell r="G16947" t="str">
            <v>ASV6849</v>
          </cell>
          <cell r="H16947" t="str">
            <v>g__Streptococcus</v>
          </cell>
          <cell r="I16947" t="str">
            <v>s__unclassified_g__Streptococcus</v>
          </cell>
        </row>
        <row r="16948">
          <cell r="G16948" t="str">
            <v>ASV14695</v>
          </cell>
          <cell r="H16948" t="str">
            <v>g__norank_f__norank_o__Clostridia_UCG-014</v>
          </cell>
          <cell r="I16948" t="str">
            <v>s__uncultured_bacterium_g__norank_f__norank_o__Clostridia_UCG-014</v>
          </cell>
        </row>
        <row r="16949">
          <cell r="G16949" t="str">
            <v>ASV10960</v>
          </cell>
          <cell r="H16949" t="str">
            <v>g__SP3-e08</v>
          </cell>
          <cell r="I16949" t="str">
            <v>s__uncultured_bacterium_g__SP3-e08</v>
          </cell>
        </row>
        <row r="16950">
          <cell r="G16950" t="str">
            <v>ASV16095</v>
          </cell>
          <cell r="H16950" t="str">
            <v>g__unclassified_k__norank_d__Bacteria</v>
          </cell>
          <cell r="I16950" t="str">
            <v>s__unclassified_k__norank_d__Bacteria</v>
          </cell>
        </row>
        <row r="16951">
          <cell r="G16951" t="str">
            <v>ASV6352</v>
          </cell>
          <cell r="H16951" t="str">
            <v>g__Holdemanella</v>
          </cell>
          <cell r="I16951" t="str">
            <v>s__uncultured_bacterium_g__Holdemanella</v>
          </cell>
        </row>
        <row r="16952">
          <cell r="G16952" t="str">
            <v>ASV6430</v>
          </cell>
          <cell r="H16952" t="str">
            <v>g__unclassified_f__Lachnospiraceae</v>
          </cell>
          <cell r="I16952" t="str">
            <v>s__unclassified_f__Lachnospiraceae</v>
          </cell>
        </row>
        <row r="16953">
          <cell r="G16953" t="str">
            <v>ASV23715</v>
          </cell>
          <cell r="H16953" t="str">
            <v>g__UCG-002</v>
          </cell>
          <cell r="I16953" t="str">
            <v>s__uncultured_bacterium_g__UCG-002</v>
          </cell>
        </row>
        <row r="16954">
          <cell r="G16954" t="str">
            <v>ASV9796</v>
          </cell>
          <cell r="H16954" t="str">
            <v>g__unclassified_f__Lachnospiraceae</v>
          </cell>
          <cell r="I16954" t="str">
            <v>s__unclassified_f__Lachnospiraceae</v>
          </cell>
        </row>
        <row r="16955">
          <cell r="G16955" t="str">
            <v>ASV22558</v>
          </cell>
          <cell r="H16955" t="str">
            <v>g__unclassified_p__Firmicutes</v>
          </cell>
          <cell r="I16955" t="str">
            <v>s__unclassified_p__Firmicutes</v>
          </cell>
        </row>
        <row r="16956">
          <cell r="G16956" t="str">
            <v>ASV22980</v>
          </cell>
          <cell r="H16956" t="str">
            <v>g__unclassified_k__norank_d__Bacteria</v>
          </cell>
          <cell r="I16956" t="str">
            <v>s__unclassified_k__norank_d__Bacteria</v>
          </cell>
        </row>
        <row r="16957">
          <cell r="G16957" t="str">
            <v>ASV3714</v>
          </cell>
          <cell r="H16957" t="str">
            <v>g__norank_f__Selenomonadaceae</v>
          </cell>
          <cell r="I16957" t="str">
            <v>s__unclassified_g__norank_f__Selenomonadaceae</v>
          </cell>
        </row>
        <row r="16958">
          <cell r="G16958" t="str">
            <v>ASV17068</v>
          </cell>
          <cell r="H16958" t="str">
            <v>g__unclassified_c__Bacilli</v>
          </cell>
          <cell r="I16958" t="str">
            <v>s__unclassified_c__Bacilli</v>
          </cell>
        </row>
        <row r="16959">
          <cell r="G16959" t="str">
            <v>ASV22983</v>
          </cell>
          <cell r="H16959" t="str">
            <v>g__Lactobacillus</v>
          </cell>
          <cell r="I16959" t="str">
            <v>s__unclassified_g__Lactobacillus</v>
          </cell>
        </row>
        <row r="16960">
          <cell r="G16960" t="str">
            <v>ASV9815</v>
          </cell>
          <cell r="H16960" t="str">
            <v>g__norank_f__Oscillospiraceae</v>
          </cell>
          <cell r="I16960" t="str">
            <v>s__unclassified_g__norank_f__Oscillospiraceae</v>
          </cell>
        </row>
        <row r="16961">
          <cell r="G16961" t="str">
            <v>ASV4263</v>
          </cell>
          <cell r="H16961" t="str">
            <v>g__unclassified_f__Lachnospiraceae</v>
          </cell>
          <cell r="I16961" t="str">
            <v>s__unclassified_f__Lachnospiraceae</v>
          </cell>
        </row>
        <row r="16962">
          <cell r="G16962" t="str">
            <v>ASV1509</v>
          </cell>
          <cell r="H16962" t="str">
            <v>g__SP3-e08</v>
          </cell>
          <cell r="I16962" t="str">
            <v>s__uncultured_bacterium_g__SP3-e08</v>
          </cell>
        </row>
        <row r="16963">
          <cell r="G16963" t="str">
            <v>ASV21092</v>
          </cell>
          <cell r="H16963" t="str">
            <v>g__Lactobacillus</v>
          </cell>
          <cell r="I16963" t="str">
            <v>s__unclassified_g__Lactobacillus</v>
          </cell>
        </row>
        <row r="16964">
          <cell r="G16964" t="str">
            <v>ASV12486</v>
          </cell>
          <cell r="H16964" t="str">
            <v>g__unclassified_f__Oscillospiraceae</v>
          </cell>
          <cell r="I16964" t="str">
            <v>s__unclassified_f__Oscillospiraceae</v>
          </cell>
        </row>
        <row r="16965">
          <cell r="G16965" t="str">
            <v>ASV5258</v>
          </cell>
          <cell r="H16965" t="str">
            <v>g__unclassified_o__Oscillospirales</v>
          </cell>
          <cell r="I16965" t="str">
            <v>s__unclassified_o__Oscillospirales</v>
          </cell>
        </row>
        <row r="16966">
          <cell r="G16966" t="str">
            <v>ASV21075</v>
          </cell>
          <cell r="H16966" t="str">
            <v>g__norank_f__UCG-010</v>
          </cell>
          <cell r="I16966" t="str">
            <v>s__unclassified_g__norank_f__UCG-010</v>
          </cell>
        </row>
        <row r="16967">
          <cell r="G16967" t="str">
            <v>ASV21382</v>
          </cell>
          <cell r="H16967" t="str">
            <v>g__unclassified_k__norank_d__Bacteria</v>
          </cell>
          <cell r="I16967" t="str">
            <v>s__unclassified_k__norank_d__Bacteria</v>
          </cell>
        </row>
        <row r="16968">
          <cell r="G16968" t="str">
            <v>ASV24276</v>
          </cell>
          <cell r="H16968" t="str">
            <v>g__norank_f__UCG-010</v>
          </cell>
          <cell r="I16968" t="str">
            <v>s__unclassified_g__norank_f__UCG-010</v>
          </cell>
        </row>
        <row r="16969">
          <cell r="G16969" t="str">
            <v>ASV18315</v>
          </cell>
          <cell r="H16969" t="str">
            <v>g__unclassified_c__Clostridia</v>
          </cell>
          <cell r="I16969" t="str">
            <v>s__unclassified_c__Clostridia</v>
          </cell>
        </row>
        <row r="16970">
          <cell r="G16970" t="str">
            <v>ASV1273</v>
          </cell>
          <cell r="H16970" t="str">
            <v>g__unclassified_o__Oscillospirales</v>
          </cell>
          <cell r="I16970" t="str">
            <v>s__unclassified_o__Oscillospirales</v>
          </cell>
        </row>
        <row r="16971">
          <cell r="G16971" t="str">
            <v>ASV16722</v>
          </cell>
          <cell r="H16971" t="str">
            <v>g__Rikenellaceae_RC9_gut_group</v>
          </cell>
          <cell r="I16971" t="str">
            <v>s__uncultured_bacterium_g__Rikenellaceae_RC9_gut_group</v>
          </cell>
        </row>
        <row r="16972">
          <cell r="G16972" t="str">
            <v>ASV23677</v>
          </cell>
          <cell r="H16972" t="str">
            <v>g__unclassified_c__Clostridia</v>
          </cell>
          <cell r="I16972" t="str">
            <v>s__unclassified_c__Clostridia</v>
          </cell>
        </row>
        <row r="16973">
          <cell r="G16973" t="str">
            <v>ASV18333</v>
          </cell>
          <cell r="H16973" t="str">
            <v>g__unclassified_c__Clostridia</v>
          </cell>
          <cell r="I16973" t="str">
            <v>s__unclassified_c__Clostridia</v>
          </cell>
        </row>
        <row r="16974">
          <cell r="G16974" t="str">
            <v>ASV8189</v>
          </cell>
          <cell r="H16974" t="str">
            <v>g__unclassified_c__Clostridia</v>
          </cell>
          <cell r="I16974" t="str">
            <v>s__unclassified_c__Clostridia</v>
          </cell>
        </row>
        <row r="16975">
          <cell r="G16975" t="str">
            <v>ASV21518</v>
          </cell>
          <cell r="H16975" t="str">
            <v>g__unclassified_p__Firmicutes</v>
          </cell>
          <cell r="I16975" t="str">
            <v>s__unclassified_p__Firmicutes</v>
          </cell>
        </row>
        <row r="16976">
          <cell r="G16976" t="str">
            <v>ASV23596</v>
          </cell>
          <cell r="H16976" t="str">
            <v>g__Subdoligranulum</v>
          </cell>
          <cell r="I16976" t="str">
            <v>s__unclassified_g__Subdoligranulum</v>
          </cell>
        </row>
        <row r="16977">
          <cell r="G16977" t="str">
            <v>ASV15640</v>
          </cell>
          <cell r="H16977" t="str">
            <v>g__unclassified_f__Ruminococcaceae</v>
          </cell>
          <cell r="I16977" t="str">
            <v>s__unclassified_f__Ruminococcaceae</v>
          </cell>
        </row>
        <row r="16978">
          <cell r="G16978" t="str">
            <v>ASV20963</v>
          </cell>
          <cell r="H16978" t="str">
            <v>g__unclassified_k__norank_d__Bacteria</v>
          </cell>
          <cell r="I16978" t="str">
            <v>s__unclassified_k__norank_d__Bacteria</v>
          </cell>
        </row>
        <row r="16979">
          <cell r="G16979" t="str">
            <v>ASV6938</v>
          </cell>
          <cell r="H16979" t="str">
            <v>g__Escherichia-Shigella</v>
          </cell>
          <cell r="I16979" t="str">
            <v>s__unclassified_g__Escherichia-Shigella</v>
          </cell>
        </row>
        <row r="16980">
          <cell r="G16980" t="str">
            <v>ASV19138</v>
          </cell>
          <cell r="H16980" t="str">
            <v>g__unclassified_c__Clostridia</v>
          </cell>
          <cell r="I16980" t="str">
            <v>s__unclassified_c__Clostridia</v>
          </cell>
        </row>
        <row r="16981">
          <cell r="G16981" t="str">
            <v>ASV12052</v>
          </cell>
          <cell r="H16981" t="str">
            <v>g__norank_f__norank_o__Clostridia_UCG-014</v>
          </cell>
          <cell r="I16981" t="str">
            <v>s__uncultured_bacterium_g__norank_f__norank_o__Clostridia_UCG-014</v>
          </cell>
        </row>
        <row r="16982">
          <cell r="G16982" t="str">
            <v>ASV12439</v>
          </cell>
          <cell r="H16982" t="str">
            <v>g__unclassified_f__Lachnospiraceae</v>
          </cell>
          <cell r="I16982" t="str">
            <v>s__unclassified_f__Lachnospiraceae</v>
          </cell>
        </row>
        <row r="16983">
          <cell r="G16983" t="str">
            <v>ASV10834</v>
          </cell>
          <cell r="H16983" t="str">
            <v>g__norank_f__p-2534-18B5_gut_group</v>
          </cell>
          <cell r="I16983" t="str">
            <v>s__uncultured_bacterium_g__norank_f__p-2534-18B5_gut_group</v>
          </cell>
        </row>
        <row r="16984">
          <cell r="G16984" t="str">
            <v>ASV12168</v>
          </cell>
          <cell r="H16984" t="str">
            <v>g__Sharpea</v>
          </cell>
          <cell r="I16984" t="str">
            <v>s__unclassified_g__Sharpea</v>
          </cell>
        </row>
        <row r="16985">
          <cell r="G16985" t="str">
            <v>ASV8009</v>
          </cell>
          <cell r="H16985" t="str">
            <v>g__unclassified_p__Firmicutes</v>
          </cell>
          <cell r="I16985" t="str">
            <v>s__unclassified_p__Firmicutes</v>
          </cell>
        </row>
        <row r="16986">
          <cell r="G16986" t="str">
            <v>ASV12451</v>
          </cell>
          <cell r="H16986" t="str">
            <v>g__unclassified_f__Oscillospiraceae</v>
          </cell>
          <cell r="I16986" t="str">
            <v>s__unclassified_f__Oscillospiraceae</v>
          </cell>
        </row>
        <row r="16987">
          <cell r="G16987" t="str">
            <v>ASV22799</v>
          </cell>
          <cell r="H16987" t="str">
            <v>g__Lactobacillus</v>
          </cell>
          <cell r="I16987" t="str">
            <v>s__unclassified_g__Lactobacillus</v>
          </cell>
        </row>
        <row r="16988">
          <cell r="G16988" t="str">
            <v>ASV12124</v>
          </cell>
          <cell r="H16988" t="str">
            <v>g__unclassified_k__norank_d__Bacteria</v>
          </cell>
          <cell r="I16988" t="str">
            <v>s__unclassified_k__norank_d__Bacteria</v>
          </cell>
        </row>
        <row r="16989">
          <cell r="G16989" t="str">
            <v>ASV12129</v>
          </cell>
          <cell r="H16989" t="str">
            <v>g__unclassified_c__Clostridia</v>
          </cell>
          <cell r="I16989" t="str">
            <v>s__unclassified_c__Clostridia</v>
          </cell>
        </row>
        <row r="16990">
          <cell r="G16990" t="str">
            <v>ASV17320</v>
          </cell>
          <cell r="H16990" t="str">
            <v>g__Veillonella</v>
          </cell>
          <cell r="I16990" t="str">
            <v>s__unclassified_g__Veillonella</v>
          </cell>
        </row>
        <row r="16991">
          <cell r="G16991" t="str">
            <v>ASV4366</v>
          </cell>
          <cell r="H16991" t="str">
            <v>g__unclassified_k__norank_d__Bacteria</v>
          </cell>
          <cell r="I16991" t="str">
            <v>s__unclassified_k__norank_d__Bacteria</v>
          </cell>
        </row>
        <row r="16992">
          <cell r="G16992" t="str">
            <v>ASV12152</v>
          </cell>
          <cell r="H16992" t="str">
            <v>g__Rikenellaceae_RC9_gut_group</v>
          </cell>
          <cell r="I16992" t="str">
            <v>s__uncultured_bacterium_g__Rikenellaceae_RC9_gut_group</v>
          </cell>
        </row>
        <row r="16993">
          <cell r="G16993" t="str">
            <v>ASV8742</v>
          </cell>
          <cell r="H16993" t="str">
            <v>g__Clostridium_sensu_stricto_1</v>
          </cell>
          <cell r="I16993" t="str">
            <v>s__unclassified_g__Clostridium_sensu_stricto_1</v>
          </cell>
        </row>
        <row r="16994">
          <cell r="G16994" t="str">
            <v>ASV2533</v>
          </cell>
          <cell r="H16994" t="str">
            <v>g__unclassified_c__Clostridia</v>
          </cell>
          <cell r="I16994" t="str">
            <v>s__unclassified_c__Clostridia</v>
          </cell>
        </row>
        <row r="16995">
          <cell r="G16995" t="str">
            <v>ASV18351</v>
          </cell>
          <cell r="H16995" t="str">
            <v>g__unclassified_f__Oxalobacteraceae</v>
          </cell>
          <cell r="I16995" t="str">
            <v>s__unclassified_f__Oxalobacteraceae</v>
          </cell>
        </row>
        <row r="16996">
          <cell r="G16996" t="str">
            <v>ASV7110</v>
          </cell>
          <cell r="H16996" t="str">
            <v>g__unclassified_f__Lachnospiraceae</v>
          </cell>
          <cell r="I16996" t="str">
            <v>s__unclassified_f__Lachnospiraceae</v>
          </cell>
        </row>
        <row r="16997">
          <cell r="G16997" t="str">
            <v>ASV10882</v>
          </cell>
          <cell r="H16997" t="str">
            <v>g__Collinsella</v>
          </cell>
          <cell r="I16997" t="str">
            <v>s__unclassified_g__Collinsella</v>
          </cell>
        </row>
        <row r="16998">
          <cell r="G16998" t="str">
            <v>ASV9684</v>
          </cell>
          <cell r="H16998" t="str">
            <v>g__unclassified_c__Clostridia</v>
          </cell>
          <cell r="I16998" t="str">
            <v>s__unclassified_c__Clostridia</v>
          </cell>
        </row>
        <row r="16999">
          <cell r="G16999" t="str">
            <v>ASV10873</v>
          </cell>
          <cell r="H16999" t="str">
            <v>g__unclassified_p__Firmicutes</v>
          </cell>
          <cell r="I16999" t="str">
            <v>s__unclassified_p__Firmicutes</v>
          </cell>
        </row>
        <row r="17000">
          <cell r="G17000" t="str">
            <v>ASV14838</v>
          </cell>
          <cell r="H17000" t="str">
            <v>g__unclassified_c__Clostridia</v>
          </cell>
          <cell r="I17000" t="str">
            <v>s__unclassified_c__Clostridia</v>
          </cell>
        </row>
        <row r="17001">
          <cell r="G17001" t="str">
            <v>ASV22527</v>
          </cell>
          <cell r="H17001" t="str">
            <v>g__Faecalicoccus</v>
          </cell>
          <cell r="I17001" t="str">
            <v>s__Faecalicoccus_pleomorphus_DSM_20574</v>
          </cell>
        </row>
        <row r="17002">
          <cell r="G17002" t="str">
            <v>ASV23778</v>
          </cell>
          <cell r="H17002" t="str">
            <v>g__unclassified_f__Desulfovibrionaceae</v>
          </cell>
          <cell r="I17002" t="str">
            <v>s__unclassified_f__Desulfovibrionaceae</v>
          </cell>
        </row>
        <row r="17003">
          <cell r="G17003" t="str">
            <v>ASV17240</v>
          </cell>
          <cell r="H17003" t="str">
            <v>g__Peptococcus</v>
          </cell>
          <cell r="I17003" t="str">
            <v>s__uncultured_bacterium_g__Peptococcus</v>
          </cell>
        </row>
        <row r="17004">
          <cell r="G17004" t="str">
            <v>ASV8176</v>
          </cell>
          <cell r="H17004" t="str">
            <v>g__unclassified_c__Clostridia</v>
          </cell>
          <cell r="I17004" t="str">
            <v>s__unclassified_c__Clostridia</v>
          </cell>
        </row>
        <row r="17005">
          <cell r="G17005" t="str">
            <v>ASV6967</v>
          </cell>
          <cell r="H17005" t="str">
            <v>g__unclassified_c__Gammaproteobacteria</v>
          </cell>
          <cell r="I17005" t="str">
            <v>s__unclassified_c__Gammaproteobacteria</v>
          </cell>
        </row>
        <row r="17006">
          <cell r="G17006" t="str">
            <v>ASV1282</v>
          </cell>
          <cell r="H17006" t="str">
            <v>g__unclassified_p__Firmicutes</v>
          </cell>
          <cell r="I17006" t="str">
            <v>s__unclassified_p__Firmicutes</v>
          </cell>
        </row>
        <row r="17007">
          <cell r="G17007" t="str">
            <v>ASV12103</v>
          </cell>
          <cell r="H17007" t="str">
            <v>g__unclassified_c__Clostridia</v>
          </cell>
          <cell r="I17007" t="str">
            <v>s__unclassified_c__Clostridia</v>
          </cell>
        </row>
        <row r="17008">
          <cell r="G17008" t="str">
            <v>ASV21658</v>
          </cell>
          <cell r="H17008" t="str">
            <v>g__unclassified_f__Lachnospiraceae</v>
          </cell>
          <cell r="I17008" t="str">
            <v>s__unclassified_f__Lachnospiraceae</v>
          </cell>
        </row>
        <row r="17009">
          <cell r="G17009" t="str">
            <v>ASV16995</v>
          </cell>
          <cell r="H17009" t="str">
            <v>g__Olsenella</v>
          </cell>
          <cell r="I17009" t="str">
            <v>s__Eubacterium_sp._cL-10-1-3</v>
          </cell>
        </row>
        <row r="17010">
          <cell r="G17010" t="str">
            <v>ASV15630</v>
          </cell>
          <cell r="H17010" t="str">
            <v>g__unclassified_c__Clostridia</v>
          </cell>
          <cell r="I17010" t="str">
            <v>s__unclassified_c__Clostridia</v>
          </cell>
        </row>
        <row r="17011">
          <cell r="G17011" t="str">
            <v>ASV13653</v>
          </cell>
          <cell r="H17011" t="str">
            <v>g__Clostridium_sensu_stricto_6</v>
          </cell>
          <cell r="I17011" t="str">
            <v>s__uncultured_bacterium_g__Clostridium_sensu_stricto_6</v>
          </cell>
        </row>
        <row r="17012">
          <cell r="G17012" t="str">
            <v>ASV14614</v>
          </cell>
          <cell r="H17012" t="str">
            <v>g__unclassified_f__Lachnospiraceae</v>
          </cell>
          <cell r="I17012" t="str">
            <v>s__unclassified_f__Lachnospiraceae</v>
          </cell>
        </row>
        <row r="17013">
          <cell r="G17013" t="str">
            <v>ASV2564</v>
          </cell>
          <cell r="H17013" t="str">
            <v>g__unclassified_f__Oscillospiraceae</v>
          </cell>
          <cell r="I17013" t="str">
            <v>s__unclassified_f__Oscillospiraceae</v>
          </cell>
        </row>
        <row r="17014">
          <cell r="G17014" t="str">
            <v>ASV13172</v>
          </cell>
          <cell r="H17014" t="str">
            <v>g__unclassified_f__Peptostreptococcaceae</v>
          </cell>
          <cell r="I17014" t="str">
            <v>s__unclassified_f__Peptostreptococcaceae</v>
          </cell>
        </row>
        <row r="17015">
          <cell r="G17015" t="str">
            <v>ASV18730</v>
          </cell>
          <cell r="H17015" t="str">
            <v>g__unclassified_f__Lachnospiraceae</v>
          </cell>
          <cell r="I17015" t="str">
            <v>s__unclassified_f__Lachnospiraceae</v>
          </cell>
        </row>
        <row r="17016">
          <cell r="G17016" t="str">
            <v>ASV7383</v>
          </cell>
          <cell r="H17016" t="str">
            <v>g__unclassified_p__Firmicutes</v>
          </cell>
          <cell r="I17016" t="str">
            <v>s__unclassified_p__Firmicutes</v>
          </cell>
        </row>
        <row r="17017">
          <cell r="G17017" t="str">
            <v>ASV23714</v>
          </cell>
          <cell r="H17017" t="str">
            <v>g__unclassified_c__Clostridia</v>
          </cell>
          <cell r="I17017" t="str">
            <v>s__unclassified_c__Clostridia</v>
          </cell>
        </row>
        <row r="17018">
          <cell r="G17018" t="str">
            <v>ASV17038</v>
          </cell>
          <cell r="H17018" t="str">
            <v>g__norank_f__norank_o__Clostridia_UCG-014</v>
          </cell>
          <cell r="I17018" t="str">
            <v>s__unclassified_g__norank_f__norank_o__Clostridia_UCG-014</v>
          </cell>
        </row>
        <row r="17019">
          <cell r="G17019" t="str">
            <v>ASV19887</v>
          </cell>
          <cell r="H17019" t="str">
            <v>g__unclassified_c__Clostridia</v>
          </cell>
          <cell r="I17019" t="str">
            <v>s__unclassified_c__Clostridia</v>
          </cell>
        </row>
        <row r="17020">
          <cell r="G17020" t="str">
            <v>ASV12044</v>
          </cell>
          <cell r="H17020" t="str">
            <v>g__Prevotella</v>
          </cell>
          <cell r="I17020" t="str">
            <v>s__uncultured_bacterium_g__Prevotella</v>
          </cell>
        </row>
        <row r="17021">
          <cell r="G17021" t="str">
            <v>ASV20166</v>
          </cell>
          <cell r="H17021" t="str">
            <v>g__Blautia</v>
          </cell>
          <cell r="I17021" t="str">
            <v>s__unclassified_g__Blautia</v>
          </cell>
        </row>
        <row r="17022">
          <cell r="G17022" t="str">
            <v>ASV12417</v>
          </cell>
          <cell r="H17022" t="str">
            <v>g__unclassified_f__Oscillospiraceae</v>
          </cell>
          <cell r="I17022" t="str">
            <v>s__unclassified_f__Oscillospiraceae</v>
          </cell>
        </row>
        <row r="17023">
          <cell r="G17023" t="str">
            <v>ASV6434</v>
          </cell>
          <cell r="H17023" t="str">
            <v>g__unclassified_f__Lachnospiraceae</v>
          </cell>
          <cell r="I17023" t="str">
            <v>s__unclassified_f__Lachnospiraceae</v>
          </cell>
        </row>
        <row r="17024">
          <cell r="G17024" t="str">
            <v>ASV4365</v>
          </cell>
          <cell r="H17024" t="str">
            <v>g__unclassified_f__Oscillospiraceae</v>
          </cell>
          <cell r="I17024" t="str">
            <v>s__unclassified_f__Oscillospiraceae</v>
          </cell>
        </row>
        <row r="17025">
          <cell r="G17025" t="str">
            <v>ASV12313</v>
          </cell>
          <cell r="H17025" t="str">
            <v>g__unclassified_f__Ruminococcaceae</v>
          </cell>
          <cell r="I17025" t="str">
            <v>s__unclassified_f__Ruminococcaceae</v>
          </cell>
        </row>
        <row r="17026">
          <cell r="G17026" t="str">
            <v>ASV1338</v>
          </cell>
          <cell r="H17026" t="str">
            <v>g__unclassified_p__Firmicutes</v>
          </cell>
          <cell r="I17026" t="str">
            <v>s__unclassified_p__Firmicutes</v>
          </cell>
        </row>
        <row r="17027">
          <cell r="G17027" t="str">
            <v>ASV6197</v>
          </cell>
          <cell r="H17027" t="str">
            <v>g__unclassified_k__norank_d__Bacteria</v>
          </cell>
          <cell r="I17027" t="str">
            <v>s__unclassified_k__norank_d__Bacteria</v>
          </cell>
        </row>
        <row r="17028">
          <cell r="G17028" t="str">
            <v>ASV19911</v>
          </cell>
          <cell r="H17028" t="str">
            <v>g__Sharpea</v>
          </cell>
          <cell r="I17028" t="str">
            <v>s__unclassified_g__Sharpea</v>
          </cell>
        </row>
        <row r="17029">
          <cell r="G17029" t="str">
            <v>ASV8005</v>
          </cell>
          <cell r="H17029" t="str">
            <v>g__norank_f__norank_o__Bradymonadales</v>
          </cell>
          <cell r="I17029" t="str">
            <v>s__uncultured_rumen_bacterium_g__norank_f__norank_o__Bradymonadales</v>
          </cell>
        </row>
        <row r="17030">
          <cell r="G17030" t="str">
            <v>ASV18689</v>
          </cell>
          <cell r="H17030" t="str">
            <v>g__unclassified_f__Lachnospiraceae</v>
          </cell>
          <cell r="I17030" t="str">
            <v>s__unclassified_f__Lachnospiraceae</v>
          </cell>
        </row>
        <row r="17031">
          <cell r="G17031" t="str">
            <v>ASV12341</v>
          </cell>
          <cell r="H17031" t="str">
            <v>g__unclassified_c__Clostridia</v>
          </cell>
          <cell r="I17031" t="str">
            <v>s__unclassified_c__Clostridia</v>
          </cell>
        </row>
        <row r="17032">
          <cell r="G17032" t="str">
            <v>ASV4210</v>
          </cell>
          <cell r="H17032" t="str">
            <v>g__Alloprevotella</v>
          </cell>
          <cell r="I17032" t="str">
            <v>s__uncultured_bacterium_g__Alloprevotella</v>
          </cell>
        </row>
        <row r="17033">
          <cell r="G17033" t="str">
            <v>ASV9704</v>
          </cell>
          <cell r="H17033" t="str">
            <v>g__unclassified_p__Firmicutes</v>
          </cell>
          <cell r="I17033" t="str">
            <v>s__unclassified_p__Firmicutes</v>
          </cell>
        </row>
        <row r="17034">
          <cell r="G17034" t="str">
            <v>ASV10248</v>
          </cell>
          <cell r="H17034" t="str">
            <v>g__Fusobacterium</v>
          </cell>
          <cell r="I17034" t="str">
            <v>s__unclassified_g__Fusobacterium</v>
          </cell>
        </row>
        <row r="17035">
          <cell r="G17035" t="str">
            <v>ASV5238</v>
          </cell>
          <cell r="H17035" t="str">
            <v>g__Eubacterium_oxidoreducens_group</v>
          </cell>
          <cell r="I17035" t="str">
            <v>s__uncultured_bacterium_g__Eubacterium_oxidoreducens_group</v>
          </cell>
        </row>
        <row r="17036">
          <cell r="G17036" t="str">
            <v>ASV24399</v>
          </cell>
          <cell r="H17036" t="str">
            <v>g__norank_f__Peptostreptococcaceae</v>
          </cell>
          <cell r="I17036" t="str">
            <v>s__unclassified_g__norank_f__Peptostreptococcaceae</v>
          </cell>
        </row>
        <row r="17037">
          <cell r="G17037" t="str">
            <v>ASV18276</v>
          </cell>
          <cell r="H17037" t="str">
            <v>g__norank_f__Muribaculaceae</v>
          </cell>
          <cell r="I17037" t="str">
            <v>s__uncultured_bacterium_g__norank_f__Muribaculaceae</v>
          </cell>
        </row>
        <row r="17038">
          <cell r="G17038" t="str">
            <v>ASV12162</v>
          </cell>
          <cell r="H17038" t="str">
            <v>g__Rikenellaceae_RC9_gut_group</v>
          </cell>
          <cell r="I17038" t="str">
            <v>s__uncultured_bacterium_g__Rikenellaceae_RC9_gut_group</v>
          </cell>
        </row>
        <row r="17039">
          <cell r="G17039" t="str">
            <v>ASV14665</v>
          </cell>
          <cell r="H17039" t="str">
            <v>g__Christensenellaceae_R-7_group</v>
          </cell>
          <cell r="I17039" t="str">
            <v>s__unclassified_g__Christensenellaceae_R-7_group</v>
          </cell>
        </row>
        <row r="17040">
          <cell r="G17040" t="str">
            <v>ASV18459</v>
          </cell>
          <cell r="H17040" t="str">
            <v>g__unclassified_c__Clostridia</v>
          </cell>
          <cell r="I17040" t="str">
            <v>s__unclassified_c__Clostridia</v>
          </cell>
        </row>
        <row r="17041">
          <cell r="G17041" t="str">
            <v>ASV24050</v>
          </cell>
          <cell r="H17041" t="str">
            <v>g__unclassified_f__Oscillospiraceae</v>
          </cell>
          <cell r="I17041" t="str">
            <v>s__unclassified_f__Oscillospiraceae</v>
          </cell>
        </row>
        <row r="17042">
          <cell r="G17042" t="str">
            <v>ASV12183</v>
          </cell>
          <cell r="H17042" t="str">
            <v>g__unclassified_o__Oscillospirales</v>
          </cell>
          <cell r="I17042" t="str">
            <v>s__unclassified_o__Oscillospirales</v>
          </cell>
        </row>
        <row r="17043">
          <cell r="G17043" t="str">
            <v>ASV2801</v>
          </cell>
          <cell r="H17043" t="str">
            <v>g__Lachnospiraceae_UCG-003</v>
          </cell>
          <cell r="I17043" t="str">
            <v>s__uncultured_bacterium_g__Lachnospiraceae_UCG-003</v>
          </cell>
        </row>
        <row r="17044">
          <cell r="G17044" t="str">
            <v>ASV5329</v>
          </cell>
          <cell r="H17044" t="str">
            <v>g__unclassified_p__Firmicutes</v>
          </cell>
          <cell r="I17044" t="str">
            <v>s__unclassified_p__Firmicutes</v>
          </cell>
        </row>
        <row r="17045">
          <cell r="G17045" t="str">
            <v>ASV22879</v>
          </cell>
          <cell r="H17045" t="str">
            <v>g__norank_f__Erysipelotrichaceae</v>
          </cell>
          <cell r="I17045" t="str">
            <v>s__uncultured_bacterium_g__norank_f__Erysipelotrichaceae</v>
          </cell>
        </row>
        <row r="17046">
          <cell r="G17046" t="str">
            <v>ASV14710</v>
          </cell>
          <cell r="H17046" t="str">
            <v>g__Lactobacillus</v>
          </cell>
          <cell r="I17046" t="str">
            <v>s__unclassified_g__Lactobacillus</v>
          </cell>
        </row>
        <row r="17047">
          <cell r="G17047" t="str">
            <v>ASV14788</v>
          </cell>
          <cell r="H17047" t="str">
            <v>g__unclassified_f__Lachnospiraceae</v>
          </cell>
          <cell r="I17047" t="str">
            <v>s__unclassified_f__Lachnospiraceae</v>
          </cell>
        </row>
        <row r="17048">
          <cell r="G17048" t="str">
            <v>ASV3332</v>
          </cell>
          <cell r="H17048" t="str">
            <v>g__unclassified_f__Ruminococcaceae</v>
          </cell>
          <cell r="I17048" t="str">
            <v>s__unclassified_f__Ruminococcaceae</v>
          </cell>
        </row>
        <row r="17049">
          <cell r="G17049" t="str">
            <v>ASV5345</v>
          </cell>
          <cell r="H17049" t="str">
            <v>g__unclassified_c__Clostridia</v>
          </cell>
          <cell r="I17049" t="str">
            <v>s__unclassified_c__Clostridia</v>
          </cell>
        </row>
        <row r="17050">
          <cell r="G17050" t="str">
            <v>ASV3724</v>
          </cell>
          <cell r="H17050" t="str">
            <v>g__Staphylococcus</v>
          </cell>
          <cell r="I17050" t="str">
            <v>s__unclassified_g__Staphylococcus</v>
          </cell>
        </row>
        <row r="17051">
          <cell r="G17051" t="str">
            <v>ASV13650</v>
          </cell>
          <cell r="H17051" t="str">
            <v>g__norank_f__Ruminococcaceae</v>
          </cell>
          <cell r="I17051" t="str">
            <v>s__unclassified_g__norank_f__Ruminococcaceae</v>
          </cell>
        </row>
        <row r="17052">
          <cell r="G17052" t="str">
            <v>ASV16121</v>
          </cell>
          <cell r="H17052" t="str">
            <v>g__Fusobacterium</v>
          </cell>
          <cell r="I17052" t="str">
            <v>s__unclassified_g__Fusobacterium</v>
          </cell>
        </row>
        <row r="17053">
          <cell r="G17053" t="str">
            <v>ASV12258</v>
          </cell>
          <cell r="H17053" t="str">
            <v>g__unclassified_o__Bacteroidales</v>
          </cell>
          <cell r="I17053" t="str">
            <v>s__unclassified_o__Bacteroidales</v>
          </cell>
        </row>
        <row r="17054">
          <cell r="G17054" t="str">
            <v>ASV18320</v>
          </cell>
          <cell r="H17054" t="str">
            <v>g__Christensenellaceae_R-7_group</v>
          </cell>
          <cell r="I17054" t="str">
            <v>s__unclassified_g__Christensenellaceae_R-7_group</v>
          </cell>
        </row>
        <row r="17055">
          <cell r="G17055" t="str">
            <v>ASV1795</v>
          </cell>
          <cell r="H17055" t="str">
            <v>g__Subdoligranulum</v>
          </cell>
          <cell r="I17055" t="str">
            <v>s__uncultured_bacterium_g__Subdoligranulum</v>
          </cell>
        </row>
        <row r="17056">
          <cell r="G17056" t="str">
            <v>ASV3284</v>
          </cell>
          <cell r="H17056" t="str">
            <v>g__unclassified_f__Pasteurellaceae</v>
          </cell>
          <cell r="I17056" t="str">
            <v>s__unclassified_f__Pasteurellaceae</v>
          </cell>
        </row>
        <row r="17057">
          <cell r="G17057" t="str">
            <v>ASV9685</v>
          </cell>
          <cell r="H17057" t="str">
            <v>g__unclassified_c__Clostridia</v>
          </cell>
          <cell r="I17057" t="str">
            <v>s__unclassified_c__Clostridia</v>
          </cell>
        </row>
        <row r="17058">
          <cell r="G17058" t="str">
            <v>ASV15660</v>
          </cell>
          <cell r="H17058" t="str">
            <v>g__Lachnospiraceae_NC2004_group</v>
          </cell>
          <cell r="I17058" t="str">
            <v>s__uncultured_bacterium_g__Lachnospiraceae_NC2004_group</v>
          </cell>
        </row>
        <row r="17059">
          <cell r="G17059" t="str">
            <v>ASV1490</v>
          </cell>
          <cell r="H17059" t="str">
            <v>g__unclassified_f__Lachnospiraceae</v>
          </cell>
          <cell r="I17059" t="str">
            <v>s__unclassified_f__Lachnospiraceae</v>
          </cell>
        </row>
        <row r="17060">
          <cell r="G17060" t="str">
            <v>ASV22864</v>
          </cell>
          <cell r="H17060" t="str">
            <v>g__Subdoligranulum</v>
          </cell>
          <cell r="I17060" t="str">
            <v>s__unclassified_g__Subdoligranulum</v>
          </cell>
        </row>
        <row r="17061">
          <cell r="G17061" t="str">
            <v>ASV14684</v>
          </cell>
          <cell r="H17061" t="str">
            <v>g__unclassified_o__Oscillospirales</v>
          </cell>
          <cell r="I17061" t="str">
            <v>s__unclassified_o__Oscillospirales</v>
          </cell>
        </row>
        <row r="17062">
          <cell r="G17062" t="str">
            <v>ASV6359</v>
          </cell>
          <cell r="H17062" t="str">
            <v>g__norank_f__UCG-010</v>
          </cell>
          <cell r="I17062" t="str">
            <v>s__uncultured_bacterium_g__norank_f__UCG-010</v>
          </cell>
        </row>
        <row r="17063">
          <cell r="G17063" t="str">
            <v>ASV12397</v>
          </cell>
          <cell r="H17063" t="str">
            <v>g__unclassified_p__Firmicutes</v>
          </cell>
          <cell r="I17063" t="str">
            <v>s__unclassified_p__Firmicutes</v>
          </cell>
        </row>
        <row r="17064">
          <cell r="G17064" t="str">
            <v>ASV9834</v>
          </cell>
          <cell r="H17064" t="str">
            <v>g__Lactobacillus</v>
          </cell>
          <cell r="I17064" t="str">
            <v>s__unclassified_g__Lactobacillus</v>
          </cell>
        </row>
        <row r="17065">
          <cell r="G17065" t="str">
            <v>ASV5371</v>
          </cell>
          <cell r="H17065" t="str">
            <v>g__unclassified_f__Ruminococcaceae</v>
          </cell>
          <cell r="I17065" t="str">
            <v>s__unclassified_f__Ruminococcaceae</v>
          </cell>
        </row>
        <row r="17066">
          <cell r="G17066" t="str">
            <v>ASV9781</v>
          </cell>
          <cell r="H17066" t="str">
            <v>g__unclassified_c__Clostridia</v>
          </cell>
          <cell r="I17066" t="str">
            <v>s__unclassified_c__Clostridia</v>
          </cell>
        </row>
        <row r="17067">
          <cell r="G17067" t="str">
            <v>ASV1289</v>
          </cell>
          <cell r="H17067" t="str">
            <v>g__unclassified_c__Clostridia</v>
          </cell>
          <cell r="I17067" t="str">
            <v>s__unclassified_c__Clostridia</v>
          </cell>
        </row>
        <row r="17068">
          <cell r="G17068" t="str">
            <v>ASV22528</v>
          </cell>
          <cell r="H17068" t="str">
            <v>g__Rikenellaceae_RC9_gut_group</v>
          </cell>
          <cell r="I17068" t="str">
            <v>s__uncultured_bacterium_g__Rikenellaceae_RC9_gut_group</v>
          </cell>
        </row>
        <row r="17069">
          <cell r="G17069" t="str">
            <v>ASV1829</v>
          </cell>
          <cell r="H17069" t="str">
            <v>g__Lactobacillus</v>
          </cell>
          <cell r="I17069" t="str">
            <v>s__unclassified_g__Lactobacillus</v>
          </cell>
        </row>
        <row r="17070">
          <cell r="G17070" t="str">
            <v>ASV5339</v>
          </cell>
          <cell r="H17070" t="str">
            <v>g__unclassified_f__Peptostreptococcaceae</v>
          </cell>
          <cell r="I17070" t="str">
            <v>s__unclassified_f__Peptostreptococcaceae</v>
          </cell>
        </row>
        <row r="17071">
          <cell r="G17071" t="str">
            <v>ASV21054</v>
          </cell>
          <cell r="H17071" t="str">
            <v>g__unclassified_c__Clostridia</v>
          </cell>
          <cell r="I17071" t="str">
            <v>s__unclassified_c__Clostridia</v>
          </cell>
        </row>
        <row r="17072">
          <cell r="G17072" t="str">
            <v>ASV3296</v>
          </cell>
          <cell r="H17072" t="str">
            <v>g__unclassified_f__Lachnospiraceae</v>
          </cell>
          <cell r="I17072" t="str">
            <v>s__unclassified_f__Lachnospiraceae</v>
          </cell>
        </row>
        <row r="17073">
          <cell r="G17073" t="str">
            <v>ASV14790</v>
          </cell>
          <cell r="H17073" t="str">
            <v>g__unclassified_f__Lachnospiraceae</v>
          </cell>
          <cell r="I17073" t="str">
            <v>s__unclassified_f__Lachnospiraceae</v>
          </cell>
        </row>
        <row r="17074">
          <cell r="G17074" t="str">
            <v>ASV22644</v>
          </cell>
          <cell r="H17074" t="str">
            <v>g__unclassified_f__Peptostreptococcaceae</v>
          </cell>
          <cell r="I17074" t="str">
            <v>s__unclassified_f__Peptostreptococcaceae</v>
          </cell>
        </row>
        <row r="17075">
          <cell r="G17075" t="str">
            <v>ASV12031</v>
          </cell>
          <cell r="H17075" t="str">
            <v>g__Anaeroplasma</v>
          </cell>
          <cell r="I17075" t="str">
            <v>s__uncultured_rumen_bacterium_g__Anaeroplasma</v>
          </cell>
        </row>
        <row r="17076">
          <cell r="G17076" t="str">
            <v>ASV2802</v>
          </cell>
          <cell r="H17076" t="str">
            <v>g__Bacillus</v>
          </cell>
          <cell r="I17076" t="str">
            <v>s__Lactobacillus_vaginalis_g__Bacillus</v>
          </cell>
        </row>
        <row r="17077">
          <cell r="G17077" t="str">
            <v>ASV22881</v>
          </cell>
          <cell r="H17077" t="str">
            <v>g__unclassified_c__Clostridia</v>
          </cell>
          <cell r="I17077" t="str">
            <v>s__unclassified_c__Clostridia</v>
          </cell>
        </row>
        <row r="17078">
          <cell r="G17078" t="str">
            <v>ASV3713</v>
          </cell>
          <cell r="H17078" t="str">
            <v>g__Lactobacillus</v>
          </cell>
          <cell r="I17078" t="str">
            <v>s__unclassified_g__Lactobacillus</v>
          </cell>
        </row>
        <row r="17079">
          <cell r="G17079" t="str">
            <v>ASV9648</v>
          </cell>
          <cell r="H17079" t="str">
            <v>g__unclassified_c__Bacilli</v>
          </cell>
          <cell r="I17079" t="str">
            <v>s__unclassified_c__Bacilli</v>
          </cell>
        </row>
        <row r="17080">
          <cell r="G17080" t="str">
            <v>ASV13655</v>
          </cell>
          <cell r="H17080" t="str">
            <v>g__unclassified_f__Lachnospiraceae</v>
          </cell>
          <cell r="I17080" t="str">
            <v>s__unclassified_f__Lachnospiraceae</v>
          </cell>
        </row>
        <row r="17081">
          <cell r="G17081" t="str">
            <v>ASV22993</v>
          </cell>
          <cell r="H17081" t="str">
            <v>g__Sharpea</v>
          </cell>
          <cell r="I17081" t="str">
            <v>s__unclassified_g__Sharpea</v>
          </cell>
        </row>
        <row r="17082">
          <cell r="G17082" t="str">
            <v>ASV10866</v>
          </cell>
          <cell r="H17082" t="str">
            <v>g__unclassified_k__norank_d__Bacteria</v>
          </cell>
          <cell r="I17082" t="str">
            <v>s__unclassified_k__norank_d__Bacteria</v>
          </cell>
        </row>
        <row r="17083">
          <cell r="G17083" t="str">
            <v>ASV10237</v>
          </cell>
          <cell r="H17083" t="str">
            <v>g__Veillonella</v>
          </cell>
          <cell r="I17083" t="str">
            <v>s__unclassified_g__Veillonella</v>
          </cell>
        </row>
        <row r="17084">
          <cell r="G17084" t="str">
            <v>ASV23792</v>
          </cell>
          <cell r="H17084" t="str">
            <v>g__Eubacterium_nodatum_group</v>
          </cell>
          <cell r="I17084" t="str">
            <v>s__Eubacterium_pyruvativorans</v>
          </cell>
        </row>
        <row r="17085">
          <cell r="G17085" t="str">
            <v>ASV1124</v>
          </cell>
          <cell r="H17085" t="str">
            <v>g__norank_f__Eubacterium_coprostanoligenes_group</v>
          </cell>
          <cell r="I17085" t="str">
            <v>s__uncultured_bacterium_g__norank_f__Eubacterium_coprostanoligenes_group</v>
          </cell>
        </row>
        <row r="17086">
          <cell r="G17086" t="str">
            <v>ASV1220</v>
          </cell>
          <cell r="H17086" t="str">
            <v>g__norank_f__norank_o__Clostridia_vadinBB60_group</v>
          </cell>
          <cell r="I17086" t="str">
            <v>s__unclassified_g__norank_f__norank_o__Clostridia_vadinBB60_group</v>
          </cell>
        </row>
        <row r="17087">
          <cell r="G17087" t="str">
            <v>ASV2959</v>
          </cell>
          <cell r="H17087" t="str">
            <v>g__Fusobacterium</v>
          </cell>
          <cell r="I17087" t="str">
            <v>s__unclassified_g__Fusobacterium</v>
          </cell>
        </row>
        <row r="17088">
          <cell r="G17088" t="str">
            <v>ASV16750</v>
          </cell>
          <cell r="H17088" t="str">
            <v>g__UCG-004</v>
          </cell>
          <cell r="I17088" t="str">
            <v>s__uncultured_bacterium_g__UCG-004</v>
          </cell>
        </row>
        <row r="17089">
          <cell r="G17089" t="str">
            <v>ASV18247</v>
          </cell>
          <cell r="H17089" t="str">
            <v>g__unclassified_k__norank_d__Bacteria</v>
          </cell>
          <cell r="I17089" t="str">
            <v>s__unclassified_k__norank_d__Bacteria</v>
          </cell>
        </row>
        <row r="17090">
          <cell r="G17090" t="str">
            <v>ASV23726</v>
          </cell>
          <cell r="H17090" t="str">
            <v>g__Tyzzerella</v>
          </cell>
          <cell r="I17090" t="str">
            <v>s__unclassified_g__Tyzzerella</v>
          </cell>
        </row>
        <row r="17091">
          <cell r="G17091" t="str">
            <v>ASV13165</v>
          </cell>
          <cell r="H17091" t="str">
            <v>g__Alloprevotella</v>
          </cell>
          <cell r="I17091" t="str">
            <v>s__uncultured_bacterium_g__Alloprevotella</v>
          </cell>
        </row>
        <row r="17092">
          <cell r="G17092" t="str">
            <v>ASV14881</v>
          </cell>
          <cell r="H17092" t="str">
            <v>g__unclassified_k__norank_d__Bacteria</v>
          </cell>
          <cell r="I17092" t="str">
            <v>s__unclassified_k__norank_d__Bacteria</v>
          </cell>
        </row>
        <row r="17093">
          <cell r="G17093" t="str">
            <v>ASV15702</v>
          </cell>
          <cell r="H17093" t="str">
            <v>g__unclassified_k__norank_d__Bacteria</v>
          </cell>
          <cell r="I17093" t="str">
            <v>s__unclassified_k__norank_d__Bacteria</v>
          </cell>
        </row>
        <row r="17094">
          <cell r="G17094" t="str">
            <v>ASV13756</v>
          </cell>
          <cell r="H17094" t="str">
            <v>g__Megasphaera</v>
          </cell>
          <cell r="I17094" t="str">
            <v>s__unclassified_g__Megasphaera</v>
          </cell>
        </row>
        <row r="17095">
          <cell r="G17095" t="str">
            <v>ASV5312</v>
          </cell>
          <cell r="H17095" t="str">
            <v>g__Bacteroides</v>
          </cell>
          <cell r="I17095" t="str">
            <v>s__unclassified_g__Bacteroides</v>
          </cell>
        </row>
        <row r="17096">
          <cell r="G17096" t="str">
            <v>ASV8367</v>
          </cell>
          <cell r="H17096" t="str">
            <v>g__Psychrobacter</v>
          </cell>
          <cell r="I17096" t="str">
            <v>s__unclassified_g__Psychrobacter</v>
          </cell>
        </row>
        <row r="17097">
          <cell r="G17097" t="str">
            <v>ASV18261</v>
          </cell>
          <cell r="H17097" t="str">
            <v>g__unclassified_c__Clostridia</v>
          </cell>
          <cell r="I17097" t="str">
            <v>s__unclassified_c__Clostridia</v>
          </cell>
        </row>
        <row r="17098">
          <cell r="G17098" t="str">
            <v>ASV8379</v>
          </cell>
          <cell r="H17098" t="str">
            <v>g__Lactobacillus</v>
          </cell>
          <cell r="I17098" t="str">
            <v>s__unclassified_g__Lactobacillus</v>
          </cell>
        </row>
        <row r="17099">
          <cell r="G17099" t="str">
            <v>ASV14796</v>
          </cell>
          <cell r="H17099" t="str">
            <v>g__unclassified_c__Clostridia</v>
          </cell>
          <cell r="I17099" t="str">
            <v>s__unclassified_c__Clostridia</v>
          </cell>
        </row>
        <row r="17100">
          <cell r="G17100" t="str">
            <v>ASV8188</v>
          </cell>
          <cell r="H17100" t="str">
            <v>g__unclassified_c__Clostridia</v>
          </cell>
          <cell r="I17100" t="str">
            <v>s__unclassified_c__Clostridia</v>
          </cell>
        </row>
        <row r="17101">
          <cell r="G17101" t="str">
            <v>ASV19017</v>
          </cell>
          <cell r="H17101" t="str">
            <v>g__Butyricimonas</v>
          </cell>
          <cell r="I17101" t="str">
            <v>s__unclassified_g__Butyricimonas</v>
          </cell>
        </row>
        <row r="17102">
          <cell r="G17102" t="str">
            <v>ASV20340</v>
          </cell>
          <cell r="H17102" t="str">
            <v>g__unclassified_p__Firmicutes</v>
          </cell>
          <cell r="I17102" t="str">
            <v>s__unclassified_p__Firmicutes</v>
          </cell>
        </row>
        <row r="17103">
          <cell r="G17103" t="str">
            <v>ASV21072</v>
          </cell>
          <cell r="H17103" t="str">
            <v>g__Monoglobus</v>
          </cell>
          <cell r="I17103" t="str">
            <v>s__uncultured_bacterium_g__Monoglobus</v>
          </cell>
        </row>
        <row r="17104">
          <cell r="G17104" t="str">
            <v>ASV17064</v>
          </cell>
          <cell r="H17104" t="str">
            <v>g__Lactobacillus</v>
          </cell>
          <cell r="I17104" t="str">
            <v>s__unclassified_g__Lactobacillus</v>
          </cell>
        </row>
        <row r="17105">
          <cell r="G17105" t="str">
            <v>ASV12324</v>
          </cell>
          <cell r="H17105" t="str">
            <v>g__norank_f__Ruminococcaceae</v>
          </cell>
          <cell r="I17105" t="str">
            <v>s__unclassified_g__norank_f__Ruminococcaceae</v>
          </cell>
        </row>
        <row r="17106">
          <cell r="G17106" t="str">
            <v>ASV22602</v>
          </cell>
          <cell r="H17106" t="str">
            <v>g__unclassified_c__Clostridia</v>
          </cell>
          <cell r="I17106" t="str">
            <v>s__unclassified_c__Clostridia</v>
          </cell>
        </row>
        <row r="17107">
          <cell r="G17107" t="str">
            <v>ASV17341</v>
          </cell>
          <cell r="H17107" t="str">
            <v>g__unclassified_f__Peptostreptococcaceae</v>
          </cell>
          <cell r="I17107" t="str">
            <v>s__unclassified_f__Peptostreptococcaceae</v>
          </cell>
        </row>
        <row r="17108">
          <cell r="G17108" t="str">
            <v>ASV13021</v>
          </cell>
          <cell r="H17108" t="str">
            <v>g__norank_f__Peptococcaceae</v>
          </cell>
          <cell r="I17108" t="str">
            <v>s__uncultured_bacterium_g__norank_f__Peptococcaceae</v>
          </cell>
        </row>
        <row r="17109">
          <cell r="G17109" t="str">
            <v>ASV12450</v>
          </cell>
          <cell r="H17109" t="str">
            <v>g__unclassified_o__Oscillospirales</v>
          </cell>
          <cell r="I17109" t="str">
            <v>s__unclassified_o__Oscillospirales</v>
          </cell>
        </row>
        <row r="17110">
          <cell r="G17110" t="str">
            <v>ASV10843</v>
          </cell>
          <cell r="H17110" t="str">
            <v>g__unclassified_k__norank_d__Bacteria</v>
          </cell>
          <cell r="I17110" t="str">
            <v>s__unclassified_k__norank_d__Bacteria</v>
          </cell>
        </row>
        <row r="17111">
          <cell r="G17111" t="str">
            <v>ASV1245</v>
          </cell>
          <cell r="H17111" t="str">
            <v>g__Christensenellaceae_R-7_group</v>
          </cell>
          <cell r="I17111" t="str">
            <v>s__unclassified_g__Christensenellaceae_R-7_group</v>
          </cell>
        </row>
        <row r="17112">
          <cell r="G17112" t="str">
            <v>ASV23592</v>
          </cell>
          <cell r="H17112" t="str">
            <v>g__unclassified_f__Christensenellaceae</v>
          </cell>
          <cell r="I17112" t="str">
            <v>s__unclassified_f__Christensenellaceae</v>
          </cell>
        </row>
        <row r="17113">
          <cell r="G17113" t="str">
            <v>ASV18389</v>
          </cell>
          <cell r="H17113" t="str">
            <v>g__norank_f__UCG-010</v>
          </cell>
          <cell r="I17113" t="str">
            <v>s__uncultured_bacterium_g__norank_f__UCG-010</v>
          </cell>
        </row>
        <row r="17114">
          <cell r="G17114" t="str">
            <v>ASV18969</v>
          </cell>
          <cell r="H17114" t="str">
            <v>g__unclassified_p__Firmicutes</v>
          </cell>
          <cell r="I17114" t="str">
            <v>s__unclassified_p__Firmicutes</v>
          </cell>
        </row>
        <row r="17115">
          <cell r="G17115" t="str">
            <v>ASV19958</v>
          </cell>
          <cell r="H17115" t="str">
            <v>g__unclassified_o__Oscillospirales</v>
          </cell>
          <cell r="I17115" t="str">
            <v>s__unclassified_o__Oscillospirales</v>
          </cell>
        </row>
        <row r="17116">
          <cell r="G17116" t="str">
            <v>ASV5221</v>
          </cell>
          <cell r="H17116" t="str">
            <v>g__unclassified_o__Oscillospirales</v>
          </cell>
          <cell r="I17116" t="str">
            <v>s__unclassified_o__Oscillospirales</v>
          </cell>
        </row>
        <row r="17117">
          <cell r="G17117" t="str">
            <v>ASV12319</v>
          </cell>
          <cell r="H17117" t="str">
            <v>g__unclassified_p__Firmicutes</v>
          </cell>
          <cell r="I17117" t="str">
            <v>s__unclassified_p__Firmicutes</v>
          </cell>
        </row>
        <row r="17118">
          <cell r="G17118" t="str">
            <v>ASV24024</v>
          </cell>
          <cell r="H17118" t="str">
            <v>g__unclassified_p__Firmicutes</v>
          </cell>
          <cell r="I17118" t="str">
            <v>s__unclassified_p__Firmicutes</v>
          </cell>
        </row>
        <row r="17119">
          <cell r="G17119" t="str">
            <v>ASV13137</v>
          </cell>
          <cell r="H17119" t="str">
            <v>g__unclassified_f__Lachnospiraceae</v>
          </cell>
          <cell r="I17119" t="str">
            <v>s__unclassified_f__Lachnospiraceae</v>
          </cell>
        </row>
        <row r="17120">
          <cell r="G17120" t="str">
            <v>ASV15697</v>
          </cell>
          <cell r="H17120" t="str">
            <v>g__unclassified_c__Clostridia</v>
          </cell>
          <cell r="I17120" t="str">
            <v>s__unclassified_c__Clostridia</v>
          </cell>
        </row>
        <row r="17121">
          <cell r="G17121" t="str">
            <v>ASV2796</v>
          </cell>
          <cell r="H17121" t="str">
            <v>g__norank_f__norank_o__Clostridia_UCG-014</v>
          </cell>
          <cell r="I17121" t="str">
            <v>s__unclassified_g__norank_f__norank_o__Clostridia_UCG-014</v>
          </cell>
        </row>
        <row r="17122">
          <cell r="G17122" t="str">
            <v>ASV8548</v>
          </cell>
          <cell r="H17122" t="str">
            <v>g__unclassified_k__norank_d__Bacteria</v>
          </cell>
          <cell r="I17122" t="str">
            <v>s__unclassified_k__norank_d__Bacteria</v>
          </cell>
        </row>
        <row r="17123">
          <cell r="G17123" t="str">
            <v>ASV5325</v>
          </cell>
          <cell r="H17123" t="str">
            <v>g__Lactobacillus</v>
          </cell>
          <cell r="I17123" t="str">
            <v>s__unclassified_g__Lactobacillus</v>
          </cell>
        </row>
        <row r="17124">
          <cell r="G17124" t="str">
            <v>ASV4306</v>
          </cell>
          <cell r="H17124" t="str">
            <v>g__Sharpea</v>
          </cell>
          <cell r="I17124" t="str">
            <v>s__unclassified_g__Sharpea</v>
          </cell>
        </row>
        <row r="17125">
          <cell r="G17125" t="str">
            <v>ASV18370</v>
          </cell>
          <cell r="H17125" t="str">
            <v>g__Ruminococcus</v>
          </cell>
          <cell r="I17125" t="str">
            <v>s__unclassified_g__Ruminococcus</v>
          </cell>
        </row>
        <row r="17126">
          <cell r="G17126" t="str">
            <v>ASV14739</v>
          </cell>
          <cell r="H17126" t="str">
            <v>g__unclassified_c__Clostridia</v>
          </cell>
          <cell r="I17126" t="str">
            <v>s__unclassified_c__Clostridia</v>
          </cell>
        </row>
        <row r="17127">
          <cell r="G17127" t="str">
            <v>ASV21555</v>
          </cell>
          <cell r="H17127" t="str">
            <v>g__unclassified_k__norank_d__Bacteria</v>
          </cell>
          <cell r="I17127" t="str">
            <v>s__unclassified_k__norank_d__Bacteria</v>
          </cell>
        </row>
        <row r="17128">
          <cell r="G17128" t="str">
            <v>ASV21383</v>
          </cell>
          <cell r="H17128" t="str">
            <v>g__Faecalibacterium</v>
          </cell>
          <cell r="I17128" t="str">
            <v>s__uncultured_bacterium_g__Faecalibacterium</v>
          </cell>
        </row>
        <row r="17129">
          <cell r="G17129" t="str">
            <v>ASV13150</v>
          </cell>
          <cell r="H17129" t="str">
            <v>g__Sharpea</v>
          </cell>
          <cell r="I17129" t="str">
            <v>s__unclassified_g__Sharpea</v>
          </cell>
        </row>
        <row r="17130">
          <cell r="G17130" t="str">
            <v>ASV19992</v>
          </cell>
          <cell r="H17130" t="str">
            <v>g__norank_f__Eubacterium_coprostanoligenes_group</v>
          </cell>
          <cell r="I17130" t="str">
            <v>s__uncultured_bacterium_g__norank_f__Eubacterium_coprostanoligenes_group</v>
          </cell>
        </row>
        <row r="17131">
          <cell r="G17131" t="str">
            <v>ASV15593</v>
          </cell>
          <cell r="H17131" t="str">
            <v>g__unclassified_c__Clostridia</v>
          </cell>
          <cell r="I17131" t="str">
            <v>s__unclassified_c__Clostridia</v>
          </cell>
        </row>
        <row r="17132">
          <cell r="G17132" t="str">
            <v>ASV19120</v>
          </cell>
          <cell r="H17132" t="str">
            <v>g__Sharpea</v>
          </cell>
          <cell r="I17132" t="str">
            <v>s__unclassified_g__Sharpea</v>
          </cell>
        </row>
        <row r="17133">
          <cell r="G17133" t="str">
            <v>ASV18298</v>
          </cell>
          <cell r="H17133" t="str">
            <v>g__unclassified_o__Oscillospirales</v>
          </cell>
          <cell r="I17133" t="str">
            <v>s__unclassified_o__Oscillospirales</v>
          </cell>
        </row>
        <row r="17134">
          <cell r="G17134" t="str">
            <v>ASV4275</v>
          </cell>
          <cell r="H17134" t="str">
            <v>g__Ruminococcus</v>
          </cell>
          <cell r="I17134" t="str">
            <v>s__unclassified_g__Ruminococcus</v>
          </cell>
        </row>
        <row r="17135">
          <cell r="G17135" t="str">
            <v>ASV13833</v>
          </cell>
          <cell r="H17135" t="str">
            <v>g__unclassified_f__Lachnospiraceae</v>
          </cell>
          <cell r="I17135" t="str">
            <v>s__unclassified_f__Lachnospiraceae</v>
          </cell>
        </row>
        <row r="17136">
          <cell r="G17136" t="str">
            <v>ASV20976</v>
          </cell>
          <cell r="H17136" t="str">
            <v>g__unclassified_o__Oscillospirales</v>
          </cell>
          <cell r="I17136" t="str">
            <v>s__unclassified_o__Oscillospirales</v>
          </cell>
        </row>
        <row r="17137">
          <cell r="G17137" t="str">
            <v>ASV15713</v>
          </cell>
          <cell r="H17137" t="str">
            <v>g__Acetitomaculum</v>
          </cell>
          <cell r="I17137" t="str">
            <v>s__uncultured_bacterium_g__Acetitomaculum</v>
          </cell>
        </row>
        <row r="17138">
          <cell r="G17138" t="str">
            <v>ASV6884</v>
          </cell>
          <cell r="H17138" t="str">
            <v>g__unclassified_p__Firmicutes</v>
          </cell>
          <cell r="I17138" t="str">
            <v>s__unclassified_p__Firmicutes</v>
          </cell>
        </row>
        <row r="17139">
          <cell r="G17139" t="str">
            <v>ASV23694</v>
          </cell>
          <cell r="H17139" t="str">
            <v>g__unclassified_f__Oscillospiraceae</v>
          </cell>
          <cell r="I17139" t="str">
            <v>s__unclassified_f__Oscillospiraceae</v>
          </cell>
        </row>
        <row r="17140">
          <cell r="G17140" t="str">
            <v>ASV16125</v>
          </cell>
          <cell r="H17140" t="str">
            <v>g__unclassified_k__norank_d__Bacteria</v>
          </cell>
          <cell r="I17140" t="str">
            <v>s__unclassified_k__norank_d__Bacteria</v>
          </cell>
        </row>
        <row r="17141">
          <cell r="G17141" t="str">
            <v>ASV22850</v>
          </cell>
          <cell r="H17141" t="str">
            <v>g__unclassified_c__Clostridia</v>
          </cell>
          <cell r="I17141" t="str">
            <v>s__unclassified_c__Clostridia</v>
          </cell>
        </row>
        <row r="17142">
          <cell r="G17142" t="str">
            <v>ASV13658</v>
          </cell>
          <cell r="H17142" t="str">
            <v>g__norank_f__norank_o__WCHB1-41</v>
          </cell>
          <cell r="I17142" t="str">
            <v>s__uncultured_bacterium_g__norank_f__norank_o__WCHB1-41</v>
          </cell>
        </row>
        <row r="17143">
          <cell r="G17143" t="str">
            <v>ASV1296</v>
          </cell>
          <cell r="H17143" t="str">
            <v>g__unclassified_c__Clostridia</v>
          </cell>
          <cell r="I17143" t="str">
            <v>s__unclassified_c__Clostridia</v>
          </cell>
        </row>
        <row r="17144">
          <cell r="G17144" t="str">
            <v>ASV4382</v>
          </cell>
          <cell r="H17144" t="str">
            <v>g__Pyramidobacter</v>
          </cell>
          <cell r="I17144" t="str">
            <v>s__uncultured_bacterium_g__Pyramidobacter</v>
          </cell>
        </row>
        <row r="17145">
          <cell r="G17145" t="str">
            <v>ASV10973</v>
          </cell>
          <cell r="H17145" t="str">
            <v>g__Monoglobus</v>
          </cell>
          <cell r="I17145" t="str">
            <v>s__uncultured_bacterium_g__Monoglobus</v>
          </cell>
        </row>
        <row r="17146">
          <cell r="G17146" t="str">
            <v>ASV14846</v>
          </cell>
          <cell r="H17146" t="str">
            <v>g__unclassified_c__Clostridia</v>
          </cell>
          <cell r="I17146" t="str">
            <v>s__unclassified_c__Clostridia</v>
          </cell>
        </row>
        <row r="17147">
          <cell r="G17147" t="str">
            <v>ASV12288</v>
          </cell>
          <cell r="H17147" t="str">
            <v>g__Christensenellaceae_R-7_group</v>
          </cell>
          <cell r="I17147" t="str">
            <v>s__unclassified_g__Christensenellaceae_R-7_group</v>
          </cell>
        </row>
        <row r="17148">
          <cell r="G17148" t="str">
            <v>ASV21664</v>
          </cell>
          <cell r="H17148" t="str">
            <v>g__Lachnospiraceae_UCG-004</v>
          </cell>
          <cell r="I17148" t="str">
            <v>s__uncultured_bacterium_g__Lachnospiraceae_UCG-004</v>
          </cell>
        </row>
        <row r="17149">
          <cell r="G17149" t="str">
            <v>ASV18779</v>
          </cell>
          <cell r="H17149" t="str">
            <v>g__Actinomyces</v>
          </cell>
          <cell r="I17149" t="str">
            <v>s__unclassified_g__Actinomyces</v>
          </cell>
        </row>
        <row r="17150">
          <cell r="G17150" t="str">
            <v>ASV13127</v>
          </cell>
          <cell r="H17150" t="str">
            <v>g__norank_f__F082</v>
          </cell>
          <cell r="I17150" t="str">
            <v>s__uncultured_bacterium_g__norank_f__F082</v>
          </cell>
        </row>
        <row r="17151">
          <cell r="G17151" t="str">
            <v>ASV21754</v>
          </cell>
          <cell r="H17151" t="str">
            <v>g__Parabacteroides</v>
          </cell>
          <cell r="I17151" t="str">
            <v>s__Porphyromonadaceae_bacterium_DJF_B175</v>
          </cell>
        </row>
        <row r="17152">
          <cell r="G17152" t="str">
            <v>ASV2401</v>
          </cell>
          <cell r="H17152" t="str">
            <v>g__unclassified_c__Bacilli</v>
          </cell>
          <cell r="I17152" t="str">
            <v>s__unclassified_c__Bacilli</v>
          </cell>
        </row>
        <row r="17153">
          <cell r="G17153" t="str">
            <v>ASV22727</v>
          </cell>
          <cell r="H17153" t="str">
            <v>g__norank_f__Eubacterium_coprostanoligenes_group</v>
          </cell>
          <cell r="I17153" t="str">
            <v>s__uncultured_bacterium_g__norank_f__Eubacterium_coprostanoligenes_group</v>
          </cell>
        </row>
        <row r="17154">
          <cell r="G17154" t="str">
            <v>ASV21350</v>
          </cell>
          <cell r="H17154" t="str">
            <v>g__unclassified_o__Bacteroidales</v>
          </cell>
          <cell r="I17154" t="str">
            <v>s__unclassified_o__Bacteroidales</v>
          </cell>
        </row>
        <row r="17155">
          <cell r="G17155" t="str">
            <v>ASV20295</v>
          </cell>
          <cell r="H17155" t="str">
            <v>g__unclassified_p__Firmicutes</v>
          </cell>
          <cell r="I17155" t="str">
            <v>s__unclassified_p__Firmicutes</v>
          </cell>
        </row>
        <row r="17156">
          <cell r="G17156" t="str">
            <v>ASV6358</v>
          </cell>
          <cell r="H17156" t="str">
            <v>g__unclassified_c__Clostridia</v>
          </cell>
          <cell r="I17156" t="str">
            <v>s__unclassified_c__Clostridia</v>
          </cell>
        </row>
        <row r="17157">
          <cell r="G17157" t="str">
            <v>ASV1781</v>
          </cell>
          <cell r="H17157" t="str">
            <v>g__Streptococcus</v>
          </cell>
          <cell r="I17157" t="str">
            <v>s__unclassified_g__Streptococcus</v>
          </cell>
        </row>
        <row r="17158">
          <cell r="G17158" t="str">
            <v>ASV12278</v>
          </cell>
          <cell r="H17158" t="str">
            <v>g__Rikenellaceae_RC9_gut_group</v>
          </cell>
          <cell r="I17158" t="str">
            <v>s__uncultured_bacterium_g__Rikenellaceae_RC9_gut_group</v>
          </cell>
        </row>
        <row r="17159">
          <cell r="G17159" t="str">
            <v>ASV6347</v>
          </cell>
          <cell r="H17159" t="str">
            <v>g__unclassified_o__Oscillospirales</v>
          </cell>
          <cell r="I17159" t="str">
            <v>s__unclassified_o__Oscillospirales</v>
          </cell>
        </row>
        <row r="17160">
          <cell r="G17160" t="str">
            <v>ASV2803</v>
          </cell>
          <cell r="H17160" t="str">
            <v>g__Sharpea</v>
          </cell>
          <cell r="I17160" t="str">
            <v>s__unclassified_g__Sharpea</v>
          </cell>
        </row>
        <row r="17161">
          <cell r="G17161" t="str">
            <v>ASV1412</v>
          </cell>
          <cell r="H17161" t="str">
            <v>g__unclassified_f__Oscillospiraceae</v>
          </cell>
          <cell r="I17161" t="str">
            <v>s__unclassified_f__Oscillospiraceae</v>
          </cell>
        </row>
        <row r="17162">
          <cell r="G17162" t="str">
            <v>ASV13603</v>
          </cell>
          <cell r="H17162" t="str">
            <v>g__Enterococcus</v>
          </cell>
          <cell r="I17162" t="str">
            <v>s__unclassified_g__Enterococcus</v>
          </cell>
        </row>
        <row r="17163">
          <cell r="G17163" t="str">
            <v>ASV3552</v>
          </cell>
          <cell r="H17163" t="str">
            <v>g__Lactobacillus</v>
          </cell>
          <cell r="I17163" t="str">
            <v>s__unclassified_g__Lactobacillus</v>
          </cell>
        </row>
        <row r="17164">
          <cell r="G17164" t="str">
            <v>ASV12182</v>
          </cell>
          <cell r="H17164" t="str">
            <v>g__SP3-e08</v>
          </cell>
          <cell r="I17164" t="str">
            <v>s__uncultured_bacterium_g__SP3-e08</v>
          </cell>
        </row>
        <row r="17165">
          <cell r="G17165" t="str">
            <v>ASV6395</v>
          </cell>
          <cell r="H17165" t="str">
            <v>g__unclassified_f__Lachnospiraceae</v>
          </cell>
          <cell r="I17165" t="str">
            <v>s__unclassified_f__Lachnospiraceae</v>
          </cell>
        </row>
        <row r="17166">
          <cell r="G17166" t="str">
            <v>ASV6513</v>
          </cell>
          <cell r="H17166" t="str">
            <v>g__unclassified_k__norank_d__Bacteria</v>
          </cell>
          <cell r="I17166" t="str">
            <v>s__unclassified_k__norank_d__Bacteria</v>
          </cell>
        </row>
        <row r="17167">
          <cell r="G17167" t="str">
            <v>ASV6379</v>
          </cell>
          <cell r="H17167" t="str">
            <v>g__Christensenellaceae_R-7_group</v>
          </cell>
          <cell r="I17167" t="str">
            <v>s__unclassified_g__Christensenellaceae_R-7_group</v>
          </cell>
        </row>
        <row r="17168">
          <cell r="G17168" t="str">
            <v>ASV5399</v>
          </cell>
          <cell r="H17168" t="str">
            <v>g__unclassified_f__Lachnospiraceae</v>
          </cell>
          <cell r="I17168" t="str">
            <v>s__unclassified_f__Lachnospiraceae</v>
          </cell>
        </row>
        <row r="17169">
          <cell r="G17169" t="str">
            <v>ASV2440</v>
          </cell>
          <cell r="H17169" t="str">
            <v>g__unclassified_c__Clostridia</v>
          </cell>
          <cell r="I17169" t="str">
            <v>s__unclassified_c__Clostridia</v>
          </cell>
        </row>
        <row r="17170">
          <cell r="G17170" t="str">
            <v>ASV10972</v>
          </cell>
          <cell r="H17170" t="str">
            <v>g__unclassified_f__Clostridiaceae</v>
          </cell>
          <cell r="I17170" t="str">
            <v>s__unclassified_f__Clostridiaceae</v>
          </cell>
        </row>
        <row r="17171">
          <cell r="G17171" t="str">
            <v>ASV21138</v>
          </cell>
          <cell r="H17171" t="str">
            <v>g__unclassified_f__Lachnospiraceae</v>
          </cell>
          <cell r="I17171" t="str">
            <v>s__unclassified_f__Lachnospiraceae</v>
          </cell>
        </row>
        <row r="17172">
          <cell r="G17172" t="str">
            <v>ASV14725</v>
          </cell>
          <cell r="H17172" t="str">
            <v>g__unclassified_f__Lachnospiraceae</v>
          </cell>
          <cell r="I17172" t="str">
            <v>s__unclassified_f__Lachnospiraceae</v>
          </cell>
        </row>
        <row r="17173">
          <cell r="G17173" t="str">
            <v>ASV9622</v>
          </cell>
          <cell r="H17173" t="str">
            <v>g__unclassified_f__Lachnospiraceae</v>
          </cell>
          <cell r="I17173" t="str">
            <v>s__unclassified_f__Lachnospiraceae</v>
          </cell>
        </row>
        <row r="17174">
          <cell r="G17174" t="str">
            <v>ASV22656</v>
          </cell>
          <cell r="H17174" t="str">
            <v>g__unclassified_o__Oscillospirales</v>
          </cell>
          <cell r="I17174" t="str">
            <v>s__unclassified_o__Oscillospirales</v>
          </cell>
        </row>
        <row r="17175">
          <cell r="G17175" t="str">
            <v>ASV20056</v>
          </cell>
          <cell r="H17175" t="str">
            <v>g__Christensenellaceae_R-7_group</v>
          </cell>
          <cell r="I17175" t="str">
            <v>s__unclassified_g__Christensenellaceae_R-7_group</v>
          </cell>
        </row>
        <row r="17176">
          <cell r="G17176" t="str">
            <v>ASV24335</v>
          </cell>
          <cell r="H17176" t="str">
            <v>g__unclassified_c__Bacilli</v>
          </cell>
          <cell r="I17176" t="str">
            <v>s__unclassified_c__Bacilli</v>
          </cell>
        </row>
        <row r="17177">
          <cell r="G17177" t="str">
            <v>ASV14792</v>
          </cell>
          <cell r="H17177" t="str">
            <v>g__Rikenellaceae_RC9_gut_group</v>
          </cell>
          <cell r="I17177" t="str">
            <v>s__uncultured_bacterium_g__Rikenellaceae_RC9_gut_group</v>
          </cell>
        </row>
        <row r="17178">
          <cell r="G17178" t="str">
            <v>ASV19146</v>
          </cell>
          <cell r="H17178" t="str">
            <v>g__unclassified_f__Pasteurellaceae</v>
          </cell>
          <cell r="I17178" t="str">
            <v>s__unclassified_f__Pasteurellaceae</v>
          </cell>
        </row>
        <row r="17179">
          <cell r="G17179" t="str">
            <v>ASV7379</v>
          </cell>
          <cell r="H17179" t="str">
            <v>g__unclassified_k__norank_d__Bacteria</v>
          </cell>
          <cell r="I17179" t="str">
            <v>s__unclassified_k__norank_d__Bacteria</v>
          </cell>
        </row>
        <row r="17180">
          <cell r="G17180" t="str">
            <v>ASV10989</v>
          </cell>
          <cell r="H17180" t="str">
            <v>g__unclassified_f__Lachnospiraceae</v>
          </cell>
          <cell r="I17180" t="str">
            <v>s__unclassified_f__Lachnospiraceae</v>
          </cell>
        </row>
        <row r="17181">
          <cell r="G17181" t="str">
            <v>ASV23630</v>
          </cell>
          <cell r="H17181" t="str">
            <v>g__unclassified_f__Ruminococcaceae</v>
          </cell>
          <cell r="I17181" t="str">
            <v>s__unclassified_f__Ruminococcaceae</v>
          </cell>
        </row>
        <row r="17182">
          <cell r="G17182" t="str">
            <v>ASV19131</v>
          </cell>
          <cell r="H17182" t="str">
            <v>g__norank_f__Muribaculaceae</v>
          </cell>
          <cell r="I17182" t="str">
            <v>s__uncultured_Porphyromonadaceae_bacterium_g__norank_f__Muribaculaceae</v>
          </cell>
        </row>
        <row r="17183">
          <cell r="G17183" t="str">
            <v>ASV14594</v>
          </cell>
          <cell r="H17183" t="str">
            <v>g__Lachnospiraceae_UCG-004</v>
          </cell>
          <cell r="I17183" t="str">
            <v>s__uncultured_bacterium_g__Lachnospiraceae_UCG-004</v>
          </cell>
        </row>
        <row r="17184">
          <cell r="G17184" t="str">
            <v>ASV6935</v>
          </cell>
          <cell r="H17184" t="str">
            <v>g__unclassified_f__Lachnospiraceae</v>
          </cell>
          <cell r="I17184" t="str">
            <v>s__unclassified_f__Lachnospiraceae</v>
          </cell>
        </row>
        <row r="17185">
          <cell r="G17185" t="str">
            <v>ASV10238</v>
          </cell>
          <cell r="H17185" t="str">
            <v>g__Lactobacillus</v>
          </cell>
          <cell r="I17185" t="str">
            <v>s__unclassified_g__Lactobacillus</v>
          </cell>
        </row>
        <row r="17186">
          <cell r="G17186" t="str">
            <v>ASV3708</v>
          </cell>
          <cell r="H17186" t="str">
            <v>g__W5053</v>
          </cell>
          <cell r="I17186" t="str">
            <v>s__Clostridiales_bacterium_SIT13</v>
          </cell>
        </row>
        <row r="17187">
          <cell r="G17187" t="str">
            <v>ASV16645</v>
          </cell>
          <cell r="H17187" t="str">
            <v>g__unclassified_p__Firmicutes</v>
          </cell>
          <cell r="I17187" t="str">
            <v>s__unclassified_p__Firmicutes</v>
          </cell>
        </row>
        <row r="17188">
          <cell r="G17188" t="str">
            <v>ASV17637</v>
          </cell>
          <cell r="H17188" t="str">
            <v>g__Veillonella</v>
          </cell>
          <cell r="I17188" t="str">
            <v>s__unclassified_g__Veillonella</v>
          </cell>
        </row>
        <row r="17189">
          <cell r="G17189" t="str">
            <v>ASV9690</v>
          </cell>
          <cell r="H17189" t="str">
            <v>g__norank_f__Erysipelotrichaceae</v>
          </cell>
          <cell r="I17189" t="str">
            <v>s__uncultured_bacterium_g__norank_f__Erysipelotrichaceae</v>
          </cell>
        </row>
        <row r="17190">
          <cell r="G17190" t="str">
            <v>ASV12412</v>
          </cell>
          <cell r="H17190" t="str">
            <v>g__unclassified_o__Bacteroidales</v>
          </cell>
          <cell r="I17190" t="str">
            <v>s__unclassified_o__Bacteroidales</v>
          </cell>
        </row>
        <row r="17191">
          <cell r="G17191" t="str">
            <v>ASV4290</v>
          </cell>
          <cell r="H17191" t="str">
            <v>g__unclassified_f__Lachnospiraceae</v>
          </cell>
          <cell r="I17191" t="str">
            <v>s__unclassified_f__Lachnospiraceae</v>
          </cell>
        </row>
        <row r="17192">
          <cell r="G17192" t="str">
            <v>ASV16677</v>
          </cell>
          <cell r="H17192" t="str">
            <v>g__unclassified_c__Bacilli</v>
          </cell>
          <cell r="I17192" t="str">
            <v>s__unclassified_c__Bacilli</v>
          </cell>
        </row>
        <row r="17193">
          <cell r="G17193" t="str">
            <v>ASV4208</v>
          </cell>
          <cell r="H17193" t="str">
            <v>g__norank_f__norank_o__norank_c__norank_p__WPS-2</v>
          </cell>
          <cell r="I17193" t="str">
            <v>s__uncultured_rumen_bacterium_g__norank_f__norank_o__norank_c__norank</v>
          </cell>
        </row>
        <row r="17194">
          <cell r="G17194" t="str">
            <v>ASV10893</v>
          </cell>
          <cell r="H17194" t="str">
            <v>g__UCG-002</v>
          </cell>
          <cell r="I17194" t="str">
            <v>s__uncultured_bacterium_g__UCG-002</v>
          </cell>
        </row>
        <row r="17195">
          <cell r="G17195" t="str">
            <v>ASV16166</v>
          </cell>
          <cell r="H17195" t="str">
            <v>g__unclassified_f__Oscillospiraceae</v>
          </cell>
          <cell r="I17195" t="str">
            <v>s__unclassified_f__Oscillospiraceae</v>
          </cell>
        </row>
        <row r="17196">
          <cell r="G17196" t="str">
            <v>ASV19871</v>
          </cell>
          <cell r="H17196" t="str">
            <v>g__unclassified_k__norank_d__Bacteria</v>
          </cell>
          <cell r="I17196" t="str">
            <v>s__unclassified_k__norank_d__Bacteria</v>
          </cell>
        </row>
        <row r="17197">
          <cell r="G17197" t="str">
            <v>ASV2577</v>
          </cell>
          <cell r="H17197" t="str">
            <v>g__unclassified_f__Lachnospiraceae</v>
          </cell>
          <cell r="I17197" t="str">
            <v>s__unclassified_f__Lachnospiraceae</v>
          </cell>
        </row>
        <row r="17198">
          <cell r="G17198" t="str">
            <v>ASV18382</v>
          </cell>
          <cell r="H17198" t="str">
            <v>g__unclassified_f__Ruminococcaceae</v>
          </cell>
          <cell r="I17198" t="str">
            <v>s__unclassified_f__Ruminococcaceae</v>
          </cell>
        </row>
        <row r="17199">
          <cell r="G17199" t="str">
            <v>ASV8180</v>
          </cell>
          <cell r="H17199" t="str">
            <v>g__unclassified_c__Clostridia</v>
          </cell>
          <cell r="I17199" t="str">
            <v>s__unclassified_c__Clostridia</v>
          </cell>
        </row>
        <row r="17200">
          <cell r="G17200" t="str">
            <v>ASV14800</v>
          </cell>
          <cell r="H17200" t="str">
            <v>g__Prevotella</v>
          </cell>
          <cell r="I17200" t="str">
            <v>s__uncultured_bacterium_g__Prevotella</v>
          </cell>
        </row>
        <row r="17201">
          <cell r="G17201" t="str">
            <v>ASV2562</v>
          </cell>
          <cell r="H17201" t="str">
            <v>g__Clostridium_sensu_stricto_1</v>
          </cell>
          <cell r="I17201" t="str">
            <v>s__unclassified_g__Clostridium_sensu_stricto_1</v>
          </cell>
        </row>
        <row r="17202">
          <cell r="G17202" t="str">
            <v>ASV17546</v>
          </cell>
          <cell r="H17202" t="str">
            <v>g__unclassified_f__Lachnospiraceae</v>
          </cell>
          <cell r="I17202" t="str">
            <v>s__unclassified_f__Lachnospiraceae</v>
          </cell>
        </row>
        <row r="17203">
          <cell r="G17203" t="str">
            <v>ASV20082</v>
          </cell>
          <cell r="H17203" t="str">
            <v>g__unclassified_c__Clostridia</v>
          </cell>
          <cell r="I17203" t="str">
            <v>s__unclassified_c__Clostridia</v>
          </cell>
        </row>
        <row r="17204">
          <cell r="G17204" t="str">
            <v>ASV13040</v>
          </cell>
          <cell r="H17204" t="str">
            <v>g__unclassified_f__Ruminococcaceae</v>
          </cell>
          <cell r="I17204" t="str">
            <v>s__unclassified_f__Ruminococcaceae</v>
          </cell>
        </row>
        <row r="17205">
          <cell r="G17205" t="str">
            <v>ASV14915</v>
          </cell>
          <cell r="H17205" t="str">
            <v>g__unclassified_f__Prevotellaceae</v>
          </cell>
          <cell r="I17205" t="str">
            <v>s__unclassified_f__Prevotellaceae</v>
          </cell>
        </row>
        <row r="17206">
          <cell r="G17206" t="str">
            <v>ASV13743</v>
          </cell>
          <cell r="H17206" t="str">
            <v>g__Lactobacillus</v>
          </cell>
          <cell r="I17206" t="str">
            <v>s__unclassified_g__Lactobacillus</v>
          </cell>
        </row>
        <row r="17207">
          <cell r="G17207" t="str">
            <v>ASV23601</v>
          </cell>
          <cell r="H17207" t="str">
            <v>g__unclassified_p__Firmicutes</v>
          </cell>
          <cell r="I17207" t="str">
            <v>s__unclassified_p__Firmicutes</v>
          </cell>
        </row>
        <row r="17208">
          <cell r="G17208" t="str">
            <v>ASV22613</v>
          </cell>
          <cell r="H17208" t="str">
            <v>g__unclassified_f__Lachnospiraceae</v>
          </cell>
          <cell r="I17208" t="str">
            <v>s__unclassified_f__Lachnospiraceae</v>
          </cell>
        </row>
        <row r="17209">
          <cell r="G17209" t="str">
            <v>ASV10894</v>
          </cell>
          <cell r="H17209" t="str">
            <v>g__unclassified_p__Firmicutes</v>
          </cell>
          <cell r="I17209" t="str">
            <v>s__unclassified_p__Firmicutes</v>
          </cell>
        </row>
        <row r="17210">
          <cell r="G17210" t="str">
            <v>ASV23679</v>
          </cell>
          <cell r="H17210" t="str">
            <v>g__Christensenellaceae_R-7_group</v>
          </cell>
          <cell r="I17210" t="str">
            <v>s__unclassified_g__Christensenellaceae_R-7_group</v>
          </cell>
        </row>
        <row r="17211">
          <cell r="G17211" t="str">
            <v>ASV1362</v>
          </cell>
          <cell r="H17211" t="str">
            <v>g__unclassified_c__Clostridia</v>
          </cell>
          <cell r="I17211" t="str">
            <v>s__unclassified_c__Clostridia</v>
          </cell>
        </row>
        <row r="17212">
          <cell r="G17212" t="str">
            <v>ASV19001</v>
          </cell>
          <cell r="H17212" t="str">
            <v>g__Actinobacillus</v>
          </cell>
          <cell r="I17212" t="str">
            <v>s__Actinobacillus_rossii</v>
          </cell>
        </row>
        <row r="17213">
          <cell r="G17213" t="str">
            <v>ASV23643</v>
          </cell>
          <cell r="H17213" t="str">
            <v>g__unclassified_o__Oscillospirales</v>
          </cell>
          <cell r="I17213" t="str">
            <v>s__unclassified_o__Oscillospirales</v>
          </cell>
        </row>
        <row r="17214">
          <cell r="G17214" t="str">
            <v>ASV1231</v>
          </cell>
          <cell r="H17214" t="str">
            <v>g__unclassified_o__Bacteroidales</v>
          </cell>
          <cell r="I17214" t="str">
            <v>s__unclassified_o__Bacteroidales</v>
          </cell>
        </row>
        <row r="17215">
          <cell r="G17215" t="str">
            <v>ASV22630</v>
          </cell>
          <cell r="H17215" t="str">
            <v>g__Streptococcus</v>
          </cell>
          <cell r="I17215" t="str">
            <v>s__unclassified_g__Streptococcus</v>
          </cell>
        </row>
        <row r="17216">
          <cell r="G17216" t="str">
            <v>ASV3352</v>
          </cell>
          <cell r="H17216" t="str">
            <v>g__Lactobacillus</v>
          </cell>
          <cell r="I17216" t="str">
            <v>s__unclassified_g__Lactobacillus</v>
          </cell>
        </row>
        <row r="17217">
          <cell r="G17217" t="str">
            <v>ASV18950</v>
          </cell>
          <cell r="H17217" t="str">
            <v>g__unclassified_k__norank_d__Bacteria</v>
          </cell>
          <cell r="I17217" t="str">
            <v>s__unclassified_k__norank_d__Bacteria</v>
          </cell>
        </row>
        <row r="17218">
          <cell r="G17218" t="str">
            <v>ASV16117</v>
          </cell>
          <cell r="H17218" t="str">
            <v>g__Eubacterium_oxidoreducens_group</v>
          </cell>
          <cell r="I17218" t="str">
            <v>s__uncultured_bacterium_g__Eubacterium_oxidoreducens_group</v>
          </cell>
        </row>
        <row r="17219">
          <cell r="G17219" t="str">
            <v>ASV15598</v>
          </cell>
          <cell r="H17219" t="str">
            <v>g__norank_f__norank_o__Clostridia_vadinBB60_group</v>
          </cell>
          <cell r="I17219" t="str">
            <v>s__unclassified_g__norank_f__norank_o__Clostridia_vadinBB60_group</v>
          </cell>
        </row>
        <row r="17220">
          <cell r="G17220" t="str">
            <v>ASV12294</v>
          </cell>
          <cell r="H17220" t="str">
            <v>g__unclassified_c__Clostridia</v>
          </cell>
          <cell r="I17220" t="str">
            <v>s__unclassified_c__Clostridia</v>
          </cell>
        </row>
        <row r="17221">
          <cell r="G17221" t="str">
            <v>ASV9799</v>
          </cell>
          <cell r="H17221" t="str">
            <v>g__unclassified_o__Oscillospirales</v>
          </cell>
          <cell r="I17221" t="str">
            <v>s__unclassified_o__Oscillospirales</v>
          </cell>
        </row>
        <row r="17222">
          <cell r="G17222" t="str">
            <v>ASV23864</v>
          </cell>
          <cell r="H17222" t="str">
            <v>g__unclassified_o__Lactobacillales</v>
          </cell>
          <cell r="I17222" t="str">
            <v>s__unclassified_o__Lactobacillales</v>
          </cell>
        </row>
        <row r="17223">
          <cell r="G17223" t="str">
            <v>ASV13051</v>
          </cell>
          <cell r="H17223" t="str">
            <v>g__unclassified_f__Rikenellaceae</v>
          </cell>
          <cell r="I17223" t="str">
            <v>s__unclassified_f__Rikenellaceae</v>
          </cell>
        </row>
        <row r="17224">
          <cell r="G17224" t="str">
            <v>ASV12285</v>
          </cell>
          <cell r="H17224" t="str">
            <v>g__unclassified_c__Clostridia</v>
          </cell>
          <cell r="I17224" t="str">
            <v>s__unclassified_c__Clostridia</v>
          </cell>
        </row>
        <row r="17225">
          <cell r="G17225" t="str">
            <v>ASV23606</v>
          </cell>
          <cell r="H17225" t="str">
            <v>g__unclassified_f__Lachnospiraceae</v>
          </cell>
          <cell r="I17225" t="str">
            <v>s__unclassified_f__Lachnospiraceae</v>
          </cell>
        </row>
        <row r="17226">
          <cell r="G17226" t="str">
            <v>ASV17636</v>
          </cell>
          <cell r="H17226" t="str">
            <v>g__Bacillus</v>
          </cell>
          <cell r="I17226" t="str">
            <v>s__Lactobacillus_vaginalis_g__Bacillus</v>
          </cell>
        </row>
        <row r="17227">
          <cell r="G17227" t="str">
            <v>ASV22829</v>
          </cell>
          <cell r="H17227" t="str">
            <v>g__unclassified_p__Firmicutes</v>
          </cell>
          <cell r="I17227" t="str">
            <v>s__unclassified_p__Firmicutes</v>
          </cell>
        </row>
        <row r="17228">
          <cell r="G17228" t="str">
            <v>ASV6926</v>
          </cell>
          <cell r="H17228" t="str">
            <v>g__Enterococcus</v>
          </cell>
          <cell r="I17228" t="str">
            <v>s__unclassified_g__Enterococcus</v>
          </cell>
        </row>
        <row r="17229">
          <cell r="G17229" t="str">
            <v>ASV1292</v>
          </cell>
          <cell r="H17229" t="str">
            <v>g__Enterococcus</v>
          </cell>
          <cell r="I17229" t="str">
            <v>s__unclassified_g__Enterococcus</v>
          </cell>
        </row>
        <row r="17230">
          <cell r="G17230" t="str">
            <v>ASV15760</v>
          </cell>
          <cell r="H17230" t="str">
            <v>g__unclassified_f__Lachnospiraceae</v>
          </cell>
          <cell r="I17230" t="str">
            <v>s__unclassified_f__Lachnospiraceae</v>
          </cell>
        </row>
        <row r="17231">
          <cell r="G17231" t="str">
            <v>ASV14805</v>
          </cell>
          <cell r="H17231" t="str">
            <v>g__unclassified_p__Firmicutes</v>
          </cell>
          <cell r="I17231" t="str">
            <v>s__unclassified_p__Firmicutes</v>
          </cell>
        </row>
        <row r="17232">
          <cell r="G17232" t="str">
            <v>ASV1293</v>
          </cell>
          <cell r="H17232" t="str">
            <v>g__unclassified_f__Lachnospiraceae</v>
          </cell>
          <cell r="I17232" t="str">
            <v>s__unclassified_f__Lachnospiraceae</v>
          </cell>
        </row>
        <row r="17233">
          <cell r="G17233" t="str">
            <v>ASV19119</v>
          </cell>
          <cell r="H17233" t="str">
            <v>g__Lactobacillus</v>
          </cell>
          <cell r="I17233" t="str">
            <v>s__unclassified_g__Lactobacillus</v>
          </cell>
        </row>
        <row r="17234">
          <cell r="G17234" t="str">
            <v>ASV6251</v>
          </cell>
          <cell r="H17234" t="str">
            <v>g__unclassified_c__Clostridia</v>
          </cell>
          <cell r="I17234" t="str">
            <v>s__unclassified_c__Clostridia</v>
          </cell>
        </row>
        <row r="17235">
          <cell r="G17235" t="str">
            <v>ASV22576</v>
          </cell>
          <cell r="H17235" t="str">
            <v>g__unclassified_k__norank_d__Bacteria</v>
          </cell>
          <cell r="I17235" t="str">
            <v>s__unclassified_k__norank_d__Bacteria</v>
          </cell>
        </row>
        <row r="17236">
          <cell r="G17236" t="str">
            <v>ASV21344</v>
          </cell>
          <cell r="H17236" t="str">
            <v>g__unclassified_c__Clostridia</v>
          </cell>
          <cell r="I17236" t="str">
            <v>s__unclassified_c__Clostridia</v>
          </cell>
        </row>
        <row r="17237">
          <cell r="G17237" t="str">
            <v>ASV23616</v>
          </cell>
          <cell r="H17237" t="str">
            <v>g__Family_XIII_AD3011_group</v>
          </cell>
          <cell r="I17237" t="str">
            <v>s__unclassified_g__Family_XIII_AD3011_group</v>
          </cell>
        </row>
        <row r="17238">
          <cell r="G17238" t="str">
            <v>ASV6255</v>
          </cell>
          <cell r="H17238" t="str">
            <v>g__CAG-873</v>
          </cell>
          <cell r="I17238" t="str">
            <v>s__Bacteroidales_bacterium_H4</v>
          </cell>
        </row>
        <row r="17239">
          <cell r="G17239" t="str">
            <v>ASV1389</v>
          </cell>
          <cell r="H17239" t="str">
            <v>g__unclassified_c__Clostridia</v>
          </cell>
          <cell r="I17239" t="str">
            <v>s__unclassified_c__Clostridia</v>
          </cell>
        </row>
        <row r="17240">
          <cell r="G17240" t="str">
            <v>ASV12072</v>
          </cell>
          <cell r="H17240" t="str">
            <v>g__Escherichia-Shigella</v>
          </cell>
          <cell r="I17240" t="str">
            <v>s__unclassified_g__Escherichia-Shigella</v>
          </cell>
        </row>
        <row r="17241">
          <cell r="G17241" t="str">
            <v>ASV8682</v>
          </cell>
          <cell r="H17241" t="str">
            <v>g__Kurthia</v>
          </cell>
          <cell r="I17241" t="str">
            <v>s__uncultured_bacterium_g__Kurthia</v>
          </cell>
        </row>
        <row r="17242">
          <cell r="G17242" t="str">
            <v>ASV22770</v>
          </cell>
          <cell r="H17242" t="str">
            <v>g__Eubacterium_oxidoreducens_group</v>
          </cell>
          <cell r="I17242" t="str">
            <v>s__uncultured_bacterium_g__Eubacterium_oxidoreducens_group</v>
          </cell>
        </row>
        <row r="17243">
          <cell r="G17243" t="str">
            <v>ASV13160</v>
          </cell>
          <cell r="H17243" t="str">
            <v>g__Sharpea</v>
          </cell>
          <cell r="I17243" t="str">
            <v>s__unclassified_g__Sharpea</v>
          </cell>
        </row>
        <row r="17244">
          <cell r="G17244" t="str">
            <v>ASV8247</v>
          </cell>
          <cell r="H17244" t="str">
            <v>g__Collinsella</v>
          </cell>
          <cell r="I17244" t="str">
            <v>s__uncultured_bacterium_g__Collinsella</v>
          </cell>
        </row>
        <row r="17245">
          <cell r="G17245" t="str">
            <v>ASV24006</v>
          </cell>
          <cell r="H17245" t="str">
            <v>g__Allobaculum</v>
          </cell>
          <cell r="I17245" t="str">
            <v>s__uncultured_bacterium_g__Allobaculum</v>
          </cell>
        </row>
        <row r="17246">
          <cell r="G17246" t="str">
            <v>ASV4277</v>
          </cell>
          <cell r="H17246" t="str">
            <v>g__unclassified_c__Clostridia</v>
          </cell>
          <cell r="I17246" t="str">
            <v>s__unclassified_c__Clostridia</v>
          </cell>
        </row>
        <row r="17247">
          <cell r="G17247" t="str">
            <v>ASV5369</v>
          </cell>
          <cell r="H17247" t="str">
            <v>g__Lactobacillus</v>
          </cell>
          <cell r="I17247" t="str">
            <v>s__unclassified_g__Lactobacillus</v>
          </cell>
        </row>
        <row r="17248">
          <cell r="G17248" t="str">
            <v>ASV6407</v>
          </cell>
          <cell r="H17248" t="str">
            <v>g__unclassified_c__Clostridia</v>
          </cell>
          <cell r="I17248" t="str">
            <v>s__unclassified_c__Clostridia</v>
          </cell>
        </row>
        <row r="17249">
          <cell r="G17249" t="str">
            <v>ASV5374</v>
          </cell>
          <cell r="H17249" t="str">
            <v>g__Christensenellaceae_R-7_group</v>
          </cell>
          <cell r="I17249" t="str">
            <v>s__unclassified_g__Christensenellaceae_R-7_group</v>
          </cell>
        </row>
        <row r="17250">
          <cell r="G17250" t="str">
            <v>ASV19914</v>
          </cell>
          <cell r="H17250" t="str">
            <v>g__unclassified_f__Anaerovoracaceae</v>
          </cell>
          <cell r="I17250" t="str">
            <v>s__unclassified_f__Anaerovoracaceae</v>
          </cell>
        </row>
        <row r="17251">
          <cell r="G17251" t="str">
            <v>ASV9822</v>
          </cell>
          <cell r="H17251" t="str">
            <v>g__Eubacterium_oxidoreducens_group</v>
          </cell>
          <cell r="I17251" t="str">
            <v>s__uncultured_bacterium_g__Eubacterium_oxidoreducens_group</v>
          </cell>
        </row>
        <row r="17252">
          <cell r="G17252" t="str">
            <v>ASV14577</v>
          </cell>
          <cell r="H17252" t="str">
            <v>g__unclassified_p__Firmicutes</v>
          </cell>
          <cell r="I17252" t="str">
            <v>s__unclassified_p__Firmicutes</v>
          </cell>
        </row>
        <row r="17253">
          <cell r="G17253" t="str">
            <v>ASV12130</v>
          </cell>
          <cell r="H17253" t="str">
            <v>g__unclassified_c__Clostridia</v>
          </cell>
          <cell r="I17253" t="str">
            <v>s__unclassified_c__Clostridia</v>
          </cell>
        </row>
        <row r="17254">
          <cell r="G17254" t="str">
            <v>ASV14745</v>
          </cell>
          <cell r="H17254" t="str">
            <v>g__unclassified_o__Oscillospirales</v>
          </cell>
          <cell r="I17254" t="str">
            <v>s__unclassified_o__Oscillospirales</v>
          </cell>
        </row>
        <row r="17255">
          <cell r="G17255" t="str">
            <v>ASV16088</v>
          </cell>
          <cell r="H17255" t="str">
            <v>g__Parabacteroides</v>
          </cell>
          <cell r="I17255" t="str">
            <v>s__Porphyromonadaceae_bacterium_DJF_B175</v>
          </cell>
        </row>
        <row r="17256">
          <cell r="G17256" t="str">
            <v>ASV8872</v>
          </cell>
          <cell r="H17256" t="str">
            <v>g__unclassified_p__Firmicutes</v>
          </cell>
          <cell r="I17256" t="str">
            <v>s__unclassified_p__Firmicutes</v>
          </cell>
        </row>
        <row r="17257">
          <cell r="G17257" t="str">
            <v>ASV16679</v>
          </cell>
          <cell r="H17257" t="str">
            <v>g__Bacteroides</v>
          </cell>
          <cell r="I17257" t="str">
            <v>s__unclassified_g__Bacteroides</v>
          </cell>
        </row>
        <row r="17258">
          <cell r="G17258" t="str">
            <v>ASV5176</v>
          </cell>
          <cell r="H17258" t="str">
            <v>g__unclassified_c__Clostridia</v>
          </cell>
          <cell r="I17258" t="str">
            <v>s__unclassified_c__Clostridia</v>
          </cell>
        </row>
        <row r="17259">
          <cell r="G17259" t="str">
            <v>ASV24026</v>
          </cell>
          <cell r="H17259" t="str">
            <v>g__unclassified_f__Lachnospiraceae</v>
          </cell>
          <cell r="I17259" t="str">
            <v>s__unclassified_f__Lachnospiraceae</v>
          </cell>
        </row>
        <row r="17260">
          <cell r="G17260" t="str">
            <v>ASV14673</v>
          </cell>
          <cell r="H17260" t="str">
            <v>g__unclassified_c__Clostridia</v>
          </cell>
          <cell r="I17260" t="str">
            <v>s__unclassified_c__Clostridia</v>
          </cell>
        </row>
        <row r="17261">
          <cell r="G17261" t="str">
            <v>ASV15868</v>
          </cell>
          <cell r="H17261" t="str">
            <v>g__Bacteroides</v>
          </cell>
          <cell r="I17261" t="str">
            <v>s__uncultured_bacterium_g__Bacteroides</v>
          </cell>
        </row>
        <row r="17262">
          <cell r="G17262" t="str">
            <v>ASV6192</v>
          </cell>
          <cell r="H17262" t="str">
            <v>g__unclassified_c__Clostridia</v>
          </cell>
          <cell r="I17262" t="str">
            <v>s__unclassified_c__Clostridia</v>
          </cell>
        </row>
        <row r="17263">
          <cell r="G17263" t="str">
            <v>ASV3303</v>
          </cell>
          <cell r="H17263" t="str">
            <v>g__Erysipelatoclostridium</v>
          </cell>
          <cell r="I17263" t="str">
            <v>s__unclassified_g__Erysipelatoclostridium</v>
          </cell>
        </row>
        <row r="17264">
          <cell r="G17264" t="str">
            <v>ASV10349</v>
          </cell>
          <cell r="H17264" t="str">
            <v>g__unclassified_f__Lachnospiraceae</v>
          </cell>
          <cell r="I17264" t="str">
            <v>s__unclassified_f__Lachnospiraceae</v>
          </cell>
        </row>
        <row r="17265">
          <cell r="G17265" t="str">
            <v>ASV23627</v>
          </cell>
          <cell r="H17265" t="str">
            <v>g__unclassified_c__Clostridia</v>
          </cell>
          <cell r="I17265" t="str">
            <v>s__unclassified_c__Clostridia</v>
          </cell>
        </row>
        <row r="17266">
          <cell r="G17266" t="str">
            <v>ASV4224</v>
          </cell>
          <cell r="H17266" t="str">
            <v>g__Bacteroides</v>
          </cell>
          <cell r="I17266" t="str">
            <v>s__unclassified_g__Bacteroides</v>
          </cell>
        </row>
        <row r="17267">
          <cell r="G17267" t="str">
            <v>ASV6942</v>
          </cell>
          <cell r="H17267" t="str">
            <v>g__Enterococcus</v>
          </cell>
          <cell r="I17267" t="str">
            <v>s__unclassified_g__Enterococcus</v>
          </cell>
        </row>
        <row r="17268">
          <cell r="G17268" t="str">
            <v>ASV3554</v>
          </cell>
          <cell r="H17268" t="str">
            <v>g__unclassified_f__Pasteurellaceae</v>
          </cell>
          <cell r="I17268" t="str">
            <v>s__unclassified_f__Pasteurellaceae</v>
          </cell>
        </row>
        <row r="17269">
          <cell r="G17269" t="str">
            <v>ASV24059</v>
          </cell>
          <cell r="H17269" t="str">
            <v>g__Mitsuokella</v>
          </cell>
          <cell r="I17269" t="str">
            <v>s__unclassified_g__Mitsuokella</v>
          </cell>
        </row>
        <row r="17270">
          <cell r="G17270" t="str">
            <v>ASV10265</v>
          </cell>
          <cell r="H17270" t="str">
            <v>g__Escherichia-Shigella</v>
          </cell>
          <cell r="I17270" t="str">
            <v>s__unclassified_g__Escherichia-Shigella</v>
          </cell>
        </row>
        <row r="17271">
          <cell r="G17271" t="str">
            <v>ASV22718</v>
          </cell>
          <cell r="H17271" t="str">
            <v>g__Christensenellaceae_R-7_group</v>
          </cell>
          <cell r="I17271" t="str">
            <v>s__unclassified_g__Christensenellaceae_R-7_group</v>
          </cell>
        </row>
        <row r="17272">
          <cell r="G17272" t="str">
            <v>ASV22989</v>
          </cell>
          <cell r="H17272" t="str">
            <v>g__unclassified_o__Lactobacillales</v>
          </cell>
          <cell r="I17272" t="str">
            <v>s__unclassified_o__Lactobacillales</v>
          </cell>
        </row>
        <row r="17273">
          <cell r="G17273" t="str">
            <v>ASV22749</v>
          </cell>
          <cell r="H17273" t="str">
            <v>g__Veillonella</v>
          </cell>
          <cell r="I17273" t="str">
            <v>s__unclassified_g__Veillonella</v>
          </cell>
        </row>
        <row r="17274">
          <cell r="G17274" t="str">
            <v>ASV8013</v>
          </cell>
          <cell r="H17274" t="str">
            <v>g__unclassified_p__Firmicutes</v>
          </cell>
          <cell r="I17274" t="str">
            <v>s__unclassified_p__Firmicutes</v>
          </cell>
        </row>
        <row r="17275">
          <cell r="G17275" t="str">
            <v>ASV3547</v>
          </cell>
          <cell r="H17275" t="str">
            <v>g__unclassified_k__norank_d__Bacteria</v>
          </cell>
          <cell r="I17275" t="str">
            <v>s__unclassified_k__norank_d__Bacteria</v>
          </cell>
        </row>
        <row r="17276">
          <cell r="G17276" t="str">
            <v>ASV1454</v>
          </cell>
          <cell r="H17276" t="str">
            <v>g__unclassified_c__Clostridia</v>
          </cell>
          <cell r="I17276" t="str">
            <v>s__unclassified_c__Clostridia</v>
          </cell>
        </row>
        <row r="17277">
          <cell r="G17277" t="str">
            <v>ASV6872</v>
          </cell>
          <cell r="H17277" t="str">
            <v>g__Holdemanella</v>
          </cell>
          <cell r="I17277" t="str">
            <v>s__unclassified_g__Holdemanella</v>
          </cell>
        </row>
        <row r="17278">
          <cell r="G17278" t="str">
            <v>ASV22790</v>
          </cell>
          <cell r="H17278" t="str">
            <v>g__unclassified_o__Oscillospirales</v>
          </cell>
          <cell r="I17278" t="str">
            <v>s__unclassified_o__Oscillospirales</v>
          </cell>
        </row>
        <row r="17279">
          <cell r="G17279" t="str">
            <v>ASV20325</v>
          </cell>
          <cell r="H17279" t="str">
            <v>g__Bacteroides</v>
          </cell>
          <cell r="I17279" t="str">
            <v>s__unclassified_g__Bacteroides</v>
          </cell>
        </row>
        <row r="17280">
          <cell r="G17280" t="str">
            <v>ASV15100</v>
          </cell>
          <cell r="H17280" t="str">
            <v>g__UCG-004</v>
          </cell>
          <cell r="I17280" t="str">
            <v>s__gut_metagenome_g__UCG-004</v>
          </cell>
        </row>
        <row r="17281">
          <cell r="G17281" t="str">
            <v>ASV14854</v>
          </cell>
          <cell r="H17281" t="str">
            <v>g__Lactobacillus</v>
          </cell>
          <cell r="I17281" t="str">
            <v>s__unclassified_g__Lactobacillus</v>
          </cell>
        </row>
        <row r="17282">
          <cell r="G17282" t="str">
            <v>ASV3318</v>
          </cell>
          <cell r="H17282" t="str">
            <v>g__unclassified_f__Veillonellaceae</v>
          </cell>
          <cell r="I17282" t="str">
            <v>s__unclassified_f__Veillonellaceae</v>
          </cell>
        </row>
        <row r="17283">
          <cell r="G17283" t="str">
            <v>ASV21522</v>
          </cell>
          <cell r="H17283" t="str">
            <v>g__Bacillus</v>
          </cell>
          <cell r="I17283" t="str">
            <v>s__unclassified_g__Bacillus</v>
          </cell>
        </row>
        <row r="17284">
          <cell r="G17284" t="str">
            <v>ASV12139</v>
          </cell>
          <cell r="H17284" t="str">
            <v>g__unclassified_f__Desulfovibrionaceae</v>
          </cell>
          <cell r="I17284" t="str">
            <v>s__unclassified_f__Desulfovibrionaceae</v>
          </cell>
        </row>
        <row r="17285">
          <cell r="G17285" t="str">
            <v>ASV6867</v>
          </cell>
          <cell r="H17285" t="str">
            <v>g__Gemella</v>
          </cell>
          <cell r="I17285" t="str">
            <v>s__unclassified_g__Gemella</v>
          </cell>
        </row>
        <row r="17286">
          <cell r="G17286" t="str">
            <v>ASV18666</v>
          </cell>
          <cell r="H17286" t="str">
            <v>g__Christensenellaceae_R-7_group</v>
          </cell>
          <cell r="I17286" t="str">
            <v>s__unclassified_g__Christensenellaceae_R-7_group</v>
          </cell>
        </row>
        <row r="17287">
          <cell r="G17287" t="str">
            <v>ASV9842</v>
          </cell>
          <cell r="H17287" t="str">
            <v>g__unclassified_c__Clostridia</v>
          </cell>
          <cell r="I17287" t="str">
            <v>s__unclassified_c__Clostridia</v>
          </cell>
        </row>
        <row r="17288">
          <cell r="G17288" t="str">
            <v>ASV21696</v>
          </cell>
          <cell r="H17288" t="str">
            <v>g__Allisonella</v>
          </cell>
          <cell r="I17288" t="str">
            <v>s__unclassified_g__Allisonella</v>
          </cell>
        </row>
        <row r="17289">
          <cell r="G17289" t="str">
            <v>ASV8194</v>
          </cell>
          <cell r="H17289" t="str">
            <v>g__Lactobacillus</v>
          </cell>
          <cell r="I17289" t="str">
            <v>s__unclassified_g__Lactobacillus</v>
          </cell>
        </row>
        <row r="17290">
          <cell r="G17290" t="str">
            <v>ASV10966</v>
          </cell>
          <cell r="H17290" t="str">
            <v>g__norank_f__Eubacterium_coprostanoligenes_group</v>
          </cell>
          <cell r="I17290" t="str">
            <v>s__uncultured_bacterium_g__norank_f__Eubacterium_coprostanoligenes_group</v>
          </cell>
        </row>
        <row r="17291">
          <cell r="G17291" t="str">
            <v>ASV20193</v>
          </cell>
          <cell r="H17291" t="str">
            <v>g__Succiniclasticum</v>
          </cell>
          <cell r="I17291" t="str">
            <v>s__uncultured_rumen_bacterium_4C28d-16</v>
          </cell>
        </row>
        <row r="17292">
          <cell r="G17292" t="str">
            <v>ASV1803</v>
          </cell>
          <cell r="H17292" t="str">
            <v>g__unclassified_c__Clostridia</v>
          </cell>
          <cell r="I17292" t="str">
            <v>s__unclassified_c__Clostridia</v>
          </cell>
        </row>
        <row r="17293">
          <cell r="G17293" t="str">
            <v>ASV8673</v>
          </cell>
          <cell r="H17293" t="str">
            <v>g__Exiguobacterium</v>
          </cell>
          <cell r="I17293" t="str">
            <v>s__unclassified_g__Exiguobacterium</v>
          </cell>
        </row>
        <row r="17294">
          <cell r="G17294" t="str">
            <v>ASV9707</v>
          </cell>
          <cell r="H17294" t="str">
            <v>g__unclassified_p__Firmicutes</v>
          </cell>
          <cell r="I17294" t="str">
            <v>s__unclassified_p__Firmicutes</v>
          </cell>
        </row>
        <row r="17295">
          <cell r="G17295" t="str">
            <v>ASV11010</v>
          </cell>
          <cell r="H17295" t="str">
            <v>g__unclassified_f__Lachnospiraceae</v>
          </cell>
          <cell r="I17295" t="str">
            <v>s__unclassified_f__Lachnospiraceae</v>
          </cell>
        </row>
        <row r="17296">
          <cell r="G17296" t="str">
            <v>ASV22745</v>
          </cell>
          <cell r="H17296" t="str">
            <v>g__Eubacterium_oxidoreducens_group</v>
          </cell>
          <cell r="I17296" t="str">
            <v>s__uncultured_bacterium_g__Eubacterium_oxidoreducens_group</v>
          </cell>
        </row>
        <row r="17297">
          <cell r="G17297" t="str">
            <v>ASV2578</v>
          </cell>
          <cell r="H17297" t="str">
            <v>g__Clostridium_sensu_stricto_1</v>
          </cell>
          <cell r="I17297" t="str">
            <v>s__unclassified_g__Clostridium_sensu_stricto_1</v>
          </cell>
        </row>
        <row r="17298">
          <cell r="G17298" t="str">
            <v>ASV4356</v>
          </cell>
          <cell r="H17298" t="str">
            <v>g__Bacteroides</v>
          </cell>
          <cell r="I17298" t="str">
            <v>s__unclassified_g__Bacteroides</v>
          </cell>
        </row>
        <row r="17299">
          <cell r="G17299" t="str">
            <v>ASV23597</v>
          </cell>
          <cell r="H17299" t="str">
            <v>g__unclassified_c__Clostridia</v>
          </cell>
          <cell r="I17299" t="str">
            <v>s__unclassified_c__Clostridia</v>
          </cell>
        </row>
        <row r="17300">
          <cell r="G17300" t="str">
            <v>ASV14699</v>
          </cell>
          <cell r="H17300" t="str">
            <v>g__unclassified_f__Lachnospiraceae</v>
          </cell>
          <cell r="I17300" t="str">
            <v>s__unclassified_f__Lachnospiraceae</v>
          </cell>
        </row>
        <row r="17301">
          <cell r="G17301" t="str">
            <v>ASV12049</v>
          </cell>
          <cell r="H17301" t="str">
            <v>g__unclassified_p__Firmicutes</v>
          </cell>
          <cell r="I17301" t="str">
            <v>s__unclassified_p__Firmicutes</v>
          </cell>
        </row>
        <row r="17302">
          <cell r="G17302" t="str">
            <v>ASV14916</v>
          </cell>
          <cell r="H17302" t="str">
            <v>g__unclassified_c__Clostridia</v>
          </cell>
          <cell r="I17302" t="str">
            <v>s__unclassified_c__Clostridia</v>
          </cell>
        </row>
        <row r="17303">
          <cell r="G17303" t="str">
            <v>ASV1474</v>
          </cell>
          <cell r="H17303" t="str">
            <v>g__unclassified_f__Oscillospiraceae</v>
          </cell>
          <cell r="I17303" t="str">
            <v>s__unclassified_f__Oscillospiraceae</v>
          </cell>
        </row>
        <row r="17304">
          <cell r="G17304" t="str">
            <v>ASV18670</v>
          </cell>
          <cell r="H17304" t="str">
            <v>g__unclassified_c__Bacilli</v>
          </cell>
          <cell r="I17304" t="str">
            <v>s__unclassified_c__Bacilli</v>
          </cell>
        </row>
        <row r="17305">
          <cell r="G17305" t="str">
            <v>ASV15853</v>
          </cell>
          <cell r="H17305" t="str">
            <v>g__Lactobacillus</v>
          </cell>
          <cell r="I17305" t="str">
            <v>s__unclassified_g__Lactobacillus</v>
          </cell>
        </row>
        <row r="17306">
          <cell r="G17306" t="str">
            <v>ASV12301</v>
          </cell>
          <cell r="H17306" t="str">
            <v>g__unclassified_c__Clostridia</v>
          </cell>
          <cell r="I17306" t="str">
            <v>s__unclassified_c__Clostridia</v>
          </cell>
        </row>
        <row r="17307">
          <cell r="G17307" t="str">
            <v>ASV6969</v>
          </cell>
          <cell r="H17307" t="str">
            <v>g__unclassified_c__Clostridia</v>
          </cell>
          <cell r="I17307" t="str">
            <v>s__unclassified_c__Clostridia</v>
          </cell>
        </row>
        <row r="17308">
          <cell r="G17308" t="str">
            <v>ASV5237</v>
          </cell>
          <cell r="H17308" t="str">
            <v>g__norank_f__Muribaculaceae</v>
          </cell>
          <cell r="I17308" t="str">
            <v>s__uncultured_bacterium_g__norank_f__Muribaculaceae</v>
          </cell>
        </row>
        <row r="17309">
          <cell r="G17309" t="str">
            <v>ASV3316</v>
          </cell>
          <cell r="H17309" t="str">
            <v>g__unclassified_c__Bacilli</v>
          </cell>
          <cell r="I17309" t="str">
            <v>s__unclassified_c__Bacilli</v>
          </cell>
        </row>
        <row r="17310">
          <cell r="G17310" t="str">
            <v>ASV5443</v>
          </cell>
          <cell r="H17310" t="str">
            <v>g__Bacteroides</v>
          </cell>
          <cell r="I17310" t="str">
            <v>s__unclassified_g__Bacteroides</v>
          </cell>
        </row>
        <row r="17311">
          <cell r="G17311" t="str">
            <v>ASV2975</v>
          </cell>
          <cell r="H17311" t="str">
            <v>g__Neisseria</v>
          </cell>
          <cell r="I17311" t="str">
            <v>s__unclassified_g__Neisseria</v>
          </cell>
        </row>
        <row r="17312">
          <cell r="G17312" t="str">
            <v>ASV12214</v>
          </cell>
          <cell r="H17312" t="str">
            <v>g__norank_f__norank_o__WCHB1-41</v>
          </cell>
          <cell r="I17312" t="str">
            <v>s__uncultured_bacterium_g__norank_f__norank_o__WCHB1-41</v>
          </cell>
        </row>
        <row r="17313">
          <cell r="G17313" t="str">
            <v>ASV23680</v>
          </cell>
          <cell r="H17313" t="str">
            <v>g__Clostridium_sensu_stricto_1</v>
          </cell>
          <cell r="I17313" t="str">
            <v>s__unclassified_g__Clostridium_sensu_stricto_1</v>
          </cell>
        </row>
        <row r="17314">
          <cell r="G17314" t="str">
            <v>ASV8095</v>
          </cell>
          <cell r="H17314" t="str">
            <v>g__unclassified_f__Lachnospiraceae</v>
          </cell>
          <cell r="I17314" t="str">
            <v>s__unclassified_f__Lachnospiraceae</v>
          </cell>
        </row>
        <row r="17315">
          <cell r="G17315" t="str">
            <v>ASV1274</v>
          </cell>
          <cell r="H17315" t="str">
            <v>g__unclassified_f__Oscillospiraceae</v>
          </cell>
          <cell r="I17315" t="str">
            <v>s__unclassified_f__Oscillospiraceae</v>
          </cell>
        </row>
        <row r="17316">
          <cell r="G17316" t="str">
            <v>ASV21137</v>
          </cell>
          <cell r="H17316" t="str">
            <v>g__unclassified_c__Clostridia</v>
          </cell>
          <cell r="I17316" t="str">
            <v>s__unclassified_c__Clostridia</v>
          </cell>
        </row>
        <row r="17317">
          <cell r="G17317" t="str">
            <v>ASV9089</v>
          </cell>
          <cell r="H17317" t="str">
            <v>g__unclassified_f__Prevotellaceae</v>
          </cell>
          <cell r="I17317" t="str">
            <v>s__unclassified_f__Prevotellaceae</v>
          </cell>
        </row>
        <row r="17318">
          <cell r="G17318" t="str">
            <v>ASV9056</v>
          </cell>
          <cell r="H17318" t="str">
            <v>g__Streptococcus</v>
          </cell>
          <cell r="I17318" t="str">
            <v>s__unclassified_g__Streptococcus</v>
          </cell>
        </row>
        <row r="17319">
          <cell r="G17319" t="str">
            <v>ASV3283</v>
          </cell>
          <cell r="H17319" t="str">
            <v>g__norank_f__norank_o__Clostridia_UCG-014</v>
          </cell>
          <cell r="I17319" t="str">
            <v>s__uncultured_bacterium_g__norank_f__norank_o__Clostridia_UCG-014</v>
          </cell>
        </row>
        <row r="17320">
          <cell r="G17320" t="str">
            <v>ASV22842</v>
          </cell>
          <cell r="H17320" t="str">
            <v>g__unclassified_c__Clostridia</v>
          </cell>
          <cell r="I17320" t="str">
            <v>s__unclassified_c__Clostridia</v>
          </cell>
        </row>
        <row r="17321">
          <cell r="G17321" t="str">
            <v>ASV13616</v>
          </cell>
          <cell r="H17321" t="str">
            <v>g__Eubacterium_nodatum_group</v>
          </cell>
          <cell r="I17321" t="str">
            <v>s__unclassified_g__Eubacterium_nodatum_group</v>
          </cell>
        </row>
        <row r="17322">
          <cell r="G17322" t="str">
            <v>ASV23860</v>
          </cell>
          <cell r="H17322" t="str">
            <v>g__Streptococcus</v>
          </cell>
          <cell r="I17322" t="str">
            <v>s__unclassified_g__Streptococcus</v>
          </cell>
        </row>
        <row r="17323">
          <cell r="G17323" t="str">
            <v>ASV3057</v>
          </cell>
          <cell r="H17323" t="str">
            <v>g__Corynebacterium</v>
          </cell>
          <cell r="I17323" t="str">
            <v>s__unclassified_g__Corynebacterium</v>
          </cell>
        </row>
        <row r="17324">
          <cell r="G17324" t="str">
            <v>ASV3291</v>
          </cell>
          <cell r="H17324" t="str">
            <v>g__unclassified_k__norank_d__Bacteria</v>
          </cell>
          <cell r="I17324" t="str">
            <v>s__unclassified_k__norank_d__Bacteria</v>
          </cell>
        </row>
        <row r="17325">
          <cell r="G17325" t="str">
            <v>ASV12076</v>
          </cell>
          <cell r="H17325" t="str">
            <v>g__Succiniclasticum</v>
          </cell>
          <cell r="I17325" t="str">
            <v>s__uncultured_rumen_bacterium_4C28d-16</v>
          </cell>
        </row>
        <row r="17326">
          <cell r="G17326" t="str">
            <v>ASV14637</v>
          </cell>
          <cell r="H17326" t="str">
            <v>g__Ruminococcus</v>
          </cell>
          <cell r="I17326" t="str">
            <v>s__unclassified_g__Ruminococcus</v>
          </cell>
        </row>
        <row r="17327">
          <cell r="G17327" t="str">
            <v>ASV6402</v>
          </cell>
          <cell r="H17327" t="str">
            <v>g__unclassified_p__Firmicutes</v>
          </cell>
          <cell r="I17327" t="str">
            <v>s__unclassified_p__Firmicutes</v>
          </cell>
        </row>
        <row r="17328">
          <cell r="G17328" t="str">
            <v>ASV9826</v>
          </cell>
          <cell r="H17328" t="str">
            <v>g__unclassified_c__Clostridia</v>
          </cell>
          <cell r="I17328" t="str">
            <v>s__unclassified_c__Clostridia</v>
          </cell>
        </row>
        <row r="17329">
          <cell r="G17329" t="str">
            <v>ASV6272</v>
          </cell>
          <cell r="H17329" t="str">
            <v>g__norank_f__norank_o__Clostridia_UCG-014</v>
          </cell>
          <cell r="I17329" t="str">
            <v>s__uncultured_bacterium_g__norank_f__norank_o__Clostridia_UCG-014</v>
          </cell>
        </row>
        <row r="17330">
          <cell r="G17330" t="str">
            <v>ASV4299</v>
          </cell>
          <cell r="H17330" t="str">
            <v>g__Parabacteroides</v>
          </cell>
          <cell r="I17330" t="str">
            <v>s__unclassified_g__Parabacteroides</v>
          </cell>
        </row>
        <row r="17331">
          <cell r="G17331" t="str">
            <v>ASV4231</v>
          </cell>
          <cell r="H17331" t="str">
            <v>g__unclassified_f__Synergistaceae</v>
          </cell>
          <cell r="I17331" t="str">
            <v>s__unclassified_f__Synergistaceae</v>
          </cell>
        </row>
        <row r="17332">
          <cell r="G17332" t="str">
            <v>ASV4319</v>
          </cell>
          <cell r="H17332" t="str">
            <v>g__Phascolarctobacterium</v>
          </cell>
          <cell r="I17332" t="str">
            <v>s__Ruminococcus_sp._N15.MGS-57_g__Phascolarctobacterium</v>
          </cell>
        </row>
        <row r="17333">
          <cell r="G17333" t="str">
            <v>ASV10857</v>
          </cell>
          <cell r="H17333" t="str">
            <v>g__unclassified_k__norank_d__Bacteria</v>
          </cell>
          <cell r="I17333" t="str">
            <v>s__unclassified_k__norank_d__Bacteria</v>
          </cell>
        </row>
        <row r="17334">
          <cell r="G17334" t="str">
            <v>ASV22595</v>
          </cell>
          <cell r="H17334" t="str">
            <v>g__unclassified_c__Clostridia</v>
          </cell>
          <cell r="I17334" t="str">
            <v>s__unclassified_c__Clostridia</v>
          </cell>
        </row>
        <row r="17335">
          <cell r="G17335" t="str">
            <v>ASV3275</v>
          </cell>
          <cell r="H17335" t="str">
            <v>g__Rikenellaceae_RC9_gut_group</v>
          </cell>
          <cell r="I17335" t="str">
            <v>s__unclassified_g__Rikenellaceae_RC9_gut_group</v>
          </cell>
        </row>
        <row r="17336">
          <cell r="G17336" t="str">
            <v>ASV8111</v>
          </cell>
          <cell r="H17336" t="str">
            <v>g__Eubacterium_oxidoreducens_group</v>
          </cell>
          <cell r="I17336" t="str">
            <v>s__uncultured_bacterium_g__Eubacterium_oxidoreducens_group</v>
          </cell>
        </row>
        <row r="17337">
          <cell r="G17337" t="str">
            <v>ASV17022</v>
          </cell>
          <cell r="H17337" t="str">
            <v>g__unclassified_f__Oscillospiraceae</v>
          </cell>
          <cell r="I17337" t="str">
            <v>s__unclassified_f__Oscillospiraceae</v>
          </cell>
        </row>
        <row r="17338">
          <cell r="G17338" t="str">
            <v>ASV23660</v>
          </cell>
          <cell r="H17338" t="str">
            <v>g__unclassified_c__Clostridia</v>
          </cell>
          <cell r="I17338" t="str">
            <v>s__unclassified_c__Clostridia</v>
          </cell>
        </row>
        <row r="17339">
          <cell r="G17339" t="str">
            <v>ASV6287</v>
          </cell>
          <cell r="H17339" t="str">
            <v>g__Butyricicoccus</v>
          </cell>
          <cell r="I17339" t="str">
            <v>s__unclassified_g__Butyricicoccus</v>
          </cell>
        </row>
        <row r="17340">
          <cell r="G17340" t="str">
            <v>ASV1313</v>
          </cell>
          <cell r="H17340" t="str">
            <v>g__unclassified_c__Clostridia</v>
          </cell>
          <cell r="I17340" t="str">
            <v>s__unclassified_c__Clostridia</v>
          </cell>
        </row>
        <row r="17341">
          <cell r="G17341" t="str">
            <v>ASV8308</v>
          </cell>
          <cell r="H17341" t="str">
            <v>g__Olsenella</v>
          </cell>
          <cell r="I17341" t="str">
            <v>s__unclassified_g__Olsenella</v>
          </cell>
        </row>
        <row r="17342">
          <cell r="G17342" t="str">
            <v>ASV12032</v>
          </cell>
          <cell r="H17342" t="str">
            <v>g__Acinetobacter</v>
          </cell>
          <cell r="I17342" t="str">
            <v>s__unclassified_g__Acinetobacter</v>
          </cell>
        </row>
        <row r="17343">
          <cell r="G17343" t="str">
            <v>ASV4242</v>
          </cell>
          <cell r="H17343" t="str">
            <v>g__unclassified_f__Lachnospiraceae</v>
          </cell>
          <cell r="I17343" t="str">
            <v>s__unclassified_f__Lachnospiraceae</v>
          </cell>
        </row>
        <row r="17344">
          <cell r="G17344" t="str">
            <v>ASV6381</v>
          </cell>
          <cell r="H17344" t="str">
            <v>g__unclassified_c__Clostridia</v>
          </cell>
          <cell r="I17344" t="str">
            <v>s__unclassified_c__Clostridia</v>
          </cell>
        </row>
        <row r="17345">
          <cell r="G17345" t="str">
            <v>ASV23675</v>
          </cell>
          <cell r="H17345" t="str">
            <v>g__Subdoligranulum</v>
          </cell>
          <cell r="I17345" t="str">
            <v>s__uncultured_bacterium_g__Subdoligranulum</v>
          </cell>
        </row>
        <row r="17346">
          <cell r="G17346" t="str">
            <v>ASV20977</v>
          </cell>
          <cell r="H17346" t="str">
            <v>g__unclassified_c__Clostridia</v>
          </cell>
          <cell r="I17346" t="str">
            <v>s__unclassified_c__Clostridia</v>
          </cell>
        </row>
        <row r="17347">
          <cell r="G17347" t="str">
            <v>ASV20491</v>
          </cell>
          <cell r="H17347" t="str">
            <v>g__Gordonia</v>
          </cell>
          <cell r="I17347" t="str">
            <v>s__unclassified_g__Gordonia</v>
          </cell>
        </row>
        <row r="17348">
          <cell r="G17348" t="str">
            <v>ASV13830</v>
          </cell>
          <cell r="H17348" t="str">
            <v>g__Peptococcus</v>
          </cell>
          <cell r="I17348" t="str">
            <v>s__uncultured_bacterium_g__Peptococcus</v>
          </cell>
        </row>
        <row r="17349">
          <cell r="G17349" t="str">
            <v>ASV22550</v>
          </cell>
          <cell r="H17349" t="str">
            <v>g__unclassified_c__Clostridia</v>
          </cell>
          <cell r="I17349" t="str">
            <v>s__unclassified_c__Clostridia</v>
          </cell>
        </row>
        <row r="17350">
          <cell r="G17350" t="str">
            <v>ASV18451</v>
          </cell>
          <cell r="H17350" t="str">
            <v>g__unclassified_f__Oscillospiraceae</v>
          </cell>
          <cell r="I17350" t="str">
            <v>s__unclassified_f__Oscillospiraceae</v>
          </cell>
        </row>
        <row r="17351">
          <cell r="G17351" t="str">
            <v>ASV6941</v>
          </cell>
          <cell r="H17351" t="str">
            <v>g__unclassified_f__Peptostreptococcaceae</v>
          </cell>
          <cell r="I17351" t="str">
            <v>s__unclassified_f__Peptostreptococcaceae</v>
          </cell>
        </row>
        <row r="17352">
          <cell r="G17352" t="str">
            <v>ASV23790</v>
          </cell>
          <cell r="H17352" t="str">
            <v>g__Christensenellaceae_R-7_group</v>
          </cell>
          <cell r="I17352" t="str">
            <v>s__unclassified_g__Christensenellaceae_R-7_group</v>
          </cell>
        </row>
        <row r="17353">
          <cell r="G17353" t="str">
            <v>ASV11029</v>
          </cell>
          <cell r="H17353" t="str">
            <v>g__Peptococcus</v>
          </cell>
          <cell r="I17353" t="str">
            <v>s__uncultured_bacterium_g__Peptococcus</v>
          </cell>
        </row>
        <row r="17354">
          <cell r="G17354" t="str">
            <v>ASV14761</v>
          </cell>
          <cell r="H17354" t="str">
            <v>g__Christensenellaceae_R-7_group</v>
          </cell>
          <cell r="I17354" t="str">
            <v>s__unclassified_g__Christensenellaceae_R-7_group</v>
          </cell>
        </row>
        <row r="17355">
          <cell r="G17355" t="str">
            <v>ASV8223</v>
          </cell>
          <cell r="H17355" t="str">
            <v>g__norank_f__Ruminococcaceae</v>
          </cell>
          <cell r="I17355" t="str">
            <v>s__unclassified_g__norank_f__Ruminococcaceae</v>
          </cell>
        </row>
        <row r="17356">
          <cell r="G17356" t="str">
            <v>ASV8737</v>
          </cell>
          <cell r="H17356" t="str">
            <v>g__Streptococcus</v>
          </cell>
          <cell r="I17356" t="str">
            <v>s__unclassified_g__Streptococcus</v>
          </cell>
        </row>
        <row r="17357">
          <cell r="G17357" t="str">
            <v>ASV1504</v>
          </cell>
          <cell r="H17357" t="str">
            <v>g__norank_f__Ruminococcaceae</v>
          </cell>
          <cell r="I17357" t="str">
            <v>s__uncultured_bacterium_g__norank_f__Ruminococcaceae</v>
          </cell>
        </row>
        <row r="17358">
          <cell r="G17358" t="str">
            <v>ASV2809</v>
          </cell>
          <cell r="H17358" t="str">
            <v>g__Cellulosilyticum</v>
          </cell>
          <cell r="I17358" t="str">
            <v>s__uncultured_Cellulosilyticum_sp._g__Cellulosilyticum</v>
          </cell>
        </row>
        <row r="17359">
          <cell r="G17359" t="str">
            <v>ASV20496</v>
          </cell>
          <cell r="H17359" t="str">
            <v>g__unclassified_f__Pasteurellaceae</v>
          </cell>
          <cell r="I17359" t="str">
            <v>s__unclassified_f__Pasteurellaceae</v>
          </cell>
        </row>
        <row r="17360">
          <cell r="G17360" t="str">
            <v>ASV6292</v>
          </cell>
          <cell r="H17360" t="str">
            <v>g__unclassified_c__Clostridia</v>
          </cell>
          <cell r="I17360" t="str">
            <v>s__unclassified_c__Clostridia</v>
          </cell>
        </row>
        <row r="17361">
          <cell r="G17361" t="str">
            <v>ASV15716</v>
          </cell>
          <cell r="H17361" t="str">
            <v>g__unclassified_c__Bacilli</v>
          </cell>
          <cell r="I17361" t="str">
            <v>s__unclassified_c__Bacilli</v>
          </cell>
        </row>
        <row r="17362">
          <cell r="G17362" t="str">
            <v>ASV7131</v>
          </cell>
          <cell r="H17362" t="str">
            <v>g__Bifidobacterium</v>
          </cell>
          <cell r="I17362" t="str">
            <v>s__unclassified_g__Bifidobacterium</v>
          </cell>
        </row>
        <row r="17363">
          <cell r="G17363" t="str">
            <v>ASV23723</v>
          </cell>
          <cell r="H17363" t="str">
            <v>g__Lactobacillus</v>
          </cell>
          <cell r="I17363" t="str">
            <v>s__unclassified_g__Lactobacillus</v>
          </cell>
        </row>
        <row r="17364">
          <cell r="G17364" t="str">
            <v>ASV20338</v>
          </cell>
          <cell r="H17364" t="str">
            <v>g__unclassified_c__Clostridia</v>
          </cell>
          <cell r="I17364" t="str">
            <v>s__unclassified_c__Clostridia</v>
          </cell>
        </row>
        <row r="17365">
          <cell r="G17365" t="str">
            <v>ASV15607</v>
          </cell>
          <cell r="H17365" t="str">
            <v>g__Clostridium_sensu_stricto_1</v>
          </cell>
          <cell r="I17365" t="str">
            <v>s__unclassified_g__Clostridium_sensu_stricto_1</v>
          </cell>
        </row>
        <row r="17366">
          <cell r="G17366" t="str">
            <v>ASV15728</v>
          </cell>
          <cell r="H17366" t="str">
            <v>g__unclassified_f__Lachnospiraceae</v>
          </cell>
          <cell r="I17366" t="str">
            <v>s__unclassified_f__Lachnospiraceae</v>
          </cell>
        </row>
        <row r="17367">
          <cell r="G17367" t="str">
            <v>ASV24040</v>
          </cell>
          <cell r="H17367" t="str">
            <v>g__unclassified_c__Bacilli</v>
          </cell>
          <cell r="I17367" t="str">
            <v>s__unclassified_c__Bacilli</v>
          </cell>
        </row>
        <row r="17368">
          <cell r="G17368" t="str">
            <v>ASV18737</v>
          </cell>
          <cell r="H17368" t="str">
            <v>g__unclassified_c__Bacilli</v>
          </cell>
          <cell r="I17368" t="str">
            <v>s__unclassified_c__Bacilli</v>
          </cell>
        </row>
        <row r="17369">
          <cell r="G17369" t="str">
            <v>ASV18778</v>
          </cell>
          <cell r="H17369" t="str">
            <v>g__unclassified_k__norank_d__Bacteria</v>
          </cell>
          <cell r="I17369" t="str">
            <v>s__unclassified_k__norank_d__Bacteria</v>
          </cell>
        </row>
        <row r="17370">
          <cell r="G17370" t="str">
            <v>ASV4322</v>
          </cell>
          <cell r="H17370" t="str">
            <v>g__unclassified_p__Firmicutes</v>
          </cell>
          <cell r="I17370" t="str">
            <v>s__unclassified_p__Firmicutes</v>
          </cell>
        </row>
        <row r="17371">
          <cell r="G17371" t="str">
            <v>ASV12085</v>
          </cell>
          <cell r="H17371" t="str">
            <v>g__norank_f__norank_o__Clostridia_UCG-014</v>
          </cell>
          <cell r="I17371" t="str">
            <v>s__uncultured_bacterium_g__norank_f__norank_o__Clostridia_UCG-014</v>
          </cell>
        </row>
        <row r="17372">
          <cell r="G17372" t="str">
            <v>ASV18995</v>
          </cell>
          <cell r="H17372" t="str">
            <v>g__Lactobacillus</v>
          </cell>
          <cell r="I17372" t="str">
            <v>s__unclassified_g__Lactobacillus</v>
          </cell>
        </row>
        <row r="17373">
          <cell r="G17373" t="str">
            <v>ASV2549</v>
          </cell>
          <cell r="H17373" t="str">
            <v>g__unclassified_f__Lachnospiraceae</v>
          </cell>
          <cell r="I17373" t="str">
            <v>s__unclassified_f__Lachnospiraceae</v>
          </cell>
        </row>
        <row r="17374">
          <cell r="G17374" t="str">
            <v>ASV24061</v>
          </cell>
          <cell r="H17374" t="str">
            <v>g__Escherichia-Shigella</v>
          </cell>
          <cell r="I17374" t="str">
            <v>s__unclassified_g__Escherichia-Shigella</v>
          </cell>
        </row>
        <row r="17375">
          <cell r="G17375" t="str">
            <v>ASV21682</v>
          </cell>
          <cell r="H17375" t="str">
            <v>g__Bacteroides</v>
          </cell>
          <cell r="I17375" t="str">
            <v>s__Bacteroides_plebeius_DSM_17135</v>
          </cell>
        </row>
        <row r="17376">
          <cell r="G17376" t="str">
            <v>ASV16613</v>
          </cell>
          <cell r="H17376" t="str">
            <v>g__unclassified_f__Ruminococcaceae</v>
          </cell>
          <cell r="I17376" t="str">
            <v>s__unclassified_f__Ruminococcaceae</v>
          </cell>
        </row>
        <row r="17377">
          <cell r="G17377" t="str">
            <v>ASV8025</v>
          </cell>
          <cell r="H17377" t="str">
            <v>g__unclassified_c__Clostridia</v>
          </cell>
          <cell r="I17377" t="str">
            <v>s__unclassified_c__Clostridia</v>
          </cell>
        </row>
        <row r="17378">
          <cell r="G17378" t="str">
            <v>ASV5391</v>
          </cell>
          <cell r="H17378" t="str">
            <v>g__unclassified_f__Lachnospiraceae</v>
          </cell>
          <cell r="I17378" t="str">
            <v>s__unclassified_f__Lachnospiraceae</v>
          </cell>
        </row>
        <row r="17379">
          <cell r="G17379" t="str">
            <v>ASV8306</v>
          </cell>
          <cell r="H17379" t="str">
            <v>g__unclassified_k__norank_d__Bacteria</v>
          </cell>
          <cell r="I17379" t="str">
            <v>s__unclassified_k__norank_d__Bacteria</v>
          </cell>
        </row>
        <row r="17380">
          <cell r="G17380" t="str">
            <v>ASV1349</v>
          </cell>
          <cell r="H17380" t="str">
            <v>g__norank_f__Erysipelotrichaceae</v>
          </cell>
          <cell r="I17380" t="str">
            <v>s__uncultured_bacterium_g__norank_f__Erysipelotrichaceae</v>
          </cell>
        </row>
        <row r="17381">
          <cell r="G17381" t="str">
            <v>ASV10890</v>
          </cell>
          <cell r="H17381" t="str">
            <v>g__Christensenellaceae_R-7_group</v>
          </cell>
          <cell r="I17381" t="str">
            <v>s__unclassified_g__Christensenellaceae_R-7_group</v>
          </cell>
        </row>
        <row r="17382">
          <cell r="G17382" t="str">
            <v>ASV8135</v>
          </cell>
          <cell r="H17382" t="str">
            <v>g__Eubacterium_nodatum_group</v>
          </cell>
          <cell r="I17382" t="str">
            <v>s__uncultured_bacterium_g__Eubacterium_nodatum_group</v>
          </cell>
        </row>
        <row r="17383">
          <cell r="G17383" t="str">
            <v>ASV1501</v>
          </cell>
          <cell r="H17383" t="str">
            <v>g__unclassified_c__Clostridia</v>
          </cell>
          <cell r="I17383" t="str">
            <v>s__unclassified_c__Clostridia</v>
          </cell>
        </row>
        <row r="17384">
          <cell r="G17384" t="str">
            <v>ASV6964</v>
          </cell>
          <cell r="H17384" t="str">
            <v>g__unclassified_c__Clostridia</v>
          </cell>
          <cell r="I17384" t="str">
            <v>s__unclassified_c__Clostridia</v>
          </cell>
        </row>
        <row r="17385">
          <cell r="G17385" t="str">
            <v>ASV12377</v>
          </cell>
          <cell r="H17385" t="str">
            <v>g__unclassified_p__Firmicutes</v>
          </cell>
          <cell r="I17385" t="str">
            <v>s__unclassified_p__Firmicutes</v>
          </cell>
        </row>
        <row r="17386">
          <cell r="G17386" t="str">
            <v>ASV18278</v>
          </cell>
          <cell r="H17386" t="str">
            <v>g__Bilophila</v>
          </cell>
          <cell r="I17386" t="str">
            <v>s__uncultured_delta_proteobacterium_g__Bilophila</v>
          </cell>
        </row>
        <row r="17387">
          <cell r="G17387" t="str">
            <v>ASV17045</v>
          </cell>
          <cell r="H17387" t="str">
            <v>g__Prevotella</v>
          </cell>
          <cell r="I17387" t="str">
            <v>s__Prevotella_sp._RS2</v>
          </cell>
        </row>
        <row r="17388">
          <cell r="G17388" t="str">
            <v>ASV12473</v>
          </cell>
          <cell r="H17388" t="str">
            <v>g__norank_f__Ruminococcaceae</v>
          </cell>
          <cell r="I17388" t="str">
            <v>s__unclassified_g__norank_f__Ruminococcaceae</v>
          </cell>
        </row>
        <row r="17389">
          <cell r="G17389" t="str">
            <v>ASV21550</v>
          </cell>
          <cell r="H17389" t="str">
            <v>g__unclassified_c__Bacilli</v>
          </cell>
          <cell r="I17389" t="str">
            <v>s__unclassified_c__Bacilli</v>
          </cell>
        </row>
        <row r="17390">
          <cell r="G17390" t="str">
            <v>ASV18448</v>
          </cell>
          <cell r="H17390" t="str">
            <v>g__unclassified_f__Lachnospiraceae</v>
          </cell>
          <cell r="I17390" t="str">
            <v>s__unclassified_f__Lachnospiraceae</v>
          </cell>
        </row>
        <row r="17391">
          <cell r="G17391" t="str">
            <v>ASV12279</v>
          </cell>
          <cell r="H17391" t="str">
            <v>g__Prevotella</v>
          </cell>
          <cell r="I17391" t="str">
            <v>s__unclassified_g__Prevotella</v>
          </cell>
        </row>
        <row r="17392">
          <cell r="G17392" t="str">
            <v>ASV3348</v>
          </cell>
          <cell r="H17392" t="str">
            <v>g__unclassified_f__Lachnospiraceae</v>
          </cell>
          <cell r="I17392" t="str">
            <v>s__unclassified_f__Lachnospiraceae</v>
          </cell>
        </row>
        <row r="17393">
          <cell r="G17393" t="str">
            <v>ASV20132</v>
          </cell>
          <cell r="H17393" t="str">
            <v>g__unclassified_c__Clostridia</v>
          </cell>
          <cell r="I17393" t="str">
            <v>s__unclassified_c__Clostridia</v>
          </cell>
        </row>
        <row r="17394">
          <cell r="G17394" t="str">
            <v>ASV9814</v>
          </cell>
          <cell r="H17394" t="str">
            <v>g__unclassified_c__Clostridia</v>
          </cell>
          <cell r="I17394" t="str">
            <v>s__unclassified_c__Clostridia</v>
          </cell>
        </row>
        <row r="17395">
          <cell r="G17395" t="str">
            <v>ASV12207</v>
          </cell>
          <cell r="H17395" t="str">
            <v>g__unclassified_f__Ruminococcaceae</v>
          </cell>
          <cell r="I17395" t="str">
            <v>s__unclassified_f__Ruminococcaceae</v>
          </cell>
        </row>
        <row r="17396">
          <cell r="G17396" t="str">
            <v>ASV8093</v>
          </cell>
          <cell r="H17396" t="str">
            <v>g__Eubacterium_nodatum_group</v>
          </cell>
          <cell r="I17396" t="str">
            <v>s__unclassified_g__Eubacterium_nodatum_group</v>
          </cell>
        </row>
        <row r="17397">
          <cell r="G17397" t="str">
            <v>ASV2980</v>
          </cell>
          <cell r="H17397" t="str">
            <v>g__unclassified_f__Lachnospiraceae</v>
          </cell>
          <cell r="I17397" t="str">
            <v>s__unclassified_f__Lachnospiraceae</v>
          </cell>
        </row>
        <row r="17398">
          <cell r="G17398" t="str">
            <v>ASV5172</v>
          </cell>
          <cell r="H17398" t="str">
            <v>g__Lachnospiraceae_UCG-004</v>
          </cell>
          <cell r="I17398" t="str">
            <v>s__uncultured_bacterium_g__Lachnospiraceae_UCG-004</v>
          </cell>
        </row>
        <row r="17399">
          <cell r="G17399" t="str">
            <v>ASV22728</v>
          </cell>
          <cell r="H17399" t="str">
            <v>g__Escherichia-Shigella</v>
          </cell>
          <cell r="I17399" t="str">
            <v>s__unclassified_g__Escherichia-Shigella</v>
          </cell>
        </row>
        <row r="17400">
          <cell r="G17400" t="str">
            <v>ASV5360</v>
          </cell>
          <cell r="H17400" t="str">
            <v>g__norank_f__Erysipelotrichaceae</v>
          </cell>
          <cell r="I17400" t="str">
            <v>s__uncultured_bacterium_g__norank_f__Erysipelotrichaceae</v>
          </cell>
        </row>
        <row r="17401">
          <cell r="G17401" t="str">
            <v>ASV17440</v>
          </cell>
          <cell r="H17401" t="str">
            <v>g__Enterococcus</v>
          </cell>
          <cell r="I17401" t="str">
            <v>s__unclassified_g__Enterococcus</v>
          </cell>
        </row>
        <row r="17402">
          <cell r="G17402" t="str">
            <v>ASV20188</v>
          </cell>
          <cell r="H17402" t="str">
            <v>g__unclassified_c__Clostridia</v>
          </cell>
          <cell r="I17402" t="str">
            <v>s__unclassified_c__Clostridia</v>
          </cell>
        </row>
        <row r="17403">
          <cell r="G17403" t="str">
            <v>ASV12404</v>
          </cell>
          <cell r="H17403" t="str">
            <v>g__unclassified_c__Clostridia</v>
          </cell>
          <cell r="I17403" t="str">
            <v>s__unclassified_c__Clostridia</v>
          </cell>
        </row>
        <row r="17404">
          <cell r="G17404" t="str">
            <v>ASV18269</v>
          </cell>
          <cell r="H17404" t="str">
            <v>g__unclassified_k__norank_d__Bacteria</v>
          </cell>
          <cell r="I17404" t="str">
            <v>s__unclassified_k__norank_d__Bacteria</v>
          </cell>
        </row>
        <row r="17405">
          <cell r="G17405" t="str">
            <v>ASV20002</v>
          </cell>
          <cell r="H17405" t="str">
            <v>g__unclassified_c__Clostridia</v>
          </cell>
          <cell r="I17405" t="str">
            <v>s__unclassified_c__Clostridia</v>
          </cell>
        </row>
        <row r="17406">
          <cell r="G17406" t="str">
            <v>ASV13749</v>
          </cell>
          <cell r="H17406" t="str">
            <v>g__unclassified_p__Firmicutes</v>
          </cell>
          <cell r="I17406" t="str">
            <v>s__unclassified_p__Firmicutes</v>
          </cell>
        </row>
        <row r="17407">
          <cell r="G17407" t="str">
            <v>ASV10971</v>
          </cell>
          <cell r="H17407" t="str">
            <v>g__unclassified_c__Clostridia</v>
          </cell>
          <cell r="I17407" t="str">
            <v>s__unclassified_c__Clostridia</v>
          </cell>
        </row>
        <row r="17408">
          <cell r="G17408" t="str">
            <v>ASV23622</v>
          </cell>
          <cell r="H17408" t="str">
            <v>g__norank_f__UCG-010</v>
          </cell>
          <cell r="I17408" t="str">
            <v>s__uncultured_bacterium_g__norank_f__UCG-010</v>
          </cell>
        </row>
        <row r="17409">
          <cell r="G17409" t="str">
            <v>ASV21347</v>
          </cell>
          <cell r="H17409" t="str">
            <v>g__unclassified_k__norank_d__Bacteria</v>
          </cell>
          <cell r="I17409" t="str">
            <v>s__unclassified_k__norank_d__Bacteria</v>
          </cell>
        </row>
        <row r="17410">
          <cell r="G17410" t="str">
            <v>ASV15718</v>
          </cell>
          <cell r="H17410" t="str">
            <v>g__Christensenellaceae_R-7_group</v>
          </cell>
          <cell r="I17410" t="str">
            <v>s__unclassified_g__Christensenellaceae_R-7_group</v>
          </cell>
        </row>
        <row r="17411">
          <cell r="G17411" t="str">
            <v>ASV12249</v>
          </cell>
          <cell r="H17411" t="str">
            <v>g__unclassified_c__Clostridia</v>
          </cell>
          <cell r="I17411" t="str">
            <v>s__unclassified_c__Clostridia</v>
          </cell>
        </row>
        <row r="17412">
          <cell r="G17412" t="str">
            <v>ASV6225</v>
          </cell>
          <cell r="H17412" t="str">
            <v>g__Butyricimonas</v>
          </cell>
          <cell r="I17412" t="str">
            <v>s__unclassified_g__Butyricimonas</v>
          </cell>
        </row>
        <row r="17413">
          <cell r="G17413" t="str">
            <v>ASV1099</v>
          </cell>
          <cell r="H17413" t="str">
            <v>g__unclassified_o__Bacteroidales</v>
          </cell>
          <cell r="I17413" t="str">
            <v>s__unclassified_o__Bacteroidales</v>
          </cell>
        </row>
        <row r="17414">
          <cell r="G17414" t="str">
            <v>ASV2545</v>
          </cell>
          <cell r="H17414" t="str">
            <v>g__unclassified_c__Clostridia</v>
          </cell>
          <cell r="I17414" t="str">
            <v>s__unclassified_c__Clostridia</v>
          </cell>
        </row>
        <row r="17415">
          <cell r="G17415" t="str">
            <v>ASV13099</v>
          </cell>
          <cell r="H17415" t="str">
            <v>g__unclassified_c__Clostridia</v>
          </cell>
          <cell r="I17415" t="str">
            <v>s__unclassified_c__Clostridia</v>
          </cell>
        </row>
        <row r="17416">
          <cell r="G17416" t="str">
            <v>ASV1363</v>
          </cell>
          <cell r="H17416" t="str">
            <v>g__unclassified_c__Clostridia</v>
          </cell>
          <cell r="I17416" t="str">
            <v>s__unclassified_c__Clostridia</v>
          </cell>
        </row>
        <row r="17417">
          <cell r="G17417" t="str">
            <v>ASV19932</v>
          </cell>
          <cell r="H17417" t="str">
            <v>g__unclassified_c__Clostridia</v>
          </cell>
          <cell r="I17417" t="str">
            <v>s__unclassified_c__Clostridia</v>
          </cell>
        </row>
        <row r="17418">
          <cell r="G17418" t="str">
            <v>ASV23562</v>
          </cell>
          <cell r="H17418" t="str">
            <v>g__unclassified_c__Clostridia</v>
          </cell>
          <cell r="I17418" t="str">
            <v>s__unclassified_c__Clostridia</v>
          </cell>
        </row>
        <row r="17419">
          <cell r="G17419" t="str">
            <v>ASV18324</v>
          </cell>
          <cell r="H17419" t="str">
            <v>g__norank_f__Eubacterium_coprostanoligenes_group</v>
          </cell>
          <cell r="I17419" t="str">
            <v>s__human_gut_metagenome_g__norank_f__Eubacterium_coprostanoligenes_group</v>
          </cell>
        </row>
        <row r="17420">
          <cell r="G17420" t="str">
            <v>ASV18990</v>
          </cell>
          <cell r="H17420" t="str">
            <v>g__unclassified_f__Lachnospiraceae</v>
          </cell>
          <cell r="I17420" t="str">
            <v>s__unclassified_f__Lachnospiraceae</v>
          </cell>
        </row>
        <row r="17421">
          <cell r="G17421" t="str">
            <v>ASV3534</v>
          </cell>
          <cell r="H17421" t="str">
            <v>g__unclassified_p__Firmicutes</v>
          </cell>
          <cell r="I17421" t="str">
            <v>s__unclassified_p__Firmicutes</v>
          </cell>
        </row>
        <row r="17422">
          <cell r="G17422" t="str">
            <v>ASV19005</v>
          </cell>
          <cell r="H17422" t="str">
            <v>g__unclassified_k__norank_d__Bacteria</v>
          </cell>
          <cell r="I17422" t="str">
            <v>s__unclassified_k__norank_d__Bacteria</v>
          </cell>
        </row>
        <row r="17423">
          <cell r="G17423" t="str">
            <v>ASV23624</v>
          </cell>
          <cell r="H17423" t="str">
            <v>g__unclassified_o__Lachnospirales</v>
          </cell>
          <cell r="I17423" t="str">
            <v>s__unclassified_o__Lachnospirales</v>
          </cell>
        </row>
        <row r="17424">
          <cell r="G17424" t="str">
            <v>ASV20054</v>
          </cell>
          <cell r="H17424" t="str">
            <v>g__norank_f__Muribaculaceae</v>
          </cell>
          <cell r="I17424" t="str">
            <v>s__uncultured_bacterium_g__norank_f__Muribaculaceae</v>
          </cell>
        </row>
        <row r="17425">
          <cell r="G17425" t="str">
            <v>ASV13089</v>
          </cell>
          <cell r="H17425" t="str">
            <v>g__unclassified_c__Clostridia</v>
          </cell>
          <cell r="I17425" t="str">
            <v>s__unclassified_c__Clostridia</v>
          </cell>
        </row>
        <row r="17426">
          <cell r="G17426" t="str">
            <v>ASV8225</v>
          </cell>
          <cell r="H17426" t="str">
            <v>g__unclassified_c__Clostridia</v>
          </cell>
          <cell r="I17426" t="str">
            <v>s__unclassified_c__Clostridia</v>
          </cell>
        </row>
        <row r="17427">
          <cell r="G17427" t="str">
            <v>ASV10840</v>
          </cell>
          <cell r="H17427" t="str">
            <v>g__unclassified_k__norank_d__Bacteria</v>
          </cell>
          <cell r="I17427" t="str">
            <v>s__unclassified_k__norank_d__Bacteria</v>
          </cell>
        </row>
        <row r="17428">
          <cell r="G17428" t="str">
            <v>ASV21553</v>
          </cell>
          <cell r="H17428" t="str">
            <v>g__unclassified_f__Anaerovoracaceae</v>
          </cell>
          <cell r="I17428" t="str">
            <v>s__unclassified_f__Anaerovoracaceae</v>
          </cell>
        </row>
        <row r="17429">
          <cell r="G17429" t="str">
            <v>ASV1301</v>
          </cell>
          <cell r="H17429" t="str">
            <v>g__Rikenellaceae_RC9_gut_group</v>
          </cell>
          <cell r="I17429" t="str">
            <v>s__uncultured_bacterium_g__Rikenellaceae_RC9_gut_group</v>
          </cell>
        </row>
        <row r="17430">
          <cell r="G17430" t="str">
            <v>ASV23867</v>
          </cell>
          <cell r="H17430" t="str">
            <v>g__Streptococcus</v>
          </cell>
          <cell r="I17430" t="str">
            <v>s__unclassified_g__Streptococcus</v>
          </cell>
        </row>
        <row r="17431">
          <cell r="G17431" t="str">
            <v>ASV13583</v>
          </cell>
          <cell r="H17431" t="str">
            <v>g__unclassified_f__Christensenellaceae</v>
          </cell>
          <cell r="I17431" t="str">
            <v>s__unclassified_f__Christensenellaceae</v>
          </cell>
        </row>
        <row r="17432">
          <cell r="G17432" t="str">
            <v>ASV12426</v>
          </cell>
          <cell r="H17432" t="str">
            <v>g__unclassified_f__Ruminococcaceae</v>
          </cell>
          <cell r="I17432" t="str">
            <v>s__unclassified_f__Ruminococcaceae</v>
          </cell>
        </row>
        <row r="17433">
          <cell r="G17433" t="str">
            <v>ASV13624</v>
          </cell>
          <cell r="H17433" t="str">
            <v>g__unclassified_f__Lachnospiraceae</v>
          </cell>
          <cell r="I17433" t="str">
            <v>s__unclassified_f__Lachnospiraceae</v>
          </cell>
        </row>
        <row r="17434">
          <cell r="G17434" t="str">
            <v>ASV22704</v>
          </cell>
          <cell r="H17434" t="str">
            <v>g__Christensenellaceae_R-7_group</v>
          </cell>
          <cell r="I17434" t="str">
            <v>s__unclassified_g__Christensenellaceae_R-7_group</v>
          </cell>
        </row>
        <row r="17435">
          <cell r="G17435" t="str">
            <v>ASV16998</v>
          </cell>
          <cell r="H17435" t="str">
            <v>g__unclassified_f__Prevotellaceae</v>
          </cell>
          <cell r="I17435" t="str">
            <v>s__unclassified_f__Prevotellaceae</v>
          </cell>
        </row>
        <row r="17436">
          <cell r="G17436" t="str">
            <v>ASV15763</v>
          </cell>
          <cell r="H17436" t="str">
            <v>g__unclassified_f__Ruminococcaceae</v>
          </cell>
          <cell r="I17436" t="str">
            <v>s__unclassified_f__Ruminococcaceae</v>
          </cell>
        </row>
        <row r="17437">
          <cell r="G17437" t="str">
            <v>ASV23569</v>
          </cell>
          <cell r="H17437" t="str">
            <v>g__unclassified_f__Lachnospiraceae</v>
          </cell>
          <cell r="I17437" t="str">
            <v>s__unclassified_f__Lachnospiraceae</v>
          </cell>
        </row>
        <row r="17438">
          <cell r="G17438" t="str">
            <v>ASV1328</v>
          </cell>
          <cell r="H17438" t="str">
            <v>g__unclassified_f__Lachnospiraceae</v>
          </cell>
          <cell r="I17438" t="str">
            <v>s__unclassified_f__Lachnospiraceae</v>
          </cell>
        </row>
        <row r="17439">
          <cell r="G17439" t="str">
            <v>ASV8856</v>
          </cell>
          <cell r="H17439" t="str">
            <v>g__unclassified_k__norank_d__Bacteria</v>
          </cell>
          <cell r="I17439" t="str">
            <v>s__unclassified_k__norank_d__Bacteria</v>
          </cell>
        </row>
        <row r="17440">
          <cell r="G17440" t="str">
            <v>ASV4369</v>
          </cell>
          <cell r="H17440" t="str">
            <v>g__unclassified_f__Synergistaceae</v>
          </cell>
          <cell r="I17440" t="str">
            <v>s__unclassified_f__Synergistaceae</v>
          </cell>
        </row>
        <row r="17441">
          <cell r="G17441" t="str">
            <v>ASV16602</v>
          </cell>
          <cell r="H17441" t="str">
            <v>g__unclassified_c__Clostridia</v>
          </cell>
          <cell r="I17441" t="str">
            <v>s__unclassified_c__Clostridia</v>
          </cell>
        </row>
        <row r="17442">
          <cell r="G17442" t="str">
            <v>ASV7214</v>
          </cell>
          <cell r="H17442" t="str">
            <v>g__Facklamia</v>
          </cell>
          <cell r="I17442" t="str">
            <v>s__uncultured_bacterium_g__Facklamia</v>
          </cell>
        </row>
        <row r="17443">
          <cell r="G17443" t="str">
            <v>ASV1430</v>
          </cell>
          <cell r="H17443" t="str">
            <v>g__unclassified_f__Oscillospiraceae</v>
          </cell>
          <cell r="I17443" t="str">
            <v>s__unclassified_f__Oscillospiraceae</v>
          </cell>
        </row>
        <row r="17444">
          <cell r="G17444" t="str">
            <v>ASV20029</v>
          </cell>
          <cell r="H17444" t="str">
            <v>g__unclassified_c__Bacilli</v>
          </cell>
          <cell r="I17444" t="str">
            <v>s__unclassified_c__Bacilli</v>
          </cell>
        </row>
        <row r="17445">
          <cell r="G17445" t="str">
            <v>ASV18428</v>
          </cell>
          <cell r="H17445" t="str">
            <v>g__norank_f__norank_o__Clostridia_UCG-014</v>
          </cell>
          <cell r="I17445" t="str">
            <v>s__unclassified_g__norank_f__norank_o__Clostridia_UCG-014</v>
          </cell>
        </row>
        <row r="17446">
          <cell r="G17446" t="str">
            <v>ASV15599</v>
          </cell>
          <cell r="H17446" t="str">
            <v>g__unclassified_c__Clostridia</v>
          </cell>
          <cell r="I17446" t="str">
            <v>s__unclassified_c__Clostridia</v>
          </cell>
        </row>
        <row r="17447">
          <cell r="G17447" t="str">
            <v>ASV8730</v>
          </cell>
          <cell r="H17447" t="str">
            <v>g__Cellulosilyticum</v>
          </cell>
          <cell r="I17447" t="str">
            <v>s__uncultured_Clostridia_bacterium_g__Cellulosilyticum</v>
          </cell>
        </row>
        <row r="17448">
          <cell r="G17448" t="str">
            <v>ASV13848</v>
          </cell>
          <cell r="H17448" t="str">
            <v>g__Escherichia-Shigella</v>
          </cell>
          <cell r="I17448" t="str">
            <v>s__unclassified_g__Escherichia-Shigella</v>
          </cell>
        </row>
        <row r="17449">
          <cell r="G17449" t="str">
            <v>ASV24287</v>
          </cell>
          <cell r="H17449" t="str">
            <v>g__unclassified_f__Lachnospiraceae</v>
          </cell>
          <cell r="I17449" t="str">
            <v>s__unclassified_f__Lachnospiraceae</v>
          </cell>
        </row>
        <row r="17450">
          <cell r="G17450" t="str">
            <v>ASV23682</v>
          </cell>
          <cell r="H17450" t="str">
            <v>g__Holdemanella</v>
          </cell>
          <cell r="I17450" t="str">
            <v>s__unclassified_g__Holdemanella</v>
          </cell>
        </row>
        <row r="17451">
          <cell r="G17451" t="str">
            <v>ASV5184</v>
          </cell>
          <cell r="H17451" t="str">
            <v>g__norank_f__Muribaculaceae</v>
          </cell>
          <cell r="I17451" t="str">
            <v>s__uncultured_bacterium_g__norank_f__Muribaculaceae</v>
          </cell>
        </row>
        <row r="17452">
          <cell r="G17452" t="str">
            <v>ASV12028</v>
          </cell>
          <cell r="H17452" t="str">
            <v>g__norank_f__norank_o__norank_c__norank_p__SAR324_cladeMarine_group_B</v>
          </cell>
          <cell r="I17452" t="str">
            <v>s__unclassified_g__norank_f__norank_o__norank_c__norank_p__SAR324_cladeMarine_group_B</v>
          </cell>
        </row>
        <row r="17453">
          <cell r="G17453" t="str">
            <v>ASV6408</v>
          </cell>
          <cell r="H17453" t="str">
            <v>g__Lachnospiraceae_NC2004_group</v>
          </cell>
          <cell r="I17453" t="str">
            <v>s__uncultured_bacterium_g__Lachnospiraceae_NC2004_group</v>
          </cell>
        </row>
        <row r="17454">
          <cell r="G17454" t="str">
            <v>ASV13116</v>
          </cell>
          <cell r="H17454" t="str">
            <v>g__Prevotellaceae_UCG-003</v>
          </cell>
          <cell r="I17454" t="str">
            <v>s__uncultured_bacterium_g__Prevotellaceae_UCG-003</v>
          </cell>
        </row>
        <row r="17455">
          <cell r="G17455" t="str">
            <v>ASV7104</v>
          </cell>
          <cell r="H17455" t="str">
            <v>g__Escherichia-Shigella</v>
          </cell>
          <cell r="I17455" t="str">
            <v>s__unclassified_g__Escherichia-Shigella</v>
          </cell>
        </row>
        <row r="17456">
          <cell r="G17456" t="str">
            <v>ASV1192</v>
          </cell>
          <cell r="H17456" t="str">
            <v>g__unclassified_p__Firmicutes</v>
          </cell>
          <cell r="I17456" t="str">
            <v>s__unclassified_p__Firmicutes</v>
          </cell>
        </row>
        <row r="17457">
          <cell r="G17457" t="str">
            <v>ASV22569</v>
          </cell>
          <cell r="H17457" t="str">
            <v>g__unclassified_c__Clostridia</v>
          </cell>
          <cell r="I17457" t="str">
            <v>s__unclassified_c__Clostridia</v>
          </cell>
        </row>
        <row r="17458">
          <cell r="G17458" t="str">
            <v>ASV16111</v>
          </cell>
          <cell r="H17458" t="str">
            <v>g__Allisonella</v>
          </cell>
          <cell r="I17458" t="str">
            <v>s__unclassified_g__Allisonella</v>
          </cell>
        </row>
        <row r="17459">
          <cell r="G17459" t="str">
            <v>ASV6275</v>
          </cell>
          <cell r="H17459" t="str">
            <v>g__unclassified_o__Oscillospirales</v>
          </cell>
          <cell r="I17459" t="str">
            <v>s__unclassified_o__Oscillospirales</v>
          </cell>
        </row>
        <row r="17460">
          <cell r="G17460" t="str">
            <v>ASV10944</v>
          </cell>
          <cell r="H17460" t="str">
            <v>g__unclassified_p__Firmicutes</v>
          </cell>
          <cell r="I17460" t="str">
            <v>s__unclassified_p__Firmicutes</v>
          </cell>
        </row>
        <row r="17461">
          <cell r="G17461" t="str">
            <v>ASV14862</v>
          </cell>
          <cell r="H17461" t="str">
            <v>g__Lactobacillus</v>
          </cell>
          <cell r="I17461" t="str">
            <v>s__unclassified_g__Lactobacillus</v>
          </cell>
        </row>
        <row r="17462">
          <cell r="G17462" t="str">
            <v>ASV1135</v>
          </cell>
          <cell r="H17462" t="str">
            <v>g__unclassified_o__Oscillospirales</v>
          </cell>
          <cell r="I17462" t="str">
            <v>s__unclassified_o__Oscillospirales</v>
          </cell>
        </row>
        <row r="17463">
          <cell r="G17463" t="str">
            <v>ASV4329</v>
          </cell>
          <cell r="H17463" t="str">
            <v>g__norank_f__Synergistaceae</v>
          </cell>
          <cell r="I17463" t="str">
            <v>s__uncultured_bacterium_g__norank_f__Synergistaceae</v>
          </cell>
        </row>
        <row r="17464">
          <cell r="G17464" t="str">
            <v>ASV18319</v>
          </cell>
          <cell r="H17464" t="str">
            <v>g__unclassified_o__Oscillospirales</v>
          </cell>
          <cell r="I17464" t="str">
            <v>s__unclassified_o__Oscillospirales</v>
          </cell>
        </row>
        <row r="17465">
          <cell r="G17465" t="str">
            <v>ASV16108</v>
          </cell>
          <cell r="H17465" t="str">
            <v>g__Bacteroides</v>
          </cell>
          <cell r="I17465" t="str">
            <v>s__unclassified_g__Bacteroides</v>
          </cell>
        </row>
        <row r="17466">
          <cell r="G17466" t="str">
            <v>ASV6234</v>
          </cell>
          <cell r="H17466" t="str">
            <v>g__Lactococcus</v>
          </cell>
          <cell r="I17466" t="str">
            <v>s__unclassified_g__Lactococcus</v>
          </cell>
        </row>
        <row r="17467">
          <cell r="G17467" t="str">
            <v>ASV9100</v>
          </cell>
          <cell r="H17467" t="str">
            <v>g__unclassified_f__Peptostreptococcaceae</v>
          </cell>
          <cell r="I17467" t="str">
            <v>s__unclassified_f__Peptostreptococcaceae</v>
          </cell>
        </row>
        <row r="17468">
          <cell r="G17468" t="str">
            <v>ASV22524</v>
          </cell>
          <cell r="H17468" t="str">
            <v>g__unclassified_k__norank_d__Bacteria</v>
          </cell>
          <cell r="I17468" t="str">
            <v>s__unclassified_k__norank_d__Bacteria</v>
          </cell>
        </row>
        <row r="17469">
          <cell r="G17469" t="str">
            <v>ASV23608</v>
          </cell>
          <cell r="H17469" t="str">
            <v>g__unclassified_p__Firmicutes</v>
          </cell>
          <cell r="I17469" t="str">
            <v>s__unclassified_p__Firmicutes</v>
          </cell>
        </row>
        <row r="17470">
          <cell r="G17470" t="str">
            <v>ASV10241</v>
          </cell>
          <cell r="H17470" t="str">
            <v>g__Fusobacterium</v>
          </cell>
          <cell r="I17470" t="str">
            <v>s__unclassified_g__Fusobacterium</v>
          </cell>
        </row>
        <row r="17471">
          <cell r="G17471" t="str">
            <v>ASV6196</v>
          </cell>
          <cell r="H17471" t="str">
            <v>g__norank_f__Erysipelotrichaceae</v>
          </cell>
          <cell r="I17471" t="str">
            <v>s__uncultured_bacterium_g__norank_f__Erysipelotrichaceae</v>
          </cell>
        </row>
        <row r="17472">
          <cell r="G17472" t="str">
            <v>ASV19014</v>
          </cell>
          <cell r="H17472" t="str">
            <v>g__Allisonella</v>
          </cell>
          <cell r="I17472" t="str">
            <v>s__uncultured_bacterium_g__Allisonella</v>
          </cell>
        </row>
        <row r="17473">
          <cell r="G17473" t="str">
            <v>ASV13102</v>
          </cell>
          <cell r="H17473" t="str">
            <v>g__norank_f__Eubacterium_coprostanoligenes_group</v>
          </cell>
          <cell r="I17473" t="str">
            <v>s__unclassified_g__norank_f__Eubacterium_coprostanoligenes_group</v>
          </cell>
        </row>
        <row r="17474">
          <cell r="G17474" t="str">
            <v>ASV5358</v>
          </cell>
          <cell r="H17474" t="str">
            <v>g__Subdoligranulum</v>
          </cell>
          <cell r="I17474" t="str">
            <v>s__unclassified_g__Subdoligranulum</v>
          </cell>
        </row>
        <row r="17475">
          <cell r="G17475" t="str">
            <v>ASV23886</v>
          </cell>
          <cell r="H17475" t="str">
            <v>g__Lactobacillus</v>
          </cell>
          <cell r="I17475" t="str">
            <v>s__unclassified_g__Lactobacillus</v>
          </cell>
        </row>
        <row r="17476">
          <cell r="G17476" t="str">
            <v>ASV9657</v>
          </cell>
          <cell r="H17476" t="str">
            <v>g__Rikenellaceae_RC9_gut_group</v>
          </cell>
          <cell r="I17476" t="str">
            <v>s__uncultured_bacterium_g__Rikenellaceae_RC9_gut_group</v>
          </cell>
        </row>
        <row r="17477">
          <cell r="G17477" t="str">
            <v>ASV13592</v>
          </cell>
          <cell r="H17477" t="str">
            <v>g__unclassified_f__Christensenellaceae</v>
          </cell>
          <cell r="I17477" t="str">
            <v>s__unclassified_f__Christensenellaceae</v>
          </cell>
        </row>
        <row r="17478">
          <cell r="G17478" t="str">
            <v>ASV23681</v>
          </cell>
          <cell r="H17478" t="str">
            <v>g__Bacteroides</v>
          </cell>
          <cell r="I17478" t="str">
            <v>s__unclassified_g__Bacteroides</v>
          </cell>
        </row>
        <row r="17479">
          <cell r="G17479" t="str">
            <v>ASV13662</v>
          </cell>
          <cell r="H17479" t="str">
            <v>g__Clostridium_sensu_stricto_1</v>
          </cell>
          <cell r="I17479" t="str">
            <v>s__unclassified_g__Clostridium_sensu_stricto_1</v>
          </cell>
        </row>
        <row r="17480">
          <cell r="G17480" t="str">
            <v>ASV20294</v>
          </cell>
          <cell r="H17480" t="str">
            <v>g__unclassified_c__Bacilli</v>
          </cell>
          <cell r="I17480" t="str">
            <v>s__unclassified_c__Bacilli</v>
          </cell>
        </row>
        <row r="17481">
          <cell r="G17481" t="str">
            <v>ASV14751</v>
          </cell>
          <cell r="H17481" t="str">
            <v>g__unclassified_k__norank_d__Bacteria</v>
          </cell>
          <cell r="I17481" t="str">
            <v>s__unclassified_k__norank_d__Bacteria</v>
          </cell>
        </row>
        <row r="17482">
          <cell r="G17482" t="str">
            <v>ASV23620</v>
          </cell>
          <cell r="H17482" t="str">
            <v>g__unclassified_o__Oscillospirales</v>
          </cell>
          <cell r="I17482" t="str">
            <v>s__unclassified_o__Oscillospirales</v>
          </cell>
        </row>
        <row r="17483">
          <cell r="G17483" t="str">
            <v>ASV18361</v>
          </cell>
          <cell r="H17483" t="str">
            <v>g__norank_f__Eubacterium_coprostanoligenes_group</v>
          </cell>
          <cell r="I17483" t="str">
            <v>s__uncultured_bacterium_g__norank_f__Eubacterium_coprostanoligenes_group</v>
          </cell>
        </row>
        <row r="17484">
          <cell r="G17484" t="str">
            <v>ASV4281</v>
          </cell>
          <cell r="H17484" t="str">
            <v>g__unclassified_f__Lachnospiraceae</v>
          </cell>
          <cell r="I17484" t="str">
            <v>s__unclassified_f__Lachnospiraceae</v>
          </cell>
        </row>
        <row r="17485">
          <cell r="G17485" t="str">
            <v>ASV14897</v>
          </cell>
          <cell r="H17485" t="str">
            <v>g__unclassified_f__Lachnospiraceae</v>
          </cell>
          <cell r="I17485" t="str">
            <v>s__unclassified_f__Lachnospiraceae</v>
          </cell>
        </row>
        <row r="17486">
          <cell r="G17486" t="str">
            <v>ASV19188</v>
          </cell>
          <cell r="H17486" t="str">
            <v>g__Lactobacillus</v>
          </cell>
          <cell r="I17486" t="str">
            <v>s__unclassified_g__Lactobacillus</v>
          </cell>
        </row>
        <row r="17487">
          <cell r="G17487" t="str">
            <v>ASV20139</v>
          </cell>
          <cell r="H17487" t="str">
            <v>g__unclassified_c__Clostridia</v>
          </cell>
          <cell r="I17487" t="str">
            <v>s__unclassified_c__Clostridia</v>
          </cell>
        </row>
        <row r="17488">
          <cell r="G17488" t="str">
            <v>ASV5182</v>
          </cell>
          <cell r="H17488" t="str">
            <v>g__norank_f__norank_o__Clostridia_UCG-014</v>
          </cell>
          <cell r="I17488" t="str">
            <v>s__uncultured_bacterium_g__norank_f__norank_o__Clostridia_UCG-014</v>
          </cell>
        </row>
        <row r="17489">
          <cell r="G17489" t="str">
            <v>ASV18771</v>
          </cell>
          <cell r="H17489" t="str">
            <v>g__unclassified_f__Rhodobacteraceae</v>
          </cell>
          <cell r="I17489" t="str">
            <v>s__unclassified_f__Rhodobacteraceae</v>
          </cell>
        </row>
        <row r="17490">
          <cell r="G17490" t="str">
            <v>ASV12122</v>
          </cell>
          <cell r="H17490" t="str">
            <v>g__Rikenellaceae_RC9_gut_group</v>
          </cell>
          <cell r="I17490" t="str">
            <v>s__uncultured_bacterium_g__Rikenellaceae_RC9_gut_group</v>
          </cell>
        </row>
        <row r="17491">
          <cell r="G17491" t="str">
            <v>ASV8166</v>
          </cell>
          <cell r="H17491" t="str">
            <v>g__unclassified_c__Clostridia</v>
          </cell>
          <cell r="I17491" t="str">
            <v>s__unclassified_c__Clostridia</v>
          </cell>
        </row>
        <row r="17492">
          <cell r="G17492" t="str">
            <v>ASV1375</v>
          </cell>
          <cell r="H17492" t="str">
            <v>g__unclassified_f__Lachnospiraceae</v>
          </cell>
          <cell r="I17492" t="str">
            <v>s__unclassified_f__Lachnospiraceae</v>
          </cell>
        </row>
        <row r="17493">
          <cell r="G17493" t="str">
            <v>ASV22701</v>
          </cell>
          <cell r="H17493" t="str">
            <v>g__unclassified_c__Clostridia</v>
          </cell>
          <cell r="I17493" t="str">
            <v>s__unclassified_c__Clostridia</v>
          </cell>
        </row>
        <row r="17494">
          <cell r="G17494" t="str">
            <v>ASV23883</v>
          </cell>
          <cell r="H17494" t="str">
            <v>g__unclassified_p__Firmicutes</v>
          </cell>
          <cell r="I17494" t="str">
            <v>s__unclassified_p__Firmicutes</v>
          </cell>
        </row>
        <row r="17495">
          <cell r="G17495" t="str">
            <v>ASV18362</v>
          </cell>
          <cell r="H17495" t="str">
            <v>g__unclassified_f__Ruminococcaceae</v>
          </cell>
          <cell r="I17495" t="str">
            <v>s__unclassified_f__Ruminococcaceae</v>
          </cell>
        </row>
        <row r="17496">
          <cell r="G17496" t="str">
            <v>ASV12368</v>
          </cell>
          <cell r="H17496" t="str">
            <v>g__unclassified_f__Oscillospiraceae</v>
          </cell>
          <cell r="I17496" t="str">
            <v>s__unclassified_f__Oscillospiraceae</v>
          </cell>
        </row>
        <row r="17497">
          <cell r="G17497" t="str">
            <v>ASV14650</v>
          </cell>
          <cell r="H17497" t="str">
            <v>g__unclassified_f__Oscillospiraceae</v>
          </cell>
          <cell r="I17497" t="str">
            <v>s__unclassified_f__Oscillospiraceae</v>
          </cell>
        </row>
        <row r="17498">
          <cell r="G17498" t="str">
            <v>ASV23655</v>
          </cell>
          <cell r="H17498" t="str">
            <v>g__unclassified_c__Clostridia</v>
          </cell>
          <cell r="I17498" t="str">
            <v>s__unclassified_c__Clostridia</v>
          </cell>
        </row>
        <row r="17499">
          <cell r="G17499" t="str">
            <v>ASV2524</v>
          </cell>
          <cell r="H17499" t="str">
            <v>g__unclassified_f__Lachnospiraceae</v>
          </cell>
          <cell r="I17499" t="str">
            <v>s__unclassified_f__Lachnospiraceae</v>
          </cell>
        </row>
        <row r="17500">
          <cell r="G17500" t="str">
            <v>ASV1372</v>
          </cell>
          <cell r="H17500" t="str">
            <v>g__norank_f__Peptostreptococcaceae</v>
          </cell>
          <cell r="I17500" t="str">
            <v>s__uncultured_bacterium_g__norank_f__Peptostreptococcaceae</v>
          </cell>
        </row>
        <row r="17501">
          <cell r="G17501" t="str">
            <v>ASV21538</v>
          </cell>
          <cell r="H17501" t="str">
            <v>g__Desulfovibrio</v>
          </cell>
          <cell r="I17501" t="str">
            <v>s__Desulfovibrio_sp._enrichment_culture_clone_Jdgsrb034</v>
          </cell>
        </row>
        <row r="17502">
          <cell r="G17502" t="str">
            <v>ASV15664</v>
          </cell>
          <cell r="H17502" t="str">
            <v>g__Cloacibacillus</v>
          </cell>
          <cell r="I17502" t="str">
            <v>s__unclassified_g__Cloacibacillus</v>
          </cell>
        </row>
        <row r="17503">
          <cell r="G17503" t="str">
            <v>ASV16139</v>
          </cell>
          <cell r="H17503" t="str">
            <v>g__Fusobacterium</v>
          </cell>
          <cell r="I17503" t="str">
            <v>s__unclassified_g__Fusobacterium</v>
          </cell>
        </row>
        <row r="17504">
          <cell r="G17504" t="str">
            <v>ASV1208</v>
          </cell>
          <cell r="H17504" t="str">
            <v>g__norank_f__Muribaculaceae</v>
          </cell>
          <cell r="I17504" t="str">
            <v>s__uncultured_bacterium_g__norank_f__Muribaculaceae</v>
          </cell>
        </row>
        <row r="17505">
          <cell r="G17505" t="str">
            <v>ASV2484</v>
          </cell>
          <cell r="H17505" t="str">
            <v>g__Turicibacter</v>
          </cell>
          <cell r="I17505" t="str">
            <v>s__uncultured_bacterium_g__Turicibacter</v>
          </cell>
        </row>
        <row r="17506">
          <cell r="G17506" t="str">
            <v>ASV9766</v>
          </cell>
          <cell r="H17506" t="str">
            <v>g__unclassified_f__Lachnospiraceae</v>
          </cell>
          <cell r="I17506" t="str">
            <v>s__unclassified_f__Lachnospiraceae</v>
          </cell>
        </row>
        <row r="17507">
          <cell r="G17507" t="str">
            <v>ASV12431</v>
          </cell>
          <cell r="H17507" t="str">
            <v>g__unclassified_o__Oscillospirales</v>
          </cell>
          <cell r="I17507" t="str">
            <v>s__unclassified_o__Oscillospirales</v>
          </cell>
        </row>
        <row r="17508">
          <cell r="G17508" t="str">
            <v>ASV9656</v>
          </cell>
          <cell r="H17508" t="str">
            <v>g__Eubacterium_oxidoreducens_group</v>
          </cell>
          <cell r="I17508" t="str">
            <v>s__uncultured_bacterium_g__Eubacterium_oxidoreducens_group</v>
          </cell>
        </row>
        <row r="17509">
          <cell r="G17509" t="str">
            <v>ASV11003</v>
          </cell>
          <cell r="H17509" t="str">
            <v>g__unclassified_f__Lachnospiraceae</v>
          </cell>
          <cell r="I17509" t="str">
            <v>s__unclassified_f__Lachnospiraceae</v>
          </cell>
        </row>
        <row r="17510">
          <cell r="G17510" t="str">
            <v>ASV16584</v>
          </cell>
          <cell r="H17510" t="str">
            <v>g__Streptococcus</v>
          </cell>
          <cell r="I17510" t="str">
            <v>s__unclassified_g__Streptococcus</v>
          </cell>
        </row>
        <row r="17511">
          <cell r="G17511" t="str">
            <v>ASV15707</v>
          </cell>
          <cell r="H17511" t="str">
            <v>g__Lachnoclostridium</v>
          </cell>
          <cell r="I17511" t="str">
            <v>s__unclassified_g__Lachnoclostridium</v>
          </cell>
        </row>
        <row r="17512">
          <cell r="G17512" t="str">
            <v>ASV22767</v>
          </cell>
          <cell r="H17512" t="str">
            <v>g__unclassified_f__Lachnospiraceae</v>
          </cell>
          <cell r="I17512" t="str">
            <v>s__unclassified_f__Lachnospiraceae</v>
          </cell>
        </row>
        <row r="17513">
          <cell r="G17513" t="str">
            <v>ASV22677</v>
          </cell>
          <cell r="H17513" t="str">
            <v>g__unclassified_c__Clostridia</v>
          </cell>
          <cell r="I17513" t="str">
            <v>s__unclassified_c__Clostridia</v>
          </cell>
        </row>
        <row r="17514">
          <cell r="G17514" t="str">
            <v>ASV14794</v>
          </cell>
          <cell r="H17514" t="str">
            <v>g__Eubacterium_oxidoreducens_group</v>
          </cell>
          <cell r="I17514" t="str">
            <v>s__uncultured_bacterium_g__Eubacterium_oxidoreducens_group</v>
          </cell>
        </row>
        <row r="17515">
          <cell r="G17515" t="str">
            <v>ASV13016</v>
          </cell>
          <cell r="H17515" t="str">
            <v>g__norank_f__norank_o__WCHB1-41</v>
          </cell>
          <cell r="I17515" t="str">
            <v>s__uncultured_bacterium_g__norank_f__norank_o__WCHB1-41</v>
          </cell>
        </row>
        <row r="17516">
          <cell r="G17516" t="str">
            <v>ASV23546</v>
          </cell>
          <cell r="H17516" t="str">
            <v>g__Ruminococcus</v>
          </cell>
          <cell r="I17516" t="str">
            <v>s__uncultured_bacterium_g__Ruminococcus</v>
          </cell>
        </row>
        <row r="17517">
          <cell r="G17517" t="str">
            <v>ASV2797</v>
          </cell>
          <cell r="H17517" t="str">
            <v>g__Cellulosilyticum</v>
          </cell>
          <cell r="I17517" t="str">
            <v>s__unclassified_g__Cellulosilyticum</v>
          </cell>
        </row>
        <row r="17518">
          <cell r="G17518" t="str">
            <v>ASV15761</v>
          </cell>
          <cell r="H17518" t="str">
            <v>g__Christensenellaceae_R-7_group</v>
          </cell>
          <cell r="I17518" t="str">
            <v>s__unclassified_g__Christensenellaceae_R-7_group</v>
          </cell>
        </row>
        <row r="17519">
          <cell r="G17519" t="str">
            <v>ASV22832</v>
          </cell>
          <cell r="H17519" t="str">
            <v>g__unclassified_f__Peptostreptococcaceae</v>
          </cell>
          <cell r="I17519" t="str">
            <v>s__unclassified_f__Peptostreptococcaceae</v>
          </cell>
        </row>
        <row r="17520">
          <cell r="G17520" t="str">
            <v>ASV11071</v>
          </cell>
          <cell r="H17520" t="str">
            <v>g__Monoglobus</v>
          </cell>
          <cell r="I17520" t="str">
            <v>s__unclassified_g__Monoglobus</v>
          </cell>
        </row>
        <row r="17521">
          <cell r="G17521" t="str">
            <v>ASV20179</v>
          </cell>
          <cell r="H17521" t="str">
            <v>g__unclassified_c__Bacilli</v>
          </cell>
          <cell r="I17521" t="str">
            <v>s__unclassified_c__Bacilli</v>
          </cell>
        </row>
        <row r="17522">
          <cell r="G17522" t="str">
            <v>ASV6924</v>
          </cell>
          <cell r="H17522" t="str">
            <v>g__unclassified_p__Firmicutes</v>
          </cell>
          <cell r="I17522" t="str">
            <v>s__unclassified_p__Firmicutes</v>
          </cell>
        </row>
        <row r="17523">
          <cell r="G17523" t="str">
            <v>ASV16755</v>
          </cell>
          <cell r="H17523" t="str">
            <v>g__Sphaerochaeta</v>
          </cell>
          <cell r="I17523" t="str">
            <v>s__uncultured_bacterium_g__Sphaerochaeta</v>
          </cell>
        </row>
        <row r="17524">
          <cell r="G17524" t="str">
            <v>ASV19873</v>
          </cell>
          <cell r="H17524" t="str">
            <v>g__norank_f__Muribaculaceae</v>
          </cell>
          <cell r="I17524" t="str">
            <v>s__uncultured_bacterium_g__norank_f__Muribaculaceae</v>
          </cell>
        </row>
        <row r="17525">
          <cell r="G17525" t="str">
            <v>ASV22897</v>
          </cell>
          <cell r="H17525" t="str">
            <v>g__Anaerocella</v>
          </cell>
          <cell r="I17525" t="str">
            <v>s__uncultured_Bacteroidetes_bacterium_g__Anaerocella</v>
          </cell>
        </row>
        <row r="17526">
          <cell r="G17526" t="str">
            <v>ASV6173</v>
          </cell>
          <cell r="H17526" t="str">
            <v>g__unclassified_c__Clostridia</v>
          </cell>
          <cell r="I17526" t="str">
            <v>s__unclassified_c__Clostridia</v>
          </cell>
        </row>
        <row r="17527">
          <cell r="G17527" t="str">
            <v>ASV8252</v>
          </cell>
          <cell r="H17527" t="str">
            <v>g__norank_f__Ruminococcaceae</v>
          </cell>
          <cell r="I17527" t="str">
            <v>s__unclassified_g__norank_f__Ruminococcaceae</v>
          </cell>
        </row>
        <row r="17528">
          <cell r="G17528" t="str">
            <v>ASV1285</v>
          </cell>
          <cell r="H17528" t="str">
            <v>g__unclassified_f__Lachnospiraceae</v>
          </cell>
          <cell r="I17528" t="str">
            <v>s__unclassified_f__Lachnospiraceae</v>
          </cell>
        </row>
        <row r="17529">
          <cell r="G17529" t="str">
            <v>ASV17001</v>
          </cell>
          <cell r="H17529" t="str">
            <v>g__unclassified_f__Oscillospiraceae</v>
          </cell>
          <cell r="I17529" t="str">
            <v>s__unclassified_f__Oscillospiraceae</v>
          </cell>
        </row>
        <row r="17530">
          <cell r="G17530" t="str">
            <v>ASV4311</v>
          </cell>
          <cell r="H17530" t="str">
            <v>g__norank_f__Synergistaceae</v>
          </cell>
          <cell r="I17530" t="str">
            <v>s__uncultured_bacterium_g__norank_f__Synergistaceae</v>
          </cell>
        </row>
        <row r="17531">
          <cell r="G17531" t="str">
            <v>ASV2580</v>
          </cell>
          <cell r="H17531" t="str">
            <v>g__Eubacterium_oxidoreducens_group</v>
          </cell>
          <cell r="I17531" t="str">
            <v>s__uncultured_bacterium_g__Eubacterium_oxidoreducens_group</v>
          </cell>
        </row>
        <row r="17532">
          <cell r="G17532" t="str">
            <v>ASV18411</v>
          </cell>
          <cell r="H17532" t="str">
            <v>g__unclassified_f__Oscillospiraceae</v>
          </cell>
          <cell r="I17532" t="str">
            <v>s__unclassified_f__Oscillospiraceae</v>
          </cell>
        </row>
        <row r="17533">
          <cell r="G17533" t="str">
            <v>ASV20081</v>
          </cell>
          <cell r="H17533" t="str">
            <v>g__unclassified_p__Firmicutes</v>
          </cell>
          <cell r="I17533" t="str">
            <v>s__unclassified_p__Firmicutes</v>
          </cell>
        </row>
        <row r="17534">
          <cell r="G17534" t="str">
            <v>ASV19985</v>
          </cell>
          <cell r="H17534" t="str">
            <v>g__unclassified_f__Lachnospiraceae</v>
          </cell>
          <cell r="I17534" t="str">
            <v>s__unclassified_f__Lachnospiraceae</v>
          </cell>
        </row>
        <row r="17535">
          <cell r="G17535" t="str">
            <v>ASV20042</v>
          </cell>
          <cell r="H17535" t="str">
            <v>g__unclassified_c__Clostridia</v>
          </cell>
          <cell r="I17535" t="str">
            <v>s__unclassified_c__Clostridia</v>
          </cell>
        </row>
        <row r="17536">
          <cell r="G17536" t="str">
            <v>ASV22674</v>
          </cell>
          <cell r="H17536" t="str">
            <v>g__unclassified_c__Clostridia</v>
          </cell>
          <cell r="I17536" t="str">
            <v>s__unclassified_c__Clostridia</v>
          </cell>
        </row>
        <row r="17537">
          <cell r="G17537" t="str">
            <v>ASV3274</v>
          </cell>
          <cell r="H17537" t="str">
            <v>g__Corynebacterium</v>
          </cell>
          <cell r="I17537" t="str">
            <v>s__unclassified_g__Corynebacterium</v>
          </cell>
        </row>
        <row r="17538">
          <cell r="G17538" t="str">
            <v>ASV6377</v>
          </cell>
          <cell r="H17538" t="str">
            <v>g__Escherichia-Shigella</v>
          </cell>
          <cell r="I17538" t="str">
            <v>s__unclassified_g__Escherichia-Shigella</v>
          </cell>
        </row>
        <row r="17539">
          <cell r="G17539" t="str">
            <v>ASV6369</v>
          </cell>
          <cell r="H17539" t="str">
            <v>g__NK4A214_group</v>
          </cell>
          <cell r="I17539" t="str">
            <v>s__uncultured_bacterium_g__NK4A214_group</v>
          </cell>
        </row>
        <row r="17540">
          <cell r="G17540" t="str">
            <v>ASV11014</v>
          </cell>
          <cell r="H17540" t="str">
            <v>g__unclassified_f__Clostridiaceae</v>
          </cell>
          <cell r="I17540" t="str">
            <v>s__unclassified_f__Clostridiaceae</v>
          </cell>
        </row>
        <row r="17541">
          <cell r="G17541" t="str">
            <v>ASV9776</v>
          </cell>
          <cell r="H17541" t="str">
            <v>g__unclassified_f__Oscillospiraceae</v>
          </cell>
          <cell r="I17541" t="str">
            <v>s__unclassified_f__Oscillospiraceae</v>
          </cell>
        </row>
        <row r="17542">
          <cell r="G17542" t="str">
            <v>ASV19189</v>
          </cell>
          <cell r="H17542" t="str">
            <v>g__unclassified_f__Peptostreptococcaceae</v>
          </cell>
          <cell r="I17542" t="str">
            <v>s__unclassified_f__Peptostreptococcaceae</v>
          </cell>
        </row>
        <row r="17543">
          <cell r="G17543" t="str">
            <v>ASV1819</v>
          </cell>
          <cell r="H17543" t="str">
            <v>g__Streptococcus</v>
          </cell>
          <cell r="I17543" t="str">
            <v>s__unclassified_g__Streptococcus</v>
          </cell>
        </row>
        <row r="17544">
          <cell r="G17544" t="str">
            <v>ASV3319</v>
          </cell>
          <cell r="H17544" t="str">
            <v>g__unclassified_c__Clostridia</v>
          </cell>
          <cell r="I17544" t="str">
            <v>s__unclassified_c__Clostridia</v>
          </cell>
        </row>
        <row r="17545">
          <cell r="G17545" t="str">
            <v>ASV17009</v>
          </cell>
          <cell r="H17545" t="str">
            <v>g__unclassified_k__norank_d__Bacteria</v>
          </cell>
          <cell r="I17545" t="str">
            <v>s__unclassified_k__norank_d__Bacteria</v>
          </cell>
        </row>
        <row r="17546">
          <cell r="G17546" t="str">
            <v>ASV18293</v>
          </cell>
          <cell r="H17546" t="str">
            <v>g__unclassified_c__Clostridia</v>
          </cell>
          <cell r="I17546" t="str">
            <v>s__unclassified_c__Clostridia</v>
          </cell>
        </row>
        <row r="17547">
          <cell r="G17547" t="str">
            <v>ASV18304</v>
          </cell>
          <cell r="H17547" t="str">
            <v>g__norank_f__Eubacterium_coprostanoligenes_group</v>
          </cell>
          <cell r="I17547" t="str">
            <v>s__unclassified_g__norank_f__Eubacterium_coprostanoligenes_group</v>
          </cell>
        </row>
        <row r="17548">
          <cell r="G17548" t="str">
            <v>ASV18725</v>
          </cell>
          <cell r="H17548" t="str">
            <v>g__unclassified_p__Actinobacteriota</v>
          </cell>
          <cell r="I17548" t="str">
            <v>s__unclassified_p__Actinobacteriota</v>
          </cell>
        </row>
        <row r="17549">
          <cell r="G17549" t="str">
            <v>ASV5449</v>
          </cell>
          <cell r="H17549" t="str">
            <v>g__Intestinimonas</v>
          </cell>
          <cell r="I17549" t="str">
            <v>s__unclassified_g__Intestinimonas</v>
          </cell>
        </row>
        <row r="17550">
          <cell r="G17550" t="str">
            <v>ASV15694</v>
          </cell>
          <cell r="H17550" t="str">
            <v>g__unclassified_c__Clostridia</v>
          </cell>
          <cell r="I17550" t="str">
            <v>s__unclassified_c__Clostridia</v>
          </cell>
        </row>
        <row r="17551">
          <cell r="G17551" t="str">
            <v>ASV21112</v>
          </cell>
          <cell r="H17551" t="str">
            <v>g__Clostridium_sensu_stricto_6</v>
          </cell>
          <cell r="I17551" t="str">
            <v>s__uncultured_bacterium_g__Clostridium_sensu_stricto_6</v>
          </cell>
        </row>
        <row r="17552">
          <cell r="G17552" t="str">
            <v>ASV18306</v>
          </cell>
          <cell r="H17552" t="str">
            <v>g__unclassified_f__Peptostreptococcaceae</v>
          </cell>
          <cell r="I17552" t="str">
            <v>s__unclassified_f__Peptostreptococcaceae</v>
          </cell>
        </row>
        <row r="17553">
          <cell r="G17553" t="str">
            <v>ASV14649</v>
          </cell>
          <cell r="H17553" t="str">
            <v>g__unclassified_c__Clostridia</v>
          </cell>
          <cell r="I17553" t="str">
            <v>s__unclassified_c__Clostridia</v>
          </cell>
        </row>
        <row r="17554">
          <cell r="G17554" t="str">
            <v>ASV16691</v>
          </cell>
          <cell r="H17554" t="str">
            <v>g__unclassified_f__Peptostreptococcaceae</v>
          </cell>
          <cell r="I17554" t="str">
            <v>s__unclassified_f__Peptostreptococcaceae</v>
          </cell>
        </row>
        <row r="17555">
          <cell r="G17555" t="str">
            <v>ASV5401</v>
          </cell>
          <cell r="H17555" t="str">
            <v>g__norank_f__Muribaculaceae</v>
          </cell>
          <cell r="I17555" t="str">
            <v>s__unclassified_g__norank_f__Muribaculaceae</v>
          </cell>
        </row>
        <row r="17556">
          <cell r="G17556" t="str">
            <v>ASV8070</v>
          </cell>
          <cell r="H17556" t="str">
            <v>g__Lactobacillus</v>
          </cell>
          <cell r="I17556" t="str">
            <v>s__unclassified_g__Lactobacillus</v>
          </cell>
        </row>
        <row r="17557">
          <cell r="G17557" t="str">
            <v>ASV22579</v>
          </cell>
          <cell r="H17557" t="str">
            <v>g__unclassified_c__Bacilli</v>
          </cell>
          <cell r="I17557" t="str">
            <v>s__unclassified_c__Bacilli</v>
          </cell>
        </row>
        <row r="17558">
          <cell r="G17558" t="str">
            <v>ASV16665</v>
          </cell>
          <cell r="H17558" t="str">
            <v>g__unclassified_k__norank_d__Bacteria</v>
          </cell>
          <cell r="I17558" t="str">
            <v>s__unclassified_k__norank_d__Bacteria</v>
          </cell>
        </row>
        <row r="17559">
          <cell r="G17559" t="str">
            <v>ASV2972</v>
          </cell>
          <cell r="H17559" t="str">
            <v>g__Lactobacillus</v>
          </cell>
          <cell r="I17559" t="str">
            <v>s__unclassified_g__Lactobacillus</v>
          </cell>
        </row>
        <row r="17560">
          <cell r="G17560" t="str">
            <v>ASV12079</v>
          </cell>
          <cell r="H17560" t="str">
            <v>g__unclassified_f__Ruminococcaceae</v>
          </cell>
          <cell r="I17560" t="str">
            <v>s__unclassified_f__Ruminococcaceae</v>
          </cell>
        </row>
        <row r="17561">
          <cell r="G17561" t="str">
            <v>ASV8727</v>
          </cell>
          <cell r="H17561" t="str">
            <v>g__unclassified_k__norank_d__Bacteria</v>
          </cell>
          <cell r="I17561" t="str">
            <v>s__unclassified_k__norank_d__Bacteria</v>
          </cell>
        </row>
        <row r="17562">
          <cell r="G17562" t="str">
            <v>ASV2805</v>
          </cell>
          <cell r="H17562" t="str">
            <v>g__Turicibacter</v>
          </cell>
          <cell r="I17562" t="str">
            <v>s__uncultured_bacterium_g__Turicibacter</v>
          </cell>
        </row>
        <row r="17563">
          <cell r="G17563" t="str">
            <v>ASV22851</v>
          </cell>
          <cell r="H17563" t="str">
            <v>g__unclassified_c__Clostridia</v>
          </cell>
          <cell r="I17563" t="str">
            <v>s__unclassified_c__Clostridia</v>
          </cell>
        </row>
        <row r="17564">
          <cell r="G17564" t="str">
            <v>ASV15731</v>
          </cell>
          <cell r="H17564" t="str">
            <v>g__Christensenellaceae_R-7_group</v>
          </cell>
          <cell r="I17564" t="str">
            <v>s__unclassified_g__Christensenellaceae_R-7_group</v>
          </cell>
        </row>
        <row r="17565">
          <cell r="G17565" t="str">
            <v>ASV13029</v>
          </cell>
          <cell r="H17565" t="str">
            <v>g__norank_f__Erysipelotrichaceae</v>
          </cell>
          <cell r="I17565" t="str">
            <v>s__uncultured_bacterium_g__norank_f__Erysipelotrichaceae</v>
          </cell>
        </row>
        <row r="17566">
          <cell r="G17566" t="str">
            <v>ASV6880</v>
          </cell>
          <cell r="H17566" t="str">
            <v>g__Ruminococcus</v>
          </cell>
          <cell r="I17566" t="str">
            <v>s__uncultured_bacterium_g__Ruminococcus</v>
          </cell>
        </row>
        <row r="17567">
          <cell r="G17567" t="str">
            <v>ASV5367</v>
          </cell>
          <cell r="H17567" t="str">
            <v>g__Eubacterium_siraeum_group</v>
          </cell>
          <cell r="I17567" t="str">
            <v>s__unclassified_g__Eubacterium_siraeum_group</v>
          </cell>
        </row>
        <row r="17568">
          <cell r="G17568" t="str">
            <v>ASV20015</v>
          </cell>
          <cell r="H17568" t="str">
            <v>g__Eubacterium_oxidoreducens_group</v>
          </cell>
          <cell r="I17568" t="str">
            <v>s__uncultured_bacterium_g__Eubacterium_oxidoreducens_group</v>
          </cell>
        </row>
        <row r="17569">
          <cell r="G17569" t="str">
            <v>ASV2501</v>
          </cell>
          <cell r="H17569" t="str">
            <v>g__Enterococcus</v>
          </cell>
          <cell r="I17569" t="str">
            <v>s__unclassified_g__Enterococcus</v>
          </cell>
        </row>
        <row r="17570">
          <cell r="G17570" t="str">
            <v>ASV8198</v>
          </cell>
          <cell r="H17570" t="str">
            <v>g__unclassified_o__Lactobacillales</v>
          </cell>
          <cell r="I17570" t="str">
            <v>s__unclassified_o__Lactobacillales</v>
          </cell>
        </row>
        <row r="17571">
          <cell r="G17571" t="str">
            <v>ASV22848</v>
          </cell>
          <cell r="H17571" t="str">
            <v>g__unclassified_f__Lachnospiraceae</v>
          </cell>
          <cell r="I17571" t="str">
            <v>s__unclassified_f__Lachnospiraceae</v>
          </cell>
        </row>
        <row r="17572">
          <cell r="G17572" t="str">
            <v>ASV18295</v>
          </cell>
          <cell r="H17572" t="str">
            <v>g__unclassified_k__norank_d__Bacteria</v>
          </cell>
          <cell r="I17572" t="str">
            <v>s__unclassified_k__norank_d__Bacteria</v>
          </cell>
        </row>
        <row r="17573">
          <cell r="G17573" t="str">
            <v>ASV23626</v>
          </cell>
          <cell r="H17573" t="str">
            <v>g__unclassified_c__Clostridia</v>
          </cell>
          <cell r="I17573" t="str">
            <v>s__unclassified_c__Clostridia</v>
          </cell>
        </row>
        <row r="17574">
          <cell r="G17574" t="str">
            <v>ASV21527</v>
          </cell>
          <cell r="H17574" t="str">
            <v>g__unclassified_p__Firmicutes</v>
          </cell>
          <cell r="I17574" t="str">
            <v>s__unclassified_p__Firmicutes</v>
          </cell>
        </row>
        <row r="17575">
          <cell r="G17575" t="str">
            <v>ASV15872</v>
          </cell>
          <cell r="H17575" t="str">
            <v>g__unclassified_p__Firmicutes</v>
          </cell>
          <cell r="I17575" t="str">
            <v>s__unclassified_p__Firmicutes</v>
          </cell>
        </row>
        <row r="17576">
          <cell r="G17576" t="str">
            <v>ASV15604</v>
          </cell>
          <cell r="H17576" t="str">
            <v>g__unclassified_f__Lachnospiraceae</v>
          </cell>
          <cell r="I17576" t="str">
            <v>s__unclassified_f__Lachnospiraceae</v>
          </cell>
        </row>
        <row r="17577">
          <cell r="G17577" t="str">
            <v>ASV6515</v>
          </cell>
          <cell r="H17577" t="str">
            <v>g__unclassified_k__norank_d__Bacteria</v>
          </cell>
          <cell r="I17577" t="str">
            <v>s__unclassified_k__norank_d__Bacteria</v>
          </cell>
        </row>
        <row r="17578">
          <cell r="G17578" t="str">
            <v>ASV23716</v>
          </cell>
          <cell r="H17578" t="str">
            <v>g__unclassified_f__Lachnospiraceae</v>
          </cell>
          <cell r="I17578" t="str">
            <v>s__unclassified_f__Lachnospiraceae</v>
          </cell>
        </row>
        <row r="17579">
          <cell r="G17579" t="str">
            <v>ASV7393</v>
          </cell>
          <cell r="H17579" t="str">
            <v>g__Bifidobacterium</v>
          </cell>
          <cell r="I17579" t="str">
            <v>s__unclassified_g__Bifidobacterium</v>
          </cell>
        </row>
        <row r="17580">
          <cell r="G17580" t="str">
            <v>ASV3691</v>
          </cell>
          <cell r="H17580" t="str">
            <v>g__Craurococcus-Caldovatus</v>
          </cell>
          <cell r="I17580" t="str">
            <v>s__unclassified_g__Craurococcus-Caldovatus</v>
          </cell>
        </row>
        <row r="17581">
          <cell r="G17581" t="str">
            <v>ASV22568</v>
          </cell>
          <cell r="H17581" t="str">
            <v>g__unclassified_k__norank_d__Bacteria</v>
          </cell>
          <cell r="I17581" t="str">
            <v>s__unclassified_k__norank_d__Bacteria</v>
          </cell>
        </row>
        <row r="17582">
          <cell r="G17582" t="str">
            <v>ASV22683</v>
          </cell>
          <cell r="H17582" t="str">
            <v>g__Christensenellaceae_R-7_group</v>
          </cell>
          <cell r="I17582" t="str">
            <v>s__unclassified_g__Christensenellaceae_R-7_group</v>
          </cell>
        </row>
        <row r="17583">
          <cell r="G17583" t="str">
            <v>ASV12361</v>
          </cell>
          <cell r="H17583" t="str">
            <v>g__unclassified_o__Oscillospirales</v>
          </cell>
          <cell r="I17583" t="str">
            <v>s__unclassified_o__Oscillospirales</v>
          </cell>
        </row>
        <row r="17584">
          <cell r="G17584" t="str">
            <v>ASV1761</v>
          </cell>
          <cell r="H17584" t="str">
            <v>g__unclassified_c__Clostridia</v>
          </cell>
          <cell r="I17584" t="str">
            <v>s__unclassified_c__Clostridia</v>
          </cell>
        </row>
        <row r="17585">
          <cell r="G17585" t="str">
            <v>ASV2402</v>
          </cell>
          <cell r="H17585" t="str">
            <v>g__unclassified_f__Spirochaetaceae</v>
          </cell>
          <cell r="I17585" t="str">
            <v>s__unclassified_f__Spirochaetaceae</v>
          </cell>
        </row>
        <row r="17586">
          <cell r="G17586" t="str">
            <v>ASV13754</v>
          </cell>
          <cell r="H17586" t="str">
            <v>g__Mitsuokella</v>
          </cell>
          <cell r="I17586" t="str">
            <v>s__unclassified_g__Mitsuokella</v>
          </cell>
        </row>
        <row r="17587">
          <cell r="G17587" t="str">
            <v>ASV8666</v>
          </cell>
          <cell r="H17587" t="str">
            <v>g__unclassified_p__Proteobacteria</v>
          </cell>
          <cell r="I17587" t="str">
            <v>s__unclassified_p__Proteobacteria</v>
          </cell>
        </row>
        <row r="17588">
          <cell r="G17588" t="str">
            <v>ASV6222</v>
          </cell>
          <cell r="H17588" t="str">
            <v>g__unclassified_c__Clostridia</v>
          </cell>
          <cell r="I17588" t="str">
            <v>s__unclassified_c__Clostridia</v>
          </cell>
        </row>
        <row r="17589">
          <cell r="G17589" t="str">
            <v>ASV9652</v>
          </cell>
          <cell r="H17589" t="str">
            <v>g__norank_f__p-2534-18B5_gut_group</v>
          </cell>
          <cell r="I17589" t="str">
            <v>s__uncultured_bacterium_g__norank_f__p-2534-18B5_gut_group</v>
          </cell>
        </row>
        <row r="17590">
          <cell r="G17590" t="str">
            <v>ASV16141</v>
          </cell>
          <cell r="H17590" t="str">
            <v>g__Prevotella</v>
          </cell>
          <cell r="I17590" t="str">
            <v>s__unclassified_g__Prevotella</v>
          </cell>
        </row>
        <row r="17591">
          <cell r="G17591" t="str">
            <v>ASV18462</v>
          </cell>
          <cell r="H17591" t="str">
            <v>g__unclassified_f__Oscillospiraceae</v>
          </cell>
          <cell r="I17591" t="str">
            <v>s__unclassified_f__Oscillospiraceae</v>
          </cell>
        </row>
        <row r="17592">
          <cell r="G17592" t="str">
            <v>ASV5353</v>
          </cell>
          <cell r="H17592" t="str">
            <v>g__Streptococcus</v>
          </cell>
          <cell r="I17592" t="str">
            <v>s__unclassified_g__Streptococcus</v>
          </cell>
        </row>
        <row r="17593">
          <cell r="G17593" t="str">
            <v>ASV21003</v>
          </cell>
          <cell r="H17593" t="str">
            <v>g__unclassified_o__Oscillospirales</v>
          </cell>
          <cell r="I17593" t="str">
            <v>s__unclassified_o__Oscillospirales</v>
          </cell>
        </row>
        <row r="17594">
          <cell r="G17594" t="str">
            <v>ASV1406</v>
          </cell>
          <cell r="H17594" t="str">
            <v>g__unclassified_c__Clostridia</v>
          </cell>
          <cell r="I17594" t="str">
            <v>s__unclassified_c__Clostridia</v>
          </cell>
        </row>
        <row r="17595">
          <cell r="G17595" t="str">
            <v>ASV20109</v>
          </cell>
          <cell r="H17595" t="str">
            <v>g__Prevotella</v>
          </cell>
          <cell r="I17595" t="str">
            <v>s__unclassified_g__Prevotella</v>
          </cell>
        </row>
        <row r="17596">
          <cell r="G17596" t="str">
            <v>ASV3726</v>
          </cell>
          <cell r="H17596" t="str">
            <v>g__unclassified_f__Pasteurellaceae</v>
          </cell>
          <cell r="I17596" t="str">
            <v>s__unclassified_f__Pasteurellaceae</v>
          </cell>
        </row>
        <row r="17597">
          <cell r="G17597" t="str">
            <v>ASV20044</v>
          </cell>
          <cell r="H17597" t="str">
            <v>g__norank_f__Ruminococcaceae</v>
          </cell>
          <cell r="I17597" t="str">
            <v>s__unclassified_g__norank_f__Ruminococcaceae</v>
          </cell>
        </row>
        <row r="17598">
          <cell r="G17598" t="str">
            <v>ASV13001</v>
          </cell>
          <cell r="H17598" t="str">
            <v>g__Alloprevotella</v>
          </cell>
          <cell r="I17598" t="str">
            <v>s__Prevotella_sp._canine_oral_taxon_282</v>
          </cell>
        </row>
        <row r="17599">
          <cell r="G17599" t="str">
            <v>ASV6416</v>
          </cell>
          <cell r="H17599" t="str">
            <v>g__unclassified_c__Clostridia</v>
          </cell>
          <cell r="I17599" t="str">
            <v>s__unclassified_c__Clostridia</v>
          </cell>
        </row>
        <row r="17600">
          <cell r="G17600" t="str">
            <v>ASV20136</v>
          </cell>
          <cell r="H17600" t="str">
            <v>g__unclassified_c__Bacilli</v>
          </cell>
          <cell r="I17600" t="str">
            <v>s__unclassified_c__Bacilli</v>
          </cell>
        </row>
        <row r="17601">
          <cell r="G17601" t="str">
            <v>ASV17383</v>
          </cell>
          <cell r="H17601" t="str">
            <v>g__unclassified_c__Clostridia</v>
          </cell>
          <cell r="I17601" t="str">
            <v>s__unclassified_c__Clostridia</v>
          </cell>
        </row>
        <row r="17602">
          <cell r="G17602" t="str">
            <v>ASV2414</v>
          </cell>
          <cell r="H17602" t="str">
            <v>g__Candidatus_Saccharimonas</v>
          </cell>
          <cell r="I17602" t="str">
            <v>s__unclassified_g__Candidatus_Saccharimonas</v>
          </cell>
        </row>
        <row r="17603">
          <cell r="G17603" t="str">
            <v>ASV21377</v>
          </cell>
          <cell r="H17603" t="str">
            <v>g__unclassified_f__Pasteurellaceae</v>
          </cell>
          <cell r="I17603" t="str">
            <v>s__unclassified_f__Pasteurellaceae</v>
          </cell>
        </row>
        <row r="17604">
          <cell r="G17604" t="str">
            <v>ASV18454</v>
          </cell>
          <cell r="H17604" t="str">
            <v>g__unclassified_f__Ruminococcaceae</v>
          </cell>
          <cell r="I17604" t="str">
            <v>s__unclassified_f__Ruminococcaceae</v>
          </cell>
        </row>
        <row r="17605">
          <cell r="G17605" t="str">
            <v>ASV24049</v>
          </cell>
          <cell r="H17605" t="str">
            <v>g__Bacillus</v>
          </cell>
          <cell r="I17605" t="str">
            <v>s__Lactobacillus_vaginalis_g__Bacillus</v>
          </cell>
        </row>
        <row r="17606">
          <cell r="G17606" t="str">
            <v>ASV10239</v>
          </cell>
          <cell r="H17606" t="str">
            <v>g__unclassified_f__Lachnospiraceae</v>
          </cell>
          <cell r="I17606" t="str">
            <v>s__unclassified_f__Lachnospiraceae</v>
          </cell>
        </row>
        <row r="17607">
          <cell r="G17607" t="str">
            <v>ASV8586</v>
          </cell>
          <cell r="H17607" t="str">
            <v>g__Allisonella</v>
          </cell>
          <cell r="I17607" t="str">
            <v>s__unclassified_g__Allisonella</v>
          </cell>
        </row>
        <row r="17608">
          <cell r="G17608" t="str">
            <v>ASV21672</v>
          </cell>
          <cell r="H17608" t="str">
            <v>g__Clostridium_sensu_stricto_1</v>
          </cell>
          <cell r="I17608" t="str">
            <v>s__unclassified_g__Clostridium_sensu_stricto_1</v>
          </cell>
        </row>
        <row r="17609">
          <cell r="G17609" t="str">
            <v>ASV9669</v>
          </cell>
          <cell r="H17609" t="str">
            <v>g__Streptococcus</v>
          </cell>
          <cell r="I17609" t="str">
            <v>s__unclassified_g__Streptococcus</v>
          </cell>
        </row>
        <row r="17610">
          <cell r="G17610" t="str">
            <v>ASV8584</v>
          </cell>
          <cell r="H17610" t="str">
            <v>g__Escherichia-Shigella</v>
          </cell>
          <cell r="I17610" t="str">
            <v>s__unclassified_g__Escherichia-Shigella</v>
          </cell>
        </row>
        <row r="17611">
          <cell r="G17611" t="str">
            <v>ASV9642</v>
          </cell>
          <cell r="H17611" t="str">
            <v>g__unclassified_f__Pasteurellaceae</v>
          </cell>
          <cell r="I17611" t="str">
            <v>s__unclassified_f__Pasteurellaceae</v>
          </cell>
        </row>
        <row r="17612">
          <cell r="G17612" t="str">
            <v>ASV9660</v>
          </cell>
          <cell r="H17612" t="str">
            <v>g__Lactobacillus</v>
          </cell>
          <cell r="I17612" t="str">
            <v>s__unclassified_g__Lactobacillus</v>
          </cell>
        </row>
        <row r="17613">
          <cell r="G17613" t="str">
            <v>ASV10836</v>
          </cell>
          <cell r="H17613" t="str">
            <v>g__unclassified_p__Firmicutes</v>
          </cell>
          <cell r="I17613" t="str">
            <v>s__unclassified_p__Firmicutes</v>
          </cell>
        </row>
        <row r="17614">
          <cell r="G17614" t="str">
            <v>ASV5225</v>
          </cell>
          <cell r="H17614" t="str">
            <v>g__unclassified_f__Eggerthellaceae</v>
          </cell>
          <cell r="I17614" t="str">
            <v>s__unclassified_f__Eggerthellaceae</v>
          </cell>
        </row>
        <row r="17615">
          <cell r="G17615" t="str">
            <v>ASV9894</v>
          </cell>
          <cell r="H17615" t="str">
            <v>g__UCG-005</v>
          </cell>
          <cell r="I17615" t="str">
            <v>s__uncultured_organism_g__UCG-005</v>
          </cell>
        </row>
        <row r="17616">
          <cell r="G17616" t="str">
            <v>ASV14691</v>
          </cell>
          <cell r="H17616" t="str">
            <v>g__unclassified_k__norank_d__Bacteria</v>
          </cell>
          <cell r="I17616" t="str">
            <v>s__unclassified_k__norank_d__Bacteria</v>
          </cell>
        </row>
        <row r="17617">
          <cell r="G17617" t="str">
            <v>ASV18735</v>
          </cell>
          <cell r="H17617" t="str">
            <v>g__unclassified_p__Firmicutes</v>
          </cell>
          <cell r="I17617" t="str">
            <v>s__unclassified_p__Firmicutes</v>
          </cell>
        </row>
        <row r="17618">
          <cell r="G17618" t="str">
            <v>ASV6373</v>
          </cell>
          <cell r="H17618" t="str">
            <v>g__unclassified_o__Oscillospirales</v>
          </cell>
          <cell r="I17618" t="str">
            <v>s__unclassified_o__Oscillospirales</v>
          </cell>
        </row>
        <row r="17619">
          <cell r="G17619" t="str">
            <v>ASV17677</v>
          </cell>
          <cell r="H17619" t="str">
            <v>g__Lactobacillus</v>
          </cell>
          <cell r="I17619" t="str">
            <v>s__unclassified_g__Lactobacillus</v>
          </cell>
        </row>
        <row r="17620">
          <cell r="G17620" t="str">
            <v>ASV5300</v>
          </cell>
          <cell r="H17620" t="str">
            <v>g__unclassified_p__Firmicutes</v>
          </cell>
          <cell r="I17620" t="str">
            <v>s__unclassified_p__Firmicutes</v>
          </cell>
        </row>
        <row r="17621">
          <cell r="G17621" t="str">
            <v>ASV12235</v>
          </cell>
          <cell r="H17621" t="str">
            <v>g__Bacteroides</v>
          </cell>
          <cell r="I17621" t="str">
            <v>s__unclassified_g__Bacteroides</v>
          </cell>
        </row>
        <row r="17622">
          <cell r="G17622" t="str">
            <v>ASV20968</v>
          </cell>
          <cell r="H17622" t="str">
            <v>g__Ruminococcus</v>
          </cell>
          <cell r="I17622" t="str">
            <v>s__unclassified_g__Ruminococcus</v>
          </cell>
        </row>
        <row r="17623">
          <cell r="G17623" t="str">
            <v>ASV19112</v>
          </cell>
          <cell r="H17623" t="str">
            <v>g__Escherichia-Shigella</v>
          </cell>
          <cell r="I17623" t="str">
            <v>s__unclassified_g__Escherichia-Shigella</v>
          </cell>
        </row>
        <row r="17624">
          <cell r="G17624" t="str">
            <v>ASV9055</v>
          </cell>
          <cell r="H17624" t="str">
            <v>g__norank_f__norank_o__Clostridia_vadinBB60_group</v>
          </cell>
          <cell r="I17624" t="str">
            <v>s__unclassified_g__norank_f__norank_o__Clostridia_vadinBB60_group</v>
          </cell>
        </row>
        <row r="17625">
          <cell r="G17625" t="str">
            <v>ASV16647</v>
          </cell>
          <cell r="H17625" t="str">
            <v>g__UCG-004</v>
          </cell>
          <cell r="I17625" t="str">
            <v>s__uncultured_bacterium_g__UCG-004</v>
          </cell>
        </row>
        <row r="17626">
          <cell r="G17626" t="str">
            <v>ASV5412</v>
          </cell>
          <cell r="H17626" t="str">
            <v>g__Bacteroides</v>
          </cell>
          <cell r="I17626" t="str">
            <v>s__unclassified_g__Bacteroides</v>
          </cell>
        </row>
        <row r="17627">
          <cell r="G17627" t="str">
            <v>ASV24326</v>
          </cell>
          <cell r="H17627" t="str">
            <v>g__unclassified_f__Lachnospiraceae</v>
          </cell>
          <cell r="I17627" t="str">
            <v>s__unclassified_f__Lachnospiraceae</v>
          </cell>
        </row>
        <row r="17628">
          <cell r="G17628" t="str">
            <v>ASV21671</v>
          </cell>
          <cell r="H17628" t="str">
            <v>g__Oribacterium</v>
          </cell>
          <cell r="I17628" t="str">
            <v>s__uncultured_bacterium_g__Oribacterium</v>
          </cell>
        </row>
        <row r="17629">
          <cell r="G17629" t="str">
            <v>ASV20121</v>
          </cell>
          <cell r="H17629" t="str">
            <v>g__Enterococcus</v>
          </cell>
          <cell r="I17629" t="str">
            <v>s__unclassified_g__Enterococcus</v>
          </cell>
        </row>
        <row r="17630">
          <cell r="G17630" t="str">
            <v>ASV3321</v>
          </cell>
          <cell r="H17630" t="str">
            <v>g__unclassified_f__Lachnospiraceae</v>
          </cell>
          <cell r="I17630" t="str">
            <v>s__unclassified_f__Lachnospiraceae</v>
          </cell>
        </row>
        <row r="17631">
          <cell r="G17631" t="str">
            <v>ASV14910</v>
          </cell>
          <cell r="H17631" t="str">
            <v>g__Veillonella</v>
          </cell>
          <cell r="I17631" t="str">
            <v>s__unclassified_g__Veillonella</v>
          </cell>
        </row>
        <row r="17632">
          <cell r="G17632" t="str">
            <v>ASV20131</v>
          </cell>
          <cell r="H17632" t="str">
            <v>g__unclassified_o__Oscillospirales</v>
          </cell>
          <cell r="I17632" t="str">
            <v>s__unclassified_o__Oscillospirales</v>
          </cell>
        </row>
        <row r="17633">
          <cell r="G17633" t="str">
            <v>ASV14624</v>
          </cell>
          <cell r="H17633" t="str">
            <v>g__Phascolarctobacterium</v>
          </cell>
          <cell r="I17633" t="str">
            <v>s__unclassified_g__Phascolarctobacterium</v>
          </cell>
        </row>
        <row r="17634">
          <cell r="G17634" t="str">
            <v>ASV23732</v>
          </cell>
          <cell r="H17634" t="str">
            <v>g__unclassified_f__Lachnospiraceae</v>
          </cell>
          <cell r="I17634" t="str">
            <v>s__unclassified_f__Lachnospiraceae</v>
          </cell>
        </row>
        <row r="17635">
          <cell r="G17635" t="str">
            <v>ASV22801</v>
          </cell>
          <cell r="H17635" t="str">
            <v>g__Enterococcus</v>
          </cell>
          <cell r="I17635" t="str">
            <v>s__unclassified_g__Enterococcus</v>
          </cell>
        </row>
        <row r="17636">
          <cell r="G17636" t="str">
            <v>ASV10851</v>
          </cell>
          <cell r="H17636" t="str">
            <v>g__unclassified_k__norank_d__Bacteria</v>
          </cell>
          <cell r="I17636" t="str">
            <v>s__unclassified_k__norank_d__Bacteria</v>
          </cell>
        </row>
        <row r="17637">
          <cell r="G17637" t="str">
            <v>ASV1398</v>
          </cell>
          <cell r="H17637" t="str">
            <v>g__Candidatus_Soleaferrea</v>
          </cell>
          <cell r="I17637" t="str">
            <v>s__uncultured_bacterium_g__Candidatus_Soleaferrea</v>
          </cell>
        </row>
        <row r="17638">
          <cell r="G17638" t="str">
            <v>ASV1804</v>
          </cell>
          <cell r="H17638" t="str">
            <v>g__unclassified_c__Clostridia</v>
          </cell>
          <cell r="I17638" t="str">
            <v>s__unclassified_c__Clostridia</v>
          </cell>
        </row>
        <row r="17639">
          <cell r="G17639" t="str">
            <v>ASV9095</v>
          </cell>
          <cell r="H17639" t="str">
            <v>g__Lactobacillus</v>
          </cell>
          <cell r="I17639" t="str">
            <v>s__unclassified_g__Lactobacillus</v>
          </cell>
        </row>
        <row r="17640">
          <cell r="G17640" t="str">
            <v>ASV4251</v>
          </cell>
          <cell r="H17640" t="str">
            <v>g__Streptococcus</v>
          </cell>
          <cell r="I17640" t="str">
            <v>s__unclassified_g__Streptococcus</v>
          </cell>
        </row>
        <row r="17641">
          <cell r="G17641" t="str">
            <v>ASV13663</v>
          </cell>
          <cell r="H17641" t="str">
            <v>g__unclassified_f__Oscillospiraceae</v>
          </cell>
          <cell r="I17641" t="str">
            <v>s__unclassified_f__Oscillospiraceae</v>
          </cell>
        </row>
        <row r="17642">
          <cell r="G17642" t="str">
            <v>ASV16578</v>
          </cell>
          <cell r="H17642" t="str">
            <v>g__unclassified_c__Clostridia</v>
          </cell>
          <cell r="I17642" t="str">
            <v>s__unclassified_c__Clostridia</v>
          </cell>
        </row>
        <row r="17643">
          <cell r="G17643" t="str">
            <v>ASV20483</v>
          </cell>
          <cell r="H17643" t="str">
            <v>g__Pajaroellobacter</v>
          </cell>
          <cell r="I17643" t="str">
            <v>s__uncultured_bacterium_g__Pajaroellobacter</v>
          </cell>
        </row>
        <row r="17644">
          <cell r="G17644" t="str">
            <v>ASV5277</v>
          </cell>
          <cell r="H17644" t="str">
            <v>g__Bacteroides</v>
          </cell>
          <cell r="I17644" t="str">
            <v>s__unclassified_g__Bacteroides</v>
          </cell>
        </row>
        <row r="17645">
          <cell r="G17645" t="str">
            <v>ASV13614</v>
          </cell>
          <cell r="H17645" t="str">
            <v>g__unclassified_f__Lachnospiraceae</v>
          </cell>
          <cell r="I17645" t="str">
            <v>s__unclassified_f__Lachnospiraceae</v>
          </cell>
        </row>
        <row r="17646">
          <cell r="G17646" t="str">
            <v>ASV9635</v>
          </cell>
          <cell r="H17646" t="str">
            <v>g__Rikenellaceae_RC9_gut_group</v>
          </cell>
          <cell r="I17646" t="str">
            <v>s__uncultured_bacterium_g__Rikenellaceae_RC9_gut_group</v>
          </cell>
        </row>
        <row r="17647">
          <cell r="G17647" t="str">
            <v>ASV1330</v>
          </cell>
          <cell r="H17647" t="str">
            <v>g__Lactobacillus</v>
          </cell>
          <cell r="I17647" t="str">
            <v>s__unclassified_g__Lactobacillus</v>
          </cell>
        </row>
        <row r="17648">
          <cell r="G17648" t="str">
            <v>ASV18475</v>
          </cell>
          <cell r="H17648" t="str">
            <v>g__Ruminococcus</v>
          </cell>
          <cell r="I17648" t="str">
            <v>s__unclassified_g__Ruminococcus</v>
          </cell>
        </row>
        <row r="17649">
          <cell r="G17649" t="str">
            <v>ASV10967</v>
          </cell>
          <cell r="H17649" t="str">
            <v>g__Lactobacillus</v>
          </cell>
          <cell r="I17649" t="str">
            <v>s__unclassified_g__Lactobacillus</v>
          </cell>
        </row>
        <row r="17650">
          <cell r="G17650" t="str">
            <v>ASV9808</v>
          </cell>
          <cell r="H17650" t="str">
            <v>g__UCG-002</v>
          </cell>
          <cell r="I17650" t="str">
            <v>s__uncultured_bacterium_g__UCG-002</v>
          </cell>
        </row>
        <row r="17651">
          <cell r="G17651" t="str">
            <v>ASV5330</v>
          </cell>
          <cell r="H17651" t="str">
            <v>g__Candidatus_Soleaferrea</v>
          </cell>
          <cell r="I17651" t="str">
            <v>s__uncultured_bacterium_g__Candidatus_Soleaferrea</v>
          </cell>
        </row>
        <row r="17652">
          <cell r="G17652" t="str">
            <v>ASV9614</v>
          </cell>
          <cell r="H17652" t="str">
            <v>g__unclassified_c__Clostridia</v>
          </cell>
          <cell r="I17652" t="str">
            <v>s__unclassified_c__Clostridia</v>
          </cell>
        </row>
        <row r="17653">
          <cell r="G17653" t="str">
            <v>ASV6266</v>
          </cell>
          <cell r="H17653" t="str">
            <v>g__unclassified_c__Clostridia</v>
          </cell>
          <cell r="I17653" t="str">
            <v>s__unclassified_c__Clostridia</v>
          </cell>
        </row>
        <row r="17654">
          <cell r="G17654" t="str">
            <v>ASV19900</v>
          </cell>
          <cell r="H17654" t="str">
            <v>g__norank_f__Muribaculaceae</v>
          </cell>
          <cell r="I17654" t="str">
            <v>s__uncultured_bacterium_g__norank_f__Muribaculaceae</v>
          </cell>
        </row>
        <row r="17655">
          <cell r="G17655" t="str">
            <v>ASV19982</v>
          </cell>
          <cell r="H17655" t="str">
            <v>g__Prevotella</v>
          </cell>
          <cell r="I17655" t="str">
            <v>s__uncultured_bacterium_g__Prevotella</v>
          </cell>
        </row>
        <row r="17656">
          <cell r="G17656" t="str">
            <v>ASV10113</v>
          </cell>
          <cell r="H17656" t="str">
            <v>g__Streptococcus</v>
          </cell>
          <cell r="I17656" t="str">
            <v>s__unclassified_g__Streptococcus</v>
          </cell>
        </row>
        <row r="17657">
          <cell r="G17657" t="str">
            <v>ASV16751</v>
          </cell>
          <cell r="H17657" t="str">
            <v>g__Christensenellaceae_R-7_group</v>
          </cell>
          <cell r="I17657" t="str">
            <v>s__unclassified_g__Christensenellaceae_R-7_group</v>
          </cell>
        </row>
        <row r="17658">
          <cell r="G17658" t="str">
            <v>ASV16759</v>
          </cell>
          <cell r="H17658" t="str">
            <v>g__unclassified_c__Clostridia</v>
          </cell>
          <cell r="I17658" t="str">
            <v>s__unclassified_c__Clostridia</v>
          </cell>
        </row>
        <row r="17659">
          <cell r="G17659" t="str">
            <v>ASV12086</v>
          </cell>
          <cell r="H17659" t="str">
            <v>g__unclassified_f__Ruminococcaceae</v>
          </cell>
          <cell r="I17659" t="str">
            <v>s__unclassified_f__Ruminococcaceae</v>
          </cell>
        </row>
        <row r="17660">
          <cell r="G17660" t="str">
            <v>ASV11077</v>
          </cell>
          <cell r="H17660" t="str">
            <v>g__unclassified_f__Clostridiaceae</v>
          </cell>
          <cell r="I17660" t="str">
            <v>s__unclassified_f__Clostridiaceae</v>
          </cell>
        </row>
        <row r="17661">
          <cell r="G17661" t="str">
            <v>ASV6847</v>
          </cell>
          <cell r="H17661" t="str">
            <v>g__unclassified_f__Eggerthellaceae</v>
          </cell>
          <cell r="I17661" t="str">
            <v>s__unclassified_f__Eggerthellaceae</v>
          </cell>
        </row>
        <row r="17662">
          <cell r="G17662" t="str">
            <v>ASV1098</v>
          </cell>
          <cell r="H17662" t="str">
            <v>g__Treponema</v>
          </cell>
          <cell r="I17662" t="str">
            <v>s__Treponema_porcinum</v>
          </cell>
        </row>
        <row r="17663">
          <cell r="G17663" t="str">
            <v>ASV16126</v>
          </cell>
          <cell r="H17663" t="str">
            <v>g__Lactobacillus</v>
          </cell>
          <cell r="I17663" t="str">
            <v>s__unclassified_g__Lactobacillus</v>
          </cell>
        </row>
        <row r="17664">
          <cell r="G17664" t="str">
            <v>ASV22779</v>
          </cell>
          <cell r="H17664" t="str">
            <v>g__unclassified_c__Clostridia</v>
          </cell>
          <cell r="I17664" t="str">
            <v>s__unclassified_c__Clostridia</v>
          </cell>
        </row>
        <row r="17665">
          <cell r="G17665" t="str">
            <v>ASV17395</v>
          </cell>
          <cell r="H17665" t="str">
            <v>g__Campylobacter</v>
          </cell>
          <cell r="I17665" t="str">
            <v>s__unclassified_g__Campylobacter</v>
          </cell>
        </row>
        <row r="17666">
          <cell r="G17666" t="str">
            <v>ASV1790</v>
          </cell>
          <cell r="H17666" t="str">
            <v>g__Escherichia-Shigella</v>
          </cell>
          <cell r="I17666" t="str">
            <v>s__unclassified_g__Escherichia-Shigella</v>
          </cell>
        </row>
        <row r="17667">
          <cell r="G17667" t="str">
            <v>ASV10941</v>
          </cell>
          <cell r="H17667" t="str">
            <v>g__Eubacterium_oxidoreducens_group</v>
          </cell>
          <cell r="I17667" t="str">
            <v>s__uncultured_bacterium_g__Eubacterium_oxidoreducens_group</v>
          </cell>
        </row>
        <row r="17668">
          <cell r="G17668" t="str">
            <v>ASV16760</v>
          </cell>
          <cell r="H17668" t="str">
            <v>g__Monoglobus</v>
          </cell>
          <cell r="I17668" t="str">
            <v>s__uncultured_bacterium_g__Monoglobus</v>
          </cell>
        </row>
        <row r="17669">
          <cell r="G17669" t="str">
            <v>ASV1368</v>
          </cell>
          <cell r="H17669" t="str">
            <v>g__Acetitomaculum</v>
          </cell>
          <cell r="I17669" t="str">
            <v>s__uncultured_bacterium_g__Acetitomaculum</v>
          </cell>
        </row>
        <row r="17670">
          <cell r="G17670" t="str">
            <v>ASV4348</v>
          </cell>
          <cell r="H17670" t="str">
            <v>g__Phascolarctobacterium</v>
          </cell>
          <cell r="I17670" t="str">
            <v>s__Ruminococcus_sp._N15.MGS-57_g__Phascolarctobacterium</v>
          </cell>
        </row>
        <row r="17671">
          <cell r="G17671" t="str">
            <v>ASV14778</v>
          </cell>
          <cell r="H17671" t="str">
            <v>g__unclassified_k__norank_d__Bacteria</v>
          </cell>
          <cell r="I17671" t="str">
            <v>s__unclassified_k__norank_d__Bacteria</v>
          </cell>
        </row>
        <row r="17672">
          <cell r="G17672" t="str">
            <v>ASV8572</v>
          </cell>
          <cell r="H17672" t="str">
            <v>g__Lactobacillus</v>
          </cell>
          <cell r="I17672" t="str">
            <v>s__unclassified_g__Lactobacillus</v>
          </cell>
        </row>
        <row r="17673">
          <cell r="G17673" t="str">
            <v>ASV6850</v>
          </cell>
          <cell r="H17673" t="str">
            <v>g__Sharpea</v>
          </cell>
          <cell r="I17673" t="str">
            <v>s__unclassified_g__Sharpea</v>
          </cell>
        </row>
        <row r="17674">
          <cell r="G17674" t="str">
            <v>ASV14896</v>
          </cell>
          <cell r="H17674" t="str">
            <v>g__unclassified_c__Clostridia</v>
          </cell>
          <cell r="I17674" t="str">
            <v>s__unclassified_c__Clostridia</v>
          </cell>
        </row>
        <row r="17675">
          <cell r="G17675" t="str">
            <v>ASV8125</v>
          </cell>
          <cell r="H17675" t="str">
            <v>g__unclassified_f__Lachnospiraceae</v>
          </cell>
          <cell r="I17675" t="str">
            <v>s__unclassified_f__Lachnospiraceae</v>
          </cell>
        </row>
        <row r="17676">
          <cell r="G17676" t="str">
            <v>ASV17011</v>
          </cell>
          <cell r="H17676" t="str">
            <v>g__unclassified_f__Lachnospiraceae</v>
          </cell>
          <cell r="I17676" t="str">
            <v>s__unclassified_f__Lachnospiraceae</v>
          </cell>
        </row>
        <row r="17677">
          <cell r="G17677" t="str">
            <v>ASV9739</v>
          </cell>
          <cell r="H17677" t="str">
            <v>g__unclassified_c__Bacilli</v>
          </cell>
          <cell r="I17677" t="str">
            <v>s__unclassified_c__Bacilli</v>
          </cell>
        </row>
        <row r="17678">
          <cell r="G17678" t="str">
            <v>ASV5241</v>
          </cell>
          <cell r="H17678" t="str">
            <v>g__UCG-009</v>
          </cell>
          <cell r="I17678" t="str">
            <v>s__uncultured_bacterium_g__UCG-009</v>
          </cell>
        </row>
        <row r="17679">
          <cell r="G17679" t="str">
            <v>ASV23642</v>
          </cell>
          <cell r="H17679" t="str">
            <v>g__unclassified_c__Clostridia</v>
          </cell>
          <cell r="I17679" t="str">
            <v>s__unclassified_c__Clostridia</v>
          </cell>
        </row>
        <row r="17680">
          <cell r="G17680" t="str">
            <v>ASV6478</v>
          </cell>
          <cell r="H17680" t="str">
            <v>g__Ruminococcus</v>
          </cell>
          <cell r="I17680" t="str">
            <v>s__bacterium_ic1277</v>
          </cell>
        </row>
        <row r="17681">
          <cell r="G17681" t="str">
            <v>ASV17092</v>
          </cell>
          <cell r="H17681" t="str">
            <v>g__Eubacterium_oxidoreducens_group</v>
          </cell>
          <cell r="I17681" t="str">
            <v>s__uncultured_bacterium_g__Eubacterium_oxidoreducens_group</v>
          </cell>
        </row>
        <row r="17682">
          <cell r="G17682" t="str">
            <v>ASV21546</v>
          </cell>
          <cell r="H17682" t="str">
            <v>g__unclassified_f__Anaerovoracaceae</v>
          </cell>
          <cell r="I17682" t="str">
            <v>s__unclassified_f__Anaerovoracaceae</v>
          </cell>
        </row>
        <row r="17683">
          <cell r="G17683" t="str">
            <v>ASV6365</v>
          </cell>
          <cell r="H17683" t="str">
            <v>g__unclassified_o__Bacteroidales</v>
          </cell>
          <cell r="I17683" t="str">
            <v>s__unclassified_o__Bacteroidales</v>
          </cell>
        </row>
        <row r="17684">
          <cell r="G17684" t="str">
            <v>ASV8885</v>
          </cell>
          <cell r="H17684" t="str">
            <v>g__unclassified_f__Lachnospiraceae</v>
          </cell>
          <cell r="I17684" t="str">
            <v>s__unclassified_f__Lachnospiraceae</v>
          </cell>
        </row>
        <row r="17685">
          <cell r="G17685" t="str">
            <v>ASV7381</v>
          </cell>
          <cell r="H17685" t="str">
            <v>g__unclassified_f__Lachnospiraceae</v>
          </cell>
          <cell r="I17685" t="str">
            <v>s__unclassified_f__Lachnospiraceae</v>
          </cell>
        </row>
        <row r="17686">
          <cell r="G17686" t="str">
            <v>ASV17551</v>
          </cell>
          <cell r="H17686" t="str">
            <v>g__unclassified_o__Lactobacillales</v>
          </cell>
          <cell r="I17686" t="str">
            <v>s__unclassified_o__Lactobacillales</v>
          </cell>
        </row>
        <row r="17687">
          <cell r="G17687" t="str">
            <v>ASV15095</v>
          </cell>
          <cell r="H17687" t="str">
            <v>g__unclassified_k__norank_d__Bacteria</v>
          </cell>
          <cell r="I17687" t="str">
            <v>s__unclassified_k__norank_d__Bacteria</v>
          </cell>
        </row>
        <row r="17688">
          <cell r="G17688" t="str">
            <v>ASV18968</v>
          </cell>
          <cell r="H17688" t="str">
            <v>g__norank_f__Muribaculaceae</v>
          </cell>
          <cell r="I17688" t="str">
            <v>s__unclassified_g__norank_f__Muribaculaceae</v>
          </cell>
        </row>
        <row r="17689">
          <cell r="G17689" t="str">
            <v>ASV24362</v>
          </cell>
          <cell r="H17689" t="str">
            <v>g__unclassified_c__Bacilli</v>
          </cell>
          <cell r="I17689" t="str">
            <v>s__unclassified_c__Bacilli</v>
          </cell>
        </row>
        <row r="17690">
          <cell r="G17690" t="str">
            <v>ASV12447</v>
          </cell>
          <cell r="H17690" t="str">
            <v>g__unclassified_f__Lachnospiraceae</v>
          </cell>
          <cell r="I17690" t="str">
            <v>s__unclassified_f__Lachnospiraceae</v>
          </cell>
        </row>
        <row r="17691">
          <cell r="G17691" t="str">
            <v>ASV12210</v>
          </cell>
          <cell r="H17691" t="str">
            <v>g__Streptococcus</v>
          </cell>
          <cell r="I17691" t="str">
            <v>s__unclassified_g__Streptococcus</v>
          </cell>
        </row>
        <row r="17692">
          <cell r="G17692" t="str">
            <v>ASV20187</v>
          </cell>
          <cell r="H17692" t="str">
            <v>g__unclassified_c__Clostridia</v>
          </cell>
          <cell r="I17692" t="str">
            <v>s__unclassified_c__Clostridia</v>
          </cell>
        </row>
        <row r="17693">
          <cell r="G17693" t="str">
            <v>ASV20041</v>
          </cell>
          <cell r="H17693" t="str">
            <v>g__unclassified_c__Clostridia</v>
          </cell>
          <cell r="I17693" t="str">
            <v>s__unclassified_c__Clostridia</v>
          </cell>
        </row>
        <row r="17694">
          <cell r="G17694" t="str">
            <v>ASV22670</v>
          </cell>
          <cell r="H17694" t="str">
            <v>g__unclassified_c__Clostridia</v>
          </cell>
          <cell r="I17694" t="str">
            <v>s__unclassified_c__Clostridia</v>
          </cell>
        </row>
        <row r="17695">
          <cell r="G17695" t="str">
            <v>ASV8178</v>
          </cell>
          <cell r="H17695" t="str">
            <v>g__unclassified_o__Bacteroidales</v>
          </cell>
          <cell r="I17695" t="str">
            <v>s__unclassified_o__Bacteroidales</v>
          </cell>
        </row>
        <row r="17696">
          <cell r="G17696" t="str">
            <v>ASV23502</v>
          </cell>
          <cell r="H17696" t="str">
            <v>g__unclassified_k__norank_d__Bacteria</v>
          </cell>
          <cell r="I17696" t="str">
            <v>s__unclassified_k__norank_d__Bacteria</v>
          </cell>
        </row>
        <row r="17697">
          <cell r="G17697" t="str">
            <v>ASV19988</v>
          </cell>
          <cell r="H17697" t="str">
            <v>g__norank_f__Ruminococcaceae</v>
          </cell>
          <cell r="I17697" t="str">
            <v>s__unclassified_g__norank_f__Ruminococcaceae</v>
          </cell>
        </row>
        <row r="17698">
          <cell r="G17698" t="str">
            <v>ASV1460</v>
          </cell>
          <cell r="H17698" t="str">
            <v>g__unclassified_c__Clostridia</v>
          </cell>
          <cell r="I17698" t="str">
            <v>s__unclassified_c__Clostridia</v>
          </cell>
        </row>
        <row r="17699">
          <cell r="G17699" t="str">
            <v>ASV19889</v>
          </cell>
          <cell r="H17699" t="str">
            <v>g__unclassified_f__Lachnospiraceae</v>
          </cell>
          <cell r="I17699" t="str">
            <v>s__unclassified_f__Lachnospiraceae</v>
          </cell>
        </row>
        <row r="17700">
          <cell r="G17700" t="str">
            <v>ASV19007</v>
          </cell>
          <cell r="H17700" t="str">
            <v>g__unclassified_f__Lachnospiraceae</v>
          </cell>
          <cell r="I17700" t="str">
            <v>s__unclassified_f__Lachnospiraceae</v>
          </cell>
        </row>
        <row r="17701">
          <cell r="G17701" t="str">
            <v>ASV10343</v>
          </cell>
          <cell r="H17701" t="str">
            <v>g__unclassified_o__Oscillospirales</v>
          </cell>
          <cell r="I17701" t="str">
            <v>s__unclassified_o__Oscillospirales</v>
          </cell>
        </row>
        <row r="17702">
          <cell r="G17702" t="str">
            <v>ASV22724</v>
          </cell>
          <cell r="H17702" t="str">
            <v>g__unclassified_f__Lachnospiraceae</v>
          </cell>
          <cell r="I17702" t="str">
            <v>s__unclassified_f__Lachnospiraceae</v>
          </cell>
        </row>
        <row r="17703">
          <cell r="G17703" t="str">
            <v>ASV20160</v>
          </cell>
          <cell r="H17703" t="str">
            <v>g__unclassified_f__Lachnospiraceae</v>
          </cell>
          <cell r="I17703" t="str">
            <v>s__unclassified_f__Lachnospiraceae</v>
          </cell>
        </row>
        <row r="17704">
          <cell r="G17704" t="str">
            <v>ASV16594</v>
          </cell>
          <cell r="H17704" t="str">
            <v>g__unclassified_p__Firmicutes</v>
          </cell>
          <cell r="I17704" t="str">
            <v>s__unclassified_p__Firmicutes</v>
          </cell>
        </row>
        <row r="17705">
          <cell r="G17705" t="str">
            <v>ASV9676</v>
          </cell>
          <cell r="H17705" t="str">
            <v>g__unclassified_p__Firmicutes</v>
          </cell>
          <cell r="I17705" t="str">
            <v>s__unclassified_p__Firmicutes</v>
          </cell>
        </row>
        <row r="17706">
          <cell r="G17706" t="str">
            <v>ASV18425</v>
          </cell>
          <cell r="H17706" t="str">
            <v>g__unclassified_f__Oscillospiraceae</v>
          </cell>
          <cell r="I17706" t="str">
            <v>s__unclassified_f__Oscillospiraceae</v>
          </cell>
        </row>
        <row r="17707">
          <cell r="G17707" t="str">
            <v>ASV14756</v>
          </cell>
          <cell r="H17707" t="str">
            <v>g__norank_f__Oscillospiraceae</v>
          </cell>
          <cell r="I17707" t="str">
            <v>s__unclassified_g__norank_f__Oscillospiraceae</v>
          </cell>
        </row>
        <row r="17708">
          <cell r="G17708" t="str">
            <v>ASV22526</v>
          </cell>
          <cell r="H17708" t="str">
            <v>g__unclassified_c__Clostridia</v>
          </cell>
          <cell r="I17708" t="str">
            <v>s__unclassified_c__Clostridia</v>
          </cell>
        </row>
        <row r="17709">
          <cell r="G17709" t="str">
            <v>ASV5335</v>
          </cell>
          <cell r="H17709" t="str">
            <v>g__Christensenellaceae_R-7_group</v>
          </cell>
          <cell r="I17709" t="str">
            <v>s__unclassified_g__Christensenellaceae_R-7_group</v>
          </cell>
        </row>
        <row r="17710">
          <cell r="G17710" t="str">
            <v>ASV20327</v>
          </cell>
          <cell r="H17710" t="str">
            <v>g__unclassified_p__Firmicutes</v>
          </cell>
          <cell r="I17710" t="str">
            <v>s__unclassified_p__Firmicutes</v>
          </cell>
        </row>
        <row r="17711">
          <cell r="G17711" t="str">
            <v>ASV16598</v>
          </cell>
          <cell r="H17711" t="str">
            <v>g__unclassified_f__Oscillospiraceae</v>
          </cell>
          <cell r="I17711" t="str">
            <v>s__unclassified_f__Oscillospiraceae</v>
          </cell>
        </row>
        <row r="17712">
          <cell r="G17712" t="str">
            <v>ASV13599</v>
          </cell>
          <cell r="H17712" t="str">
            <v>g__unclassified_p__Firmicutes</v>
          </cell>
          <cell r="I17712" t="str">
            <v>s__unclassified_p__Firmicutes</v>
          </cell>
        </row>
        <row r="17713">
          <cell r="G17713" t="str">
            <v>ASV22599</v>
          </cell>
          <cell r="H17713" t="str">
            <v>g__unclassified_c__Clostridia</v>
          </cell>
          <cell r="I17713" t="str">
            <v>s__unclassified_c__Clostridia</v>
          </cell>
        </row>
        <row r="17714">
          <cell r="G17714" t="str">
            <v>ASV17159</v>
          </cell>
          <cell r="H17714" t="str">
            <v>g__Campylobacter</v>
          </cell>
          <cell r="I17714" t="str">
            <v>s__unclassified_g__Campylobacter</v>
          </cell>
        </row>
        <row r="17715">
          <cell r="G17715" t="str">
            <v>ASV1096</v>
          </cell>
          <cell r="H17715" t="str">
            <v>g__Alloprevotella</v>
          </cell>
          <cell r="I17715" t="str">
            <v>s__unclassified_g__Alloprevotella</v>
          </cell>
        </row>
        <row r="17716">
          <cell r="G17716" t="str">
            <v>ASV22827</v>
          </cell>
          <cell r="H17716" t="str">
            <v>g__unclassified_p__Firmicutes</v>
          </cell>
          <cell r="I17716" t="str">
            <v>s__unclassified_p__Firmicutes</v>
          </cell>
        </row>
        <row r="17717">
          <cell r="G17717" t="str">
            <v>ASV23733</v>
          </cell>
          <cell r="H17717" t="str">
            <v>g__unclassified_c__Clostridia</v>
          </cell>
          <cell r="I17717" t="str">
            <v>s__unclassified_c__Clostridia</v>
          </cell>
        </row>
        <row r="17718">
          <cell r="G17718" t="str">
            <v>ASV12370</v>
          </cell>
          <cell r="H17718" t="str">
            <v>g__norank_f__Muribaculaceae</v>
          </cell>
          <cell r="I17718" t="str">
            <v>s__uncultured_bacterium_g__norank_f__Muribaculaceae</v>
          </cell>
        </row>
        <row r="17719">
          <cell r="G17719" t="str">
            <v>ASV13548</v>
          </cell>
          <cell r="H17719" t="str">
            <v>g__unclassified_o__Oscillospirales</v>
          </cell>
          <cell r="I17719" t="str">
            <v>s__unclassified_o__Oscillospirales</v>
          </cell>
        </row>
        <row r="17720">
          <cell r="G17720" t="str">
            <v>ASV12047</v>
          </cell>
          <cell r="H17720" t="str">
            <v>g__Sphaerochaeta</v>
          </cell>
          <cell r="I17720" t="str">
            <v>s__unclassified_g__Sphaerochaeta</v>
          </cell>
        </row>
        <row r="17721">
          <cell r="G17721" t="str">
            <v>ASV22687</v>
          </cell>
          <cell r="H17721" t="str">
            <v>g__unclassified_c__Clostridia</v>
          </cell>
          <cell r="I17721" t="str">
            <v>s__unclassified_c__Clostridia</v>
          </cell>
        </row>
        <row r="17722">
          <cell r="G17722" t="str">
            <v>ASV18258</v>
          </cell>
          <cell r="H17722" t="str">
            <v>g__Mailhella</v>
          </cell>
          <cell r="I17722" t="str">
            <v>s__Desulfovibrio_sp._Marseille-P3199</v>
          </cell>
        </row>
        <row r="17723">
          <cell r="G17723" t="str">
            <v>ASV13601</v>
          </cell>
          <cell r="H17723" t="str">
            <v>g__Peptococcus</v>
          </cell>
          <cell r="I17723" t="str">
            <v>s__uncultured_bacterium_g__Peptococcus</v>
          </cell>
        </row>
        <row r="17724">
          <cell r="G17724" t="str">
            <v>ASV16715</v>
          </cell>
          <cell r="H17724" t="str">
            <v>g__norank_f__Eubacterium_coprostanoligenes_group</v>
          </cell>
          <cell r="I17724" t="str">
            <v>s__uncultured_bacterium_g__norank_f__Eubacterium_coprostanoligenes_group</v>
          </cell>
        </row>
        <row r="17725">
          <cell r="G17725" t="str">
            <v>ASV10850</v>
          </cell>
          <cell r="H17725" t="str">
            <v>g__norank_f__Ruminococcaceae</v>
          </cell>
          <cell r="I17725" t="str">
            <v>s__uncultured_bacterium_g__norank_f__Ruminococcaceae</v>
          </cell>
        </row>
        <row r="17726">
          <cell r="G17726" t="str">
            <v>ASV6856</v>
          </cell>
          <cell r="H17726" t="str">
            <v>g__unclassified_f__Peptostreptococcaceae</v>
          </cell>
          <cell r="I17726" t="str">
            <v>s__unclassified_f__Peptostreptococcaceae</v>
          </cell>
        </row>
        <row r="17727">
          <cell r="G17727" t="str">
            <v>ASV6323</v>
          </cell>
          <cell r="H17727" t="str">
            <v>g__unclassified_c__Clostridia</v>
          </cell>
          <cell r="I17727" t="str">
            <v>s__unclassified_c__Clostridia</v>
          </cell>
        </row>
        <row r="17728">
          <cell r="G17728" t="str">
            <v>ASV21048</v>
          </cell>
          <cell r="H17728" t="str">
            <v>g__norank_f__norank_o__Clostridia_UCG-014</v>
          </cell>
          <cell r="I17728" t="str">
            <v>s__uncultured_bacterium_g__norank_f__norank_o__Clostridia_UCG-014</v>
          </cell>
        </row>
        <row r="17729">
          <cell r="G17729" t="str">
            <v>ASV24369</v>
          </cell>
          <cell r="H17729" t="str">
            <v>g__unclassified_f__Lachnospiraceae</v>
          </cell>
          <cell r="I17729" t="str">
            <v>s__unclassified_f__Lachnospiraceae</v>
          </cell>
        </row>
        <row r="17730">
          <cell r="G17730" t="str">
            <v>ASV21521</v>
          </cell>
          <cell r="H17730" t="str">
            <v>g__Escherichia-Shigella</v>
          </cell>
          <cell r="I17730" t="str">
            <v>s__unclassified_g__Escherichia-Shigella</v>
          </cell>
        </row>
        <row r="17731">
          <cell r="G17731" t="str">
            <v>ASV16085</v>
          </cell>
          <cell r="H17731" t="str">
            <v>g__unclassified_k__norank_d__Bacteria</v>
          </cell>
          <cell r="I17731" t="str">
            <v>s__unclassified_k__norank_d__Bacteria</v>
          </cell>
        </row>
        <row r="17732">
          <cell r="G17732" t="str">
            <v>ASV8043</v>
          </cell>
          <cell r="H17732" t="str">
            <v>g__Eubacterium_oxidoreducens_group</v>
          </cell>
          <cell r="I17732" t="str">
            <v>s__uncultured_bacterium_g__Eubacterium_oxidoreducens_group</v>
          </cell>
        </row>
        <row r="17733">
          <cell r="G17733" t="str">
            <v>ASV22637</v>
          </cell>
          <cell r="H17733" t="str">
            <v>g__unclassified_c__Clostridia</v>
          </cell>
          <cell r="I17733" t="str">
            <v>s__unclassified_c__Clostridia</v>
          </cell>
        </row>
        <row r="17734">
          <cell r="G17734" t="str">
            <v>ASV8190</v>
          </cell>
          <cell r="H17734" t="str">
            <v>g__Collinsella</v>
          </cell>
          <cell r="I17734" t="str">
            <v>s__unclassified_g__Collinsella</v>
          </cell>
        </row>
        <row r="17735">
          <cell r="G17735" t="str">
            <v>ASV1392</v>
          </cell>
          <cell r="H17735" t="str">
            <v>g__norank_f__Eubacterium_coprostanoligenes_group</v>
          </cell>
          <cell r="I17735" t="str">
            <v>s__unclassified_g__norank_f__Eubacterium_coprostanoligenes_group</v>
          </cell>
        </row>
        <row r="17736">
          <cell r="G17736" t="str">
            <v>ASV9811</v>
          </cell>
          <cell r="H17736" t="str">
            <v>g__unclassified_f__Lachnospiraceae</v>
          </cell>
          <cell r="I17736" t="str">
            <v>s__unclassified_f__Lachnospiraceae</v>
          </cell>
        </row>
        <row r="17737">
          <cell r="G17737" t="str">
            <v>ASV10224</v>
          </cell>
          <cell r="H17737" t="str">
            <v>g__Eubacterium_nodatum_group</v>
          </cell>
          <cell r="I17737" t="str">
            <v>s__Eubacterium_pyruvativorans</v>
          </cell>
        </row>
        <row r="17738">
          <cell r="G17738" t="str">
            <v>ASV22876</v>
          </cell>
          <cell r="H17738" t="str">
            <v>g__norank_f__Eubacterium_coprostanoligenes_group</v>
          </cell>
          <cell r="I17738" t="str">
            <v>s__uncultured_bacterium_g__norank_f__Eubacterium_coprostanoligenes_group</v>
          </cell>
        </row>
        <row r="17739">
          <cell r="G17739" t="str">
            <v>ASV14706</v>
          </cell>
          <cell r="H17739" t="str">
            <v>g__unclassified_o__Oscillospirales</v>
          </cell>
          <cell r="I17739" t="str">
            <v>s__unclassified_o__Oscillospirales</v>
          </cell>
        </row>
        <row r="17740">
          <cell r="G17740" t="str">
            <v>ASV8890</v>
          </cell>
          <cell r="H17740" t="str">
            <v>g__Prevotellaceae_UCG-003</v>
          </cell>
          <cell r="I17740" t="str">
            <v>s__unclassified_g__Prevotellaceae_UCG-003</v>
          </cell>
        </row>
        <row r="17741">
          <cell r="G17741" t="str">
            <v>ASV2419</v>
          </cell>
          <cell r="H17741" t="str">
            <v>g__Lactobacillus</v>
          </cell>
          <cell r="I17741" t="str">
            <v>s__unclassified_g__Lactobacillus</v>
          </cell>
        </row>
        <row r="17742">
          <cell r="G17742" t="str">
            <v>ASV8085</v>
          </cell>
          <cell r="H17742" t="str">
            <v>g__unclassified_c__Clostridia</v>
          </cell>
          <cell r="I17742" t="str">
            <v>s__unclassified_c__Clostridia</v>
          </cell>
        </row>
        <row r="17743">
          <cell r="G17743" t="str">
            <v>ASV17026</v>
          </cell>
          <cell r="H17743" t="str">
            <v>g__Alloprevotella</v>
          </cell>
          <cell r="I17743" t="str">
            <v>s__uncultured_bacterium_g__Alloprevotella</v>
          </cell>
        </row>
        <row r="17744">
          <cell r="G17744" t="str">
            <v>ASV6947</v>
          </cell>
          <cell r="H17744" t="str">
            <v>g__unclassified_c__Clostridia</v>
          </cell>
          <cell r="I17744" t="str">
            <v>s__unclassified_c__Clostridia</v>
          </cell>
        </row>
        <row r="17745">
          <cell r="G17745" t="str">
            <v>ASV6892</v>
          </cell>
          <cell r="H17745" t="str">
            <v>g__unclassified_p__Firmicutes</v>
          </cell>
          <cell r="I17745" t="str">
            <v>s__unclassified_p__Firmicutes</v>
          </cell>
        </row>
        <row r="17746">
          <cell r="G17746" t="str">
            <v>ASV1320</v>
          </cell>
          <cell r="H17746" t="str">
            <v>g__unclassified_c__Clostridia</v>
          </cell>
          <cell r="I17746" t="str">
            <v>s__unclassified_c__Clostridia</v>
          </cell>
        </row>
        <row r="17747">
          <cell r="G17747" t="str">
            <v>ASV18958</v>
          </cell>
          <cell r="H17747" t="str">
            <v>g__unclassified_k__norank_d__Bacteria</v>
          </cell>
          <cell r="I17747" t="str">
            <v>s__unclassified_k__norank_d__Bacteria</v>
          </cell>
        </row>
        <row r="17748">
          <cell r="G17748" t="str">
            <v>ASV8234</v>
          </cell>
          <cell r="H17748" t="str">
            <v>g__norank_f__UCG-011</v>
          </cell>
          <cell r="I17748" t="str">
            <v>s__uncultured_bacterium_g__norank_f__UCG-011</v>
          </cell>
        </row>
        <row r="17749">
          <cell r="G17749" t="str">
            <v>ASV18732</v>
          </cell>
          <cell r="H17749" t="str">
            <v>g__unclassified_f__Lachnospiraceae</v>
          </cell>
          <cell r="I17749" t="str">
            <v>s__unclassified_f__Lachnospiraceae</v>
          </cell>
        </row>
        <row r="17750">
          <cell r="G17750" t="str">
            <v>ASV1271</v>
          </cell>
          <cell r="H17750" t="str">
            <v>g__unclassified_p__Firmicutes</v>
          </cell>
          <cell r="I17750" t="str">
            <v>s__unclassified_p__Firmicutes</v>
          </cell>
        </row>
        <row r="17751">
          <cell r="G17751" t="str">
            <v>ASV15581</v>
          </cell>
          <cell r="H17751" t="str">
            <v>g__unclassified_o__Bacteroidales</v>
          </cell>
          <cell r="I17751" t="str">
            <v>s__unclassified_o__Bacteroidales</v>
          </cell>
        </row>
        <row r="17752">
          <cell r="G17752" t="str">
            <v>ASV2509</v>
          </cell>
          <cell r="H17752" t="str">
            <v>g__unclassified_o__Oscillospirales</v>
          </cell>
          <cell r="I17752" t="str">
            <v>s__unclassified_o__Oscillospirales</v>
          </cell>
        </row>
        <row r="17753">
          <cell r="G17753" t="str">
            <v>ASV22786</v>
          </cell>
          <cell r="H17753" t="str">
            <v>g__unclassified_o__Oscillospirales</v>
          </cell>
          <cell r="I17753" t="str">
            <v>s__unclassified_o__Oscillospirales</v>
          </cell>
        </row>
        <row r="17754">
          <cell r="G17754" t="str">
            <v>ASV6890</v>
          </cell>
          <cell r="H17754" t="str">
            <v>g__unclassified_p__Firmicutes</v>
          </cell>
          <cell r="I17754" t="str">
            <v>s__unclassified_p__Firmicutes</v>
          </cell>
        </row>
        <row r="17755">
          <cell r="G17755" t="str">
            <v>ASV17536</v>
          </cell>
          <cell r="H17755" t="str">
            <v>g__unclassified_k__norank_d__Bacteria</v>
          </cell>
          <cell r="I17755" t="str">
            <v>s__unclassified_k__norank_d__Bacteria</v>
          </cell>
        </row>
        <row r="17756">
          <cell r="G17756" t="str">
            <v>ASV4273</v>
          </cell>
          <cell r="H17756" t="str">
            <v>g__unclassified_c__Clostridia</v>
          </cell>
          <cell r="I17756" t="str">
            <v>s__unclassified_c__Clostridia</v>
          </cell>
        </row>
        <row r="17757">
          <cell r="G17757" t="str">
            <v>ASV16676</v>
          </cell>
          <cell r="H17757" t="str">
            <v>g__unclassified_f__Lachnospiraceae</v>
          </cell>
          <cell r="I17757" t="str">
            <v>s__unclassified_f__Lachnospiraceae</v>
          </cell>
        </row>
        <row r="17758">
          <cell r="G17758" t="str">
            <v>ASV22712</v>
          </cell>
          <cell r="H17758" t="str">
            <v>g__unclassified_o__Oscillospirales</v>
          </cell>
          <cell r="I17758" t="str">
            <v>s__unclassified_o__Oscillospirales</v>
          </cell>
        </row>
        <row r="17759">
          <cell r="G17759" t="str">
            <v>ASV14607</v>
          </cell>
          <cell r="H17759" t="str">
            <v>g__Lactobacillus</v>
          </cell>
          <cell r="I17759" t="str">
            <v>s__uncultured_bacterium_g__Lactobacillus</v>
          </cell>
        </row>
        <row r="17760">
          <cell r="G17760" t="str">
            <v>ASV5193</v>
          </cell>
          <cell r="H17760" t="str">
            <v>g__unclassified_f__Lachnospiraceae</v>
          </cell>
          <cell r="I17760" t="str">
            <v>s__unclassified_f__Lachnospiraceae</v>
          </cell>
        </row>
        <row r="17761">
          <cell r="G17761" t="str">
            <v>ASV22765</v>
          </cell>
          <cell r="H17761" t="str">
            <v>g__unclassified_f__Lachnospiraceae</v>
          </cell>
          <cell r="I17761" t="str">
            <v>s__unclassified_f__Lachnospiraceae</v>
          </cell>
        </row>
        <row r="17762">
          <cell r="G17762" t="str">
            <v>ASV12445</v>
          </cell>
          <cell r="H17762" t="str">
            <v>g__unclassified_f__Ruminococcaceae</v>
          </cell>
          <cell r="I17762" t="str">
            <v>s__unclassified_f__Ruminococcaceae</v>
          </cell>
        </row>
        <row r="17763">
          <cell r="G17763" t="str">
            <v>ASV20023</v>
          </cell>
          <cell r="H17763" t="str">
            <v>g__NK4A214_group</v>
          </cell>
          <cell r="I17763" t="str">
            <v>s__unclassified_g__NK4A214_group</v>
          </cell>
        </row>
        <row r="17764">
          <cell r="G17764" t="str">
            <v>ASV6260</v>
          </cell>
          <cell r="H17764" t="str">
            <v>g__Eubacterium_oxidoreducens_group</v>
          </cell>
          <cell r="I17764" t="str">
            <v>s__uncultured_bacterium_g__Eubacterium_oxidoreducens_group</v>
          </cell>
        </row>
        <row r="17765">
          <cell r="G17765" t="str">
            <v>ASV21353</v>
          </cell>
          <cell r="H17765" t="str">
            <v>g__Streptococcus</v>
          </cell>
          <cell r="I17765" t="str">
            <v>s__unclassified_g__Streptococcus</v>
          </cell>
        </row>
        <row r="17766">
          <cell r="G17766" t="str">
            <v>ASV1143</v>
          </cell>
          <cell r="H17766" t="str">
            <v>g__unclassified_f__Prevotellaceae</v>
          </cell>
          <cell r="I17766" t="str">
            <v>s__unclassified_f__Prevotellaceae</v>
          </cell>
        </row>
        <row r="17767">
          <cell r="G17767" t="str">
            <v>ASV12331</v>
          </cell>
          <cell r="H17767" t="str">
            <v>g__unclassified_f__Lachnospiraceae</v>
          </cell>
          <cell r="I17767" t="str">
            <v>s__unclassified_f__Lachnospiraceae</v>
          </cell>
        </row>
        <row r="17768">
          <cell r="G17768" t="str">
            <v>ASV13661</v>
          </cell>
          <cell r="H17768" t="str">
            <v>g__Bacillus</v>
          </cell>
          <cell r="I17768" t="str">
            <v>s__Lactobacillus_vaginalis_g__Bacillus</v>
          </cell>
        </row>
        <row r="17769">
          <cell r="G17769" t="str">
            <v>ASV12033</v>
          </cell>
          <cell r="H17769" t="str">
            <v>g__Bacteroides</v>
          </cell>
          <cell r="I17769" t="str">
            <v>s__unclassified_g__Bacteroides</v>
          </cell>
        </row>
        <row r="17770">
          <cell r="G17770" t="str">
            <v>ASV7999</v>
          </cell>
          <cell r="H17770" t="str">
            <v>g__Enterorhabdus</v>
          </cell>
          <cell r="I17770" t="str">
            <v>s__uncultured_bacterium_g__Enterorhabdus</v>
          </cell>
        </row>
        <row r="17771">
          <cell r="G17771" t="str">
            <v>ASV2610</v>
          </cell>
          <cell r="H17771" t="str">
            <v>g__unclassified_k__norank_d__Bacteria</v>
          </cell>
          <cell r="I17771" t="str">
            <v>s__unclassified_k__norank_d__Bacteria</v>
          </cell>
        </row>
        <row r="17772">
          <cell r="G17772" t="str">
            <v>ASV13087</v>
          </cell>
          <cell r="H17772" t="str">
            <v>g__unclassified_c__Clostridia</v>
          </cell>
          <cell r="I17772" t="str">
            <v>s__unclassified_c__Clostridia</v>
          </cell>
        </row>
        <row r="17773">
          <cell r="G17773" t="str">
            <v>ASV24370</v>
          </cell>
          <cell r="H17773" t="str">
            <v>g__unclassified_f__Lachnospiraceae</v>
          </cell>
          <cell r="I17773" t="str">
            <v>s__unclassified_f__Lachnospiraceae</v>
          </cell>
        </row>
        <row r="17774">
          <cell r="G17774" t="str">
            <v>ASV5380</v>
          </cell>
          <cell r="H17774" t="str">
            <v>g__Christensenellaceae_R-7_group</v>
          </cell>
          <cell r="I17774" t="str">
            <v>s__unclassified_g__Christensenellaceae_R-7_group</v>
          </cell>
        </row>
        <row r="17775">
          <cell r="G17775" t="str">
            <v>ASV9695</v>
          </cell>
          <cell r="H17775" t="str">
            <v>g__unclassified_f__Lachnospiraceae</v>
          </cell>
          <cell r="I17775" t="str">
            <v>s__unclassified_f__Lachnospiraceae</v>
          </cell>
        </row>
        <row r="17776">
          <cell r="G17776" t="str">
            <v>ASV23730</v>
          </cell>
          <cell r="H17776" t="str">
            <v>g__unclassified_o__Lactobacillales</v>
          </cell>
          <cell r="I17776" t="str">
            <v>s__unclassified_o__Lactobacillales</v>
          </cell>
        </row>
        <row r="17777">
          <cell r="G17777" t="str">
            <v>ASV1502</v>
          </cell>
          <cell r="H17777" t="str">
            <v>g__unclassified_p__Firmicutes</v>
          </cell>
          <cell r="I17777" t="str">
            <v>s__unclassified_p__Firmicutes</v>
          </cell>
        </row>
        <row r="17778">
          <cell r="G17778" t="str">
            <v>ASV4362</v>
          </cell>
          <cell r="H17778" t="str">
            <v>g__unclassified_c__Clostridia</v>
          </cell>
          <cell r="I17778" t="str">
            <v>s__unclassified_c__Clostridia</v>
          </cell>
        </row>
        <row r="17779">
          <cell r="G17779" t="str">
            <v>ASV17430</v>
          </cell>
          <cell r="H17779" t="str">
            <v>g__LD29</v>
          </cell>
          <cell r="I17779" t="str">
            <v>s__unclassified_g__LD29</v>
          </cell>
        </row>
        <row r="17780">
          <cell r="G17780" t="str">
            <v>ASV24306</v>
          </cell>
          <cell r="H17780" t="str">
            <v>g__unclassified_c__Bacilli</v>
          </cell>
          <cell r="I17780" t="str">
            <v>s__unclassified_c__Bacilli</v>
          </cell>
        </row>
        <row r="17781">
          <cell r="G17781" t="str">
            <v>ASV17249</v>
          </cell>
          <cell r="H17781" t="str">
            <v>g__unclassified_f__Peptostreptococcaceae</v>
          </cell>
          <cell r="I17781" t="str">
            <v>s__unclassified_f__Peptostreptococcaceae</v>
          </cell>
        </row>
        <row r="17782">
          <cell r="G17782" t="str">
            <v>ASV13843</v>
          </cell>
          <cell r="H17782" t="str">
            <v>g__unclassified_o__Lactobacillales</v>
          </cell>
          <cell r="I17782" t="str">
            <v>s__unclassified_o__Lactobacillales</v>
          </cell>
        </row>
        <row r="17783">
          <cell r="G17783" t="str">
            <v>ASV16748</v>
          </cell>
          <cell r="H17783" t="str">
            <v>g__Bacteroides</v>
          </cell>
          <cell r="I17783" t="str">
            <v>s__unclassified_g__Bacteroides</v>
          </cell>
        </row>
        <row r="17784">
          <cell r="G17784" t="str">
            <v>ASV6386</v>
          </cell>
          <cell r="H17784" t="str">
            <v>g__Escherichia-Shigella</v>
          </cell>
          <cell r="I17784" t="str">
            <v>s__unclassified_g__Escherichia-Shigella</v>
          </cell>
        </row>
        <row r="17785">
          <cell r="G17785" t="str">
            <v>ASV4209</v>
          </cell>
          <cell r="H17785" t="str">
            <v>g__unclassified_o__Oscillospirales</v>
          </cell>
          <cell r="I17785" t="str">
            <v>s__unclassified_o__Oscillospirales</v>
          </cell>
        </row>
        <row r="17786">
          <cell r="G17786" t="str">
            <v>ASV15668</v>
          </cell>
          <cell r="H17786" t="str">
            <v>g__unclassified_c__Clostridia</v>
          </cell>
          <cell r="I17786" t="str">
            <v>s__unclassified_c__Clostridia</v>
          </cell>
        </row>
        <row r="17787">
          <cell r="G17787" t="str">
            <v>ASV5388</v>
          </cell>
          <cell r="H17787" t="str">
            <v>g__norank_f__norank_o__Gastranaerophilales</v>
          </cell>
          <cell r="I17787" t="str">
            <v>s__unclassified_g__norank_f__norank_o__Gastranaerophilales</v>
          </cell>
        </row>
        <row r="17788">
          <cell r="G17788" t="str">
            <v>ASV19962</v>
          </cell>
          <cell r="H17788" t="str">
            <v>g__Succiniclasticum</v>
          </cell>
          <cell r="I17788" t="str">
            <v>s__uncultured_rumen_bacterium_4C28d-16</v>
          </cell>
        </row>
        <row r="17789">
          <cell r="G17789" t="str">
            <v>ASV5306</v>
          </cell>
          <cell r="H17789" t="str">
            <v>g__unclassified_o__Oscillospirales</v>
          </cell>
          <cell r="I17789" t="str">
            <v>s__unclassified_o__Oscillospirales</v>
          </cell>
        </row>
        <row r="17790">
          <cell r="G17790" t="str">
            <v>ASV13626</v>
          </cell>
          <cell r="H17790" t="str">
            <v>g__unclassified_f__Lachnospiraceae</v>
          </cell>
          <cell r="I17790" t="str">
            <v>s__unclassified_f__Lachnospiraceae</v>
          </cell>
        </row>
        <row r="17791">
          <cell r="G17791" t="str">
            <v>ASV18282</v>
          </cell>
          <cell r="H17791" t="str">
            <v>g__unclassified_k__norank_d__Bacteria</v>
          </cell>
          <cell r="I17791" t="str">
            <v>s__unclassified_k__norank_d__Bacteria</v>
          </cell>
        </row>
        <row r="17792">
          <cell r="G17792" t="str">
            <v>ASV10877</v>
          </cell>
          <cell r="H17792" t="str">
            <v>g__unclassified_f__Lachnospiraceae</v>
          </cell>
          <cell r="I17792" t="str">
            <v>s__unclassified_f__Lachnospiraceae</v>
          </cell>
        </row>
        <row r="17793">
          <cell r="G17793" t="str">
            <v>ASV8864</v>
          </cell>
          <cell r="H17793" t="str">
            <v>g__unclassified_k__norank_d__Bacteria</v>
          </cell>
          <cell r="I17793" t="str">
            <v>s__unclassified_k__norank_d__Bacteria</v>
          </cell>
        </row>
        <row r="17794">
          <cell r="G17794" t="str">
            <v>ASV3722</v>
          </cell>
          <cell r="H17794" t="str">
            <v>g__Neisseria</v>
          </cell>
          <cell r="I17794" t="str">
            <v>s__unclassified_g__Neisseria</v>
          </cell>
        </row>
        <row r="17795">
          <cell r="G17795" t="str">
            <v>ASV1429</v>
          </cell>
          <cell r="H17795" t="str">
            <v>g__unclassified_c__Clostridia</v>
          </cell>
          <cell r="I17795" t="str">
            <v>s__unclassified_c__Clostridia</v>
          </cell>
        </row>
        <row r="17796">
          <cell r="G17796" t="str">
            <v>ASV22880</v>
          </cell>
          <cell r="H17796" t="str">
            <v>g__unclassified_p__Firmicutes</v>
          </cell>
          <cell r="I17796" t="str">
            <v>s__unclassified_p__Firmicutes</v>
          </cell>
        </row>
        <row r="17797">
          <cell r="G17797" t="str">
            <v>ASV6974</v>
          </cell>
          <cell r="H17797" t="str">
            <v>g__Phascolarctobacterium</v>
          </cell>
          <cell r="I17797" t="str">
            <v>s__unclassified_g__Phascolarctobacterium</v>
          </cell>
        </row>
        <row r="17798">
          <cell r="G17798" t="str">
            <v>ASV1798</v>
          </cell>
          <cell r="H17798" t="str">
            <v>g__unclassified_o__Peptostreptococcales-Tissierellales</v>
          </cell>
          <cell r="I17798" t="str">
            <v>s__unclassified_o__Peptostreptococcales-Tissierellales</v>
          </cell>
        </row>
        <row r="17799">
          <cell r="G17799" t="str">
            <v>ASV21536</v>
          </cell>
          <cell r="H17799" t="str">
            <v>g__unclassified_f__Selenomonadaceae</v>
          </cell>
          <cell r="I17799" t="str">
            <v>s__unclassified_f__Selenomonadaceae</v>
          </cell>
        </row>
        <row r="17800">
          <cell r="G17800" t="str">
            <v>ASV12413</v>
          </cell>
          <cell r="H17800" t="str">
            <v>g__unclassified_f__Oscillospiraceae</v>
          </cell>
          <cell r="I17800" t="str">
            <v>s__unclassified_f__Oscillospiraceae</v>
          </cell>
        </row>
        <row r="17801">
          <cell r="G17801" t="str">
            <v>ASV18277</v>
          </cell>
          <cell r="H17801" t="str">
            <v>g__unclassified_f__Ruminococcaceae</v>
          </cell>
          <cell r="I17801" t="str">
            <v>s__unclassified_f__Ruminococcaceae</v>
          </cell>
        </row>
        <row r="17802">
          <cell r="G17802" t="str">
            <v>ASV6230</v>
          </cell>
          <cell r="H17802" t="str">
            <v>g__unclassified_f__Lachnospiraceae</v>
          </cell>
          <cell r="I17802" t="str">
            <v>s__unclassified_f__Lachnospiraceae</v>
          </cell>
        </row>
        <row r="17803">
          <cell r="G17803" t="str">
            <v>ASV10354</v>
          </cell>
          <cell r="H17803" t="str">
            <v>g__Fusobacterium</v>
          </cell>
          <cell r="I17803" t="str">
            <v>s__unclassified_g__Fusobacterium</v>
          </cell>
        </row>
        <row r="17804">
          <cell r="G17804" t="str">
            <v>ASV19921</v>
          </cell>
          <cell r="H17804" t="str">
            <v>g__unclassified_p__Firmicutes</v>
          </cell>
          <cell r="I17804" t="str">
            <v>s__unclassified_p__Firmicutes</v>
          </cell>
        </row>
        <row r="17805">
          <cell r="G17805" t="str">
            <v>ASV6914</v>
          </cell>
          <cell r="H17805" t="str">
            <v>g__unclassified_k__norank_d__Bacteria</v>
          </cell>
          <cell r="I17805" t="str">
            <v>s__unclassified_k__norank_d__Bacteria</v>
          </cell>
        </row>
        <row r="17806">
          <cell r="G17806" t="str">
            <v>ASV21328</v>
          </cell>
          <cell r="H17806" t="str">
            <v>g__unclassified_c__Clostridia</v>
          </cell>
          <cell r="I17806" t="str">
            <v>s__unclassified_c__Clostridia</v>
          </cell>
        </row>
        <row r="17807">
          <cell r="G17807" t="str">
            <v>ASV8101</v>
          </cell>
          <cell r="H17807" t="str">
            <v>g__unclassified_c__Clostridia</v>
          </cell>
          <cell r="I17807" t="str">
            <v>s__unclassified_c__Clostridia</v>
          </cell>
        </row>
        <row r="17808">
          <cell r="G17808" t="str">
            <v>ASV20182</v>
          </cell>
          <cell r="H17808" t="str">
            <v>g__Lactobacillus</v>
          </cell>
          <cell r="I17808" t="str">
            <v>s__unclassified_g__Lactobacillus</v>
          </cell>
        </row>
        <row r="17809">
          <cell r="G17809" t="str">
            <v>ASV5152</v>
          </cell>
          <cell r="H17809" t="str">
            <v>g__unclassified_k__norank_d__Bacteria</v>
          </cell>
          <cell r="I17809" t="str">
            <v>s__unclassified_k__norank_d__Bacteria</v>
          </cell>
        </row>
        <row r="17810">
          <cell r="G17810" t="str">
            <v>ASV18712</v>
          </cell>
          <cell r="H17810" t="str">
            <v>g__Anaerovibrio</v>
          </cell>
          <cell r="I17810" t="str">
            <v>s__unclassified_g__Anaerovibrio</v>
          </cell>
        </row>
        <row r="17811">
          <cell r="G17811" t="str">
            <v>ASV4383</v>
          </cell>
          <cell r="H17811" t="str">
            <v>g__Cloacibacillus</v>
          </cell>
          <cell r="I17811" t="str">
            <v>s__unclassified_g__Cloacibacillus</v>
          </cell>
        </row>
        <row r="17812">
          <cell r="G17812" t="str">
            <v>ASV19926</v>
          </cell>
          <cell r="H17812" t="str">
            <v>g__norank_f__Ruminococcaceae</v>
          </cell>
          <cell r="I17812" t="str">
            <v>s__unclassified_g__norank_f__Ruminococcaceae</v>
          </cell>
        </row>
        <row r="17813">
          <cell r="G17813" t="str">
            <v>ASV4323</v>
          </cell>
          <cell r="H17813" t="str">
            <v>g__Phascolarctobacterium</v>
          </cell>
          <cell r="I17813" t="str">
            <v>s__Ruminococcus_sp._N15.MGS-57_g__Phascolarctobacterium</v>
          </cell>
        </row>
        <row r="17814">
          <cell r="G17814" t="str">
            <v>ASV15594</v>
          </cell>
          <cell r="H17814" t="str">
            <v>g__norank_f__F082</v>
          </cell>
          <cell r="I17814" t="str">
            <v>s__uncultured_bacterium_g__norank_f__F082</v>
          </cell>
        </row>
        <row r="17815">
          <cell r="G17815" t="str">
            <v>ASV10243</v>
          </cell>
          <cell r="H17815" t="str">
            <v>g__Lactobacillus</v>
          </cell>
          <cell r="I17815" t="str">
            <v>s__Lactobacillus_sp._KLDS_1.0716</v>
          </cell>
        </row>
        <row r="17816">
          <cell r="G17816" t="str">
            <v>ASV13752</v>
          </cell>
          <cell r="H17816" t="str">
            <v>g__Lactobacillus</v>
          </cell>
          <cell r="I17816" t="str">
            <v>s__unclassified_g__Lactobacillus</v>
          </cell>
        </row>
        <row r="17817">
          <cell r="G17817" t="str">
            <v>ASV1471</v>
          </cell>
          <cell r="H17817" t="str">
            <v>g__Christensenellaceae_R-7_group</v>
          </cell>
          <cell r="I17817" t="str">
            <v>s__unclassified_g__Christensenellaceae_R-7_group</v>
          </cell>
        </row>
        <row r="17818">
          <cell r="G17818" t="str">
            <v>ASV4370</v>
          </cell>
          <cell r="H17818" t="str">
            <v>g__unclassified_f__Lachnospiraceae</v>
          </cell>
          <cell r="I17818" t="str">
            <v>s__unclassified_f__Lachnospiraceae</v>
          </cell>
        </row>
        <row r="17819">
          <cell r="G17819" t="str">
            <v>ASV15767</v>
          </cell>
          <cell r="H17819" t="str">
            <v>g__unclassified_c__Clostridia</v>
          </cell>
          <cell r="I17819" t="str">
            <v>s__unclassified_c__Clostridia</v>
          </cell>
        </row>
        <row r="17820">
          <cell r="G17820" t="str">
            <v>ASV16705</v>
          </cell>
          <cell r="H17820" t="str">
            <v>g__Christensenellaceae_R-7_group</v>
          </cell>
          <cell r="I17820" t="str">
            <v>s__unclassified_g__Christensenellaceae_R-7_group</v>
          </cell>
        </row>
        <row r="17821">
          <cell r="G17821" t="str">
            <v>ASV4257</v>
          </cell>
          <cell r="H17821" t="str">
            <v>g__Butyricimonas</v>
          </cell>
          <cell r="I17821" t="str">
            <v>s__unclassified_g__Butyricimonas</v>
          </cell>
        </row>
        <row r="17822">
          <cell r="G17822" t="str">
            <v>ASV3322</v>
          </cell>
          <cell r="H17822" t="str">
            <v>g__Allisonella</v>
          </cell>
          <cell r="I17822" t="str">
            <v>s__unclassified_g__Allisonella</v>
          </cell>
        </row>
        <row r="17823">
          <cell r="G17823" t="str">
            <v>ASV18465</v>
          </cell>
          <cell r="H17823" t="str">
            <v>g__Eubacterium_siraeum_group</v>
          </cell>
          <cell r="I17823" t="str">
            <v>s__uncultured_bacterium_g__Eubacterium_siraeum_group</v>
          </cell>
        </row>
        <row r="17824">
          <cell r="G17824" t="str">
            <v>ASV24311</v>
          </cell>
          <cell r="H17824" t="str">
            <v>g__Cloacibacillus</v>
          </cell>
          <cell r="I17824" t="str">
            <v>s__unclassified_g__Cloacibacillus</v>
          </cell>
        </row>
        <row r="17825">
          <cell r="G17825" t="str">
            <v>ASV5186</v>
          </cell>
          <cell r="H17825" t="str">
            <v>g__Rikenellaceae_RC9_gut_group</v>
          </cell>
          <cell r="I17825" t="str">
            <v>s__uncultured_bacterium_g__Rikenellaceae_RC9_gut_group</v>
          </cell>
        </row>
        <row r="17826">
          <cell r="G17826" t="str">
            <v>ASV22598</v>
          </cell>
          <cell r="H17826" t="str">
            <v>g__unclassified_c__Bacilli</v>
          </cell>
          <cell r="I17826" t="str">
            <v>s__unclassified_c__Bacilli</v>
          </cell>
        </row>
        <row r="17827">
          <cell r="G17827" t="str">
            <v>ASV3320</v>
          </cell>
          <cell r="H17827" t="str">
            <v>g__unclassified_f__Lachnospiraceae</v>
          </cell>
          <cell r="I17827" t="str">
            <v>s__unclassified_f__Lachnospiraceae</v>
          </cell>
        </row>
        <row r="17828">
          <cell r="G17828" t="str">
            <v>ASV15644</v>
          </cell>
          <cell r="H17828" t="str">
            <v>g__unclassified_f__Lachnospiraceae</v>
          </cell>
          <cell r="I17828" t="str">
            <v>s__unclassified_f__Lachnospiraceae</v>
          </cell>
        </row>
        <row r="17829">
          <cell r="G17829" t="str">
            <v>ASV10228</v>
          </cell>
          <cell r="H17829" t="str">
            <v>g__Escherichia-Shigella</v>
          </cell>
          <cell r="I17829" t="str">
            <v>s__unclassified_g__Escherichia-Shigella</v>
          </cell>
        </row>
        <row r="17830">
          <cell r="G17830" t="str">
            <v>ASV18679</v>
          </cell>
          <cell r="H17830" t="str">
            <v>g__unclassified_c__Bacilli</v>
          </cell>
          <cell r="I17830" t="str">
            <v>s__unclassified_c__Bacilli</v>
          </cell>
        </row>
        <row r="17831">
          <cell r="G17831" t="str">
            <v>ASV19980</v>
          </cell>
          <cell r="H17831" t="str">
            <v>g__unclassified_o__Oscillospirales</v>
          </cell>
          <cell r="I17831" t="str">
            <v>s__unclassified_o__Oscillospirales</v>
          </cell>
        </row>
        <row r="17832">
          <cell r="G17832" t="str">
            <v>ASV13119</v>
          </cell>
          <cell r="H17832" t="str">
            <v>g__unclassified_f__Lachnospiraceae</v>
          </cell>
          <cell r="I17832" t="str">
            <v>s__unclassified_f__Lachnospiraceae</v>
          </cell>
        </row>
        <row r="17833">
          <cell r="G17833" t="str">
            <v>ASV1091</v>
          </cell>
          <cell r="H17833" t="str">
            <v>g__norank_f__Bacteroidales_RF16_group</v>
          </cell>
          <cell r="I17833" t="str">
            <v>s__unclassified_g__norank_f__Bacteroidales_RF16_group</v>
          </cell>
        </row>
        <row r="17834">
          <cell r="G17834" t="str">
            <v>ASV20195</v>
          </cell>
          <cell r="H17834" t="str">
            <v>g__Lactobacillus</v>
          </cell>
          <cell r="I17834" t="str">
            <v>s__unclassified_g__Lactobacillus</v>
          </cell>
        </row>
        <row r="17835">
          <cell r="G17835" t="str">
            <v>ASV8052</v>
          </cell>
          <cell r="H17835" t="str">
            <v>g__unclassified_c__Clostridia</v>
          </cell>
          <cell r="I17835" t="str">
            <v>s__unclassified_c__Clostridia</v>
          </cell>
        </row>
        <row r="17836">
          <cell r="G17836" t="str">
            <v>ASV9097</v>
          </cell>
          <cell r="H17836" t="str">
            <v>g__Clostridium_sensu_stricto_1</v>
          </cell>
          <cell r="I17836" t="str">
            <v>s__unclassified_g__Clostridium_sensu_stricto_1</v>
          </cell>
        </row>
        <row r="17837">
          <cell r="G17837" t="str">
            <v>ASV21337</v>
          </cell>
          <cell r="H17837" t="str">
            <v>g__unclassified_f__Ruminococcaceae</v>
          </cell>
          <cell r="I17837" t="str">
            <v>s__unclassified_f__Ruminococcaceae</v>
          </cell>
        </row>
        <row r="17838">
          <cell r="G17838" t="str">
            <v>ASV19951</v>
          </cell>
          <cell r="H17838" t="str">
            <v>g__Lachnospiraceae_FCS020_group</v>
          </cell>
          <cell r="I17838" t="str">
            <v>s__unclassified_g__Lachnospiraceae_FCS020_group</v>
          </cell>
        </row>
        <row r="17839">
          <cell r="G17839" t="str">
            <v>ASV21670</v>
          </cell>
          <cell r="H17839" t="str">
            <v>g__Lactobacillus</v>
          </cell>
          <cell r="I17839" t="str">
            <v>s__unclassified_g__Lactobacillus</v>
          </cell>
        </row>
        <row r="17840">
          <cell r="G17840" t="str">
            <v>ASV14731</v>
          </cell>
          <cell r="H17840" t="str">
            <v>g__unclassified_c__Clostridia</v>
          </cell>
          <cell r="I17840" t="str">
            <v>s__unclassified_c__Clostridia</v>
          </cell>
        </row>
        <row r="17841">
          <cell r="G17841" t="str">
            <v>ASV6270</v>
          </cell>
          <cell r="H17841" t="str">
            <v>g__Bacteroides</v>
          </cell>
          <cell r="I17841" t="str">
            <v>s__unclassified_g__Bacteroides</v>
          </cell>
        </row>
        <row r="17842">
          <cell r="G17842" t="str">
            <v>ASV14869</v>
          </cell>
          <cell r="H17842" t="str">
            <v>g__unclassified_c__Clostridia</v>
          </cell>
          <cell r="I17842" t="str">
            <v>s__unclassified_c__Clostridia</v>
          </cell>
        </row>
        <row r="17843">
          <cell r="G17843" t="str">
            <v>ASV17335</v>
          </cell>
          <cell r="H17843" t="str">
            <v>g__Bifidobacterium</v>
          </cell>
          <cell r="I17843" t="str">
            <v>s__unclassified_g__Bifidobacterium</v>
          </cell>
        </row>
        <row r="17844">
          <cell r="G17844" t="str">
            <v>ASV14609</v>
          </cell>
          <cell r="H17844" t="str">
            <v>g__Alloprevotella</v>
          </cell>
          <cell r="I17844" t="str">
            <v>s__uncultured_bacterium_g__Alloprevotella</v>
          </cell>
        </row>
        <row r="17845">
          <cell r="G17845" t="str">
            <v>ASV20003</v>
          </cell>
          <cell r="H17845" t="str">
            <v>g__Enterococcus</v>
          </cell>
          <cell r="I17845" t="str">
            <v>s__unclassified_g__Enterococcus</v>
          </cell>
        </row>
        <row r="17846">
          <cell r="G17846" t="str">
            <v>ASV9838</v>
          </cell>
          <cell r="H17846" t="str">
            <v>g__unclassified_f__Oscillospiraceae</v>
          </cell>
          <cell r="I17846" t="str">
            <v>s__unclassified_f__Oscillospiraceae</v>
          </cell>
        </row>
        <row r="17847">
          <cell r="G17847" t="str">
            <v>ASV12379</v>
          </cell>
          <cell r="H17847" t="str">
            <v>g__unclassified_f__Lachnospiraceae</v>
          </cell>
          <cell r="I17847" t="str">
            <v>s__unclassified_f__Lachnospiraceae</v>
          </cell>
        </row>
        <row r="17848">
          <cell r="G17848" t="str">
            <v>ASV3302</v>
          </cell>
          <cell r="H17848" t="str">
            <v>g__Butyricicoccus</v>
          </cell>
          <cell r="I17848" t="str">
            <v>s__unclassified_g__Butyricicoccus</v>
          </cell>
        </row>
        <row r="17849">
          <cell r="G17849" t="str">
            <v>ASV19924</v>
          </cell>
          <cell r="H17849" t="str">
            <v>g__norank_f__Erysipelotrichaceae</v>
          </cell>
          <cell r="I17849" t="str">
            <v>s__uncultured_bacterium_g__norank_f__Erysipelotrichaceae</v>
          </cell>
        </row>
        <row r="17850">
          <cell r="G17850" t="str">
            <v>ASV21033</v>
          </cell>
          <cell r="H17850" t="str">
            <v>g__unclassified_c__Clostridia</v>
          </cell>
          <cell r="I17850" t="str">
            <v>s__unclassified_c__Clostridia</v>
          </cell>
        </row>
        <row r="17851">
          <cell r="G17851" t="str">
            <v>ASV13594</v>
          </cell>
          <cell r="H17851" t="str">
            <v>g__unclassified_c__Clostridia</v>
          </cell>
          <cell r="I17851" t="str">
            <v>s__unclassified_c__Clostridia</v>
          </cell>
        </row>
        <row r="17852">
          <cell r="G17852" t="str">
            <v>ASV13008</v>
          </cell>
          <cell r="H17852" t="str">
            <v>g__unclassified_p__Firmicutes</v>
          </cell>
          <cell r="I17852" t="str">
            <v>s__unclassified_p__Firmicutes</v>
          </cell>
        </row>
        <row r="17853">
          <cell r="G17853" t="str">
            <v>ASV12270</v>
          </cell>
          <cell r="H17853" t="str">
            <v>g__Rikenellaceae_RC9_gut_group</v>
          </cell>
          <cell r="I17853" t="str">
            <v>s__uncultured_bacterium_g__Rikenellaceae_RC9_gut_group</v>
          </cell>
        </row>
        <row r="17854">
          <cell r="G17854" t="str">
            <v>ASV6300</v>
          </cell>
          <cell r="H17854" t="str">
            <v>g__unclassified_f__Lachnospiraceae</v>
          </cell>
          <cell r="I17854" t="str">
            <v>s__unclassified_f__Lachnospiraceae</v>
          </cell>
        </row>
        <row r="17855">
          <cell r="G17855" t="str">
            <v>ASV5260</v>
          </cell>
          <cell r="H17855" t="str">
            <v>g__Enterococcus</v>
          </cell>
          <cell r="I17855" t="str">
            <v>s__unclassified_g__Enterococcus</v>
          </cell>
        </row>
        <row r="17856">
          <cell r="G17856" t="str">
            <v>ASV1176</v>
          </cell>
          <cell r="H17856" t="str">
            <v>g__unclassified_k__norank_d__Bacteria</v>
          </cell>
          <cell r="I17856" t="str">
            <v>s__unclassified_k__norank_d__Bacteria</v>
          </cell>
        </row>
        <row r="17857">
          <cell r="G17857" t="str">
            <v>ASV6854</v>
          </cell>
          <cell r="H17857" t="str">
            <v>g__unclassified_k__norank_d__Bacteria</v>
          </cell>
          <cell r="I17857" t="str">
            <v>s__unclassified_k__norank_d__Bacteria</v>
          </cell>
        </row>
        <row r="17858">
          <cell r="G17858" t="str">
            <v>ASV23600</v>
          </cell>
          <cell r="H17858" t="str">
            <v>g__unclassified_f__Erysipelatoclostridiaceae</v>
          </cell>
          <cell r="I17858" t="str">
            <v>s__unclassified_f__Erysipelatoclostridiaceae</v>
          </cell>
        </row>
        <row r="17859">
          <cell r="G17859" t="str">
            <v>ASV14755</v>
          </cell>
          <cell r="H17859" t="str">
            <v>g__CAG-873</v>
          </cell>
          <cell r="I17859" t="str">
            <v>s__Bacteroidales_bacterium_H4</v>
          </cell>
        </row>
        <row r="17860">
          <cell r="G17860" t="str">
            <v>ASV9899</v>
          </cell>
          <cell r="H17860" t="str">
            <v>g__Alloprevotella</v>
          </cell>
          <cell r="I17860" t="str">
            <v>s__unclassified_g__Alloprevotella</v>
          </cell>
        </row>
        <row r="17861">
          <cell r="G17861" t="str">
            <v>ASV17254</v>
          </cell>
          <cell r="H17861" t="str">
            <v>g__unclassified_f__Veillonellaceae</v>
          </cell>
          <cell r="I17861" t="str">
            <v>s__unclassified_f__Veillonellaceae</v>
          </cell>
        </row>
        <row r="17862">
          <cell r="G17862" t="str">
            <v>ASV6959</v>
          </cell>
          <cell r="H17862" t="str">
            <v>g__unclassified_c__Clostridia</v>
          </cell>
          <cell r="I17862" t="str">
            <v>s__unclassified_c__Clostridia</v>
          </cell>
        </row>
        <row r="17863">
          <cell r="G17863" t="str">
            <v>ASV3048</v>
          </cell>
          <cell r="H17863" t="str">
            <v>g__norank_f__Muribaculaceae</v>
          </cell>
          <cell r="I17863" t="str">
            <v>s__uncultured_bacterium_g__norank_f__Muribaculaceae</v>
          </cell>
        </row>
        <row r="17864">
          <cell r="G17864" t="str">
            <v>ASV9732</v>
          </cell>
          <cell r="H17864" t="str">
            <v>g__Christensenellaceae_R-7_group</v>
          </cell>
          <cell r="I17864" t="str">
            <v>s__unclassified_g__Christensenellaceae_R-7_group</v>
          </cell>
        </row>
        <row r="17865">
          <cell r="G17865" t="str">
            <v>ASV20074</v>
          </cell>
          <cell r="H17865" t="str">
            <v>g__unclassified_f__Lachnospiraceae</v>
          </cell>
          <cell r="I17865" t="str">
            <v>s__unclassified_f__Lachnospiraceae</v>
          </cell>
        </row>
        <row r="17866">
          <cell r="G17866" t="str">
            <v>ASV8857</v>
          </cell>
          <cell r="H17866" t="str">
            <v>g__Rikenellaceae_RC9_gut_group</v>
          </cell>
          <cell r="I17866" t="str">
            <v>s__unclassified_g__Rikenellaceae_RC9_gut_group</v>
          </cell>
        </row>
        <row r="17867">
          <cell r="G17867" t="str">
            <v>ASV19979</v>
          </cell>
          <cell r="H17867" t="str">
            <v>g__unclassified_k__norank_d__Bacteria</v>
          </cell>
          <cell r="I17867" t="str">
            <v>s__unclassified_k__norank_d__Bacteria</v>
          </cell>
        </row>
        <row r="17868">
          <cell r="G17868" t="str">
            <v>ASV16637</v>
          </cell>
          <cell r="H17868" t="str">
            <v>g__Campylobacter</v>
          </cell>
          <cell r="I17868" t="str">
            <v>s__unclassified_g__Campylobacter</v>
          </cell>
        </row>
        <row r="17869">
          <cell r="G17869" t="str">
            <v>ASV22802</v>
          </cell>
          <cell r="H17869" t="str">
            <v>g__unclassified_f__Lachnospiraceae</v>
          </cell>
          <cell r="I17869" t="str">
            <v>s__unclassified_f__Lachnospiraceae</v>
          </cell>
        </row>
        <row r="17870">
          <cell r="G17870" t="str">
            <v>ASV8229</v>
          </cell>
          <cell r="H17870" t="str">
            <v>g__unclassified_p__Firmicutes</v>
          </cell>
          <cell r="I17870" t="str">
            <v>s__unclassified_p__Firmicutes</v>
          </cell>
        </row>
        <row r="17871">
          <cell r="G17871" t="str">
            <v>ASV18390</v>
          </cell>
          <cell r="H17871" t="str">
            <v>g__Mailhella</v>
          </cell>
          <cell r="I17871" t="str">
            <v>s__unclassified_g__Mailhella</v>
          </cell>
        </row>
        <row r="17872">
          <cell r="G17872" t="str">
            <v>ASV10340</v>
          </cell>
          <cell r="H17872" t="str">
            <v>g__Prevotella</v>
          </cell>
          <cell r="I17872" t="str">
            <v>s__unclassified_g__Prevotella</v>
          </cell>
        </row>
        <row r="17873">
          <cell r="G17873" t="str">
            <v>ASV6223</v>
          </cell>
          <cell r="H17873" t="str">
            <v>g__CAG-873</v>
          </cell>
          <cell r="I17873" t="str">
            <v>s__Bacteroidales_bacterium_H4</v>
          </cell>
        </row>
        <row r="17874">
          <cell r="G17874" t="str">
            <v>ASV1769</v>
          </cell>
          <cell r="H17874" t="str">
            <v>g__unclassified_p__Firmicutes</v>
          </cell>
          <cell r="I17874" t="str">
            <v>s__unclassified_p__Firmicutes</v>
          </cell>
        </row>
        <row r="17875">
          <cell r="G17875" t="str">
            <v>ASV16701</v>
          </cell>
          <cell r="H17875" t="str">
            <v>g__UCG-004</v>
          </cell>
          <cell r="I17875" t="str">
            <v>s__uncultured_bacterium_g__UCG-004</v>
          </cell>
        </row>
        <row r="17876">
          <cell r="G17876" t="str">
            <v>ASV22935</v>
          </cell>
          <cell r="H17876" t="str">
            <v>g__Atopobium</v>
          </cell>
          <cell r="I17876" t="str">
            <v>s__Atopobium_deltae</v>
          </cell>
        </row>
        <row r="17877">
          <cell r="G17877" t="str">
            <v>ASV12335</v>
          </cell>
          <cell r="H17877" t="str">
            <v>g__unclassified_f__Lachnospiraceae</v>
          </cell>
          <cell r="I17877" t="str">
            <v>s__unclassified_f__Lachnospiraceae</v>
          </cell>
        </row>
        <row r="17878">
          <cell r="G17878" t="str">
            <v>ASV16192</v>
          </cell>
          <cell r="H17878" t="str">
            <v>g__Acidaminococcus</v>
          </cell>
          <cell r="I17878" t="str">
            <v>s__unclassified_g__Acidaminococcus</v>
          </cell>
        </row>
        <row r="17879">
          <cell r="G17879" t="str">
            <v>ASV18682</v>
          </cell>
          <cell r="H17879" t="str">
            <v>g__Cloacibacillus</v>
          </cell>
          <cell r="I17879" t="str">
            <v>s__unclassified_g__Cloacibacillus</v>
          </cell>
        </row>
        <row r="17880">
          <cell r="G17880" t="str">
            <v>ASV8019</v>
          </cell>
          <cell r="H17880" t="str">
            <v>g__Holdemanella</v>
          </cell>
          <cell r="I17880" t="str">
            <v>s__unclassified_g__Holdemanella</v>
          </cell>
        </row>
        <row r="17881">
          <cell r="G17881" t="str">
            <v>ASV1165</v>
          </cell>
          <cell r="H17881" t="str">
            <v>g__unclassified_c__Clostridia</v>
          </cell>
          <cell r="I17881" t="str">
            <v>s__unclassified_c__Clostridia</v>
          </cell>
        </row>
        <row r="17882">
          <cell r="G17882" t="str">
            <v>ASV1799</v>
          </cell>
          <cell r="H17882" t="str">
            <v>g__unclassified_c__Bacilli</v>
          </cell>
          <cell r="I17882" t="str">
            <v>s__unclassified_c__Bacilli</v>
          </cell>
        </row>
        <row r="17883">
          <cell r="G17883" t="str">
            <v>ASV17253</v>
          </cell>
          <cell r="H17883" t="str">
            <v>g__Lachnospiraceae_UCG-001</v>
          </cell>
          <cell r="I17883" t="str">
            <v>s__Lachnospiraceae_bacterium_TF01-11</v>
          </cell>
        </row>
        <row r="17884">
          <cell r="G17884" t="str">
            <v>ASV8001</v>
          </cell>
          <cell r="H17884" t="str">
            <v>g__Anaerococcus</v>
          </cell>
          <cell r="I17884" t="str">
            <v>s__unclassified_g__Anaerococcus</v>
          </cell>
        </row>
        <row r="17885">
          <cell r="G17885" t="str">
            <v>ASV10974</v>
          </cell>
          <cell r="H17885" t="str">
            <v>g__unclassified_c__Clostridia</v>
          </cell>
          <cell r="I17885" t="str">
            <v>s__unclassified_c__Clostridia</v>
          </cell>
        </row>
        <row r="17886">
          <cell r="G17886" t="str">
            <v>ASV20055</v>
          </cell>
          <cell r="H17886" t="str">
            <v>g__unclassified_f__Peptostreptococcaceae</v>
          </cell>
          <cell r="I17886" t="str">
            <v>s__unclassified_f__Peptostreptococcaceae</v>
          </cell>
        </row>
        <row r="17887">
          <cell r="G17887" t="str">
            <v>ASV12990</v>
          </cell>
          <cell r="H17887" t="str">
            <v>g__Succinivibrio</v>
          </cell>
          <cell r="I17887" t="str">
            <v>s__uncultured_Succinivibrio_sp.</v>
          </cell>
        </row>
        <row r="17888">
          <cell r="G17888" t="str">
            <v>ASV20992</v>
          </cell>
          <cell r="H17888" t="str">
            <v>g__unclassified_f__Lachnospiraceae</v>
          </cell>
          <cell r="I17888" t="str">
            <v>s__unclassified_f__Lachnospiraceae</v>
          </cell>
        </row>
        <row r="17889">
          <cell r="G17889" t="str">
            <v>ASV20116</v>
          </cell>
          <cell r="H17889" t="str">
            <v>g__unclassified_o__Oscillospirales</v>
          </cell>
          <cell r="I17889" t="str">
            <v>s__unclassified_o__Oscillospirales</v>
          </cell>
        </row>
        <row r="17890">
          <cell r="G17890" t="str">
            <v>ASV19930</v>
          </cell>
          <cell r="H17890" t="str">
            <v>g__unclassified_p__Firmicutes</v>
          </cell>
          <cell r="I17890" t="str">
            <v>s__unclassified_p__Firmicutes</v>
          </cell>
        </row>
        <row r="17891">
          <cell r="G17891" t="str">
            <v>ASV12108</v>
          </cell>
          <cell r="H17891" t="str">
            <v>g__unclassified_f__Lachnospiraceae</v>
          </cell>
          <cell r="I17891" t="str">
            <v>s__unclassified_f__Lachnospiraceae</v>
          </cell>
        </row>
        <row r="17892">
          <cell r="G17892" t="str">
            <v>ASV9627</v>
          </cell>
          <cell r="H17892" t="str">
            <v>g__unclassified_p__Firmicutes</v>
          </cell>
          <cell r="I17892" t="str">
            <v>s__unclassified_p__Firmicutes</v>
          </cell>
        </row>
        <row r="17893">
          <cell r="G17893" t="str">
            <v>ASV14819</v>
          </cell>
          <cell r="H17893" t="str">
            <v>g__unclassified_f__Lachnospiraceae</v>
          </cell>
          <cell r="I17893" t="str">
            <v>s__unclassified_f__Lachnospiraceae</v>
          </cell>
        </row>
        <row r="17894">
          <cell r="G17894" t="str">
            <v>ASV22713</v>
          </cell>
          <cell r="H17894" t="str">
            <v>g__unclassified_f__Lachnospiraceae</v>
          </cell>
          <cell r="I17894" t="str">
            <v>s__unclassified_f__Lachnospiraceae</v>
          </cell>
        </row>
        <row r="17895">
          <cell r="G17895" t="str">
            <v>ASV12995</v>
          </cell>
          <cell r="H17895" t="str">
            <v>g__unclassified_f__Lachnospiraceae</v>
          </cell>
          <cell r="I17895" t="str">
            <v>s__unclassified_f__Lachnospiraceae</v>
          </cell>
        </row>
        <row r="17896">
          <cell r="G17896" t="str">
            <v>ASV16714</v>
          </cell>
          <cell r="H17896" t="str">
            <v>g__norank_f__Oscillospiraceae</v>
          </cell>
          <cell r="I17896" t="str">
            <v>s__unclassified_g__norank_f__Oscillospiraceae</v>
          </cell>
        </row>
        <row r="17897">
          <cell r="G17897" t="str">
            <v>ASV2506</v>
          </cell>
          <cell r="H17897" t="str">
            <v>g__Eubacterium_eligens_group</v>
          </cell>
          <cell r="I17897" t="str">
            <v>s__unclassified_g__Eubacterium_eligens_group</v>
          </cell>
        </row>
        <row r="17898">
          <cell r="G17898" t="str">
            <v>ASV22645</v>
          </cell>
          <cell r="H17898" t="str">
            <v>g__unclassified_c__Bacilli</v>
          </cell>
          <cell r="I17898" t="str">
            <v>s__unclassified_c__Bacilli</v>
          </cell>
        </row>
        <row r="17899">
          <cell r="G17899" t="str">
            <v>ASV18667</v>
          </cell>
          <cell r="H17899" t="str">
            <v>g__Lachnospiraceae_UCG-004</v>
          </cell>
          <cell r="I17899" t="str">
            <v>s__uncultured_Lachnospiraceae_bacterium_g__Lachnospiraceae_UCG-004</v>
          </cell>
        </row>
        <row r="17900">
          <cell r="G17900" t="str">
            <v>ASV16727</v>
          </cell>
          <cell r="H17900" t="str">
            <v>g__Subdoligranulum</v>
          </cell>
          <cell r="I17900" t="str">
            <v>s__uncultured_bacterium_g__Subdoligranulum</v>
          </cell>
        </row>
        <row r="17901">
          <cell r="G17901" t="str">
            <v>ASV13744</v>
          </cell>
          <cell r="H17901" t="str">
            <v>g__unclassified_c__Bacilli</v>
          </cell>
          <cell r="I17901" t="str">
            <v>s__unclassified_c__Bacilli</v>
          </cell>
        </row>
        <row r="17902">
          <cell r="G17902" t="str">
            <v>ASV15615</v>
          </cell>
          <cell r="H17902" t="str">
            <v>g__Eubacterium</v>
          </cell>
          <cell r="I17902" t="str">
            <v>s__unclassified_g__Eubacterium</v>
          </cell>
        </row>
        <row r="17903">
          <cell r="G17903" t="str">
            <v>ASV17007</v>
          </cell>
          <cell r="H17903" t="str">
            <v>g__Alloprevotella</v>
          </cell>
          <cell r="I17903" t="str">
            <v>s__uncultured_bacterium_g__Alloprevotella</v>
          </cell>
        </row>
        <row r="17904">
          <cell r="G17904" t="str">
            <v>ASV17258</v>
          </cell>
          <cell r="H17904" t="str">
            <v>g__unclassified_c__Clostridia</v>
          </cell>
          <cell r="I17904" t="str">
            <v>s__unclassified_c__Clostridia</v>
          </cell>
        </row>
        <row r="17905">
          <cell r="G17905" t="str">
            <v>ASV18965</v>
          </cell>
          <cell r="H17905" t="str">
            <v>g__Holdemanella</v>
          </cell>
          <cell r="I17905" t="str">
            <v>s__uncultured_bacterium_g__Holdemanella</v>
          </cell>
        </row>
        <row r="17906">
          <cell r="G17906" t="str">
            <v>ASV6313</v>
          </cell>
          <cell r="H17906" t="str">
            <v>g__Butyricicoccus</v>
          </cell>
          <cell r="I17906" t="str">
            <v>s__unclassified_g__Butyricicoccus</v>
          </cell>
        </row>
        <row r="17907">
          <cell r="G17907" t="str">
            <v>ASV23621</v>
          </cell>
          <cell r="H17907" t="str">
            <v>g__unclassified_f__Anaerovoracaceae</v>
          </cell>
          <cell r="I17907" t="str">
            <v>s__unclassified_f__Anaerovoracaceae</v>
          </cell>
        </row>
        <row r="17908">
          <cell r="G17908" t="str">
            <v>ASV6271</v>
          </cell>
          <cell r="H17908" t="str">
            <v>g__Enterococcus</v>
          </cell>
          <cell r="I17908" t="str">
            <v>s__unclassified_g__Enterococcus</v>
          </cell>
        </row>
        <row r="17909">
          <cell r="G17909" t="str">
            <v>ASV14601</v>
          </cell>
          <cell r="H17909" t="str">
            <v>g__norank_f__Ruminococcaceae</v>
          </cell>
          <cell r="I17909" t="str">
            <v>s__unclassified_g__norank_f__Ruminococcaceae</v>
          </cell>
        </row>
        <row r="17910">
          <cell r="G17910" t="str">
            <v>ASV6433</v>
          </cell>
          <cell r="H17910" t="str">
            <v>g__unclassified_c__Clostridia</v>
          </cell>
          <cell r="I17910" t="str">
            <v>s__unclassified_c__Clostridia</v>
          </cell>
        </row>
        <row r="17911">
          <cell r="G17911" t="str">
            <v>ASV5430</v>
          </cell>
          <cell r="H17911" t="str">
            <v>g__Enterococcus</v>
          </cell>
          <cell r="I17911" t="str">
            <v>s__unclassified_g__Enterococcus</v>
          </cell>
        </row>
        <row r="17912">
          <cell r="G17912" t="str">
            <v>ASV8078</v>
          </cell>
          <cell r="H17912" t="str">
            <v>g__unclassified_f__Lachnospiraceae</v>
          </cell>
          <cell r="I17912" t="str">
            <v>s__unclassified_f__Lachnospiraceae</v>
          </cell>
        </row>
        <row r="17913">
          <cell r="G17913" t="str">
            <v>ASV16160</v>
          </cell>
          <cell r="H17913" t="str">
            <v>g__Eubacterium_oxidoreducens_group</v>
          </cell>
          <cell r="I17913" t="str">
            <v>s__uncultured_bacterium_g__Eubacterium_oxidoreducens_group</v>
          </cell>
        </row>
        <row r="17914">
          <cell r="G17914" t="str">
            <v>ASV2471</v>
          </cell>
          <cell r="H17914" t="str">
            <v>g__norank_f__Eubacterium_coprostanoligenes_group</v>
          </cell>
          <cell r="I17914" t="str">
            <v>s__unclassified_g__norank_f__Eubacterium_coprostanoligenes_group</v>
          </cell>
        </row>
        <row r="17915">
          <cell r="G17915" t="str">
            <v>ASV9805</v>
          </cell>
          <cell r="H17915" t="str">
            <v>g__unclassified_c__Clostridia</v>
          </cell>
          <cell r="I17915" t="str">
            <v>s__unclassified_c__Clostridia</v>
          </cell>
        </row>
        <row r="17916">
          <cell r="G17916" t="str">
            <v>ASV18396</v>
          </cell>
          <cell r="H17916" t="str">
            <v>g__Phascolarctobacterium</v>
          </cell>
          <cell r="I17916" t="str">
            <v>s__Ruminococcus_sp._N15.MGS-57_g__Phascolarctobacterium</v>
          </cell>
        </row>
        <row r="17917">
          <cell r="G17917" t="str">
            <v>ASV12149</v>
          </cell>
          <cell r="H17917" t="str">
            <v>g__unclassified_p__Firmicutes</v>
          </cell>
          <cell r="I17917" t="str">
            <v>s__unclassified_p__Firmicutes</v>
          </cell>
        </row>
        <row r="17918">
          <cell r="G17918" t="str">
            <v>ASV21508</v>
          </cell>
          <cell r="H17918" t="str">
            <v>g__unclassified_o__Bacteroidales</v>
          </cell>
          <cell r="I17918" t="str">
            <v>s__unclassified_o__Bacteroidales</v>
          </cell>
        </row>
        <row r="17919">
          <cell r="G17919" t="str">
            <v>ASV2516</v>
          </cell>
          <cell r="H17919" t="str">
            <v>g__unclassified_f__Clostridiaceae</v>
          </cell>
          <cell r="I17919" t="str">
            <v>s__unclassified_f__Clostridiaceae</v>
          </cell>
        </row>
        <row r="17920">
          <cell r="G17920" t="str">
            <v>ASV21758</v>
          </cell>
          <cell r="H17920" t="str">
            <v>g__Propioniciclava</v>
          </cell>
          <cell r="I17920" t="str">
            <v>s__uncultured_bacterium_g__Propioniciclava</v>
          </cell>
        </row>
        <row r="17921">
          <cell r="G17921" t="str">
            <v>ASV14831</v>
          </cell>
          <cell r="H17921" t="str">
            <v>g__unclassified_f__Lachnospiraceae</v>
          </cell>
          <cell r="I17921" t="str">
            <v>s__unclassified_f__Lachnospiraceae</v>
          </cell>
        </row>
        <row r="17922">
          <cell r="G17922" t="str">
            <v>ASV17013</v>
          </cell>
          <cell r="H17922" t="str">
            <v>g__Prevotellaceae_UCG-001</v>
          </cell>
          <cell r="I17922" t="str">
            <v>s__uncultured_bacterium_g__Prevotellaceae_UCG-001</v>
          </cell>
        </row>
        <row r="17923">
          <cell r="G17923" t="str">
            <v>ASV9117</v>
          </cell>
          <cell r="H17923" t="str">
            <v>g__Christensenellaceae_R-7_group</v>
          </cell>
          <cell r="I17923" t="str">
            <v>s__unclassified_g__Christensenellaceae_R-7_group</v>
          </cell>
        </row>
        <row r="17924">
          <cell r="G17924" t="str">
            <v>ASV9835</v>
          </cell>
          <cell r="H17924" t="str">
            <v>g__unclassified_o__Oscillospirales</v>
          </cell>
          <cell r="I17924" t="str">
            <v>s__unclassified_o__Oscillospirales</v>
          </cell>
        </row>
        <row r="17925">
          <cell r="G17925" t="str">
            <v>ASV13035</v>
          </cell>
          <cell r="H17925" t="str">
            <v>g__Eubacterium_oxidoreducens_group</v>
          </cell>
          <cell r="I17925" t="str">
            <v>s__uncultured_bacterium_g__Eubacterium_oxidoreducens_group</v>
          </cell>
        </row>
        <row r="17926">
          <cell r="G17926" t="str">
            <v>ASV20333</v>
          </cell>
          <cell r="H17926" t="str">
            <v>g__Lactobacillus</v>
          </cell>
          <cell r="I17926" t="str">
            <v>s__unclassified_g__Lactobacillus</v>
          </cell>
        </row>
        <row r="17927">
          <cell r="G17927" t="str">
            <v>ASV4302</v>
          </cell>
          <cell r="H17927" t="str">
            <v>g__Sharpea</v>
          </cell>
          <cell r="I17927" t="str">
            <v>s__unclassified_g__Sharpea</v>
          </cell>
        </row>
        <row r="17928">
          <cell r="G17928" t="str">
            <v>ASV22878</v>
          </cell>
          <cell r="H17928" t="str">
            <v>g__UCG-008</v>
          </cell>
          <cell r="I17928" t="str">
            <v>s__uncultured_bacterium_g__UCG-008</v>
          </cell>
        </row>
        <row r="17929">
          <cell r="G17929" t="str">
            <v>ASV18343</v>
          </cell>
          <cell r="H17929" t="str">
            <v>g__unclassified_p__Firmicutes</v>
          </cell>
          <cell r="I17929" t="str">
            <v>s__unclassified_p__Firmicutes</v>
          </cell>
        </row>
        <row r="17930">
          <cell r="G17930" t="str">
            <v>ASV9763</v>
          </cell>
          <cell r="H17930" t="str">
            <v>g__unclassified_c__Clostridia</v>
          </cell>
          <cell r="I17930" t="str">
            <v>s__unclassified_c__Clostridia</v>
          </cell>
        </row>
        <row r="17931">
          <cell r="G17931" t="str">
            <v>ASV12174</v>
          </cell>
          <cell r="H17931" t="str">
            <v>g__unclassified_c__Clostridia</v>
          </cell>
          <cell r="I17931" t="str">
            <v>s__unclassified_c__Clostridia</v>
          </cell>
        </row>
        <row r="17932">
          <cell r="G17932" t="str">
            <v>ASV2536</v>
          </cell>
          <cell r="H17932" t="str">
            <v>g__Lachnospiraceae_NC2004_group</v>
          </cell>
          <cell r="I17932" t="str">
            <v>s__uncultured_bacterium_g__Lachnospiraceae_NC2004_group</v>
          </cell>
        </row>
        <row r="17933">
          <cell r="G17933" t="str">
            <v>ASV18992</v>
          </cell>
          <cell r="H17933" t="str">
            <v>g__unclassified_f__Prevotellaceae</v>
          </cell>
          <cell r="I17933" t="str">
            <v>s__unclassified_f__Prevotellaceae</v>
          </cell>
        </row>
        <row r="17934">
          <cell r="G17934" t="str">
            <v>ASV7130</v>
          </cell>
          <cell r="H17934" t="str">
            <v>g__Bacillus</v>
          </cell>
          <cell r="I17934" t="str">
            <v>s__Lactobacillus_vaginalis_g__Bacillus</v>
          </cell>
        </row>
        <row r="17935">
          <cell r="G17935" t="str">
            <v>ASV22574</v>
          </cell>
          <cell r="H17935" t="str">
            <v>g__unclassified_f__Prevotellaceae</v>
          </cell>
          <cell r="I17935" t="str">
            <v>s__unclassified_f__Prevotellaceae</v>
          </cell>
        </row>
        <row r="17936">
          <cell r="G17936" t="str">
            <v>ASV14784</v>
          </cell>
          <cell r="H17936" t="str">
            <v>g__norank_f__Eubacterium_coprostanoligenes_group</v>
          </cell>
          <cell r="I17936" t="str">
            <v>s__uncultured_bacterium_g__norank_f__Eubacterium_coprostanoligenes_group</v>
          </cell>
        </row>
        <row r="17937">
          <cell r="G17937" t="str">
            <v>ASV13062</v>
          </cell>
          <cell r="H17937" t="str">
            <v>g__unclassified_p__Firmicutes</v>
          </cell>
          <cell r="I17937" t="str">
            <v>s__unclassified_p__Firmicutes</v>
          </cell>
        </row>
        <row r="17938">
          <cell r="G17938" t="str">
            <v>ASV18357</v>
          </cell>
          <cell r="H17938" t="str">
            <v>g__unclassified_f__Lachnospiraceae</v>
          </cell>
          <cell r="I17938" t="str">
            <v>s__unclassified_f__Lachnospiraceae</v>
          </cell>
        </row>
        <row r="17939">
          <cell r="G17939" t="str">
            <v>ASV13630</v>
          </cell>
          <cell r="H17939" t="str">
            <v>g__Enterococcus</v>
          </cell>
          <cell r="I17939" t="str">
            <v>s__unclassified_g__Enterococcus</v>
          </cell>
        </row>
        <row r="17940">
          <cell r="G17940" t="str">
            <v>ASV22623</v>
          </cell>
          <cell r="H17940" t="str">
            <v>g__unclassified_f__Lachnospiraceae</v>
          </cell>
          <cell r="I17940" t="str">
            <v>s__unclassified_f__Lachnospiraceae</v>
          </cell>
        </row>
        <row r="17941">
          <cell r="G17941" t="str">
            <v>ASV1784</v>
          </cell>
          <cell r="H17941" t="str">
            <v>g__unclassified_c__Clostridia</v>
          </cell>
          <cell r="I17941" t="str">
            <v>s__unclassified_c__Clostridia</v>
          </cell>
        </row>
        <row r="17942">
          <cell r="G17942" t="str">
            <v>ASV13157</v>
          </cell>
          <cell r="H17942" t="str">
            <v>g__unclassified_c__Clostridia</v>
          </cell>
          <cell r="I17942" t="str">
            <v>s__unclassified_c__Clostridia</v>
          </cell>
        </row>
        <row r="17943">
          <cell r="G17943" t="str">
            <v>ASV18954</v>
          </cell>
          <cell r="H17943" t="str">
            <v>g__unclassified_c__Clostridia</v>
          </cell>
          <cell r="I17943" t="str">
            <v>s__unclassified_c__Clostridia</v>
          </cell>
        </row>
        <row r="17944">
          <cell r="G17944" t="str">
            <v>ASV13859</v>
          </cell>
          <cell r="H17944" t="str">
            <v>g__Streptococcus</v>
          </cell>
          <cell r="I17944" t="str">
            <v>s__unclassified_g__Streptococcus</v>
          </cell>
        </row>
        <row r="17945">
          <cell r="G17945" t="str">
            <v>ASV8167</v>
          </cell>
          <cell r="H17945" t="str">
            <v>g__unclassified_f__Lachnospiraceae</v>
          </cell>
          <cell r="I17945" t="str">
            <v>s__unclassified_f__Lachnospiraceae</v>
          </cell>
        </row>
        <row r="17946">
          <cell r="G17946" t="str">
            <v>ASV10876</v>
          </cell>
          <cell r="H17946" t="str">
            <v>g__unclassified_o__Oscillospirales</v>
          </cell>
          <cell r="I17946" t="str">
            <v>s__unclassified_o__Oscillospirales</v>
          </cell>
        </row>
        <row r="17947">
          <cell r="G17947" t="str">
            <v>ASV21024</v>
          </cell>
          <cell r="H17947" t="str">
            <v>g__Lactobacillus</v>
          </cell>
          <cell r="I17947" t="str">
            <v>s__unclassified_g__Lactobacillus</v>
          </cell>
        </row>
        <row r="17948">
          <cell r="G17948" t="str">
            <v>ASV8191</v>
          </cell>
          <cell r="H17948" t="str">
            <v>g__unclassified_c__Clostridia</v>
          </cell>
          <cell r="I17948" t="str">
            <v>s__unclassified_c__Clostridia</v>
          </cell>
        </row>
        <row r="17949">
          <cell r="G17949" t="str">
            <v>ASV1149</v>
          </cell>
          <cell r="H17949" t="str">
            <v>g__unclassified_k__norank_d__Bacteria</v>
          </cell>
          <cell r="I17949" t="str">
            <v>s__unclassified_k__norank_d__Bacteria</v>
          </cell>
        </row>
        <row r="17950">
          <cell r="G17950" t="str">
            <v>ASV14908</v>
          </cell>
          <cell r="H17950" t="str">
            <v>g__unclassified_k__norank_d__Bacteria</v>
          </cell>
          <cell r="I17950" t="str">
            <v>s__unclassified_k__norank_d__Bacteria</v>
          </cell>
        </row>
        <row r="17951">
          <cell r="G17951" t="str">
            <v>ASV5190</v>
          </cell>
          <cell r="H17951" t="str">
            <v>g__unclassified_c__Clostridia</v>
          </cell>
          <cell r="I17951" t="str">
            <v>s__unclassified_c__Clostridia</v>
          </cell>
        </row>
        <row r="17952">
          <cell r="G17952" t="str">
            <v>ASV19947</v>
          </cell>
          <cell r="H17952" t="str">
            <v>g__Rikenellaceae_RC9_gut_group</v>
          </cell>
          <cell r="I17952" t="str">
            <v>s__unclassified_g__Rikenellaceae_RC9_gut_group</v>
          </cell>
        </row>
        <row r="17953">
          <cell r="G17953" t="str">
            <v>ASV9101</v>
          </cell>
          <cell r="H17953" t="str">
            <v>g__UCG-002</v>
          </cell>
          <cell r="I17953" t="str">
            <v>s__uncultured_bacterium_g__UCG-002</v>
          </cell>
        </row>
        <row r="17954">
          <cell r="G17954" t="str">
            <v>ASV7306</v>
          </cell>
          <cell r="H17954" t="str">
            <v>g__Alistipes</v>
          </cell>
          <cell r="I17954" t="str">
            <v>s__Alistipes_shahii</v>
          </cell>
        </row>
        <row r="17955">
          <cell r="G17955" t="str">
            <v>ASV21551</v>
          </cell>
          <cell r="H17955" t="str">
            <v>g__Mitsuokella</v>
          </cell>
          <cell r="I17955" t="str">
            <v>s__unclassified_g__Mitsuokella</v>
          </cell>
        </row>
        <row r="17956">
          <cell r="G17956" t="str">
            <v>ASV19009</v>
          </cell>
          <cell r="H17956" t="str">
            <v>g__unclassified_f__Lachnospiraceae</v>
          </cell>
          <cell r="I17956" t="str">
            <v>s__unclassified_f__Lachnospiraceae</v>
          </cell>
        </row>
        <row r="17957">
          <cell r="G17957" t="str">
            <v>ASV18309</v>
          </cell>
          <cell r="H17957" t="str">
            <v>g__unclassified_f__Ruminococcaceae</v>
          </cell>
          <cell r="I17957" t="str">
            <v>s__unclassified_f__Ruminococcaceae</v>
          </cell>
        </row>
        <row r="17958">
          <cell r="G17958" t="str">
            <v>ASV8557</v>
          </cell>
          <cell r="H17958" t="str">
            <v>g__unclassified_k__norank_d__Bacteria</v>
          </cell>
          <cell r="I17958" t="str">
            <v>s__unclassified_k__norank_d__Bacteria</v>
          </cell>
        </row>
        <row r="17959">
          <cell r="G17959" t="str">
            <v>ASV23585</v>
          </cell>
          <cell r="H17959" t="str">
            <v>g__unclassified_f__Lachnospiraceae</v>
          </cell>
          <cell r="I17959" t="str">
            <v>s__unclassified_f__Lachnospiraceae</v>
          </cell>
        </row>
        <row r="17960">
          <cell r="G17960" t="str">
            <v>ASV23697</v>
          </cell>
          <cell r="H17960" t="str">
            <v>g__unclassified_c__Clostridia</v>
          </cell>
          <cell r="I17960" t="str">
            <v>s__unclassified_c__Clostridia</v>
          </cell>
        </row>
        <row r="17961">
          <cell r="G17961" t="str">
            <v>ASV15648</v>
          </cell>
          <cell r="H17961" t="str">
            <v>g__unclassified_f__Lachnospiraceae</v>
          </cell>
          <cell r="I17961" t="str">
            <v>s__unclassified_f__Lachnospiraceae</v>
          </cell>
        </row>
        <row r="17962">
          <cell r="G17962" t="str">
            <v>ASV22520</v>
          </cell>
          <cell r="H17962" t="str">
            <v>g__unclassified_k__norank_d__Bacteria</v>
          </cell>
          <cell r="I17962" t="str">
            <v>s__unclassified_k__norank_d__Bacteria</v>
          </cell>
        </row>
        <row r="17963">
          <cell r="G17963" t="str">
            <v>ASV13549</v>
          </cell>
          <cell r="H17963" t="str">
            <v>g__unclassified_o__Oscillospirales</v>
          </cell>
          <cell r="I17963" t="str">
            <v>s__unclassified_o__Oscillospirales</v>
          </cell>
        </row>
        <row r="17964">
          <cell r="G17964" t="str">
            <v>ASV10889</v>
          </cell>
          <cell r="H17964" t="str">
            <v>g__Lactobacillus</v>
          </cell>
          <cell r="I17964" t="str">
            <v>s__unclassified_g__Lactobacillus</v>
          </cell>
        </row>
        <row r="17965">
          <cell r="G17965" t="str">
            <v>ASV21133</v>
          </cell>
          <cell r="H17965" t="str">
            <v>g__Christensenellaceae_R-7_group</v>
          </cell>
          <cell r="I17965" t="str">
            <v>s__unclassified_g__Christensenellaceae_R-7_group</v>
          </cell>
        </row>
        <row r="17966">
          <cell r="G17966" t="str">
            <v>ASV14787</v>
          </cell>
          <cell r="H17966" t="str">
            <v>g__CAG-873</v>
          </cell>
          <cell r="I17966" t="str">
            <v>s__Bacteroidales_bacterium_H4</v>
          </cell>
        </row>
        <row r="17967">
          <cell r="G17967" t="str">
            <v>ASV20043</v>
          </cell>
          <cell r="H17967" t="str">
            <v>g__Prevotella</v>
          </cell>
          <cell r="I17967" t="str">
            <v>s__unclassified_g__Prevotella</v>
          </cell>
        </row>
        <row r="17968">
          <cell r="G17968" t="str">
            <v>ASV16159</v>
          </cell>
          <cell r="H17968" t="str">
            <v>g__Fusobacterium</v>
          </cell>
          <cell r="I17968" t="str">
            <v>s__unclassified_g__Fusobacterium</v>
          </cell>
        </row>
        <row r="17969">
          <cell r="G17969" t="str">
            <v>ASV24042</v>
          </cell>
          <cell r="H17969" t="str">
            <v>g__Enterococcus</v>
          </cell>
          <cell r="I17969" t="str">
            <v>s__unclassified_g__Enterococcus</v>
          </cell>
        </row>
        <row r="17970">
          <cell r="G17970" t="str">
            <v>ASV6922</v>
          </cell>
          <cell r="H17970" t="str">
            <v>g__unclassified_k__norank_d__Bacteria</v>
          </cell>
          <cell r="I17970" t="str">
            <v>s__unclassified_k__norank_d__Bacteria</v>
          </cell>
        </row>
        <row r="17971">
          <cell r="G17971" t="str">
            <v>ASV7115</v>
          </cell>
          <cell r="H17971" t="str">
            <v>g__Faecalibacterium</v>
          </cell>
          <cell r="I17971" t="str">
            <v>s__uncultured_bacterium_g__Faecalibacterium</v>
          </cell>
        </row>
        <row r="17972">
          <cell r="G17972" t="str">
            <v>ASV14576</v>
          </cell>
          <cell r="H17972" t="str">
            <v>g__Alloprevotella</v>
          </cell>
          <cell r="I17972" t="str">
            <v>s__uncultured_bacterium_g__Alloprevotella</v>
          </cell>
        </row>
        <row r="17973">
          <cell r="G17973" t="str">
            <v>ASV2789</v>
          </cell>
          <cell r="H17973" t="str">
            <v>g__Christensenellaceae_R-7_group</v>
          </cell>
          <cell r="I17973" t="str">
            <v>s__unclassified_g__Christensenellaceae_R-7_group</v>
          </cell>
        </row>
        <row r="17974">
          <cell r="G17974" t="str">
            <v>ASV8127</v>
          </cell>
          <cell r="H17974" t="str">
            <v>g__norank_f__Peptococcaceae</v>
          </cell>
          <cell r="I17974" t="str">
            <v>s__uncultured_bacterium_g__norank_f__Peptococcaceae</v>
          </cell>
        </row>
        <row r="17975">
          <cell r="G17975" t="str">
            <v>ASV13652</v>
          </cell>
          <cell r="H17975" t="str">
            <v>g__unclassified_f__Lachnospiraceae</v>
          </cell>
          <cell r="I17975" t="str">
            <v>s__unclassified_f__Lachnospiraceae</v>
          </cell>
        </row>
        <row r="17976">
          <cell r="G17976" t="str">
            <v>ASV16635</v>
          </cell>
          <cell r="H17976" t="str">
            <v>g__norank_f__norank_o__RF39</v>
          </cell>
          <cell r="I17976" t="str">
            <v>s__uncultured_bacterium_g__norank_f__norank_o__RF39</v>
          </cell>
        </row>
        <row r="17977">
          <cell r="G17977" t="str">
            <v>ASV5264</v>
          </cell>
          <cell r="H17977" t="str">
            <v>g__unclassified_f__Lachnospiraceae</v>
          </cell>
          <cell r="I17977" t="str">
            <v>s__unclassified_f__Lachnospiraceae</v>
          </cell>
        </row>
        <row r="17978">
          <cell r="G17978" t="str">
            <v>ASV8888</v>
          </cell>
          <cell r="H17978" t="str">
            <v>g__Oscillibacter</v>
          </cell>
          <cell r="I17978" t="str">
            <v>s__unclassified_g__Oscillibacter</v>
          </cell>
        </row>
        <row r="17979">
          <cell r="G17979" t="str">
            <v>ASV7125</v>
          </cell>
          <cell r="H17979" t="str">
            <v>g__Klebsiella</v>
          </cell>
          <cell r="I17979" t="str">
            <v>s__unclassified_g__Klebsiella</v>
          </cell>
        </row>
        <row r="17980">
          <cell r="G17980" t="str">
            <v>ASV13179</v>
          </cell>
          <cell r="H17980" t="str">
            <v>g__Clostridium_sensu_stricto_1</v>
          </cell>
          <cell r="I17980" t="str">
            <v>s__uncultured_bacterium_g__Clostridium_sensu_stricto_1</v>
          </cell>
        </row>
        <row r="17981">
          <cell r="G17981" t="str">
            <v>ASV21122</v>
          </cell>
          <cell r="H17981" t="str">
            <v>g__unclassified_p__Firmicutes</v>
          </cell>
          <cell r="I17981" t="str">
            <v>s__unclassified_p__Firmicutes</v>
          </cell>
        </row>
        <row r="17982">
          <cell r="G17982" t="str">
            <v>ASV24039</v>
          </cell>
          <cell r="H17982" t="str">
            <v>g__Lactobacillus</v>
          </cell>
          <cell r="I17982" t="str">
            <v>s__unclassified_g__Lactobacillus</v>
          </cell>
        </row>
        <row r="17983">
          <cell r="G17983" t="str">
            <v>ASV8122</v>
          </cell>
          <cell r="H17983" t="str">
            <v>g__unclassified_c__Bacilli</v>
          </cell>
          <cell r="I17983" t="str">
            <v>s__unclassified_c__Bacilli</v>
          </cell>
        </row>
        <row r="17984">
          <cell r="G17984" t="str">
            <v>ASV5436</v>
          </cell>
          <cell r="H17984" t="str">
            <v>g__unclassified_f__Oscillospiraceae</v>
          </cell>
          <cell r="I17984" t="str">
            <v>s__unclassified_f__Oscillospiraceae</v>
          </cell>
        </row>
        <row r="17985">
          <cell r="G17985" t="str">
            <v>ASV20336</v>
          </cell>
          <cell r="H17985" t="str">
            <v>g__unclassified_f__Lachnospiraceae</v>
          </cell>
          <cell r="I17985" t="str">
            <v>s__unclassified_f__Lachnospiraceae</v>
          </cell>
        </row>
        <row r="17986">
          <cell r="G17986" t="str">
            <v>ASV23501</v>
          </cell>
          <cell r="H17986" t="str">
            <v>g__unclassified_f__Lachnospiraceae</v>
          </cell>
          <cell r="I17986" t="str">
            <v>s__unclassified_f__Lachnospiraceae</v>
          </cell>
        </row>
        <row r="17987">
          <cell r="G17987" t="str">
            <v>ASV12133</v>
          </cell>
          <cell r="H17987" t="str">
            <v>g__norank_f__Ruminococcaceae</v>
          </cell>
          <cell r="I17987" t="str">
            <v>s__unclassified_g__norank_f__Ruminococcaceae</v>
          </cell>
        </row>
        <row r="17988">
          <cell r="G17988" t="str">
            <v>ASV23520</v>
          </cell>
          <cell r="H17988" t="str">
            <v>g__unclassified_c__Clostridia</v>
          </cell>
          <cell r="I17988" t="str">
            <v>s__unclassified_c__Clostridia</v>
          </cell>
        </row>
        <row r="17989">
          <cell r="G17989" t="str">
            <v>ASV8887</v>
          </cell>
          <cell r="H17989" t="str">
            <v>g__Faecalibacterium</v>
          </cell>
          <cell r="I17989" t="str">
            <v>s__uncultured_bacterium_g__Faecalibacterium</v>
          </cell>
        </row>
        <row r="17990">
          <cell r="G17990" t="str">
            <v>ASV20115</v>
          </cell>
          <cell r="H17990" t="str">
            <v>g__unclassified_p__Firmicutes</v>
          </cell>
          <cell r="I17990" t="str">
            <v>s__unclassified_p__Firmicutes</v>
          </cell>
        </row>
        <row r="17991">
          <cell r="G17991" t="str">
            <v>ASV24321</v>
          </cell>
          <cell r="H17991" t="str">
            <v>g__unclassified_f__Lachnospiraceae</v>
          </cell>
          <cell r="I17991" t="str">
            <v>s__unclassified_f__Lachnospiraceae</v>
          </cell>
        </row>
        <row r="17992">
          <cell r="G17992" t="str">
            <v>ASV16140</v>
          </cell>
          <cell r="H17992" t="str">
            <v>g__norank_f__Oscillospiraceae</v>
          </cell>
          <cell r="I17992" t="str">
            <v>s__unclassified_g__norank_f__Oscillospiraceae</v>
          </cell>
        </row>
        <row r="17993">
          <cell r="G17993" t="str">
            <v>ASV4324</v>
          </cell>
          <cell r="H17993" t="str">
            <v>g__UCG-002</v>
          </cell>
          <cell r="I17993" t="str">
            <v>s__uncultured_bacterium_g__UCG-002</v>
          </cell>
        </row>
        <row r="17994">
          <cell r="G17994" t="str">
            <v>ASV11074</v>
          </cell>
          <cell r="H17994" t="str">
            <v>g__Lactobacillus</v>
          </cell>
          <cell r="I17994" t="str">
            <v>s__unclassified_g__Lactobacillus</v>
          </cell>
        </row>
        <row r="17995">
          <cell r="G17995" t="str">
            <v>ASV16151</v>
          </cell>
          <cell r="H17995" t="str">
            <v>g__unclassified_p__Firmicutes</v>
          </cell>
          <cell r="I17995" t="str">
            <v>s__unclassified_p__Firmicutes</v>
          </cell>
        </row>
        <row r="17996">
          <cell r="G17996" t="str">
            <v>ASV17439</v>
          </cell>
          <cell r="H17996" t="str">
            <v>g__unclassified_f__Lachnospiraceae</v>
          </cell>
          <cell r="I17996" t="str">
            <v>s__unclassified_f__Lachnospiraceae</v>
          </cell>
        </row>
        <row r="17997">
          <cell r="G17997" t="str">
            <v>ASV15861</v>
          </cell>
          <cell r="H17997" t="str">
            <v>g__unclassified_o__Oscillospirales</v>
          </cell>
          <cell r="I17997" t="str">
            <v>s__unclassified_o__Oscillospirales</v>
          </cell>
        </row>
        <row r="17998">
          <cell r="G17998" t="str">
            <v>ASV23615</v>
          </cell>
          <cell r="H17998" t="str">
            <v>g__unclassified_c__Clostridia</v>
          </cell>
          <cell r="I17998" t="str">
            <v>s__unclassified_c__Clostridia</v>
          </cell>
        </row>
        <row r="17999">
          <cell r="G17999" t="str">
            <v>ASV21061</v>
          </cell>
          <cell r="H17999" t="str">
            <v>g__unclassified_o__norank_c__Clostridia</v>
          </cell>
          <cell r="I17999" t="str">
            <v>s__unclassified_o__norank_c__Clostridia</v>
          </cell>
        </row>
        <row r="18000">
          <cell r="G18000" t="str">
            <v>ASV3299</v>
          </cell>
          <cell r="H18000" t="str">
            <v>g__unclassified_c__Bacilli</v>
          </cell>
          <cell r="I18000" t="str">
            <v>s__unclassified_c__Bacilli</v>
          </cell>
        </row>
        <row r="18001">
          <cell r="G18001" t="str">
            <v>ASV14885</v>
          </cell>
          <cell r="H18001" t="str">
            <v>g__Christensenellaceae_R-7_group</v>
          </cell>
          <cell r="I18001" t="str">
            <v>s__unclassified_g__Christensenellaceae_R-7_group</v>
          </cell>
        </row>
        <row r="18002">
          <cell r="G18002" t="str">
            <v>ASV20030</v>
          </cell>
          <cell r="H18002" t="str">
            <v>g__Enterococcus</v>
          </cell>
          <cell r="I18002" t="str">
            <v>s__unclassified_g__Enterococcus</v>
          </cell>
        </row>
        <row r="18003">
          <cell r="G18003" t="str">
            <v>ASV8130</v>
          </cell>
          <cell r="H18003" t="str">
            <v>g__unclassified_f__Lachnospiraceae</v>
          </cell>
          <cell r="I18003" t="str">
            <v>s__unclassified_f__Lachnospiraceae</v>
          </cell>
        </row>
        <row r="18004">
          <cell r="G18004" t="str">
            <v>ASV23549</v>
          </cell>
          <cell r="H18004" t="str">
            <v>g__Rikenellaceae_RC9_gut_group</v>
          </cell>
          <cell r="I18004" t="str">
            <v>s__unclassified_g__Rikenellaceae_RC9_gut_group</v>
          </cell>
        </row>
        <row r="18005">
          <cell r="G18005" t="str">
            <v>ASV7102</v>
          </cell>
          <cell r="H18005" t="str">
            <v>g__Escherichia-Shigella</v>
          </cell>
          <cell r="I18005" t="str">
            <v>s__unclassified_g__Escherichia-Shigella</v>
          </cell>
        </row>
        <row r="18006">
          <cell r="G18006" t="str">
            <v>ASV9641</v>
          </cell>
          <cell r="H18006" t="str">
            <v>g__unclassified_p__Firmicutes</v>
          </cell>
          <cell r="I18006" t="str">
            <v>s__unclassified_p__Firmicutes</v>
          </cell>
        </row>
        <row r="18007">
          <cell r="G18007" t="str">
            <v>ASV17552</v>
          </cell>
          <cell r="H18007" t="str">
            <v>g__unclassified_f__Lachnospiraceae</v>
          </cell>
          <cell r="I18007" t="str">
            <v>s__unclassified_f__Lachnospiraceae</v>
          </cell>
        </row>
        <row r="18008">
          <cell r="G18008" t="str">
            <v>ASV6949</v>
          </cell>
          <cell r="H18008" t="str">
            <v>g__Eisenbergiella</v>
          </cell>
          <cell r="I18008" t="str">
            <v>s__unclassified_g__Eisenbergiella</v>
          </cell>
        </row>
        <row r="18009">
          <cell r="G18009" t="str">
            <v>ASV24278</v>
          </cell>
          <cell r="H18009" t="str">
            <v>g__norank_f__norank_o__WCHB1-41</v>
          </cell>
          <cell r="I18009" t="str">
            <v>s__unclassified_g__norank_f__norank_o__WCHB1-41</v>
          </cell>
        </row>
        <row r="18010">
          <cell r="G18010" t="str">
            <v>ASV12048</v>
          </cell>
          <cell r="H18010" t="str">
            <v>g__unclassified_f__Prevotellaceae</v>
          </cell>
          <cell r="I18010" t="str">
            <v>s__unclassified_f__Prevotellaceae</v>
          </cell>
        </row>
        <row r="18011">
          <cell r="G18011" t="str">
            <v>ASV24339</v>
          </cell>
          <cell r="H18011" t="str">
            <v>g__unclassified_f__Ruminococcaceae</v>
          </cell>
          <cell r="I18011" t="str">
            <v>s__unclassified_f__Ruminococcaceae</v>
          </cell>
        </row>
        <row r="18012">
          <cell r="G18012" t="str">
            <v>ASV8113</v>
          </cell>
          <cell r="H18012" t="str">
            <v>g__unclassified_p__Firmicutes</v>
          </cell>
          <cell r="I18012" t="str">
            <v>s__unclassified_p__Firmicutes</v>
          </cell>
        </row>
        <row r="18013">
          <cell r="G18013" t="str">
            <v>ASV12155</v>
          </cell>
          <cell r="H18013" t="str">
            <v>g__unclassified_c__Bacilli</v>
          </cell>
          <cell r="I18013" t="str">
            <v>s__unclassified_c__Bacilli</v>
          </cell>
        </row>
        <row r="18014">
          <cell r="G18014" t="str">
            <v>ASV23727</v>
          </cell>
          <cell r="H18014" t="str">
            <v>g__unclassified_f__Lachnospiraceae</v>
          </cell>
          <cell r="I18014" t="str">
            <v>s__unclassified_f__Lachnospiraceae</v>
          </cell>
        </row>
        <row r="18015">
          <cell r="G18015" t="str">
            <v>ASV19946</v>
          </cell>
          <cell r="H18015" t="str">
            <v>g__Christensenellaceae_R-7_group</v>
          </cell>
          <cell r="I18015" t="str">
            <v>s__unclassified_g__Christensenellaceae_R-7_group</v>
          </cell>
        </row>
        <row r="18016">
          <cell r="G18016" t="str">
            <v>ASV6443</v>
          </cell>
          <cell r="H18016" t="str">
            <v>g__unclassified_c__Clostridia</v>
          </cell>
          <cell r="I18016" t="str">
            <v>s__unclassified_c__Clostridia</v>
          </cell>
        </row>
        <row r="18017">
          <cell r="G18017" t="str">
            <v>ASV21690</v>
          </cell>
          <cell r="H18017" t="str">
            <v>g__unclassified_f__Veillonellaceae</v>
          </cell>
          <cell r="I18017" t="str">
            <v>s__unclassified_f__Veillonellaceae</v>
          </cell>
        </row>
        <row r="18018">
          <cell r="G18018" t="str">
            <v>ASV10848</v>
          </cell>
          <cell r="H18018" t="str">
            <v>g__norank_f__Ruminococcaceae</v>
          </cell>
          <cell r="I18018" t="str">
            <v>s__gut_metagenome_g__norank_f__Ruminococcaceae</v>
          </cell>
        </row>
        <row r="18019">
          <cell r="G18019" t="str">
            <v>ASV19111</v>
          </cell>
          <cell r="H18019" t="str">
            <v>g__Escherichia-Shigella</v>
          </cell>
          <cell r="I18019" t="str">
            <v>s__unclassified_g__Escherichia-Shigella</v>
          </cell>
        </row>
        <row r="18020">
          <cell r="G18020" t="str">
            <v>ASV8244</v>
          </cell>
          <cell r="H18020" t="str">
            <v>g__Lactobacillus</v>
          </cell>
          <cell r="I18020" t="str">
            <v>s__unclassified_g__Lactobacillus</v>
          </cell>
        </row>
        <row r="18021">
          <cell r="G18021" t="str">
            <v>ASV22804</v>
          </cell>
          <cell r="H18021" t="str">
            <v>g__unclassified_f__Lachnospiraceae</v>
          </cell>
          <cell r="I18021" t="str">
            <v>s__unclassified_f__Lachnospiraceae</v>
          </cell>
        </row>
        <row r="18022">
          <cell r="G18022" t="str">
            <v>ASV14603</v>
          </cell>
          <cell r="H18022" t="str">
            <v>g__unclassified_k__norank_d__Bacteria</v>
          </cell>
          <cell r="I18022" t="str">
            <v>s__unclassified_k__norank_d__Bacteria</v>
          </cell>
        </row>
        <row r="18023">
          <cell r="G18023" t="str">
            <v>ASV23489</v>
          </cell>
          <cell r="H18023" t="str">
            <v>g__Prevotellaceae_UCG-001</v>
          </cell>
          <cell r="I18023" t="str">
            <v>s__uncultured_rumen_bacterium_g__Prevotellaceae_UCG-001</v>
          </cell>
        </row>
        <row r="18024">
          <cell r="G18024" t="str">
            <v>ASV1123</v>
          </cell>
          <cell r="H18024" t="str">
            <v>g__Holdemanella</v>
          </cell>
          <cell r="I18024" t="str">
            <v>s__unclassified_g__Holdemanella</v>
          </cell>
        </row>
        <row r="18025">
          <cell r="G18025" t="str">
            <v>ASV22948</v>
          </cell>
          <cell r="H18025" t="str">
            <v>g__Corynebacterium</v>
          </cell>
          <cell r="I18025" t="str">
            <v>s__unclassified_g__Corynebacterium</v>
          </cell>
        </row>
        <row r="18026">
          <cell r="G18026" t="str">
            <v>ASV16591</v>
          </cell>
          <cell r="H18026" t="str">
            <v>g__unclassified_f__Muribaculaceae</v>
          </cell>
          <cell r="I18026" t="str">
            <v>s__unclassified_f__Muribaculaceae</v>
          </cell>
        </row>
        <row r="18027">
          <cell r="G18027" t="str">
            <v>ASV16148</v>
          </cell>
          <cell r="H18027" t="str">
            <v>g__unclassified_o__Enterobacterales</v>
          </cell>
          <cell r="I18027" t="str">
            <v>s__unclassified_o__Enterobacterales</v>
          </cell>
        </row>
        <row r="18028">
          <cell r="G18028" t="str">
            <v>ASV9630</v>
          </cell>
          <cell r="H18028" t="str">
            <v>g__Eubacterium_oxidoreducens_group</v>
          </cell>
          <cell r="I18028" t="str">
            <v>s__uncultured_bacterium_g__Eubacterium_oxidoreducens_group</v>
          </cell>
        </row>
        <row r="18029">
          <cell r="G18029" t="str">
            <v>ASV12389</v>
          </cell>
          <cell r="H18029" t="str">
            <v>g__norank_f__norank_o__Clostridia_UCG-014</v>
          </cell>
          <cell r="I18029" t="str">
            <v>s__unclassified_g__norank_f__norank_o__Clostridia_UCG-014</v>
          </cell>
        </row>
        <row r="18030">
          <cell r="G18030" t="str">
            <v>ASV6931</v>
          </cell>
          <cell r="H18030" t="str">
            <v>g__unclassified_f__Lachnospiraceae</v>
          </cell>
          <cell r="I18030" t="str">
            <v>s__unclassified_f__Lachnospiraceae</v>
          </cell>
        </row>
        <row r="18031">
          <cell r="G18031" t="str">
            <v>ASV1267</v>
          </cell>
          <cell r="H18031" t="str">
            <v>g__Subdoligranulum</v>
          </cell>
          <cell r="I18031" t="str">
            <v>s__unclassified_g__Subdoligranulum</v>
          </cell>
        </row>
        <row r="18032">
          <cell r="G18032" t="str">
            <v>ASV14919</v>
          </cell>
          <cell r="H18032" t="str">
            <v>g__Eubacterium_oxidoreducens_group</v>
          </cell>
          <cell r="I18032" t="str">
            <v>s__uncultured_bacterium_g__Eubacterium_oxidoreducens_group</v>
          </cell>
        </row>
        <row r="18033">
          <cell r="G18033" t="str">
            <v>ASV20025</v>
          </cell>
          <cell r="H18033" t="str">
            <v>g__Enterococcus</v>
          </cell>
          <cell r="I18033" t="str">
            <v>s__unclassified_g__Enterococcus</v>
          </cell>
        </row>
        <row r="18034">
          <cell r="G18034" t="str">
            <v>ASV21351</v>
          </cell>
          <cell r="H18034" t="str">
            <v>g__unclassified_f__Lachnospiraceae</v>
          </cell>
          <cell r="I18034" t="str">
            <v>s__unclassified_f__Lachnospiraceae</v>
          </cell>
        </row>
        <row r="18035">
          <cell r="G18035" t="str">
            <v>ASV1107</v>
          </cell>
          <cell r="H18035" t="str">
            <v>g__norank_f__norank_o__Clostridia_vadinBB60_group</v>
          </cell>
          <cell r="I18035" t="str">
            <v>s__metagenome_g__norank_f__norank_o__Clostridia_vadinBB60_group</v>
          </cell>
        </row>
        <row r="18036">
          <cell r="G18036" t="str">
            <v>ASV1458</v>
          </cell>
          <cell r="H18036" t="str">
            <v>g__unclassified_c__Clostridia</v>
          </cell>
          <cell r="I18036" t="str">
            <v>s__unclassified_c__Clostridia</v>
          </cell>
        </row>
        <row r="18037">
          <cell r="G18037" t="str">
            <v>ASV19023</v>
          </cell>
          <cell r="H18037" t="str">
            <v>g__Prevotella</v>
          </cell>
          <cell r="I18037" t="str">
            <v>s__unclassified_g__Prevotella</v>
          </cell>
        </row>
        <row r="18038">
          <cell r="G18038" t="str">
            <v>ASV15556</v>
          </cell>
          <cell r="H18038" t="str">
            <v>g__norank_f__norank_o__Bradymonadales</v>
          </cell>
          <cell r="I18038" t="str">
            <v>s__uncultured_rumen_bacterium_g__norank_f__norank_o__Bradymonadales</v>
          </cell>
        </row>
        <row r="18039">
          <cell r="G18039" t="str">
            <v>ASV16681</v>
          </cell>
          <cell r="H18039" t="str">
            <v>g__unclassified_c__Clostridia</v>
          </cell>
          <cell r="I18039" t="str">
            <v>s__unclassified_c__Clostridia</v>
          </cell>
        </row>
        <row r="18040">
          <cell r="G18040" t="str">
            <v>ASV23604</v>
          </cell>
          <cell r="H18040" t="str">
            <v>g__Anaerococcus</v>
          </cell>
          <cell r="I18040" t="str">
            <v>s__unclassified_g__Anaerococcus</v>
          </cell>
        </row>
        <row r="18041">
          <cell r="G18041" t="str">
            <v>ASV13834</v>
          </cell>
          <cell r="H18041" t="str">
            <v>g__Escherichia-Shigella</v>
          </cell>
          <cell r="I18041" t="str">
            <v>s__unclassified_g__Escherichia-Shigella</v>
          </cell>
        </row>
        <row r="18042">
          <cell r="G18042" t="str">
            <v>ASV6326</v>
          </cell>
          <cell r="H18042" t="str">
            <v>g__Christensenellaceae_R-7_group</v>
          </cell>
          <cell r="I18042" t="str">
            <v>s__unclassified_g__Christensenellaceae_R-7_group</v>
          </cell>
        </row>
        <row r="18043">
          <cell r="G18043" t="str">
            <v>ASV23619</v>
          </cell>
          <cell r="H18043" t="str">
            <v>g__norank_f__Peptococcaceae</v>
          </cell>
          <cell r="I18043" t="str">
            <v>s__unclassified_g__norank_f__Peptococcaceae</v>
          </cell>
        </row>
        <row r="18044">
          <cell r="G18044" t="str">
            <v>ASV18980</v>
          </cell>
          <cell r="H18044" t="str">
            <v>g__Parabacteroides</v>
          </cell>
          <cell r="I18044" t="str">
            <v>s__unclassified_g__Parabacteroides</v>
          </cell>
        </row>
        <row r="18045">
          <cell r="G18045" t="str">
            <v>ASV12316</v>
          </cell>
          <cell r="H18045" t="str">
            <v>g__norank_f__Muribaculaceae</v>
          </cell>
          <cell r="I18045" t="str">
            <v>s__uncultured_bacterium_g__norank_f__Muribaculaceae</v>
          </cell>
        </row>
        <row r="18046">
          <cell r="G18046" t="str">
            <v>ASV14685</v>
          </cell>
          <cell r="H18046" t="str">
            <v>g__norank_f__Muribaculaceae</v>
          </cell>
          <cell r="I18046" t="str">
            <v>s__uncultured_bacterium_g__norank_f__Muribaculaceae</v>
          </cell>
        </row>
        <row r="18047">
          <cell r="G18047" t="str">
            <v>ASV6229</v>
          </cell>
          <cell r="H18047" t="str">
            <v>g__unclassified_c__Clostridia</v>
          </cell>
          <cell r="I18047" t="str">
            <v>s__unclassified_c__Clostridia</v>
          </cell>
        </row>
        <row r="18048">
          <cell r="G18048" t="str">
            <v>ASV1475</v>
          </cell>
          <cell r="H18048" t="str">
            <v>g__unclassified_f__Oscillospiraceae</v>
          </cell>
          <cell r="I18048" t="str">
            <v>s__unclassified_f__Oscillospiraceae</v>
          </cell>
        </row>
        <row r="18049">
          <cell r="G18049" t="str">
            <v>ASV18279</v>
          </cell>
          <cell r="H18049" t="str">
            <v>g__unclassified_f__Lachnospiraceae</v>
          </cell>
          <cell r="I18049" t="str">
            <v>s__unclassified_f__Lachnospiraceae</v>
          </cell>
        </row>
        <row r="18050">
          <cell r="G18050" t="str">
            <v>ASV4260</v>
          </cell>
          <cell r="H18050" t="str">
            <v>g__unclassified_p__Firmicutes</v>
          </cell>
          <cell r="I18050" t="str">
            <v>s__unclassified_p__Firmicutes</v>
          </cell>
        </row>
        <row r="18051">
          <cell r="G18051" t="str">
            <v>ASV6291</v>
          </cell>
          <cell r="H18051" t="str">
            <v>g__unclassified_c__Clostridia</v>
          </cell>
          <cell r="I18051" t="str">
            <v>s__unclassified_c__Clostridia</v>
          </cell>
        </row>
        <row r="18052">
          <cell r="G18052" t="str">
            <v>ASV18470</v>
          </cell>
          <cell r="H18052" t="str">
            <v>g__unclassified_c__Clostridia</v>
          </cell>
          <cell r="I18052" t="str">
            <v>s__unclassified_c__Clostridia</v>
          </cell>
        </row>
        <row r="18053">
          <cell r="G18053" t="str">
            <v>ASV7382</v>
          </cell>
          <cell r="H18053" t="str">
            <v>g__Bacteroides</v>
          </cell>
          <cell r="I18053" t="str">
            <v>s__unclassified_g__Bacteroides</v>
          </cell>
        </row>
        <row r="18054">
          <cell r="G18054" t="str">
            <v>ASV14890</v>
          </cell>
          <cell r="H18054" t="str">
            <v>g__unclassified_c__Clostridia</v>
          </cell>
          <cell r="I18054" t="str">
            <v>s__unclassified_c__Clostridia</v>
          </cell>
        </row>
        <row r="18055">
          <cell r="G18055" t="str">
            <v>ASV6339</v>
          </cell>
          <cell r="H18055" t="str">
            <v>g__unclassified_f__Anaerovoracaceae</v>
          </cell>
          <cell r="I18055" t="str">
            <v>s__unclassified_f__Anaerovoracaceae</v>
          </cell>
        </row>
        <row r="18056">
          <cell r="G18056" t="str">
            <v>ASV20047</v>
          </cell>
          <cell r="H18056" t="str">
            <v>g__Clostridium_sensu_stricto_1</v>
          </cell>
          <cell r="I18056" t="str">
            <v>s__unclassified_g__Clostridium_sensu_stricto_1</v>
          </cell>
        </row>
        <row r="18057">
          <cell r="G18057" t="str">
            <v>ASV6280</v>
          </cell>
          <cell r="H18057" t="str">
            <v>g__unclassified_f__Desulfovibrionaceae</v>
          </cell>
          <cell r="I18057" t="str">
            <v>s__unclassified_f__Desulfovibrionaceae</v>
          </cell>
        </row>
        <row r="18058">
          <cell r="G18058" t="str">
            <v>ASV14641</v>
          </cell>
          <cell r="H18058" t="str">
            <v>g__unclassified_p__Firmicutes</v>
          </cell>
          <cell r="I18058" t="str">
            <v>s__unclassified_p__Firmicutes</v>
          </cell>
        </row>
        <row r="18059">
          <cell r="G18059" t="str">
            <v>ASV18468</v>
          </cell>
          <cell r="H18059" t="str">
            <v>g__unclassified_f__Lachnospiraceae</v>
          </cell>
          <cell r="I18059" t="str">
            <v>s__unclassified_f__Lachnospiraceae</v>
          </cell>
        </row>
        <row r="18060">
          <cell r="G18060" t="str">
            <v>ASV23491</v>
          </cell>
          <cell r="H18060" t="str">
            <v>g__unclassified_c__Clostridia</v>
          </cell>
          <cell r="I18060" t="str">
            <v>s__unclassified_c__Clostridia</v>
          </cell>
        </row>
        <row r="18061">
          <cell r="G18061" t="str">
            <v>ASV23705</v>
          </cell>
          <cell r="H18061" t="str">
            <v>g__unclassified_c__Clostridia</v>
          </cell>
          <cell r="I18061" t="str">
            <v>s__unclassified_c__Clostridia</v>
          </cell>
        </row>
        <row r="18062">
          <cell r="G18062" t="str">
            <v>ASV2493</v>
          </cell>
          <cell r="H18062" t="str">
            <v>g__unclassified_p__Firmicutes</v>
          </cell>
          <cell r="I18062" t="str">
            <v>s__unclassified_p__Firmicutes</v>
          </cell>
        </row>
        <row r="18063">
          <cell r="G18063" t="str">
            <v>ASV8206</v>
          </cell>
          <cell r="H18063" t="str">
            <v>g__unclassified_f__Lachnospiraceae</v>
          </cell>
          <cell r="I18063" t="str">
            <v>s__unclassified_f__Lachnospiraceae</v>
          </cell>
        </row>
        <row r="18064">
          <cell r="G18064" t="str">
            <v>ASV22587</v>
          </cell>
          <cell r="H18064" t="str">
            <v>g__unclassified_c__Clostridia</v>
          </cell>
          <cell r="I18064" t="str">
            <v>s__unclassified_c__Clostridia</v>
          </cell>
        </row>
        <row r="18065">
          <cell r="G18065" t="str">
            <v>ASV22830</v>
          </cell>
          <cell r="H18065" t="str">
            <v>g__unclassified_c__Clostridia</v>
          </cell>
          <cell r="I18065" t="str">
            <v>s__unclassified_c__Clostridia</v>
          </cell>
        </row>
        <row r="18066">
          <cell r="G18066" t="str">
            <v>ASV14865</v>
          </cell>
          <cell r="H18066" t="str">
            <v>g__unclassified_f__Ruminococcaceae</v>
          </cell>
          <cell r="I18066" t="str">
            <v>s__unclassified_f__Ruminococcaceae</v>
          </cell>
        </row>
        <row r="18067">
          <cell r="G18067" t="str">
            <v>ASV13030</v>
          </cell>
          <cell r="H18067" t="str">
            <v>g__unclassified_k__norank_d__Bacteria</v>
          </cell>
          <cell r="I18067" t="str">
            <v>s__unclassified_k__norank_d__Bacteria</v>
          </cell>
        </row>
        <row r="18068">
          <cell r="G18068" t="str">
            <v>ASV21548</v>
          </cell>
          <cell r="H18068" t="str">
            <v>g__Phascolarctobacterium</v>
          </cell>
          <cell r="I18068" t="str">
            <v>s__unclassified_g__Phascolarctobacterium</v>
          </cell>
        </row>
        <row r="18069">
          <cell r="G18069" t="str">
            <v>ASV22582</v>
          </cell>
          <cell r="H18069" t="str">
            <v>g__Megasphaera</v>
          </cell>
          <cell r="I18069" t="str">
            <v>s__Lactobacillus_sp._AB032</v>
          </cell>
        </row>
        <row r="18070">
          <cell r="G18070" t="str">
            <v>ASV23513</v>
          </cell>
          <cell r="H18070" t="str">
            <v>g__Collinsella</v>
          </cell>
          <cell r="I18070" t="str">
            <v>s__unclassified_g__Collinsella</v>
          </cell>
        </row>
        <row r="18071">
          <cell r="G18071" t="str">
            <v>ASV1479</v>
          </cell>
          <cell r="H18071" t="str">
            <v>g__unclassified_f__Lachnospiraceae</v>
          </cell>
          <cell r="I18071" t="str">
            <v>s__unclassified_f__Lachnospiraceae</v>
          </cell>
        </row>
        <row r="18072">
          <cell r="G18072" t="str">
            <v>ASV23581</v>
          </cell>
          <cell r="H18072" t="str">
            <v>g__unclassified_o__Lactobacillales</v>
          </cell>
          <cell r="I18072" t="str">
            <v>s__unclassified_o__Lactobacillales</v>
          </cell>
        </row>
        <row r="18073">
          <cell r="G18073" t="str">
            <v>ASV2468</v>
          </cell>
          <cell r="H18073" t="str">
            <v>g__Cloacibacillus</v>
          </cell>
          <cell r="I18073" t="str">
            <v>s__unclassified_g__Cloacibacillus</v>
          </cell>
        </row>
        <row r="18074">
          <cell r="G18074" t="str">
            <v>ASV20147</v>
          </cell>
          <cell r="H18074" t="str">
            <v>g__norank_f__Eubacterium_coprostanoligenes_group</v>
          </cell>
          <cell r="I18074" t="str">
            <v>s__Eubacterium_coprostanoligenes</v>
          </cell>
        </row>
        <row r="18075">
          <cell r="G18075" t="str">
            <v>ASV9699</v>
          </cell>
          <cell r="H18075" t="str">
            <v>g__unclassified_c__Clostridia</v>
          </cell>
          <cell r="I18075" t="str">
            <v>s__unclassified_c__Clostridia</v>
          </cell>
        </row>
        <row r="18076">
          <cell r="G18076" t="str">
            <v>ASV17441</v>
          </cell>
          <cell r="H18076" t="str">
            <v>g__Lactobacillus</v>
          </cell>
          <cell r="I18076" t="str">
            <v>s__unclassified_g__Lactobacillus</v>
          </cell>
        </row>
        <row r="18077">
          <cell r="G18077" t="str">
            <v>ASV5244</v>
          </cell>
          <cell r="H18077" t="str">
            <v>g__unclassified_c__Clostridia</v>
          </cell>
          <cell r="I18077" t="str">
            <v>s__unclassified_c__Clostridia</v>
          </cell>
        </row>
        <row r="18078">
          <cell r="G18078" t="str">
            <v>ASV15752</v>
          </cell>
          <cell r="H18078" t="str">
            <v>g__unclassified_c__Clostridia</v>
          </cell>
          <cell r="I18078" t="str">
            <v>s__unclassified_c__Clostridia</v>
          </cell>
        </row>
        <row r="18079">
          <cell r="G18079" t="str">
            <v>ASV8175</v>
          </cell>
          <cell r="H18079" t="str">
            <v>g__Lactobacillus</v>
          </cell>
          <cell r="I18079" t="str">
            <v>s__uncultured_bacterium_g__Lactobacillus</v>
          </cell>
        </row>
        <row r="18080">
          <cell r="G18080" t="str">
            <v>ASV8564</v>
          </cell>
          <cell r="H18080" t="str">
            <v>g__norank_f__Selenomonadaceae</v>
          </cell>
          <cell r="I18080" t="str">
            <v>s__unclassified_g__norank_f__Selenomonadaceae</v>
          </cell>
        </row>
        <row r="18081">
          <cell r="G18081" t="str">
            <v>ASV19953</v>
          </cell>
          <cell r="H18081" t="str">
            <v>g__unclassified_o__Bacteroidales</v>
          </cell>
          <cell r="I18081" t="str">
            <v>s__unclassified_o__Bacteroidales</v>
          </cell>
        </row>
        <row r="18082">
          <cell r="G18082" t="str">
            <v>ASV10260</v>
          </cell>
          <cell r="H18082" t="str">
            <v>g__Acidaminococcus</v>
          </cell>
          <cell r="I18082" t="str">
            <v>s__unclassified_g__Acidaminococcus</v>
          </cell>
        </row>
        <row r="18083">
          <cell r="G18083" t="str">
            <v>ASV6438</v>
          </cell>
          <cell r="H18083" t="str">
            <v>g__unclassified_k__norank_d__Bacteria</v>
          </cell>
          <cell r="I18083" t="str">
            <v>s__unclassified_k__norank_d__Bacteria</v>
          </cell>
        </row>
        <row r="18084">
          <cell r="G18084" t="str">
            <v>ASV4232</v>
          </cell>
          <cell r="H18084" t="str">
            <v>g__unclassified_k__norank_d__Bacteria</v>
          </cell>
          <cell r="I18084" t="str">
            <v>s__unclassified_k__norank_d__Bacteria</v>
          </cell>
        </row>
        <row r="18085">
          <cell r="G18085" t="str">
            <v>ASV3281</v>
          </cell>
          <cell r="H18085" t="str">
            <v>g__Streptococcus</v>
          </cell>
          <cell r="I18085" t="str">
            <v>s__unclassified_g__Streptococcus</v>
          </cell>
        </row>
        <row r="18086">
          <cell r="G18086" t="str">
            <v>ASV18308</v>
          </cell>
          <cell r="H18086" t="str">
            <v>g__unclassified_o__Oscillospirales</v>
          </cell>
          <cell r="I18086" t="str">
            <v>s__unclassified_o__Oscillospirales</v>
          </cell>
        </row>
        <row r="18087">
          <cell r="G18087" t="str">
            <v>ASV12401</v>
          </cell>
          <cell r="H18087" t="str">
            <v>g__Prevotella</v>
          </cell>
          <cell r="I18087" t="str">
            <v>s__uncultured_bacterium_g__Prevotella</v>
          </cell>
        </row>
        <row r="18088">
          <cell r="G18088" t="str">
            <v>ASV16768</v>
          </cell>
          <cell r="H18088" t="str">
            <v>g__unclassified_f__Ruminococcaceae</v>
          </cell>
          <cell r="I18088" t="str">
            <v>s__unclassified_f__Ruminococcaceae</v>
          </cell>
        </row>
        <row r="18089">
          <cell r="G18089" t="str">
            <v>ASV16738</v>
          </cell>
          <cell r="H18089" t="str">
            <v>g__unclassified_f__Muribaculaceae</v>
          </cell>
          <cell r="I18089" t="str">
            <v>s__unclassified_f__Muribaculaceae</v>
          </cell>
        </row>
        <row r="18090">
          <cell r="G18090" t="str">
            <v>ASV13622</v>
          </cell>
          <cell r="H18090" t="str">
            <v>g__Turicibacter</v>
          </cell>
          <cell r="I18090" t="str">
            <v>s__unclassified_g__Turicibacter</v>
          </cell>
        </row>
        <row r="18091">
          <cell r="G18091" t="str">
            <v>ASV12326</v>
          </cell>
          <cell r="H18091" t="str">
            <v>g__unclassified_f__Lachnospiraceae</v>
          </cell>
          <cell r="I18091" t="str">
            <v>s__unclassified_f__Lachnospiraceae</v>
          </cell>
        </row>
        <row r="18092">
          <cell r="G18092" t="str">
            <v>ASV9637</v>
          </cell>
          <cell r="H18092" t="str">
            <v>g__unclassified_c__Bacteroidia</v>
          </cell>
          <cell r="I18092" t="str">
            <v>s__unclassified_c__Bacteroidia</v>
          </cell>
        </row>
        <row r="18093">
          <cell r="G18093" t="str">
            <v>ASV23523</v>
          </cell>
          <cell r="H18093" t="str">
            <v>g__Bacillus</v>
          </cell>
          <cell r="I18093" t="str">
            <v>s__Lactobacillus_vaginalis_g__Bacillus</v>
          </cell>
        </row>
        <row r="18094">
          <cell r="G18094" t="str">
            <v>ASV12438</v>
          </cell>
          <cell r="H18094" t="str">
            <v>g__Candidatus_Saccharimonas</v>
          </cell>
          <cell r="I18094" t="str">
            <v>s__unclassified_g__Candidatus_Saccharimonas</v>
          </cell>
        </row>
        <row r="18095">
          <cell r="G18095" t="str">
            <v>ASV16090</v>
          </cell>
          <cell r="H18095" t="str">
            <v>g__unclassified_k__norank_d__Bacteria</v>
          </cell>
          <cell r="I18095" t="str">
            <v>s__unclassified_k__norank_d__Bacteria</v>
          </cell>
        </row>
        <row r="18096">
          <cell r="G18096" t="str">
            <v>ASV5429</v>
          </cell>
          <cell r="H18096" t="str">
            <v>g__Candidatus_Soleaferrea</v>
          </cell>
          <cell r="I18096" t="str">
            <v>s__uncultured_bacterium_g__Candidatus_Soleaferrea</v>
          </cell>
        </row>
        <row r="18097">
          <cell r="G18097" t="str">
            <v>ASV13841</v>
          </cell>
          <cell r="H18097" t="str">
            <v>g__norank_f__Erysipelotrichaceae</v>
          </cell>
          <cell r="I18097" t="str">
            <v>s__unclassified_g__norank_f__Erysipelotrichaceae</v>
          </cell>
        </row>
        <row r="18098">
          <cell r="G18098" t="str">
            <v>ASV1478</v>
          </cell>
          <cell r="H18098" t="str">
            <v>g__unclassified_c__Clostridia</v>
          </cell>
          <cell r="I18098" t="str">
            <v>s__unclassified_c__Clostridia</v>
          </cell>
        </row>
        <row r="18099">
          <cell r="G18099" t="str">
            <v>ASV1499</v>
          </cell>
          <cell r="H18099" t="str">
            <v>g__unclassified_f__Lachnospiraceae</v>
          </cell>
          <cell r="I18099" t="str">
            <v>s__unclassified_f__Lachnospiraceae</v>
          </cell>
        </row>
        <row r="18100">
          <cell r="G18100" t="str">
            <v>ASV9069</v>
          </cell>
          <cell r="H18100" t="str">
            <v>g__Veillonella</v>
          </cell>
          <cell r="I18100" t="str">
            <v>s__unclassified_g__Veillonella</v>
          </cell>
        </row>
        <row r="18101">
          <cell r="G18101" t="str">
            <v>ASV10969</v>
          </cell>
          <cell r="H18101" t="str">
            <v>g__unclassified_f__Lachnospiraceae</v>
          </cell>
          <cell r="I18101" t="str">
            <v>s__unclassified_f__Lachnospiraceae</v>
          </cell>
        </row>
        <row r="18102">
          <cell r="G18102" t="str">
            <v>ASV9682</v>
          </cell>
          <cell r="H18102" t="str">
            <v>g__unclassified_f__Oscillospiraceae</v>
          </cell>
          <cell r="I18102" t="str">
            <v>s__unclassified_f__Oscillospiraceae</v>
          </cell>
        </row>
        <row r="18103">
          <cell r="G18103" t="str">
            <v>ASV12071</v>
          </cell>
          <cell r="H18103" t="str">
            <v>g__unclassified_c__Clostridia</v>
          </cell>
          <cell r="I18103" t="str">
            <v>s__unclassified_c__Clostridia</v>
          </cell>
        </row>
        <row r="18104">
          <cell r="G18104" t="str">
            <v>ASV10839</v>
          </cell>
          <cell r="H18104" t="str">
            <v>g__Lachnospiraceae_UCG-004</v>
          </cell>
          <cell r="I18104" t="str">
            <v>s__uncultured_bacterium_g__Lachnospiraceae_UCG-004</v>
          </cell>
        </row>
        <row r="18105">
          <cell r="G18105" t="str">
            <v>ASV13109</v>
          </cell>
          <cell r="H18105" t="str">
            <v>g__unclassified_o__Oscillospirales</v>
          </cell>
          <cell r="I18105" t="str">
            <v>s__unclassified_o__Oscillospirales</v>
          </cell>
        </row>
        <row r="18106">
          <cell r="G18106" t="str">
            <v>ASV15735</v>
          </cell>
          <cell r="H18106" t="str">
            <v>g__unclassified_f__Lachnospiraceae</v>
          </cell>
          <cell r="I18106" t="str">
            <v>s__unclassified_f__Lachnospiraceae</v>
          </cell>
        </row>
        <row r="18107">
          <cell r="G18107" t="str">
            <v>ASV20987</v>
          </cell>
          <cell r="H18107" t="str">
            <v>g__unclassified_c__Clostridia</v>
          </cell>
          <cell r="I18107" t="str">
            <v>s__unclassified_c__Clostridia</v>
          </cell>
        </row>
        <row r="18108">
          <cell r="G18108" t="str">
            <v>ASV3723</v>
          </cell>
          <cell r="H18108" t="str">
            <v>g__Streptococcus</v>
          </cell>
          <cell r="I18108" t="str">
            <v>s__unclassified_g__Streptococcus</v>
          </cell>
        </row>
        <row r="18109">
          <cell r="G18109" t="str">
            <v>ASV2399</v>
          </cell>
          <cell r="H18109" t="str">
            <v>g__unclassified_k__norank_d__Bacteria</v>
          </cell>
          <cell r="I18109" t="str">
            <v>s__unclassified_k__norank_d__Bacteria</v>
          </cell>
        </row>
        <row r="18110">
          <cell r="G18110" t="str">
            <v>ASV22846</v>
          </cell>
          <cell r="H18110" t="str">
            <v>g__unclassified_f__Lachnospiraceae</v>
          </cell>
          <cell r="I18110" t="str">
            <v>s__unclassified_f__Lachnospiraceae</v>
          </cell>
        </row>
        <row r="18111">
          <cell r="G18111" t="str">
            <v>ASV20024</v>
          </cell>
          <cell r="H18111" t="str">
            <v>g__norank_f__Eubacterium_coprostanoligenes_group</v>
          </cell>
          <cell r="I18111" t="str">
            <v>s__uncultured_bacterium_g__norank_f__Eubacterium_coprostanoligenes_group</v>
          </cell>
        </row>
        <row r="18112">
          <cell r="G18112" t="str">
            <v>ASV13153</v>
          </cell>
          <cell r="H18112" t="str">
            <v>g__unclassified_o__Oscillospirales</v>
          </cell>
          <cell r="I18112" t="str">
            <v>s__unclassified_o__Oscillospirales</v>
          </cell>
        </row>
        <row r="18113">
          <cell r="G18113" t="str">
            <v>ASV12029</v>
          </cell>
          <cell r="H18113" t="str">
            <v>g__unclassified_k__norank_d__Bacteria</v>
          </cell>
          <cell r="I18113" t="str">
            <v>s__unclassified_k__norank_d__Bacteria</v>
          </cell>
        </row>
        <row r="18114">
          <cell r="G18114" t="str">
            <v>ASV14863</v>
          </cell>
          <cell r="H18114" t="str">
            <v>g__NK4A214_group</v>
          </cell>
          <cell r="I18114" t="str">
            <v>s__unclassified_g__NK4A214_group</v>
          </cell>
        </row>
        <row r="18115">
          <cell r="G18115" t="str">
            <v>ASV12036</v>
          </cell>
          <cell r="H18115" t="str">
            <v>g__Parabacteroides</v>
          </cell>
          <cell r="I18115" t="str">
            <v>s__Parabacteroides_merdae</v>
          </cell>
        </row>
        <row r="18116">
          <cell r="G18116" t="str">
            <v>ASV23602</v>
          </cell>
          <cell r="H18116" t="str">
            <v>g__unclassified_f__Lachnospiraceae</v>
          </cell>
          <cell r="I18116" t="str">
            <v>s__unclassified_f__Lachnospiraceae</v>
          </cell>
        </row>
        <row r="18117">
          <cell r="G18117" t="str">
            <v>ASV6483</v>
          </cell>
          <cell r="H18117" t="str">
            <v>g__Escherichia-Shigella</v>
          </cell>
          <cell r="I18117" t="str">
            <v>s__unclassified_g__Escherichia-Shigella</v>
          </cell>
        </row>
        <row r="18118">
          <cell r="G18118" t="str">
            <v>ASV22570</v>
          </cell>
          <cell r="H18118" t="str">
            <v>g__unclassified_f__Peptostreptococcaceae</v>
          </cell>
          <cell r="I18118" t="str">
            <v>s__unclassified_f__Peptostreptococcaceae</v>
          </cell>
        </row>
        <row r="18119">
          <cell r="G18119" t="str">
            <v>ASV13750</v>
          </cell>
          <cell r="H18119" t="str">
            <v>g__Lactobacillus</v>
          </cell>
          <cell r="I18119" t="str">
            <v>s__unclassified_g__Lactobacillus</v>
          </cell>
        </row>
        <row r="18120">
          <cell r="G18120" t="str">
            <v>ASV1204</v>
          </cell>
          <cell r="H18120" t="str">
            <v>g__Candidatus_Soleaferrea</v>
          </cell>
          <cell r="I18120" t="str">
            <v>s__uncultured_bacterium_g__Candidatus_Soleaferrea</v>
          </cell>
        </row>
        <row r="18121">
          <cell r="G18121" t="str">
            <v>ASV5407</v>
          </cell>
          <cell r="H18121" t="str">
            <v>g__unclassified_c__Clostridia</v>
          </cell>
          <cell r="I18121" t="str">
            <v>s__unclassified_c__Clostridia</v>
          </cell>
        </row>
        <row r="18122">
          <cell r="G18122" t="str">
            <v>ASV18432</v>
          </cell>
          <cell r="H18122" t="str">
            <v>g__unclassified_c__Clostridia</v>
          </cell>
          <cell r="I18122" t="str">
            <v>s__unclassified_c__Clostridia</v>
          </cell>
        </row>
        <row r="18123">
          <cell r="G18123" t="str">
            <v>ASV23553</v>
          </cell>
          <cell r="H18123" t="str">
            <v>g__Turicibacter</v>
          </cell>
          <cell r="I18123" t="str">
            <v>s__unclassified_g__Turicibacter</v>
          </cell>
        </row>
        <row r="18124">
          <cell r="G18124" t="str">
            <v>ASV14859</v>
          </cell>
          <cell r="H18124" t="str">
            <v>g__Christensenellaceae_R-7_group</v>
          </cell>
          <cell r="I18124" t="str">
            <v>s__unclassified_g__Christensenellaceae_R-7_group</v>
          </cell>
        </row>
        <row r="18125">
          <cell r="G18125" t="str">
            <v>ASV22789</v>
          </cell>
          <cell r="H18125" t="str">
            <v>g__unclassified_f__Lachnospiraceae</v>
          </cell>
          <cell r="I18125" t="str">
            <v>s__unclassified_f__Lachnospiraceae</v>
          </cell>
        </row>
        <row r="18126">
          <cell r="G18126" t="str">
            <v>ASV20988</v>
          </cell>
          <cell r="H18126" t="str">
            <v>g__unclassified_c__Bacteroidia</v>
          </cell>
          <cell r="I18126" t="str">
            <v>s__unclassified_c__Bacteroidia</v>
          </cell>
        </row>
        <row r="18127">
          <cell r="G18127" t="str">
            <v>ASV17436</v>
          </cell>
          <cell r="H18127" t="str">
            <v>g__Bacillus</v>
          </cell>
          <cell r="I18127" t="str">
            <v>s__Lactobacillus_vaginalis_g__Bacillus</v>
          </cell>
        </row>
        <row r="18128">
          <cell r="G18128" t="str">
            <v>ASV23633</v>
          </cell>
          <cell r="H18128" t="str">
            <v>g__unclassified_c__Clostridia</v>
          </cell>
          <cell r="I18128" t="str">
            <v>s__unclassified_c__Clostridia</v>
          </cell>
        </row>
        <row r="18129">
          <cell r="G18129" t="str">
            <v>ASV12127</v>
          </cell>
          <cell r="H18129" t="str">
            <v>g__norank_f__Ruminococcaceae</v>
          </cell>
          <cell r="I18129" t="str">
            <v>s__unclassified_g__norank_f__Ruminococcaceae</v>
          </cell>
        </row>
        <row r="18130">
          <cell r="G18130" t="str">
            <v>ASV16709</v>
          </cell>
          <cell r="H18130" t="str">
            <v>g__unclassified_c__Clostridia</v>
          </cell>
          <cell r="I18130" t="str">
            <v>s__unclassified_c__Clostridia</v>
          </cell>
        </row>
        <row r="18131">
          <cell r="G18131" t="str">
            <v>ASV17526</v>
          </cell>
          <cell r="H18131" t="str">
            <v>g__unclassified_f__Prevotellaceae</v>
          </cell>
          <cell r="I18131" t="str">
            <v>s__unclassified_f__Prevotellaceae</v>
          </cell>
        </row>
        <row r="18132">
          <cell r="G18132" t="str">
            <v>ASV21512</v>
          </cell>
          <cell r="H18132" t="str">
            <v>g__unclassified_p__Firmicutes</v>
          </cell>
          <cell r="I18132" t="str">
            <v>s__unclassified_p__Firmicutes</v>
          </cell>
        </row>
        <row r="18133">
          <cell r="G18133" t="str">
            <v>ASV24333</v>
          </cell>
          <cell r="H18133" t="str">
            <v>g__norank_f__Ruminococcaceae</v>
          </cell>
          <cell r="I18133" t="str">
            <v>s__unclassified_g__norank_f__Ruminococcaceae</v>
          </cell>
        </row>
        <row r="18134">
          <cell r="G18134" t="str">
            <v>ASV7305</v>
          </cell>
          <cell r="H18134" t="str">
            <v>g__Bryobacter</v>
          </cell>
          <cell r="I18134" t="str">
            <v>s__unclassified_g__Bryobacter</v>
          </cell>
        </row>
        <row r="18135">
          <cell r="G18135" t="str">
            <v>ASV19877</v>
          </cell>
          <cell r="H18135" t="str">
            <v>g__norank_f__F082</v>
          </cell>
          <cell r="I18135" t="str">
            <v>s__uncultured_bacterium_g__norank_f__F082</v>
          </cell>
        </row>
        <row r="18136">
          <cell r="G18136" t="str">
            <v>ASV22586</v>
          </cell>
          <cell r="H18136" t="str">
            <v>g__NK4A214_group</v>
          </cell>
          <cell r="I18136" t="str">
            <v>s__uncultured_bacterium_g__NK4A214_group</v>
          </cell>
        </row>
        <row r="18137">
          <cell r="G18137" t="str">
            <v>ASV20123</v>
          </cell>
          <cell r="H18137" t="str">
            <v>g__unclassified_c__Clostridia</v>
          </cell>
          <cell r="I18137" t="str">
            <v>s__unclassified_c__Clostridia</v>
          </cell>
        </row>
        <row r="18138">
          <cell r="G18138" t="str">
            <v>ASV1823</v>
          </cell>
          <cell r="H18138" t="str">
            <v>g__unclassified_p__Firmicutes</v>
          </cell>
          <cell r="I18138" t="str">
            <v>s__unclassified_p__Firmicutes</v>
          </cell>
        </row>
        <row r="18139">
          <cell r="G18139" t="str">
            <v>ASV15859</v>
          </cell>
          <cell r="H18139" t="str">
            <v>g__norank_f__Muribaculaceae</v>
          </cell>
          <cell r="I18139" t="str">
            <v>s__unclassified_g__norank_f__Muribaculaceae</v>
          </cell>
        </row>
        <row r="18140">
          <cell r="G18140" t="str">
            <v>ASV2465</v>
          </cell>
          <cell r="H18140" t="str">
            <v>g__unclassified_c__Clostridia</v>
          </cell>
          <cell r="I18140" t="str">
            <v>s__unclassified_c__Clostridia</v>
          </cell>
        </row>
        <row r="18141">
          <cell r="G18141" t="str">
            <v>ASV21035</v>
          </cell>
          <cell r="H18141" t="str">
            <v>g__unclassified_p__Firmicutes</v>
          </cell>
          <cell r="I18141" t="str">
            <v>s__unclassified_p__Firmicutes</v>
          </cell>
        </row>
        <row r="18142">
          <cell r="G18142" t="str">
            <v>ASV24344</v>
          </cell>
          <cell r="H18142" t="str">
            <v>g__norank_f__Eubacterium_coprostanoligenes_group</v>
          </cell>
          <cell r="I18142" t="str">
            <v>s__uncultured_bacterium_g__norank_f__Eubacterium_coprostanoligenes_group</v>
          </cell>
        </row>
        <row r="18143">
          <cell r="G18143" t="str">
            <v>ASV8378</v>
          </cell>
          <cell r="H18143" t="str">
            <v>g__Bacillus</v>
          </cell>
          <cell r="I18143" t="str">
            <v>s__Lactobacillus_vaginalis_g__Bacillus</v>
          </cell>
        </row>
        <row r="18144">
          <cell r="G18144" t="str">
            <v>ASV8091</v>
          </cell>
          <cell r="H18144" t="str">
            <v>g__Eubacterium_oxidoreducens_group</v>
          </cell>
          <cell r="I18144" t="str">
            <v>s__uncultured_bacterium_g__Eubacterium_oxidoreducens_group</v>
          </cell>
        </row>
        <row r="18145">
          <cell r="G18145" t="str">
            <v>ASV9063</v>
          </cell>
          <cell r="H18145" t="str">
            <v>g__unclassified_o__Bacteroidales</v>
          </cell>
          <cell r="I18145" t="str">
            <v>s__unclassified_o__Bacteroidales</v>
          </cell>
        </row>
        <row r="18146">
          <cell r="G18146" t="str">
            <v>ASV21327</v>
          </cell>
          <cell r="H18146" t="str">
            <v>g__Fusobacterium</v>
          </cell>
          <cell r="I18146" t="str">
            <v>s__unclassified_g__Fusobacterium</v>
          </cell>
        </row>
        <row r="18147">
          <cell r="G18147" t="str">
            <v>ASV13010</v>
          </cell>
          <cell r="H18147" t="str">
            <v>g__norank_f__norank_o__Clostridia_UCG-014</v>
          </cell>
          <cell r="I18147" t="str">
            <v>s__Clostridiales_bacterium_canine_oral_taxon_100</v>
          </cell>
        </row>
        <row r="18148">
          <cell r="G18148" t="str">
            <v>ASV1466</v>
          </cell>
          <cell r="H18148" t="str">
            <v>g__unclassified_c__Clostridia</v>
          </cell>
          <cell r="I18148" t="str">
            <v>s__unclassified_c__Clostridia</v>
          </cell>
        </row>
        <row r="18149">
          <cell r="G18149" t="str">
            <v>ASV14811</v>
          </cell>
          <cell r="H18149" t="str">
            <v>g__unclassified_f__Oscillospiraceae</v>
          </cell>
          <cell r="I18149" t="str">
            <v>s__unclassified_f__Oscillospiraceae</v>
          </cell>
        </row>
        <row r="18150">
          <cell r="G18150" t="str">
            <v>ASV6298</v>
          </cell>
          <cell r="H18150" t="str">
            <v>g__unclassified_c__Clostridia</v>
          </cell>
          <cell r="I18150" t="str">
            <v>s__unclassified_c__Clostridia</v>
          </cell>
        </row>
        <row r="18151">
          <cell r="G18151" t="str">
            <v>ASV16113</v>
          </cell>
          <cell r="H18151" t="str">
            <v>g__unclassified_f__Lachnospiraceae</v>
          </cell>
          <cell r="I18151" t="str">
            <v>s__unclassified_f__Lachnospiraceae</v>
          </cell>
        </row>
        <row r="18152">
          <cell r="G18152" t="str">
            <v>ASV18358</v>
          </cell>
          <cell r="H18152" t="str">
            <v>g__norank_f__Ruminococcaceae</v>
          </cell>
          <cell r="I18152" t="str">
            <v>s__unclassified_g__norank_f__Ruminococcaceae</v>
          </cell>
        </row>
        <row r="18153">
          <cell r="G18153" t="str">
            <v>ASV13846</v>
          </cell>
          <cell r="H18153" t="str">
            <v>g__Peptococcus</v>
          </cell>
          <cell r="I18153" t="str">
            <v>s__Peptococcus_sp._canine_oral_taxon_334</v>
          </cell>
        </row>
        <row r="18154">
          <cell r="G18154" t="str">
            <v>ASV17112</v>
          </cell>
          <cell r="H18154" t="str">
            <v>g__norank_f__Ruminococcaceae</v>
          </cell>
          <cell r="I18154" t="str">
            <v>s__Ruminococcaceae_bacterium_Marseille-P3738</v>
          </cell>
        </row>
        <row r="18155">
          <cell r="G18155" t="str">
            <v>ASV21360</v>
          </cell>
          <cell r="H18155" t="str">
            <v>g__Faecalibacterium</v>
          </cell>
          <cell r="I18155" t="str">
            <v>s__unclassified_g__Faecalibacterium</v>
          </cell>
        </row>
        <row r="18156">
          <cell r="G18156" t="str">
            <v>ASV8062</v>
          </cell>
          <cell r="H18156" t="str">
            <v>g__Lactobacillus</v>
          </cell>
          <cell r="I18156" t="str">
            <v>s__unclassified_g__Lactobacillus</v>
          </cell>
        </row>
        <row r="18157">
          <cell r="G18157" t="str">
            <v>ASV24054</v>
          </cell>
          <cell r="H18157" t="str">
            <v>g__unclassified_p__Firmicutes</v>
          </cell>
          <cell r="I18157" t="str">
            <v>s__unclassified_p__Firmicutes</v>
          </cell>
        </row>
        <row r="18158">
          <cell r="G18158" t="str">
            <v>ASV14879</v>
          </cell>
          <cell r="H18158" t="str">
            <v>g__unclassified_f__Lachnospiraceae</v>
          </cell>
          <cell r="I18158" t="str">
            <v>s__unclassified_f__Lachnospiraceae</v>
          </cell>
        </row>
        <row r="18159">
          <cell r="G18159" t="str">
            <v>ASV18260</v>
          </cell>
          <cell r="H18159" t="str">
            <v>g__unclassified_p__Firmicutes</v>
          </cell>
          <cell r="I18159" t="str">
            <v>s__unclassified_p__Firmicutes</v>
          </cell>
        </row>
        <row r="18160">
          <cell r="G18160" t="str">
            <v>ASV15101</v>
          </cell>
          <cell r="H18160" t="str">
            <v>g__norank_f__norank_o__Clostridia_vadinBB60_group</v>
          </cell>
          <cell r="I18160" t="str">
            <v>s__uncultured_bacterium_g__norank_f__norank_o__Clostridia_vadinBB60_group</v>
          </cell>
        </row>
        <row r="18161">
          <cell r="G18161" t="str">
            <v>ASV8571</v>
          </cell>
          <cell r="H18161" t="str">
            <v>g__Mitsuokella</v>
          </cell>
          <cell r="I18161" t="str">
            <v>s__unclassified_g__Mitsuokella</v>
          </cell>
        </row>
        <row r="18162">
          <cell r="G18162" t="str">
            <v>ASV10901</v>
          </cell>
          <cell r="H18162" t="str">
            <v>g__Lactobacillus</v>
          </cell>
          <cell r="I18162" t="str">
            <v>s__unclassified_g__Lactobacillus</v>
          </cell>
        </row>
        <row r="18163">
          <cell r="G18163" t="str">
            <v>ASV16586</v>
          </cell>
          <cell r="H18163" t="str">
            <v>g__Turicibacter</v>
          </cell>
          <cell r="I18163" t="str">
            <v>s__unclassified_g__Turicibacter</v>
          </cell>
        </row>
        <row r="18164">
          <cell r="G18164" t="str">
            <v>ASV21519</v>
          </cell>
          <cell r="H18164" t="str">
            <v>g__Lactobacillus</v>
          </cell>
          <cell r="I18164" t="str">
            <v>s__unclassified_g__Lactobacillus</v>
          </cell>
        </row>
        <row r="18165">
          <cell r="G18165" t="str">
            <v>ASV21691</v>
          </cell>
          <cell r="H18165" t="str">
            <v>g__Megasphaera</v>
          </cell>
          <cell r="I18165" t="str">
            <v>s__unclassified_g__Megasphaera</v>
          </cell>
        </row>
        <row r="18166">
          <cell r="G18166" t="str">
            <v>ASV10129</v>
          </cell>
          <cell r="H18166" t="str">
            <v>g__Sutterella</v>
          </cell>
          <cell r="I18166" t="str">
            <v>s__uncultured_bacterium_g__Sutterella</v>
          </cell>
        </row>
        <row r="18167">
          <cell r="G18167" t="str">
            <v>ASV9800</v>
          </cell>
          <cell r="H18167" t="str">
            <v>g__unclassified_c__Clostridia</v>
          </cell>
          <cell r="I18167" t="str">
            <v>s__unclassified_c__Clostridia</v>
          </cell>
        </row>
        <row r="18168">
          <cell r="G18168" t="str">
            <v>ASV18332</v>
          </cell>
          <cell r="H18168" t="str">
            <v>g__unclassified_f__Oscillospiraceae</v>
          </cell>
          <cell r="I18168" t="str">
            <v>s__unclassified_f__Oscillospiraceae</v>
          </cell>
        </row>
        <row r="18169">
          <cell r="G18169" t="str">
            <v>ASV17252</v>
          </cell>
          <cell r="H18169" t="str">
            <v>g__unclassified_f__Peptostreptococcaceae</v>
          </cell>
          <cell r="I18169" t="str">
            <v>s__unclassified_f__Peptostreptococcaceae</v>
          </cell>
        </row>
        <row r="18170">
          <cell r="G18170" t="str">
            <v>ASV8187</v>
          </cell>
          <cell r="H18170" t="str">
            <v>g__unclassified_f__Ruminococcaceae</v>
          </cell>
          <cell r="I18170" t="str">
            <v>s__unclassified_f__Ruminococcaceae</v>
          </cell>
        </row>
        <row r="18171">
          <cell r="G18171" t="str">
            <v>ASV12309</v>
          </cell>
          <cell r="H18171" t="str">
            <v>g__unclassified_p__Firmicutes</v>
          </cell>
          <cell r="I18171" t="str">
            <v>s__unclassified_p__Firmicutes</v>
          </cell>
        </row>
        <row r="18172">
          <cell r="G18172" t="str">
            <v>ASV1354</v>
          </cell>
          <cell r="H18172" t="str">
            <v>g__Prevotella</v>
          </cell>
          <cell r="I18172" t="str">
            <v>s__unclassified_g__Prevotella</v>
          </cell>
        </row>
        <row r="18173">
          <cell r="G18173" t="str">
            <v>ASV18426</v>
          </cell>
          <cell r="H18173" t="str">
            <v>g__unclassified_c__Clostridia</v>
          </cell>
          <cell r="I18173" t="str">
            <v>s__unclassified_c__Clostridia</v>
          </cell>
        </row>
        <row r="18174">
          <cell r="G18174" t="str">
            <v>ASV24334</v>
          </cell>
          <cell r="H18174" t="str">
            <v>g__Lactobacillus</v>
          </cell>
          <cell r="I18174" t="str">
            <v>s__unclassified_g__Lactobacillus</v>
          </cell>
        </row>
        <row r="18175">
          <cell r="G18175" t="str">
            <v>ASV12351</v>
          </cell>
          <cell r="H18175" t="str">
            <v>g__unclassified_f__Ruminococcaceae</v>
          </cell>
          <cell r="I18175" t="str">
            <v>s__unclassified_f__Ruminococcaceae</v>
          </cell>
        </row>
        <row r="18176">
          <cell r="G18176" t="str">
            <v>ASV12189</v>
          </cell>
          <cell r="H18176" t="str">
            <v>g__unclassified_k__norank_d__Bacteria</v>
          </cell>
          <cell r="I18176" t="str">
            <v>s__unclassified_k__norank_d__Bacteria</v>
          </cell>
        </row>
        <row r="18177">
          <cell r="G18177" t="str">
            <v>ASV8068</v>
          </cell>
          <cell r="H18177" t="str">
            <v>g__Corynebacterium</v>
          </cell>
          <cell r="I18177" t="str">
            <v>s__unclassified_g__Corynebacterium</v>
          </cell>
        </row>
        <row r="18178">
          <cell r="G18178" t="str">
            <v>ASV20168</v>
          </cell>
          <cell r="H18178" t="str">
            <v>g__unclassified_k__norank_d__Bacteria</v>
          </cell>
          <cell r="I18178" t="str">
            <v>s__unclassified_k__norank_d__Bacteria</v>
          </cell>
        </row>
        <row r="18179">
          <cell r="G18179" t="str">
            <v>ASV2563</v>
          </cell>
          <cell r="H18179" t="str">
            <v>g__norank_f__UCG-010</v>
          </cell>
          <cell r="I18179" t="str">
            <v>s__uncultured_bacterium_g__norank_f__UCG-010</v>
          </cell>
        </row>
        <row r="18180">
          <cell r="G18180" t="str">
            <v>ASV5292</v>
          </cell>
          <cell r="H18180" t="str">
            <v>g__Lachnospiraceae_UCG-004</v>
          </cell>
          <cell r="I18180" t="str">
            <v>s__uncultured_bacterium_g__Lachnospiraceae_UCG-004</v>
          </cell>
        </row>
        <row r="18181">
          <cell r="G18181" t="str">
            <v>ASV5205</v>
          </cell>
          <cell r="H18181" t="str">
            <v>g__unclassified_o__Bacteroidales</v>
          </cell>
          <cell r="I18181" t="str">
            <v>s__unclassified_o__Bacteroidales</v>
          </cell>
        </row>
        <row r="18182">
          <cell r="G18182" t="str">
            <v>ASV23876</v>
          </cell>
          <cell r="H18182" t="str">
            <v>g__Lactobacillus</v>
          </cell>
          <cell r="I18182" t="str">
            <v>s__unclassified_g__Lactobacillus</v>
          </cell>
        </row>
        <row r="18183">
          <cell r="G18183" t="str">
            <v>ASV6314</v>
          </cell>
          <cell r="H18183" t="str">
            <v>g__unclassified_c__Clostridia</v>
          </cell>
          <cell r="I18183" t="str">
            <v>s__unclassified_c__Clostridia</v>
          </cell>
        </row>
        <row r="18184">
          <cell r="G18184" t="str">
            <v>ASV21349</v>
          </cell>
          <cell r="H18184" t="str">
            <v>g__unclassified_k__norank_d__Bacteria</v>
          </cell>
          <cell r="I18184" t="str">
            <v>s__unclassified_k__norank_d__Bacteria</v>
          </cell>
        </row>
        <row r="18185">
          <cell r="G18185" t="str">
            <v>ASV12302</v>
          </cell>
          <cell r="H18185" t="str">
            <v>g__unclassified_f__Ruminococcaceae</v>
          </cell>
          <cell r="I18185" t="str">
            <v>s__unclassified_f__Ruminococcaceae</v>
          </cell>
        </row>
        <row r="18186">
          <cell r="G18186" t="str">
            <v>ASV10909</v>
          </cell>
          <cell r="H18186" t="str">
            <v>g__unclassified_c__Clostridia</v>
          </cell>
          <cell r="I18186" t="str">
            <v>s__unclassified_c__Clostridia</v>
          </cell>
        </row>
        <row r="18187">
          <cell r="G18187" t="str">
            <v>ASV9748</v>
          </cell>
          <cell r="H18187" t="str">
            <v>g__unclassified_f__Oscillospiraceae</v>
          </cell>
          <cell r="I18187" t="str">
            <v>s__unclassified_f__Oscillospiraceae</v>
          </cell>
        </row>
        <row r="18188">
          <cell r="G18188" t="str">
            <v>ASV19892</v>
          </cell>
          <cell r="H18188" t="str">
            <v>g__unclassified_p__Firmicutes</v>
          </cell>
          <cell r="I18188" t="str">
            <v>s__unclassified_p__Firmicutes</v>
          </cell>
        </row>
        <row r="18189">
          <cell r="G18189" t="str">
            <v>ASV5417</v>
          </cell>
          <cell r="H18189" t="str">
            <v>g__unclassified_c__Clostridia</v>
          </cell>
          <cell r="I18189" t="str">
            <v>s__unclassified_c__Clostridia</v>
          </cell>
        </row>
        <row r="18190">
          <cell r="G18190" t="str">
            <v>ASV23857</v>
          </cell>
          <cell r="H18190" t="str">
            <v>g__Solobacterium</v>
          </cell>
          <cell r="I18190" t="str">
            <v>s__uncultured_organism_g__Solobacterium</v>
          </cell>
        </row>
        <row r="18191">
          <cell r="G18191" t="str">
            <v>ASV6876</v>
          </cell>
          <cell r="H18191" t="str">
            <v>g__unclassified_k__norank_d__Bacteria</v>
          </cell>
          <cell r="I18191" t="str">
            <v>s__unclassified_k__norank_d__Bacteria</v>
          </cell>
        </row>
        <row r="18192">
          <cell r="G18192" t="str">
            <v>ASV14683</v>
          </cell>
          <cell r="H18192" t="str">
            <v>g__unclassified_f__Lachnospiraceae</v>
          </cell>
          <cell r="I18192" t="str">
            <v>s__unclassified_f__Lachnospiraceae</v>
          </cell>
        </row>
        <row r="18193">
          <cell r="G18193" t="str">
            <v>ASV22857</v>
          </cell>
          <cell r="H18193" t="str">
            <v>g__unclassified_f__Lachnospiraceae</v>
          </cell>
          <cell r="I18193" t="str">
            <v>s__unclassified_f__Lachnospiraceae</v>
          </cell>
        </row>
        <row r="18194">
          <cell r="G18194" t="str">
            <v>ASV21109</v>
          </cell>
          <cell r="H18194" t="str">
            <v>g__unclassified_c__Clostridia</v>
          </cell>
          <cell r="I18194" t="str">
            <v>s__unclassified_c__Clostridia</v>
          </cell>
        </row>
        <row r="18195">
          <cell r="G18195" t="str">
            <v>ASV13550</v>
          </cell>
          <cell r="H18195" t="str">
            <v>g__unclassified_c__Clostridia</v>
          </cell>
          <cell r="I18195" t="str">
            <v>s__unclassified_c__Clostridia</v>
          </cell>
        </row>
        <row r="18196">
          <cell r="G18196" t="str">
            <v>ASV1307</v>
          </cell>
          <cell r="H18196" t="str">
            <v>g__norank_f__Muribaculaceae</v>
          </cell>
          <cell r="I18196" t="str">
            <v>s__uncultured_bacterium_g__norank_f__Muribaculaceae</v>
          </cell>
        </row>
        <row r="18197">
          <cell r="G18197" t="str">
            <v>ASV21132</v>
          </cell>
          <cell r="H18197" t="str">
            <v>g__unclassified_f__Lachnospiraceae</v>
          </cell>
          <cell r="I18197" t="str">
            <v>s__unclassified_f__Lachnospiraceae</v>
          </cell>
        </row>
        <row r="18198">
          <cell r="G18198" t="str">
            <v>ASV14789</v>
          </cell>
          <cell r="H18198" t="str">
            <v>g__unclassified_p__Firmicutes</v>
          </cell>
          <cell r="I18198" t="str">
            <v>s__unclassified_p__Firmicutes</v>
          </cell>
        </row>
        <row r="18199">
          <cell r="G18199" t="str">
            <v>ASV5181</v>
          </cell>
          <cell r="H18199" t="str">
            <v>g__Lactobacillus</v>
          </cell>
          <cell r="I18199" t="str">
            <v>s__unclassified_g__Lactobacillus</v>
          </cell>
        </row>
        <row r="18200">
          <cell r="G18200" t="str">
            <v>ASV6312</v>
          </cell>
          <cell r="H18200" t="str">
            <v>g__unclassified_k__norank_d__Bacteria</v>
          </cell>
          <cell r="I18200" t="str">
            <v>s__unclassified_k__norank_d__Bacteria</v>
          </cell>
        </row>
        <row r="18201">
          <cell r="G18201" t="str">
            <v>ASV19108</v>
          </cell>
          <cell r="H18201" t="str">
            <v>g__unclassified_k__norank_d__Bacteria</v>
          </cell>
          <cell r="I18201" t="str">
            <v>s__unclassified_k__norank_d__Bacteria</v>
          </cell>
        </row>
        <row r="18202">
          <cell r="G18202" t="str">
            <v>ASV1786</v>
          </cell>
          <cell r="H18202" t="str">
            <v>g__Cloacibacillus</v>
          </cell>
          <cell r="I18202" t="str">
            <v>s__unclassified_g__Cloacibacillus</v>
          </cell>
        </row>
        <row r="18203">
          <cell r="G18203" t="str">
            <v>ASV17332</v>
          </cell>
          <cell r="H18203" t="str">
            <v>g__Corynebacterium</v>
          </cell>
          <cell r="I18203" t="str">
            <v>s__unclassified_g__Corynebacterium</v>
          </cell>
        </row>
        <row r="18204">
          <cell r="G18204" t="str">
            <v>ASV22836</v>
          </cell>
          <cell r="H18204" t="str">
            <v>g__unclassified_c__Clostridia</v>
          </cell>
          <cell r="I18204" t="str">
            <v>s__unclassified_c__Clostridia</v>
          </cell>
        </row>
        <row r="18205">
          <cell r="G18205" t="str">
            <v>ASV15682</v>
          </cell>
          <cell r="H18205" t="str">
            <v>g__unclassified_c__Clostridia</v>
          </cell>
          <cell r="I18205" t="str">
            <v>s__unclassified_c__Clostridia</v>
          </cell>
        </row>
        <row r="18206">
          <cell r="G18206" t="str">
            <v>ASV21354</v>
          </cell>
          <cell r="H18206" t="str">
            <v>g__Clostridium_sensu_stricto_1</v>
          </cell>
          <cell r="I18206" t="str">
            <v>s__unclassified_g__Clostridium_sensu_stricto_1</v>
          </cell>
        </row>
        <row r="18207">
          <cell r="G18207" t="str">
            <v>ASV20036</v>
          </cell>
          <cell r="H18207" t="str">
            <v>g__unclassified_c__Clostridia</v>
          </cell>
          <cell r="I18207" t="str">
            <v>s__unclassified_c__Clostridia</v>
          </cell>
        </row>
        <row r="18208">
          <cell r="G18208" t="str">
            <v>ASV1191</v>
          </cell>
          <cell r="H18208" t="str">
            <v>g__Escherichia-Shigella</v>
          </cell>
          <cell r="I18208" t="str">
            <v>s__unclassified_g__Escherichia-Shigella</v>
          </cell>
        </row>
        <row r="18209">
          <cell r="G18209" t="str">
            <v>ASV9119</v>
          </cell>
          <cell r="H18209" t="str">
            <v>g__UCG-005</v>
          </cell>
          <cell r="I18209" t="str">
            <v>s__uncultured_bacterium_g__UCG-005</v>
          </cell>
        </row>
        <row r="18210">
          <cell r="G18210" t="str">
            <v>ASV5185</v>
          </cell>
          <cell r="H18210" t="str">
            <v>g__Treponema</v>
          </cell>
          <cell r="I18210" t="str">
            <v>s__uncultured_bacterium_g__Treponema</v>
          </cell>
        </row>
        <row r="18211">
          <cell r="G18211" t="str">
            <v>ASV13604</v>
          </cell>
          <cell r="H18211" t="str">
            <v>g__Eubacterium_siraeum_group</v>
          </cell>
          <cell r="I18211" t="str">
            <v>s__uncultured_bacterium_g__Eubacterium_siraeum_group</v>
          </cell>
        </row>
        <row r="18212">
          <cell r="G18212" t="str">
            <v>ASV1309</v>
          </cell>
          <cell r="H18212" t="str">
            <v>g__Streptococcus</v>
          </cell>
          <cell r="I18212" t="str">
            <v>s__unclassified_g__Streptococcus</v>
          </cell>
        </row>
        <row r="18213">
          <cell r="G18213" t="str">
            <v>ASV24267</v>
          </cell>
          <cell r="H18213" t="str">
            <v>g__norank_f__Erysipelotrichaceae</v>
          </cell>
          <cell r="I18213" t="str">
            <v>s__uncultured_bacterium_g__norank_f__Erysipelotrichaceae</v>
          </cell>
        </row>
        <row r="18214">
          <cell r="G18214" t="str">
            <v>ASV3286</v>
          </cell>
          <cell r="H18214" t="str">
            <v>g__unclassified_p__Firmicutes</v>
          </cell>
          <cell r="I18214" t="str">
            <v>s__unclassified_p__Firmicutes</v>
          </cell>
        </row>
        <row r="18215">
          <cell r="G18215" t="str">
            <v>ASV12137</v>
          </cell>
          <cell r="H18215" t="str">
            <v>g__unclassified_c__Clostridia</v>
          </cell>
          <cell r="I18215" t="str">
            <v>s__unclassified_c__Clostridia</v>
          </cell>
        </row>
        <row r="18216">
          <cell r="G18216" t="str">
            <v>ASV6216</v>
          </cell>
          <cell r="H18216" t="str">
            <v>g__unclassified_c__Clostridia</v>
          </cell>
          <cell r="I18216" t="str">
            <v>s__unclassified_c__Clostridia</v>
          </cell>
        </row>
        <row r="18217">
          <cell r="G18217" t="str">
            <v>ASV9895</v>
          </cell>
          <cell r="H18217" t="str">
            <v>g__unclassified_f__Comamonadaceae</v>
          </cell>
          <cell r="I18217" t="str">
            <v>s__unclassified_f__Comamonadaceae</v>
          </cell>
        </row>
        <row r="18218">
          <cell r="G18218" t="str">
            <v>ASV1451</v>
          </cell>
          <cell r="H18218" t="str">
            <v>g__Prevotella</v>
          </cell>
          <cell r="I18218" t="str">
            <v>s__unclassified_g__Prevotella</v>
          </cell>
        </row>
        <row r="18219">
          <cell r="G18219" t="str">
            <v>ASV7212</v>
          </cell>
          <cell r="H18219" t="str">
            <v>g__Aureimonas</v>
          </cell>
          <cell r="I18219" t="str">
            <v>s__unclassified_g__Aureimonas</v>
          </cell>
        </row>
        <row r="18220">
          <cell r="G18220" t="str">
            <v>ASV4336</v>
          </cell>
          <cell r="H18220" t="str">
            <v>g__unclassified_f__Lachnospiraceae</v>
          </cell>
          <cell r="I18220" t="str">
            <v>s__unclassified_f__Lachnospiraceae</v>
          </cell>
        </row>
        <row r="18221">
          <cell r="G18221" t="str">
            <v>ASV12330</v>
          </cell>
          <cell r="H18221" t="str">
            <v>g__unclassified_c__Bacilli</v>
          </cell>
          <cell r="I18221" t="str">
            <v>s__unclassified_c__Bacilli</v>
          </cell>
        </row>
        <row r="18222">
          <cell r="G18222" t="str">
            <v>ASV6393</v>
          </cell>
          <cell r="H18222" t="str">
            <v>g__unclassified_k__norank_d__Bacteria</v>
          </cell>
          <cell r="I18222" t="str">
            <v>s__unclassified_k__norank_d__Bacteria</v>
          </cell>
        </row>
        <row r="18223">
          <cell r="G18223" t="str">
            <v>ASV12083</v>
          </cell>
          <cell r="H18223" t="str">
            <v>g__unclassified_k__norank_d__Bacteria</v>
          </cell>
          <cell r="I18223" t="str">
            <v>s__unclassified_k__norank_d__Bacteria</v>
          </cell>
        </row>
        <row r="18224">
          <cell r="G18224" t="str">
            <v>ASV2444</v>
          </cell>
          <cell r="H18224" t="str">
            <v>g__unclassified_f__Lachnospiraceae</v>
          </cell>
          <cell r="I18224" t="str">
            <v>s__unclassified_f__Lachnospiraceae</v>
          </cell>
        </row>
        <row r="18225">
          <cell r="G18225" t="str">
            <v>ASV21660</v>
          </cell>
          <cell r="H18225" t="str">
            <v>g__unclassified_o__Coriobacteriales</v>
          </cell>
          <cell r="I18225" t="str">
            <v>s__unclassified_o__Coriobacteriales</v>
          </cell>
        </row>
        <row r="18226">
          <cell r="G18226" t="str">
            <v>ASV10844</v>
          </cell>
          <cell r="H18226" t="str">
            <v>g__unclassified_o__Oscillospirales</v>
          </cell>
          <cell r="I18226" t="str">
            <v>s__unclassified_o__Oscillospirales</v>
          </cell>
        </row>
        <row r="18227">
          <cell r="G18227" t="str">
            <v>ASV13595</v>
          </cell>
          <cell r="H18227" t="str">
            <v>g__unclassified_f__Anaerovoracaceae</v>
          </cell>
          <cell r="I18227" t="str">
            <v>s__unclassified_f__Anaerovoracaceae</v>
          </cell>
        </row>
        <row r="18228">
          <cell r="G18228" t="str">
            <v>ASV24310</v>
          </cell>
          <cell r="H18228" t="str">
            <v>g__unclassified_f__Lachnospiraceae</v>
          </cell>
          <cell r="I18228" t="str">
            <v>s__unclassified_f__Lachnospiraceae</v>
          </cell>
        </row>
        <row r="18229">
          <cell r="G18229" t="str">
            <v>ASV10236</v>
          </cell>
          <cell r="H18229" t="str">
            <v>g__Lactobacillus</v>
          </cell>
          <cell r="I18229" t="str">
            <v>s__Lactobacillus_sp._KLDS_1.0716</v>
          </cell>
        </row>
        <row r="18230">
          <cell r="G18230" t="str">
            <v>ASV1172</v>
          </cell>
          <cell r="H18230" t="str">
            <v>g__unclassified_c__Clostridia</v>
          </cell>
          <cell r="I18230" t="str">
            <v>s__unclassified_c__Clostridia</v>
          </cell>
        </row>
        <row r="18231">
          <cell r="G18231" t="str">
            <v>ASV5298</v>
          </cell>
          <cell r="H18231" t="str">
            <v>g__Lactobacillus</v>
          </cell>
          <cell r="I18231" t="str">
            <v>s__unclassified_g__Lactobacillus</v>
          </cell>
        </row>
        <row r="18232">
          <cell r="G18232" t="str">
            <v>ASV6956</v>
          </cell>
          <cell r="H18232" t="str">
            <v>g__Streptococcus</v>
          </cell>
          <cell r="I18232" t="str">
            <v>s__unclassified_g__Streptococcus</v>
          </cell>
        </row>
        <row r="18233">
          <cell r="G18233" t="str">
            <v>ASV2488</v>
          </cell>
          <cell r="H18233" t="str">
            <v>g__unclassified_c__Clostridia</v>
          </cell>
          <cell r="I18233" t="str">
            <v>s__unclassified_c__Clostridia</v>
          </cell>
        </row>
        <row r="18234">
          <cell r="G18234" t="str">
            <v>ASV10359</v>
          </cell>
          <cell r="H18234" t="str">
            <v>g__unclassified_c__Clostridia</v>
          </cell>
          <cell r="I18234" t="str">
            <v>s__unclassified_c__Clostridia</v>
          </cell>
        </row>
        <row r="18235">
          <cell r="G18235" t="str">
            <v>ASV1156</v>
          </cell>
          <cell r="H18235" t="str">
            <v>g__norank_f__Muribaculaceae</v>
          </cell>
          <cell r="I18235" t="str">
            <v>s__uncultured_bacterium_g__norank_f__Muribaculaceae</v>
          </cell>
        </row>
        <row r="18236">
          <cell r="G18236" t="str">
            <v>ASV21013</v>
          </cell>
          <cell r="H18236" t="str">
            <v>g__unclassified_f__Lachnospiraceae</v>
          </cell>
          <cell r="I18236" t="str">
            <v>s__unclassified_f__Lachnospiraceae</v>
          </cell>
        </row>
        <row r="18237">
          <cell r="G18237" t="str">
            <v>ASV12421</v>
          </cell>
          <cell r="H18237" t="str">
            <v>g__Christensenellaceae_R-7_group</v>
          </cell>
          <cell r="I18237" t="str">
            <v>s__unclassified_g__Christensenellaceae_R-7_group</v>
          </cell>
        </row>
        <row r="18238">
          <cell r="G18238" t="str">
            <v>ASV5147</v>
          </cell>
          <cell r="H18238" t="str">
            <v>g__unclassified_k__norank_d__Bacteria</v>
          </cell>
          <cell r="I18238" t="str">
            <v>s__unclassified_k__norank_d__Bacteria</v>
          </cell>
        </row>
        <row r="18239">
          <cell r="G18239" t="str">
            <v>ASV8892</v>
          </cell>
          <cell r="H18239" t="str">
            <v>g__Anaerovibrio</v>
          </cell>
          <cell r="I18239" t="str">
            <v>s__unclassified_g__Anaerovibrio</v>
          </cell>
        </row>
        <row r="18240">
          <cell r="G18240" t="str">
            <v>ASV21340</v>
          </cell>
          <cell r="H18240" t="str">
            <v>g__unclassified_k__norank_d__Bacteria</v>
          </cell>
          <cell r="I18240" t="str">
            <v>s__unclassified_k__norank_d__Bacteria</v>
          </cell>
        </row>
        <row r="18241">
          <cell r="G18241" t="str">
            <v>ASV22584</v>
          </cell>
          <cell r="H18241" t="str">
            <v>g__Christensenellaceae_R-7_group</v>
          </cell>
          <cell r="I18241" t="str">
            <v>s__uncultured_Clostridium_sp._g__Christensenellaceae_R-7_group</v>
          </cell>
        </row>
        <row r="18242">
          <cell r="G18242" t="str">
            <v>ASV19936</v>
          </cell>
          <cell r="H18242" t="str">
            <v>g__Rikenellaceae_RC9_gut_group</v>
          </cell>
          <cell r="I18242" t="str">
            <v>s__unclassified_g__Rikenellaceae_RC9_gut_group</v>
          </cell>
        </row>
        <row r="18243">
          <cell r="G18243" t="str">
            <v>ASV15862</v>
          </cell>
          <cell r="H18243" t="str">
            <v>g__Bacillus</v>
          </cell>
          <cell r="I18243" t="str">
            <v>s__Lactobacillus_vaginalis_g__Bacillus</v>
          </cell>
        </row>
        <row r="18244">
          <cell r="G18244" t="str">
            <v>ASV21556</v>
          </cell>
          <cell r="H18244" t="str">
            <v>g__Lactobacillus</v>
          </cell>
          <cell r="I18244" t="str">
            <v>s__unclassified_g__Lactobacillus</v>
          </cell>
        </row>
        <row r="18245">
          <cell r="G18245" t="str">
            <v>ASV10978</v>
          </cell>
          <cell r="H18245" t="str">
            <v>g__unclassified_f__Peptostreptococcaceae</v>
          </cell>
          <cell r="I18245" t="str">
            <v>s__unclassified_f__Peptostreptococcaceae</v>
          </cell>
        </row>
        <row r="18246">
          <cell r="G18246" t="str">
            <v>ASV7391</v>
          </cell>
          <cell r="H18246" t="str">
            <v>g__Sharpea</v>
          </cell>
          <cell r="I18246" t="str">
            <v>s__unclassified_g__Sharpea</v>
          </cell>
        </row>
        <row r="18247">
          <cell r="G18247" t="str">
            <v>ASV3531</v>
          </cell>
          <cell r="H18247" t="str">
            <v>g__Escherichia-Shigella</v>
          </cell>
          <cell r="I18247" t="str">
            <v>s__unclassified_g__Escherichia-Shigella</v>
          </cell>
        </row>
        <row r="18248">
          <cell r="G18248" t="str">
            <v>ASV14689</v>
          </cell>
          <cell r="H18248" t="str">
            <v>g__unclassified_o__Bacteroidales</v>
          </cell>
          <cell r="I18248" t="str">
            <v>s__unclassified_o__Bacteroidales</v>
          </cell>
        </row>
        <row r="18249">
          <cell r="G18249" t="str">
            <v>ASV22593</v>
          </cell>
          <cell r="H18249" t="str">
            <v>g__unclassified_f__Lachnospiraceae</v>
          </cell>
          <cell r="I18249" t="str">
            <v>s__unclassified_f__Lachnospiraceae</v>
          </cell>
        </row>
        <row r="18250">
          <cell r="G18250" t="str">
            <v>ASV6363</v>
          </cell>
          <cell r="H18250" t="str">
            <v>g__Rikenellaceae_RC9_gut_group</v>
          </cell>
          <cell r="I18250" t="str">
            <v>s__uncultured_bacterium_g__Rikenellaceae_RC9_gut_group</v>
          </cell>
        </row>
        <row r="18251">
          <cell r="G18251" t="str">
            <v>ASV17251</v>
          </cell>
          <cell r="H18251" t="str">
            <v>g__Peptostreptococcus</v>
          </cell>
          <cell r="I18251" t="str">
            <v>s__unclassified_g__Peptostreptococcus</v>
          </cell>
        </row>
        <row r="18252">
          <cell r="G18252" t="str">
            <v>ASV14703</v>
          </cell>
          <cell r="H18252" t="str">
            <v>g__unclassified_p__Firmicutes</v>
          </cell>
          <cell r="I18252" t="str">
            <v>s__unclassified_p__Firmicutes</v>
          </cell>
        </row>
        <row r="18253">
          <cell r="G18253" t="str">
            <v>ASV18970</v>
          </cell>
          <cell r="H18253" t="str">
            <v>g__unclassified_f__Peptostreptococcaceae</v>
          </cell>
          <cell r="I18253" t="str">
            <v>s__unclassified_f__Peptostreptococcaceae</v>
          </cell>
        </row>
        <row r="18254">
          <cell r="G18254" t="str">
            <v>ASV10952</v>
          </cell>
          <cell r="H18254" t="str">
            <v>g__unclassified_f__Ruminococcaceae</v>
          </cell>
          <cell r="I18254" t="str">
            <v>s__unclassified_f__Ruminococcaceae</v>
          </cell>
        </row>
        <row r="18255">
          <cell r="G18255" t="str">
            <v>ASV5394</v>
          </cell>
          <cell r="H18255" t="str">
            <v>g__unclassified_o__Oscillospirales</v>
          </cell>
          <cell r="I18255" t="str">
            <v>s__unclassified_o__Oscillospirales</v>
          </cell>
        </row>
        <row r="18256">
          <cell r="G18256" t="str">
            <v>ASV4351</v>
          </cell>
          <cell r="H18256" t="str">
            <v>g__unclassified_c__Clostridia</v>
          </cell>
          <cell r="I18256" t="str">
            <v>s__unclassified_c__Clostridia</v>
          </cell>
        </row>
        <row r="18257">
          <cell r="G18257" t="str">
            <v>ASV16592</v>
          </cell>
          <cell r="H18257" t="str">
            <v>g__Rikenellaceae_RC9_gut_group</v>
          </cell>
          <cell r="I18257" t="str">
            <v>s__uncultured_Rikenella_sp._g__Rikenellaceae_RC9_gut_group</v>
          </cell>
        </row>
        <row r="18258">
          <cell r="G18258" t="str">
            <v>ASV17537</v>
          </cell>
          <cell r="H18258" t="str">
            <v>g__unclassified_k__norank_d__Bacteria</v>
          </cell>
          <cell r="I18258" t="str">
            <v>s__unclassified_k__norank_d__Bacteria</v>
          </cell>
        </row>
        <row r="18259">
          <cell r="G18259" t="str">
            <v>ASV24060</v>
          </cell>
          <cell r="H18259" t="str">
            <v>g__unclassified_f__Oscillospiraceae</v>
          </cell>
          <cell r="I18259" t="str">
            <v>s__unclassified_f__Oscillospiraceae</v>
          </cell>
        </row>
        <row r="18260">
          <cell r="G18260" t="str">
            <v>ASV6917</v>
          </cell>
          <cell r="H18260" t="str">
            <v>g__unclassified_f__Anaerovoracaceae</v>
          </cell>
          <cell r="I18260" t="str">
            <v>s__unclassified_f__Anaerovoracaceae</v>
          </cell>
        </row>
        <row r="18261">
          <cell r="G18261" t="str">
            <v>ASV1341</v>
          </cell>
          <cell r="H18261" t="str">
            <v>g__Streptococcus</v>
          </cell>
          <cell r="I18261" t="str">
            <v>s__unclassified_g__Streptococcus</v>
          </cell>
        </row>
        <row r="18262">
          <cell r="G18262" t="str">
            <v>ASV22821</v>
          </cell>
          <cell r="H18262" t="str">
            <v>g__norank_f__Eubacterium_coprostanoligenes_group</v>
          </cell>
          <cell r="I18262" t="str">
            <v>s__unclassified_g__norank_f__Eubacterium_coprostanoligenes_group</v>
          </cell>
        </row>
        <row r="18263">
          <cell r="G18263" t="str">
            <v>ASV1104</v>
          </cell>
          <cell r="H18263" t="str">
            <v>g__unclassified_k__norank_d__Bacteria</v>
          </cell>
          <cell r="I18263" t="str">
            <v>s__unclassified_k__norank_d__Bacteria</v>
          </cell>
        </row>
        <row r="18264">
          <cell r="G18264" t="str">
            <v>ASV1511</v>
          </cell>
          <cell r="H18264" t="str">
            <v>g__norank_f__Muribaculaceae</v>
          </cell>
          <cell r="I18264" t="str">
            <v>s__uncultured_bacterium_g__norank_f__Muribaculaceae</v>
          </cell>
        </row>
        <row r="18265">
          <cell r="G18265" t="str">
            <v>ASV8855</v>
          </cell>
          <cell r="H18265" t="str">
            <v>g__Pedobacter</v>
          </cell>
          <cell r="I18265" t="str">
            <v>s__Pedobacter_boryungensis</v>
          </cell>
        </row>
        <row r="18266">
          <cell r="G18266" t="str">
            <v>ASV3392</v>
          </cell>
          <cell r="H18266" t="str">
            <v>g__Tyzzerella</v>
          </cell>
          <cell r="I18266" t="str">
            <v>s__uncultured_bacterium_g__Tyzzerella</v>
          </cell>
        </row>
        <row r="18267">
          <cell r="G18267" t="str">
            <v>ASV1400</v>
          </cell>
          <cell r="H18267" t="str">
            <v>g__Christensenellaceae_R-7_group</v>
          </cell>
          <cell r="I18267" t="str">
            <v>s__unclassified_g__Christensenellaceae_R-7_group</v>
          </cell>
        </row>
        <row r="18268">
          <cell r="G18268" t="str">
            <v>ASV1391</v>
          </cell>
          <cell r="H18268" t="str">
            <v>g__Clostridium_sensu_stricto_1</v>
          </cell>
          <cell r="I18268" t="str">
            <v>s__unclassified_g__Clostridium_sensu_stricto_1</v>
          </cell>
        </row>
        <row r="18269">
          <cell r="G18269" t="str">
            <v>ASV18281</v>
          </cell>
          <cell r="H18269" t="str">
            <v>g__Alistipes</v>
          </cell>
          <cell r="I18269" t="str">
            <v>s__uncultured_bacterium_g__Alistipes</v>
          </cell>
        </row>
        <row r="18270">
          <cell r="G18270" t="str">
            <v>ASV5229</v>
          </cell>
          <cell r="H18270" t="str">
            <v>g__Eubacterium_oxidoreducens_group</v>
          </cell>
          <cell r="I18270" t="str">
            <v>s__uncultured_bacterium_g__Eubacterium_oxidoreducens_group</v>
          </cell>
        </row>
        <row r="18271">
          <cell r="G18271" t="str">
            <v>ASV24314</v>
          </cell>
          <cell r="H18271" t="str">
            <v>g__Lachnospiraceae_UCG-004</v>
          </cell>
          <cell r="I18271" t="str">
            <v>s__uncultured_bacterium_g__Lachnospiraceae_UCG-004</v>
          </cell>
        </row>
        <row r="18272">
          <cell r="G18272" t="str">
            <v>ASV14874</v>
          </cell>
          <cell r="H18272" t="str">
            <v>g__unclassified_f__Anaerovoracaceae</v>
          </cell>
          <cell r="I18272" t="str">
            <v>s__unclassified_f__Anaerovoracaceae</v>
          </cell>
        </row>
        <row r="18273">
          <cell r="G18273" t="str">
            <v>ASV10940</v>
          </cell>
          <cell r="H18273" t="str">
            <v>g__unclassified_c__Clostridia</v>
          </cell>
          <cell r="I18273" t="str">
            <v>s__unclassified_c__Clostridia</v>
          </cell>
        </row>
        <row r="18274">
          <cell r="G18274" t="str">
            <v>ASV9078</v>
          </cell>
          <cell r="H18274" t="str">
            <v>g__unclassified_c__Clostridia</v>
          </cell>
          <cell r="I18274" t="str">
            <v>s__unclassified_c__Clostridia</v>
          </cell>
        </row>
        <row r="18275">
          <cell r="G18275" t="str">
            <v>ASV2547</v>
          </cell>
          <cell r="H18275" t="str">
            <v>g__unclassified_p__Firmicutes</v>
          </cell>
          <cell r="I18275" t="str">
            <v>s__unclassified_p__Firmicutes</v>
          </cell>
        </row>
        <row r="18276">
          <cell r="G18276" t="str">
            <v>ASV12276</v>
          </cell>
          <cell r="H18276" t="str">
            <v>g__unclassified_f__Peptostreptococcaceae</v>
          </cell>
          <cell r="I18276" t="str">
            <v>s__unclassified_f__Peptostreptococcaceae</v>
          </cell>
        </row>
        <row r="18277">
          <cell r="G18277" t="str">
            <v>ASV13200</v>
          </cell>
          <cell r="H18277" t="str">
            <v>g__Lactobacillus</v>
          </cell>
          <cell r="I18277" t="str">
            <v>s__unclassified_g__Lactobacillus</v>
          </cell>
        </row>
        <row r="18278">
          <cell r="G18278" t="str">
            <v>ASV17115</v>
          </cell>
          <cell r="H18278" t="str">
            <v>g__Blautia</v>
          </cell>
          <cell r="I18278" t="str">
            <v>s__unclassified_g__Blautia</v>
          </cell>
        </row>
        <row r="18279">
          <cell r="G18279" t="str">
            <v>ASV8231</v>
          </cell>
          <cell r="H18279" t="str">
            <v>g__Christensenellaceae_R-7_group</v>
          </cell>
          <cell r="I18279" t="str">
            <v>s__unclassified_g__Christensenellaceae_R-7_group</v>
          </cell>
        </row>
        <row r="18280">
          <cell r="G18280" t="str">
            <v>ASV4326</v>
          </cell>
          <cell r="H18280" t="str">
            <v>g__Desulfovibrio</v>
          </cell>
          <cell r="I18280" t="str">
            <v>s__unclassified_g__Desulfovibrio</v>
          </cell>
        </row>
        <row r="18281">
          <cell r="G18281" t="str">
            <v>ASV18427</v>
          </cell>
          <cell r="H18281" t="str">
            <v>g__unclassified_c__Clostridia</v>
          </cell>
          <cell r="I18281" t="str">
            <v>s__unclassified_c__Clostridia</v>
          </cell>
        </row>
        <row r="18282">
          <cell r="G18282" t="str">
            <v>ASV14715</v>
          </cell>
          <cell r="H18282" t="str">
            <v>g__unclassified_c__Clostridia</v>
          </cell>
          <cell r="I18282" t="str">
            <v>s__unclassified_c__Clostridia</v>
          </cell>
        </row>
        <row r="18283">
          <cell r="G18283" t="str">
            <v>ASV9825</v>
          </cell>
          <cell r="H18283" t="str">
            <v>g__Lactobacillus</v>
          </cell>
          <cell r="I18283" t="str">
            <v>s__unclassified_g__Lactobacillus</v>
          </cell>
        </row>
        <row r="18284">
          <cell r="G18284" t="str">
            <v>ASV14753</v>
          </cell>
          <cell r="H18284" t="str">
            <v>g__Lactobacillus</v>
          </cell>
          <cell r="I18284" t="str">
            <v>s__unclassified_g__Lactobacillus</v>
          </cell>
        </row>
        <row r="18285">
          <cell r="G18285" t="str">
            <v>ASV2434</v>
          </cell>
          <cell r="H18285" t="str">
            <v>g__Enterococcus</v>
          </cell>
          <cell r="I18285" t="str">
            <v>s__unclassified_g__Enterococcus</v>
          </cell>
        </row>
        <row r="18286">
          <cell r="G18286" t="str">
            <v>ASV9067</v>
          </cell>
          <cell r="H18286" t="str">
            <v>g__Treponema</v>
          </cell>
          <cell r="I18286" t="str">
            <v>s__unclassified_g__Treponema</v>
          </cell>
        </row>
        <row r="18287">
          <cell r="G18287" t="str">
            <v>ASV10115</v>
          </cell>
          <cell r="H18287" t="str">
            <v>g__unclassified_f__Lachnospiraceae</v>
          </cell>
          <cell r="I18287" t="str">
            <v>s__unclassified_f__Lachnospiraceae</v>
          </cell>
        </row>
        <row r="18288">
          <cell r="G18288" t="str">
            <v>ASV5254</v>
          </cell>
          <cell r="H18288" t="str">
            <v>g__Parabacteroides</v>
          </cell>
          <cell r="I18288" t="str">
            <v>s__Porphyromonadaceae_bacterium_DJF_B175</v>
          </cell>
        </row>
        <row r="18289">
          <cell r="G18289" t="str">
            <v>ASV22667</v>
          </cell>
          <cell r="H18289" t="str">
            <v>g__Megasphaera</v>
          </cell>
          <cell r="I18289" t="str">
            <v>s__unclassified_g__Megasphaera</v>
          </cell>
        </row>
        <row r="18290">
          <cell r="G18290" t="str">
            <v>ASV19939</v>
          </cell>
          <cell r="H18290" t="str">
            <v>g__unclassified_f__Oscillospiraceae</v>
          </cell>
          <cell r="I18290" t="str">
            <v>s__unclassified_f__Oscillospiraceae</v>
          </cell>
        </row>
        <row r="18291">
          <cell r="G18291" t="str">
            <v>ASV4303</v>
          </cell>
          <cell r="H18291" t="str">
            <v>g__unclassified_c__Clostridia</v>
          </cell>
          <cell r="I18291" t="str">
            <v>s__unclassified_c__Clostridia</v>
          </cell>
        </row>
        <row r="18292">
          <cell r="G18292" t="str">
            <v>ASV12118</v>
          </cell>
          <cell r="H18292" t="str">
            <v>g__unclassified_k__norank_d__Bacteria</v>
          </cell>
          <cell r="I18292" t="str">
            <v>s__unclassified_k__norank_d__Bacteria</v>
          </cell>
        </row>
        <row r="18293">
          <cell r="G18293" t="str">
            <v>ASV8109</v>
          </cell>
          <cell r="H18293" t="str">
            <v>g__norank_f__Eggerthellaceae</v>
          </cell>
          <cell r="I18293" t="str">
            <v>s__uncultured_bacterium_g__norank_f__Eggerthellaceae</v>
          </cell>
        </row>
        <row r="18294">
          <cell r="G18294" t="str">
            <v>ASV19967</v>
          </cell>
          <cell r="H18294" t="str">
            <v>g__Escherichia-Shigella</v>
          </cell>
          <cell r="I18294" t="str">
            <v>s__unclassified_g__Escherichia-Shigella</v>
          </cell>
        </row>
        <row r="18295">
          <cell r="G18295" t="str">
            <v>ASV14616</v>
          </cell>
          <cell r="H18295" t="str">
            <v>g__Rikenellaceae_RC9_gut_group</v>
          </cell>
          <cell r="I18295" t="str">
            <v>s__uncultured_bacterium_g__Rikenellaceae_RC9_gut_group</v>
          </cell>
        </row>
        <row r="18296">
          <cell r="G18296" t="str">
            <v>ASV14593</v>
          </cell>
          <cell r="H18296" t="str">
            <v>g__unclassified_f__Prevotellaceae</v>
          </cell>
          <cell r="I18296" t="str">
            <v>s__unclassified_f__Prevotellaceae</v>
          </cell>
        </row>
        <row r="18297">
          <cell r="G18297" t="str">
            <v>ASV12478</v>
          </cell>
          <cell r="H18297" t="str">
            <v>g__unclassified_f__Ruminococcaceae</v>
          </cell>
          <cell r="I18297" t="str">
            <v>s__unclassified_f__Ruminococcaceae</v>
          </cell>
        </row>
        <row r="18298">
          <cell r="G18298" t="str">
            <v>ASV7377</v>
          </cell>
          <cell r="H18298" t="str">
            <v>g__unclassified_f__Pasteurellaceae</v>
          </cell>
          <cell r="I18298" t="str">
            <v>s__unclassified_f__Pasteurellaceae</v>
          </cell>
        </row>
        <row r="18299">
          <cell r="G18299" t="str">
            <v>ASV23802</v>
          </cell>
          <cell r="H18299" t="str">
            <v>g__Fusobacterium</v>
          </cell>
          <cell r="I18299" t="str">
            <v>s__unclassified_g__Fusobacterium</v>
          </cell>
        </row>
        <row r="18300">
          <cell r="G18300" t="str">
            <v>ASV12080</v>
          </cell>
          <cell r="H18300" t="str">
            <v>g__unclassified_c__Clostridia</v>
          </cell>
          <cell r="I18300" t="str">
            <v>s__unclassified_c__Clostridia</v>
          </cell>
        </row>
        <row r="18301">
          <cell r="G18301" t="str">
            <v>ASV22738</v>
          </cell>
          <cell r="H18301" t="str">
            <v>g__norank_f__Erysipelotrichaceae</v>
          </cell>
          <cell r="I18301" t="str">
            <v>s__uncultured_bacterium_g__norank_f__Erysipelotrichaceae</v>
          </cell>
        </row>
        <row r="18302">
          <cell r="G18302" t="str">
            <v>ASV20330</v>
          </cell>
          <cell r="H18302" t="str">
            <v>g__unclassified_f__Lachnospiraceae</v>
          </cell>
          <cell r="I18302" t="str">
            <v>s__unclassified_f__Lachnospiraceae</v>
          </cell>
        </row>
        <row r="18303">
          <cell r="G18303" t="str">
            <v>ASV17435</v>
          </cell>
          <cell r="H18303" t="str">
            <v>g__Lachnoanaerobaculum</v>
          </cell>
          <cell r="I18303" t="str">
            <v>s__unclassified_g__Lachnoanaerobaculum</v>
          </cell>
        </row>
        <row r="18304">
          <cell r="G18304" t="str">
            <v>ASV18286</v>
          </cell>
          <cell r="H18304" t="str">
            <v>g__Streptococcus</v>
          </cell>
          <cell r="I18304" t="str">
            <v>s__Streptococcus_parasuis</v>
          </cell>
        </row>
        <row r="18305">
          <cell r="G18305" t="str">
            <v>ASV5416</v>
          </cell>
          <cell r="H18305" t="str">
            <v>g__unclassified_c__Clostridia</v>
          </cell>
          <cell r="I18305" t="str">
            <v>s__unclassified_c__Clostridia</v>
          </cell>
        </row>
        <row r="18306">
          <cell r="G18306" t="str">
            <v>ASV24394</v>
          </cell>
          <cell r="H18306" t="str">
            <v>g__Olsenella</v>
          </cell>
          <cell r="I18306" t="str">
            <v>s__unclassified_g__Olsenella</v>
          </cell>
        </row>
        <row r="18307">
          <cell r="G18307" t="str">
            <v>ASV20159</v>
          </cell>
          <cell r="H18307" t="str">
            <v>g__unclassified_f__Peptostreptococcaceae</v>
          </cell>
          <cell r="I18307" t="str">
            <v>s__unclassified_f__Peptostreptococcaceae</v>
          </cell>
        </row>
        <row r="18308">
          <cell r="G18308" t="str">
            <v>ASV21129</v>
          </cell>
          <cell r="H18308" t="str">
            <v>g__norank_f__Peptococcaceae</v>
          </cell>
          <cell r="I18308" t="str">
            <v>s__unclassified_g__norank_f__Peptococcaceae</v>
          </cell>
        </row>
        <row r="18309">
          <cell r="G18309" t="str">
            <v>ASV15649</v>
          </cell>
          <cell r="H18309" t="str">
            <v>g__unclassified_f__Lachnospiraceae</v>
          </cell>
          <cell r="I18309" t="str">
            <v>s__unclassified_f__Lachnospiraceae</v>
          </cell>
        </row>
        <row r="18310">
          <cell r="G18310" t="str">
            <v>ASV1142</v>
          </cell>
          <cell r="H18310" t="str">
            <v>g__unclassified_f__Muribaculaceae</v>
          </cell>
          <cell r="I18310" t="str">
            <v>s__unclassified_f__Muribaculaceae</v>
          </cell>
        </row>
        <row r="18311">
          <cell r="G18311" t="str">
            <v>ASV12449</v>
          </cell>
          <cell r="H18311" t="str">
            <v>g__unclassified_f__Lachnospiraceae</v>
          </cell>
          <cell r="I18311" t="str">
            <v>s__unclassified_f__Lachnospiraceae</v>
          </cell>
        </row>
        <row r="18312">
          <cell r="G18312" t="str">
            <v>ASV2517</v>
          </cell>
          <cell r="H18312" t="str">
            <v>g__norank_f__Eubacterium_coprostanoligenes_group</v>
          </cell>
          <cell r="I18312" t="str">
            <v>s__unclassified_g__norank_f__Eubacterium_coprostanoligenes_group</v>
          </cell>
        </row>
        <row r="18313">
          <cell r="G18313" t="str">
            <v>ASV23653</v>
          </cell>
          <cell r="H18313" t="str">
            <v>g__norank_f__Erysipelotrichaceae</v>
          </cell>
          <cell r="I18313" t="str">
            <v>s__uncultured_bacterium_g__norank_f__Erysipelotrichaceae</v>
          </cell>
        </row>
        <row r="18314">
          <cell r="G18314" t="str">
            <v>ASV3727</v>
          </cell>
          <cell r="H18314" t="str">
            <v>g__unclassified_f__Lachnospiraceae</v>
          </cell>
          <cell r="I18314" t="str">
            <v>s__unclassified_f__Lachnospiraceae</v>
          </cell>
        </row>
        <row r="18315">
          <cell r="G18315" t="str">
            <v>ASV12391</v>
          </cell>
          <cell r="H18315" t="str">
            <v>g__unclassified_f__Clostridiaceae</v>
          </cell>
          <cell r="I18315" t="str">
            <v>s__unclassified_f__Clostridiaceae</v>
          </cell>
        </row>
        <row r="18316">
          <cell r="G18316" t="str">
            <v>ASV1187</v>
          </cell>
          <cell r="H18316" t="str">
            <v>g__unclassified_c__Clostridia</v>
          </cell>
          <cell r="I18316" t="str">
            <v>s__unclassified_c__Clostridia</v>
          </cell>
        </row>
        <row r="18317">
          <cell r="G18317" t="str">
            <v>ASV1210</v>
          </cell>
          <cell r="H18317" t="str">
            <v>g__unclassified_f__Muribaculaceae</v>
          </cell>
          <cell r="I18317" t="str">
            <v>s__unclassified_f__Muribaculaceae</v>
          </cell>
        </row>
        <row r="18318">
          <cell r="G18318" t="str">
            <v>ASV6983</v>
          </cell>
          <cell r="H18318" t="str">
            <v>g__unclassified_c__Clostridia</v>
          </cell>
          <cell r="I18318" t="str">
            <v>s__unclassified_c__Clostridia</v>
          </cell>
        </row>
        <row r="18319">
          <cell r="G18319" t="str">
            <v>ASV5442</v>
          </cell>
          <cell r="H18319" t="str">
            <v>g__norank_f__Prevotellaceae</v>
          </cell>
          <cell r="I18319" t="str">
            <v>s__uncultured_bacterium_g__norank_f__Prevotellaceae</v>
          </cell>
        </row>
        <row r="18320">
          <cell r="G18320" t="str">
            <v>ASV12346</v>
          </cell>
          <cell r="H18320" t="str">
            <v>g__Subdoligranulum</v>
          </cell>
          <cell r="I18320" t="str">
            <v>s__unclassified_g__Subdoligranulum</v>
          </cell>
        </row>
        <row r="18321">
          <cell r="G18321" t="str">
            <v>ASV22707</v>
          </cell>
          <cell r="H18321" t="str">
            <v>g__unclassified_c__Clostridia</v>
          </cell>
          <cell r="I18321" t="str">
            <v>s__unclassified_c__Clostridia</v>
          </cell>
        </row>
        <row r="18322">
          <cell r="G18322" t="str">
            <v>ASV8117</v>
          </cell>
          <cell r="H18322" t="str">
            <v>g__unclassified_c__Clostridia</v>
          </cell>
          <cell r="I18322" t="str">
            <v>s__unclassified_c__Clostridia</v>
          </cell>
        </row>
        <row r="18323">
          <cell r="G18323" t="str">
            <v>ASV2425</v>
          </cell>
          <cell r="H18323" t="str">
            <v>g__unclassified_c__Clostridia</v>
          </cell>
          <cell r="I18323" t="str">
            <v>s__unclassified_c__Clostridia</v>
          </cell>
        </row>
        <row r="18324">
          <cell r="G18324" t="str">
            <v>ASV11021</v>
          </cell>
          <cell r="H18324" t="str">
            <v>g__unclassified_f__Oscillospiraceae</v>
          </cell>
          <cell r="I18324" t="str">
            <v>s__unclassified_f__Oscillospiraceae</v>
          </cell>
        </row>
        <row r="18325">
          <cell r="G18325" t="str">
            <v>ASV8128</v>
          </cell>
          <cell r="H18325" t="str">
            <v>g__Streptococcus</v>
          </cell>
          <cell r="I18325" t="str">
            <v>s__unclassified_g__Streptococcus</v>
          </cell>
        </row>
        <row r="18326">
          <cell r="G18326" t="str">
            <v>ASV1791</v>
          </cell>
          <cell r="H18326" t="str">
            <v>g__unclassified_f__Lachnospiraceae</v>
          </cell>
          <cell r="I18326" t="str">
            <v>s__unclassified_f__Lachnospiraceae</v>
          </cell>
        </row>
        <row r="18327">
          <cell r="G18327" t="str">
            <v>ASV12194</v>
          </cell>
          <cell r="H18327" t="str">
            <v>g__unclassified_f__Lachnospiraceae</v>
          </cell>
          <cell r="I18327" t="str">
            <v>s__unclassified_f__Lachnospiraceae</v>
          </cell>
        </row>
        <row r="18328">
          <cell r="G18328" t="str">
            <v>ASV1447</v>
          </cell>
          <cell r="H18328" t="str">
            <v>g__norank_f__UCG-010</v>
          </cell>
          <cell r="I18328" t="str">
            <v>s__unclassified_g__norank_f__UCG-010</v>
          </cell>
        </row>
        <row r="18329">
          <cell r="G18329" t="str">
            <v>ASV15744</v>
          </cell>
          <cell r="H18329" t="str">
            <v>g__unclassified_c__Bacilli</v>
          </cell>
          <cell r="I18329" t="str">
            <v>s__unclassified_c__Bacilli</v>
          </cell>
        </row>
        <row r="18330">
          <cell r="G18330" t="str">
            <v>ASV24305</v>
          </cell>
          <cell r="H18330" t="str">
            <v>g__norank_f__Eubacterium_coprostanoligenes_group</v>
          </cell>
          <cell r="I18330" t="str">
            <v>s__uncultured_bacterium_g__norank_f__Eubacterium_coprostanoligenes_group</v>
          </cell>
        </row>
        <row r="18331">
          <cell r="G18331" t="str">
            <v>ASV21687</v>
          </cell>
          <cell r="H18331" t="str">
            <v>g__Lactobacillus</v>
          </cell>
          <cell r="I18331" t="str">
            <v>s__unclassified_g__Lactobacillus</v>
          </cell>
        </row>
        <row r="18332">
          <cell r="G18332" t="str">
            <v>ASV19998</v>
          </cell>
          <cell r="H18332" t="str">
            <v>g__unclassified_f__Veillonellaceae</v>
          </cell>
          <cell r="I18332" t="str">
            <v>s__unclassified_f__Veillonellaceae</v>
          </cell>
        </row>
        <row r="18333">
          <cell r="G18333" t="str">
            <v>ASV14723</v>
          </cell>
          <cell r="H18333" t="str">
            <v>g__unclassified_f__Lachnospiraceae</v>
          </cell>
          <cell r="I18333" t="str">
            <v>s__unclassified_f__Lachnospiraceae</v>
          </cell>
        </row>
        <row r="18334">
          <cell r="G18334" t="str">
            <v>ASV7998</v>
          </cell>
          <cell r="H18334" t="str">
            <v>g__unclassified_o__Bacteroidales</v>
          </cell>
          <cell r="I18334" t="str">
            <v>s__unclassified_o__Bacteroidales</v>
          </cell>
        </row>
        <row r="18335">
          <cell r="G18335" t="str">
            <v>ASV15585</v>
          </cell>
          <cell r="H18335" t="str">
            <v>g__Butyricimonas</v>
          </cell>
          <cell r="I18335" t="str">
            <v>s__unclassified_g__Butyricimonas</v>
          </cell>
        </row>
        <row r="18336">
          <cell r="G18336" t="str">
            <v>ASV13060</v>
          </cell>
          <cell r="H18336" t="str">
            <v>g__norank_f__norank_o__Clostridia_UCG-014</v>
          </cell>
          <cell r="I18336" t="str">
            <v>s__uncultured_bacterium_g__norank_f__norank_o__Clostridia_UCG-014</v>
          </cell>
        </row>
        <row r="18337">
          <cell r="G18337" t="str">
            <v>ASV23731</v>
          </cell>
          <cell r="H18337" t="str">
            <v>g__Megasphaera</v>
          </cell>
          <cell r="I18337" t="str">
            <v>s__unclassified_g__Megasphaera</v>
          </cell>
        </row>
        <row r="18338">
          <cell r="G18338" t="str">
            <v>ASV18719</v>
          </cell>
          <cell r="H18338" t="str">
            <v>g__unclassified_f__Lachnospiraceae</v>
          </cell>
          <cell r="I18338" t="str">
            <v>s__unclassified_f__Lachnospiraceae</v>
          </cell>
        </row>
        <row r="18339">
          <cell r="G18339" t="str">
            <v>ASV13052</v>
          </cell>
          <cell r="H18339" t="str">
            <v>g__unclassified_o__Bacteroidales</v>
          </cell>
          <cell r="I18339" t="str">
            <v>s__unclassified_o__Bacteroidales</v>
          </cell>
        </row>
        <row r="18340">
          <cell r="G18340" t="str">
            <v>ASV21761</v>
          </cell>
          <cell r="H18340" t="str">
            <v>g__Corynebacterium</v>
          </cell>
          <cell r="I18340" t="str">
            <v>s__Corynebacterium_suicordis</v>
          </cell>
        </row>
        <row r="18341">
          <cell r="G18341" t="str">
            <v>ASV9738</v>
          </cell>
          <cell r="H18341" t="str">
            <v>g__norank_f__Erysipelotrichaceae</v>
          </cell>
          <cell r="I18341" t="str">
            <v>s__uncultured_bacterium_g__norank_f__Erysipelotrichaceae</v>
          </cell>
        </row>
        <row r="18342">
          <cell r="G18342" t="str">
            <v>ASV1814</v>
          </cell>
          <cell r="H18342" t="str">
            <v>g__unclassified_p__Firmicutes</v>
          </cell>
          <cell r="I18342" t="str">
            <v>s__unclassified_p__Firmicutes</v>
          </cell>
        </row>
        <row r="18343">
          <cell r="G18343" t="str">
            <v>ASV22780</v>
          </cell>
          <cell r="H18343" t="str">
            <v>g__unclassified_f__Anaerovoracaceae</v>
          </cell>
          <cell r="I18343" t="str">
            <v>s__unclassified_f__Anaerovoracaceae</v>
          </cell>
        </row>
        <row r="18344">
          <cell r="G18344" t="str">
            <v>ASV12305</v>
          </cell>
          <cell r="H18344" t="str">
            <v>g__norank_f__Muribaculaceae</v>
          </cell>
          <cell r="I18344" t="str">
            <v>s__uncultured_bacterium_g__norank_f__Muribaculaceae</v>
          </cell>
        </row>
        <row r="18345">
          <cell r="G18345" t="str">
            <v>ASV22609</v>
          </cell>
          <cell r="H18345" t="str">
            <v>g__Lactobacillus</v>
          </cell>
          <cell r="I18345" t="str">
            <v>s__unclassified_g__Lactobacillus</v>
          </cell>
        </row>
        <row r="18346">
          <cell r="G18346" t="str">
            <v>ASV5197</v>
          </cell>
          <cell r="H18346" t="str">
            <v>g__unclassified_k__norank_d__Bacteria</v>
          </cell>
          <cell r="I18346" t="str">
            <v>s__unclassified_k__norank_d__Bacteria</v>
          </cell>
        </row>
        <row r="18347">
          <cell r="G18347" t="str">
            <v>ASV12464</v>
          </cell>
          <cell r="H18347" t="str">
            <v>g__unclassified_c__Clostridia</v>
          </cell>
          <cell r="I18347" t="str">
            <v>s__unclassified_c__Clostridia</v>
          </cell>
        </row>
        <row r="18348">
          <cell r="G18348" t="str">
            <v>ASV20062</v>
          </cell>
          <cell r="H18348" t="str">
            <v>g__unclassified_o__Oscillospirales</v>
          </cell>
          <cell r="I18348" t="str">
            <v>s__unclassified_o__Oscillospirales</v>
          </cell>
        </row>
        <row r="18349">
          <cell r="G18349" t="str">
            <v>ASV5183</v>
          </cell>
          <cell r="H18349" t="str">
            <v>g__unclassified_f__Prevotellaceae</v>
          </cell>
          <cell r="I18349" t="str">
            <v>s__unclassified_f__Prevotellaceae</v>
          </cell>
        </row>
        <row r="18350">
          <cell r="G18350" t="str">
            <v>ASV12403</v>
          </cell>
          <cell r="H18350" t="str">
            <v>g__unclassified_f__Lachnospiraceae</v>
          </cell>
          <cell r="I18350" t="str">
            <v>s__unclassified_f__Lachnospiraceae</v>
          </cell>
        </row>
        <row r="18351">
          <cell r="G18351" t="str">
            <v>ASV24320</v>
          </cell>
          <cell r="H18351" t="str">
            <v>g__unclassified_o__Oscillospirales</v>
          </cell>
          <cell r="I18351" t="str">
            <v>s__unclassified_o__Oscillospirales</v>
          </cell>
        </row>
        <row r="18352">
          <cell r="G18352" t="str">
            <v>ASV16642</v>
          </cell>
          <cell r="H18352" t="str">
            <v>g__unclassified_c__Clostridia</v>
          </cell>
          <cell r="I18352" t="str">
            <v>s__unclassified_c__Clostridia</v>
          </cell>
        </row>
        <row r="18353">
          <cell r="G18353" t="str">
            <v>ASV8575</v>
          </cell>
          <cell r="H18353" t="str">
            <v>g__Lactobacillus</v>
          </cell>
          <cell r="I18353" t="str">
            <v>s__unclassified_g__Lactobacillus</v>
          </cell>
        </row>
        <row r="18354">
          <cell r="G18354" t="str">
            <v>ASV12295</v>
          </cell>
          <cell r="H18354" t="str">
            <v>g__unclassified_o__Oscillospirales</v>
          </cell>
          <cell r="I18354" t="str">
            <v>s__unclassified_o__Oscillospirales</v>
          </cell>
        </row>
        <row r="18355">
          <cell r="G18355" t="str">
            <v>ASV9663</v>
          </cell>
          <cell r="H18355" t="str">
            <v>g__unclassified_f__Lachnospiraceae</v>
          </cell>
          <cell r="I18355" t="str">
            <v>s__unclassified_f__Lachnospiraceae</v>
          </cell>
        </row>
        <row r="18356">
          <cell r="G18356" t="str">
            <v>ASV1117</v>
          </cell>
          <cell r="H18356" t="str">
            <v>g__Rikenellaceae_RC9_gut_group</v>
          </cell>
          <cell r="I18356" t="str">
            <v>s__unclassified_g__Rikenellaceae_RC9_gut_group</v>
          </cell>
        </row>
        <row r="18357">
          <cell r="G18357" t="str">
            <v>ASV1315</v>
          </cell>
          <cell r="H18357" t="str">
            <v>g__Sharpea</v>
          </cell>
          <cell r="I18357" t="str">
            <v>s__unclassified_g__Sharpea</v>
          </cell>
        </row>
        <row r="18358">
          <cell r="G18358" t="str">
            <v>ASV1237</v>
          </cell>
          <cell r="H18358" t="str">
            <v>g__norank_f__Erysipelotrichaceae</v>
          </cell>
          <cell r="I18358" t="str">
            <v>s__uncultured_bacterium_g__norank_f__Erysipelotrichaceae</v>
          </cell>
        </row>
        <row r="18359">
          <cell r="G18359" t="str">
            <v>ASV14581</v>
          </cell>
          <cell r="H18359" t="str">
            <v>g__norank_f__Erysipelotrichaceae</v>
          </cell>
          <cell r="I18359" t="str">
            <v>s__unclassified_g__norank_f__Erysipelotrichaceae</v>
          </cell>
        </row>
        <row r="18360">
          <cell r="G18360" t="str">
            <v>ASV19999</v>
          </cell>
          <cell r="H18360" t="str">
            <v>g__unclassified_o__Oscillospirales</v>
          </cell>
          <cell r="I18360" t="str">
            <v>s__unclassified_o__Oscillospirales</v>
          </cell>
        </row>
        <row r="18361">
          <cell r="G18361" t="str">
            <v>ASV13862</v>
          </cell>
          <cell r="H18361" t="str">
            <v>g__Enterococcus</v>
          </cell>
          <cell r="I18361" t="str">
            <v>s__unclassified_g__Enterococcus</v>
          </cell>
        </row>
        <row r="18362">
          <cell r="G18362" t="str">
            <v>ASV22555</v>
          </cell>
          <cell r="H18362" t="str">
            <v>g__unclassified_k__norank_d__Bacteria</v>
          </cell>
          <cell r="I18362" t="str">
            <v>s__unclassified_k__norank_d__Bacteria</v>
          </cell>
        </row>
        <row r="18363">
          <cell r="G18363" t="str">
            <v>ASV1482</v>
          </cell>
          <cell r="H18363" t="str">
            <v>g__unclassified_c__Clostridia</v>
          </cell>
          <cell r="I18363" t="str">
            <v>s__unclassified_c__Clostridia</v>
          </cell>
        </row>
        <row r="18364">
          <cell r="G18364" t="str">
            <v>ASV8199</v>
          </cell>
          <cell r="H18364" t="str">
            <v>g__unclassified_c__Bacilli</v>
          </cell>
          <cell r="I18364" t="str">
            <v>s__unclassified_c__Bacilli</v>
          </cell>
        </row>
        <row r="18365">
          <cell r="G18365" t="str">
            <v>ASV22650</v>
          </cell>
          <cell r="H18365" t="str">
            <v>g__unclassified_o__Oscillospirales</v>
          </cell>
          <cell r="I18365" t="str">
            <v>s__unclassified_o__Oscillospirales</v>
          </cell>
        </row>
        <row r="18366">
          <cell r="G18366" t="str">
            <v>ASV1277</v>
          </cell>
          <cell r="H18366" t="str">
            <v>g__unclassified_c__Clostridia</v>
          </cell>
          <cell r="I18366" t="str">
            <v>s__unclassified_c__Clostridia</v>
          </cell>
        </row>
        <row r="18367">
          <cell r="G18367" t="str">
            <v>ASV20324</v>
          </cell>
          <cell r="H18367" t="str">
            <v>g__unclassified_k__norank_d__Bacteria</v>
          </cell>
          <cell r="I18367" t="str">
            <v>s__unclassified_k__norank_d__Bacteria</v>
          </cell>
        </row>
        <row r="18368">
          <cell r="G18368" t="str">
            <v>ASV8182</v>
          </cell>
          <cell r="H18368" t="str">
            <v>g__Lactobacillus</v>
          </cell>
          <cell r="I18368" t="str">
            <v>s__unclassified_g__Lactobacillus</v>
          </cell>
        </row>
        <row r="18369">
          <cell r="G18369" t="str">
            <v>ASV2467</v>
          </cell>
          <cell r="H18369" t="str">
            <v>g__unclassified_f__Lachnospiraceae</v>
          </cell>
          <cell r="I18369" t="str">
            <v>s__unclassified_f__Lachnospiraceae</v>
          </cell>
        </row>
        <row r="18370">
          <cell r="G18370" t="str">
            <v>ASV24330</v>
          </cell>
          <cell r="H18370" t="str">
            <v>g__Campylobacter</v>
          </cell>
          <cell r="I18370" t="str">
            <v>s__unclassified_g__Campylobacter</v>
          </cell>
        </row>
        <row r="18371">
          <cell r="G18371" t="str">
            <v>ASV5302</v>
          </cell>
          <cell r="H18371" t="str">
            <v>g__unclassified_f__Lachnospiraceae</v>
          </cell>
          <cell r="I18371" t="str">
            <v>s__unclassified_f__Lachnospiraceae</v>
          </cell>
        </row>
        <row r="18372">
          <cell r="G18372" t="str">
            <v>ASV15596</v>
          </cell>
          <cell r="H18372" t="str">
            <v>g__unclassified_c__Bacilli</v>
          </cell>
          <cell r="I18372" t="str">
            <v>s__unclassified_c__Bacilli</v>
          </cell>
        </row>
        <row r="18373">
          <cell r="G18373" t="str">
            <v>ASV9703</v>
          </cell>
          <cell r="H18373" t="str">
            <v>g__unclassified_f__Lachnospiraceae</v>
          </cell>
          <cell r="I18373" t="str">
            <v>s__unclassified_f__Lachnospiraceae</v>
          </cell>
        </row>
        <row r="18374">
          <cell r="G18374" t="str">
            <v>ASV9606</v>
          </cell>
          <cell r="H18374" t="str">
            <v>g__Synergistes</v>
          </cell>
          <cell r="I18374" t="str">
            <v>s__Synergistes_jonesii</v>
          </cell>
        </row>
        <row r="18375">
          <cell r="G18375" t="str">
            <v>ASV23566</v>
          </cell>
          <cell r="H18375" t="str">
            <v>g__unclassified_f__Peptostreptococcaceae</v>
          </cell>
          <cell r="I18375" t="str">
            <v>s__unclassified_f__Peptostreptococcaceae</v>
          </cell>
        </row>
        <row r="18376">
          <cell r="G18376" t="str">
            <v>ASV1181</v>
          </cell>
          <cell r="H18376" t="str">
            <v>g__unclassified_c__Clostridia</v>
          </cell>
          <cell r="I18376" t="str">
            <v>s__unclassified_c__Clostridia</v>
          </cell>
        </row>
        <row r="18377">
          <cell r="G18377" t="str">
            <v>ASV15700</v>
          </cell>
          <cell r="H18377" t="str">
            <v>g__unclassified_f__Clostridiaceae</v>
          </cell>
          <cell r="I18377" t="str">
            <v>s__unclassified_f__Clostridiaceae</v>
          </cell>
        </row>
        <row r="18378">
          <cell r="G18378" t="str">
            <v>ASV1777</v>
          </cell>
          <cell r="H18378" t="str">
            <v>g__unclassified_p__Firmicutes</v>
          </cell>
          <cell r="I18378" t="str">
            <v>s__unclassified_p__Firmicutes</v>
          </cell>
        </row>
        <row r="18379">
          <cell r="G18379" t="str">
            <v>ASV6423</v>
          </cell>
          <cell r="H18379" t="str">
            <v>g__unclassified_c__Clostridia</v>
          </cell>
          <cell r="I18379" t="str">
            <v>s__unclassified_c__Clostridia</v>
          </cell>
        </row>
        <row r="18380">
          <cell r="G18380" t="str">
            <v>ASV6994</v>
          </cell>
          <cell r="H18380" t="str">
            <v>g__unclassified_f__Lachnospiraceae</v>
          </cell>
          <cell r="I18380" t="str">
            <v>s__unclassified_f__Lachnospiraceae</v>
          </cell>
        </row>
        <row r="18381">
          <cell r="G18381" t="str">
            <v>ASV21034</v>
          </cell>
          <cell r="H18381" t="str">
            <v>g__Lactobacillus</v>
          </cell>
          <cell r="I18381" t="str">
            <v>s__unclassified_g__Lactobacillus</v>
          </cell>
        </row>
        <row r="18382">
          <cell r="G18382" t="str">
            <v>ASV20032</v>
          </cell>
          <cell r="H18382" t="str">
            <v>g__Lachnospiraceae_UCG-004</v>
          </cell>
          <cell r="I18382" t="str">
            <v>s__uncultured_bacterium_g__Lachnospiraceae_UCG-004</v>
          </cell>
        </row>
        <row r="18383">
          <cell r="G18383" t="str">
            <v>ASV3337</v>
          </cell>
          <cell r="H18383" t="str">
            <v>g__unclassified_p__Firmicutes</v>
          </cell>
          <cell r="I18383" t="str">
            <v>s__unclassified_p__Firmicutes</v>
          </cell>
        </row>
        <row r="18384">
          <cell r="G18384" t="str">
            <v>ASV8018</v>
          </cell>
          <cell r="H18384" t="str">
            <v>g__Lactobacillus</v>
          </cell>
          <cell r="I18384" t="str">
            <v>s__unclassified_g__Lactobacillus</v>
          </cell>
        </row>
        <row r="18385">
          <cell r="G18385" t="str">
            <v>ASV24328</v>
          </cell>
          <cell r="H18385" t="str">
            <v>g__unclassified_c__Clostridia</v>
          </cell>
          <cell r="I18385" t="str">
            <v>s__unclassified_c__Clostridia</v>
          </cell>
        </row>
        <row r="18386">
          <cell r="G18386" t="str">
            <v>ASV17248</v>
          </cell>
          <cell r="H18386" t="str">
            <v>g__Lactobacillus</v>
          </cell>
          <cell r="I18386" t="str">
            <v>s__unclassified_g__Lactobacillus</v>
          </cell>
        </row>
        <row r="18387">
          <cell r="G18387" t="str">
            <v>ASV12180</v>
          </cell>
          <cell r="H18387" t="str">
            <v>g__Phascolarctobacterium</v>
          </cell>
          <cell r="I18387" t="str">
            <v>s__uncultured_bacterium_g__Phascolarctobacterium</v>
          </cell>
        </row>
        <row r="18388">
          <cell r="G18388" t="str">
            <v>ASV21081</v>
          </cell>
          <cell r="H18388" t="str">
            <v>g__unclassified_f__Peptostreptococcaceae</v>
          </cell>
          <cell r="I18388" t="str">
            <v>s__unclassified_f__Peptostreptococcaceae</v>
          </cell>
        </row>
        <row r="18389">
          <cell r="G18389" t="str">
            <v>ASV12087</v>
          </cell>
          <cell r="H18389" t="str">
            <v>g__unclassified_p__Firmicutes</v>
          </cell>
          <cell r="I18389" t="str">
            <v>s__unclassified_p__Firmicutes</v>
          </cell>
        </row>
        <row r="18390">
          <cell r="G18390" t="str">
            <v>ASV20071</v>
          </cell>
          <cell r="H18390" t="str">
            <v>g__unclassified_c__Clostridia</v>
          </cell>
          <cell r="I18390" t="str">
            <v>s__unclassified_c__Clostridia</v>
          </cell>
        </row>
        <row r="18391">
          <cell r="G18391" t="str">
            <v>ASV3728</v>
          </cell>
          <cell r="H18391" t="str">
            <v>g__Mitsuokella</v>
          </cell>
          <cell r="I18391" t="str">
            <v>s__unclassified_g__Mitsuokella</v>
          </cell>
        </row>
        <row r="18392">
          <cell r="G18392" t="str">
            <v>ASV16667</v>
          </cell>
          <cell r="H18392" t="str">
            <v>g__UCG-005</v>
          </cell>
          <cell r="I18392" t="str">
            <v>s__uncultured_bacterium_g__UCG-005</v>
          </cell>
        </row>
        <row r="18393">
          <cell r="G18393" t="str">
            <v>ASV2557</v>
          </cell>
          <cell r="H18393" t="str">
            <v>g__Terrisporobacter</v>
          </cell>
          <cell r="I18393" t="str">
            <v>s__unclassified_g__Terrisporobacter</v>
          </cell>
        </row>
        <row r="18394">
          <cell r="G18394" t="str">
            <v>ASV20153</v>
          </cell>
          <cell r="H18394" t="str">
            <v>g__Lachnospiraceae_NC2004_group</v>
          </cell>
          <cell r="I18394" t="str">
            <v>s__uncultured_bacterium_g__Lachnospiraceae_NC2004_group</v>
          </cell>
        </row>
        <row r="18395">
          <cell r="G18395" t="str">
            <v>ASV4341</v>
          </cell>
          <cell r="H18395" t="str">
            <v>g__unclassified_c__Clostridia</v>
          </cell>
          <cell r="I18395" t="str">
            <v>s__unclassified_c__Clostridia</v>
          </cell>
        </row>
        <row r="18396">
          <cell r="G18396" t="str">
            <v>ASV17059</v>
          </cell>
          <cell r="H18396" t="str">
            <v>g__unclassified_c__Clostridia</v>
          </cell>
          <cell r="I18396" t="str">
            <v>s__unclassified_c__Clostridia</v>
          </cell>
        </row>
        <row r="18397">
          <cell r="G18397" t="str">
            <v>ASV2570</v>
          </cell>
          <cell r="H18397" t="str">
            <v>g__unclassified_f__Erysipelotrichaceae</v>
          </cell>
          <cell r="I18397" t="str">
            <v>s__unclassified_f__Erysipelotrichaceae</v>
          </cell>
        </row>
        <row r="18398">
          <cell r="G18398" t="str">
            <v>ASV22771</v>
          </cell>
          <cell r="H18398" t="str">
            <v>g__unclassified_c__Clostridia</v>
          </cell>
          <cell r="I18398" t="str">
            <v>s__unclassified_c__Clostridia</v>
          </cell>
        </row>
        <row r="18399">
          <cell r="G18399" t="str">
            <v>ASV14851</v>
          </cell>
          <cell r="H18399" t="str">
            <v>g__unclassified_c__Clostridia</v>
          </cell>
          <cell r="I18399" t="str">
            <v>s__unclassified_c__Clostridia</v>
          </cell>
        </row>
        <row r="18400">
          <cell r="G18400" t="str">
            <v>ASV24332</v>
          </cell>
          <cell r="H18400" t="str">
            <v>g__Lactobacillus</v>
          </cell>
          <cell r="I18400" t="str">
            <v>s__unclassified_g__Lactobacillus</v>
          </cell>
        </row>
        <row r="18401">
          <cell r="G18401" t="str">
            <v>ASV13567</v>
          </cell>
          <cell r="H18401" t="str">
            <v>g__Cellulosilyticum</v>
          </cell>
          <cell r="I18401" t="str">
            <v>s__unclassified_g__Cellulosilyticum</v>
          </cell>
        </row>
        <row r="18402">
          <cell r="G18402" t="str">
            <v>ASV6221</v>
          </cell>
          <cell r="H18402" t="str">
            <v>g__Bacteroides</v>
          </cell>
          <cell r="I18402" t="str">
            <v>s__unclassified_g__Bacteroides</v>
          </cell>
        </row>
        <row r="18403">
          <cell r="G18403" t="str">
            <v>ASV2560</v>
          </cell>
          <cell r="H18403" t="str">
            <v>g__unclassified_f__Lachnospiraceae</v>
          </cell>
          <cell r="I18403" t="str">
            <v>s__unclassified_f__Lachnospiraceae</v>
          </cell>
        </row>
        <row r="18404">
          <cell r="G18404" t="str">
            <v>ASV10347</v>
          </cell>
          <cell r="H18404" t="str">
            <v>g__Eubacterium_oxidoreducens_group</v>
          </cell>
          <cell r="I18404" t="str">
            <v>s__uncultured_bacterium_g__Eubacterium_oxidoreducens_group</v>
          </cell>
        </row>
        <row r="18405">
          <cell r="G18405" t="str">
            <v>ASV13558</v>
          </cell>
          <cell r="H18405" t="str">
            <v>g__unclassified_p__Firmicutes</v>
          </cell>
          <cell r="I18405" t="str">
            <v>s__unclassified_p__Firmicutes</v>
          </cell>
        </row>
        <row r="18406">
          <cell r="G18406" t="str">
            <v>ASV4291</v>
          </cell>
          <cell r="H18406" t="str">
            <v>g__unclassified_f__Oscillospiraceae</v>
          </cell>
          <cell r="I18406" t="str">
            <v>s__unclassified_f__Oscillospiraceae</v>
          </cell>
        </row>
        <row r="18407">
          <cell r="G18407" t="str">
            <v>ASV18403</v>
          </cell>
          <cell r="H18407" t="str">
            <v>g__unclassified_o__Oscillospirales</v>
          </cell>
          <cell r="I18407" t="str">
            <v>s__unclassified_o__Oscillospirales</v>
          </cell>
        </row>
        <row r="18408">
          <cell r="G18408" t="str">
            <v>ASV16079</v>
          </cell>
          <cell r="H18408" t="str">
            <v>g__Olsenella</v>
          </cell>
          <cell r="I18408" t="str">
            <v>s__Olsenella_congonensis</v>
          </cell>
        </row>
        <row r="18409">
          <cell r="G18409" t="str">
            <v>ASV9604</v>
          </cell>
          <cell r="H18409" t="str">
            <v>g__Lactobacillus</v>
          </cell>
          <cell r="I18409" t="str">
            <v>s__unclassified_g__Lactobacillus</v>
          </cell>
        </row>
        <row r="18410">
          <cell r="G18410" t="str">
            <v>ASV6259</v>
          </cell>
          <cell r="H18410" t="str">
            <v>g__Christensenellaceae_R-7_group</v>
          </cell>
          <cell r="I18410" t="str">
            <v>s__unclassified_g__Christensenellaceae_R-7_group</v>
          </cell>
        </row>
        <row r="18411">
          <cell r="G18411" t="str">
            <v>ASV5336</v>
          </cell>
          <cell r="H18411" t="str">
            <v>g__unclassified_f__Lachnospiraceae</v>
          </cell>
          <cell r="I18411" t="str">
            <v>s__unclassified_f__Lachnospiraceae</v>
          </cell>
        </row>
        <row r="18412">
          <cell r="G18412" t="str">
            <v>ASV8668</v>
          </cell>
          <cell r="H18412" t="str">
            <v>g__norank_f__norank_o__Gaiellales</v>
          </cell>
          <cell r="I18412" t="str">
            <v>s__metagenome_g__norank_f__norank_o__Gaiellales</v>
          </cell>
        </row>
        <row r="18413">
          <cell r="G18413" t="str">
            <v>ASV13565</v>
          </cell>
          <cell r="H18413" t="str">
            <v>g__unclassified_c__Clostridia</v>
          </cell>
          <cell r="I18413" t="str">
            <v>s__unclassified_c__Clostridia</v>
          </cell>
        </row>
        <row r="18414">
          <cell r="G18414" t="str">
            <v>ASV3330</v>
          </cell>
          <cell r="H18414" t="str">
            <v>g__unclassified_f__Lachnospiraceae</v>
          </cell>
          <cell r="I18414" t="str">
            <v>s__unclassified_f__Lachnospiraceae</v>
          </cell>
        </row>
        <row r="18415">
          <cell r="G18415" t="str">
            <v>ASV9072</v>
          </cell>
          <cell r="H18415" t="str">
            <v>g__unclassified_o__Bacteroidales</v>
          </cell>
          <cell r="I18415" t="str">
            <v>s__unclassified_o__Bacteroidales</v>
          </cell>
        </row>
        <row r="18416">
          <cell r="G18416" t="str">
            <v>ASV20986</v>
          </cell>
          <cell r="H18416" t="str">
            <v>g__Streptococcus</v>
          </cell>
          <cell r="I18416" t="str">
            <v>s__unclassified_g__Streptococcus</v>
          </cell>
        </row>
        <row r="18417">
          <cell r="G18417" t="str">
            <v>ASV22874</v>
          </cell>
          <cell r="H18417" t="str">
            <v>g__unclassified_f__Lachnospiraceae</v>
          </cell>
          <cell r="I18417" t="str">
            <v>s__unclassified_f__Lachnospiraceae</v>
          </cell>
        </row>
        <row r="18418">
          <cell r="G18418" t="str">
            <v>ASV1201</v>
          </cell>
          <cell r="H18418" t="str">
            <v>g__unclassified_k__norank_d__Bacteria</v>
          </cell>
          <cell r="I18418" t="str">
            <v>s__unclassified_k__norank_d__Bacteria</v>
          </cell>
        </row>
        <row r="18419">
          <cell r="G18419" t="str">
            <v>ASV16996</v>
          </cell>
          <cell r="H18419" t="str">
            <v>g__unclassified_o__Bacteroidales</v>
          </cell>
          <cell r="I18419" t="str">
            <v>s__unclassified_o__Bacteroidales</v>
          </cell>
        </row>
        <row r="18420">
          <cell r="G18420" t="str">
            <v>ASV15635</v>
          </cell>
          <cell r="H18420" t="str">
            <v>g__norank_f__Eubacterium_coprostanoligenes_group</v>
          </cell>
          <cell r="I18420" t="str">
            <v>s__uncultured_bacterium_g__norank_f__Eubacterium_coprostanoligenes_group</v>
          </cell>
        </row>
        <row r="18421">
          <cell r="G18421" t="str">
            <v>ASV7398</v>
          </cell>
          <cell r="H18421" t="str">
            <v>g__Lactobacillus</v>
          </cell>
          <cell r="I18421" t="str">
            <v>s__unclassified_g__Lactobacillus</v>
          </cell>
        </row>
        <row r="18422">
          <cell r="G18422" t="str">
            <v>ASV21752</v>
          </cell>
          <cell r="H18422" t="str">
            <v>g__Ulvibacter</v>
          </cell>
          <cell r="I18422" t="str">
            <v>s__uncultured_bacterium_g__Ulvibacter</v>
          </cell>
        </row>
        <row r="18423">
          <cell r="G18423" t="str">
            <v>ASV17326</v>
          </cell>
          <cell r="H18423" t="str">
            <v>g__Vagococcus</v>
          </cell>
          <cell r="I18423" t="str">
            <v>s__unclassified_g__Vagococcus</v>
          </cell>
        </row>
        <row r="18424">
          <cell r="G18424" t="str">
            <v>ASV22764</v>
          </cell>
          <cell r="H18424" t="str">
            <v>g__norank_f__UCG-011</v>
          </cell>
          <cell r="I18424" t="str">
            <v>s__uncultured_bacterium_g__norank_f__UCG-011</v>
          </cell>
        </row>
        <row r="18425">
          <cell r="G18425" t="str">
            <v>ASV17428</v>
          </cell>
          <cell r="H18425" t="str">
            <v>g__unclassified_p__Firmicutes</v>
          </cell>
          <cell r="I18425" t="str">
            <v>s__unclassified_p__Firmicutes</v>
          </cell>
        </row>
        <row r="18426">
          <cell r="G18426" t="str">
            <v>ASV10996</v>
          </cell>
          <cell r="H18426" t="str">
            <v>g__Bacteroides</v>
          </cell>
          <cell r="I18426" t="str">
            <v>s__unclassified_g__Bacteroides</v>
          </cell>
        </row>
        <row r="18427">
          <cell r="G18427" t="str">
            <v>ASV8867</v>
          </cell>
          <cell r="H18427" t="str">
            <v>g__Campylobacter</v>
          </cell>
          <cell r="I18427" t="str">
            <v>s__unclassified_g__Campylobacter</v>
          </cell>
        </row>
        <row r="18428">
          <cell r="G18428" t="str">
            <v>ASV24023</v>
          </cell>
          <cell r="H18428" t="str">
            <v>g__Oribacterium</v>
          </cell>
          <cell r="I18428" t="str">
            <v>s__uncultured_bacterium_g__Oribacterium</v>
          </cell>
        </row>
        <row r="18429">
          <cell r="G18429" t="str">
            <v>ASV19885</v>
          </cell>
          <cell r="H18429" t="str">
            <v>g__norank_f__Muribaculaceae</v>
          </cell>
          <cell r="I18429" t="str">
            <v>s__uncultured_bacterium_g__norank_f__Muribaculaceae</v>
          </cell>
        </row>
        <row r="18430">
          <cell r="G18430" t="str">
            <v>ASV21100</v>
          </cell>
          <cell r="H18430" t="str">
            <v>g__unclassified_c__Clostridia</v>
          </cell>
          <cell r="I18430" t="str">
            <v>s__unclassified_c__Clostridia</v>
          </cell>
        </row>
        <row r="18431">
          <cell r="G18431" t="str">
            <v>ASV16104</v>
          </cell>
          <cell r="H18431" t="str">
            <v>g__unclassified_p__Firmicutes</v>
          </cell>
          <cell r="I18431" t="str">
            <v>s__unclassified_p__Firmicutes</v>
          </cell>
        </row>
        <row r="18432">
          <cell r="G18432" t="str">
            <v>ASV20068</v>
          </cell>
          <cell r="H18432" t="str">
            <v>g__norank_f__Muribaculaceae</v>
          </cell>
          <cell r="I18432" t="str">
            <v>s__uncultured_bacterium_g__norank_f__Muribaculaceae</v>
          </cell>
        </row>
        <row r="18433">
          <cell r="G18433" t="str">
            <v>ASV1760</v>
          </cell>
          <cell r="H18433" t="str">
            <v>g__unclassified_p__Firmicutes</v>
          </cell>
          <cell r="I18433" t="str">
            <v>s__unclassified_p__Firmicutes</v>
          </cell>
        </row>
        <row r="18434">
          <cell r="G18434" t="str">
            <v>ASV18297</v>
          </cell>
          <cell r="H18434" t="str">
            <v>g__Parabacteroides</v>
          </cell>
          <cell r="I18434" t="str">
            <v>s__unclassified_g__Parabacteroides</v>
          </cell>
        </row>
        <row r="18435">
          <cell r="G18435" t="str">
            <v>ASV5428</v>
          </cell>
          <cell r="H18435" t="str">
            <v>g__unclassified_c__Clostridia</v>
          </cell>
          <cell r="I18435" t="str">
            <v>s__unclassified_c__Clostridia</v>
          </cell>
        </row>
        <row r="18436">
          <cell r="G18436" t="str">
            <v>ASV24284</v>
          </cell>
          <cell r="H18436" t="str">
            <v>g__unclassified_k__norank_d__Bacteria</v>
          </cell>
          <cell r="I18436" t="str">
            <v>s__unclassified_k__norank_d__Bacteria</v>
          </cell>
        </row>
        <row r="18437">
          <cell r="G18437" t="str">
            <v>ASV8230</v>
          </cell>
          <cell r="H18437" t="str">
            <v>g__unclassified_f__Lachnospiraceae</v>
          </cell>
          <cell r="I18437" t="str">
            <v>s__unclassified_f__Lachnospiraceae</v>
          </cell>
        </row>
        <row r="18438">
          <cell r="G18438" t="str">
            <v>ASV6165</v>
          </cell>
          <cell r="H18438" t="str">
            <v>g__Phascolarctobacterium</v>
          </cell>
          <cell r="I18438" t="str">
            <v>s__unclassified_g__Phascolarctobacterium</v>
          </cell>
        </row>
        <row r="18439">
          <cell r="G18439" t="str">
            <v>ASV16082</v>
          </cell>
          <cell r="H18439" t="str">
            <v>g__Actinomyces</v>
          </cell>
          <cell r="I18439" t="str">
            <v>s__unclassified_g__Actinomyces</v>
          </cell>
        </row>
        <row r="18440">
          <cell r="G18440" t="str">
            <v>ASV20006</v>
          </cell>
          <cell r="H18440" t="str">
            <v>g__unclassified_c__Bacilli</v>
          </cell>
          <cell r="I18440" t="str">
            <v>s__unclassified_c__Bacilli</v>
          </cell>
        </row>
        <row r="18441">
          <cell r="G18441" t="str">
            <v>ASV23721</v>
          </cell>
          <cell r="H18441" t="str">
            <v>g__unclassified_c__Clostridia</v>
          </cell>
          <cell r="I18441" t="str">
            <v>s__unclassified_c__Clostridia</v>
          </cell>
        </row>
        <row r="18442">
          <cell r="G18442" t="str">
            <v>ASV9638</v>
          </cell>
          <cell r="H18442" t="str">
            <v>g__Prevotella</v>
          </cell>
          <cell r="I18442" t="str">
            <v>s__unclassified_g__Prevotella</v>
          </cell>
        </row>
        <row r="18443">
          <cell r="G18443" t="str">
            <v>ASV20078</v>
          </cell>
          <cell r="H18443" t="str">
            <v>g__unclassified_o__Peptostreptococcales-Tissierellales</v>
          </cell>
          <cell r="I18443" t="str">
            <v>s__unclassified_o__Peptostreptococcales-Tissierellales</v>
          </cell>
        </row>
        <row r="18444">
          <cell r="G18444" t="str">
            <v>ASV16103</v>
          </cell>
          <cell r="H18444" t="str">
            <v>g__unclassified_f__Lachnospiraceae</v>
          </cell>
          <cell r="I18444" t="str">
            <v>s__unclassified_f__Lachnospiraceae</v>
          </cell>
        </row>
        <row r="18445">
          <cell r="G18445" t="str">
            <v>ASV3336</v>
          </cell>
          <cell r="H18445" t="str">
            <v>g__Bacteroides</v>
          </cell>
          <cell r="I18445" t="str">
            <v>s__Bacteroides_plebeius_DSM_17135</v>
          </cell>
        </row>
        <row r="18446">
          <cell r="G18446" t="str">
            <v>ASV21080</v>
          </cell>
          <cell r="H18446" t="str">
            <v>g__norank_f__Eubacterium_coprostanoligenes_group</v>
          </cell>
          <cell r="I18446" t="str">
            <v>s__unclassified_g__norank_f__Eubacterium_coprostanoligenes_group</v>
          </cell>
        </row>
        <row r="18447">
          <cell r="G18447" t="str">
            <v>ASV2464</v>
          </cell>
          <cell r="H18447" t="str">
            <v>g__norank_f__UCG-010</v>
          </cell>
          <cell r="I18447" t="str">
            <v>s__uncultured_bacterium_g__norank_f__UCG-010</v>
          </cell>
        </row>
        <row r="18448">
          <cell r="G18448" t="str">
            <v>ASV10847</v>
          </cell>
          <cell r="H18448" t="str">
            <v>g__unclassified_c__Clostridia</v>
          </cell>
          <cell r="I18448" t="str">
            <v>s__unclassified_c__Clostridia</v>
          </cell>
        </row>
        <row r="18449">
          <cell r="G18449" t="str">
            <v>ASV9601</v>
          </cell>
          <cell r="H18449" t="str">
            <v>g__Mucispirillum</v>
          </cell>
          <cell r="I18449" t="str">
            <v>s__Mucispirillum_schaedleri</v>
          </cell>
        </row>
        <row r="18450">
          <cell r="G18450" t="str">
            <v>ASV19966</v>
          </cell>
          <cell r="H18450" t="str">
            <v>g__unclassified_c__Clostridia</v>
          </cell>
          <cell r="I18450" t="str">
            <v>s__unclassified_c__Clostridia</v>
          </cell>
        </row>
        <row r="18451">
          <cell r="G18451" t="str">
            <v>ASV12160</v>
          </cell>
          <cell r="H18451" t="str">
            <v>g__unclassified_f__Lachnospiraceae</v>
          </cell>
          <cell r="I18451" t="str">
            <v>s__unclassified_f__Lachnospiraceae</v>
          </cell>
        </row>
        <row r="18452">
          <cell r="G18452" t="str">
            <v>ASV16574</v>
          </cell>
          <cell r="H18452" t="str">
            <v>g__unclassified_o__Lactobacillales</v>
          </cell>
          <cell r="I18452" t="str">
            <v>s__unclassified_o__Lactobacillales</v>
          </cell>
        </row>
        <row r="18453">
          <cell r="G18453" t="str">
            <v>ASV12407</v>
          </cell>
          <cell r="H18453" t="str">
            <v>g__norank_f__Eubacterium_coprostanoligenes_group</v>
          </cell>
          <cell r="I18453" t="str">
            <v>s__unclassified_g__norank_f__Eubacterium_coprostanoligenes_group</v>
          </cell>
        </row>
        <row r="18454">
          <cell r="G18454" t="str">
            <v>ASV7112</v>
          </cell>
          <cell r="H18454" t="str">
            <v>g__Sutterella</v>
          </cell>
          <cell r="I18454" t="str">
            <v>s__Sutterella_parvirubra</v>
          </cell>
        </row>
        <row r="18455">
          <cell r="G18455" t="str">
            <v>ASV12312</v>
          </cell>
          <cell r="H18455" t="str">
            <v>g__Succiniclasticum</v>
          </cell>
          <cell r="I18455" t="str">
            <v>s__uncultured_rumen_bacterium_4C28d-16</v>
          </cell>
        </row>
        <row r="18456">
          <cell r="G18456" t="str">
            <v>ASV8591</v>
          </cell>
          <cell r="H18456" t="str">
            <v>g__Megasphaera</v>
          </cell>
          <cell r="I18456" t="str">
            <v>s__Megasphaera_hexanoica</v>
          </cell>
        </row>
        <row r="18457">
          <cell r="G18457" t="str">
            <v>ASV18768</v>
          </cell>
          <cell r="H18457" t="str">
            <v>g__Lactobacillus</v>
          </cell>
          <cell r="I18457" t="str">
            <v>s__unclassified_g__Lactobacillus</v>
          </cell>
        </row>
        <row r="18458">
          <cell r="G18458" t="str">
            <v>ASV21005</v>
          </cell>
          <cell r="H18458" t="str">
            <v>g__unclassified_p__Firmicutes</v>
          </cell>
          <cell r="I18458" t="str">
            <v>s__unclassified_p__Firmicutes</v>
          </cell>
        </row>
        <row r="18459">
          <cell r="G18459" t="str">
            <v>ASV10881</v>
          </cell>
          <cell r="H18459" t="str">
            <v>g__unclassified_c__Clostridia</v>
          </cell>
          <cell r="I18459" t="str">
            <v>s__unclassified_c__Clostridia</v>
          </cell>
        </row>
        <row r="18460">
          <cell r="G18460" t="str">
            <v>ASV18984</v>
          </cell>
          <cell r="H18460" t="str">
            <v>g__unclassified_f__Lachnospiraceae</v>
          </cell>
          <cell r="I18460" t="str">
            <v>s__unclassified_f__Lachnospiraceae</v>
          </cell>
        </row>
        <row r="18461">
          <cell r="G18461" t="str">
            <v>ASV20310</v>
          </cell>
          <cell r="H18461" t="str">
            <v>g__Howardella</v>
          </cell>
          <cell r="I18461" t="str">
            <v>s__unclassified_g__Howardella</v>
          </cell>
        </row>
        <row r="18462">
          <cell r="G18462" t="str">
            <v>ASV1173</v>
          </cell>
          <cell r="H18462" t="str">
            <v>g__unclassified_o__Oscillospirales</v>
          </cell>
          <cell r="I18462" t="str">
            <v>s__unclassified_o__Oscillospirales</v>
          </cell>
        </row>
        <row r="18463">
          <cell r="G18463" t="str">
            <v>ASV3314</v>
          </cell>
          <cell r="H18463" t="str">
            <v>g__Eubacterium_oxidoreducens_group</v>
          </cell>
          <cell r="I18463" t="str">
            <v>s__uncultured_bacterium_g__Eubacterium_oxidoreducens_group</v>
          </cell>
        </row>
        <row r="18464">
          <cell r="G18464" t="str">
            <v>ASV12030</v>
          </cell>
          <cell r="H18464" t="str">
            <v>g__Neisseria</v>
          </cell>
          <cell r="I18464" t="str">
            <v>s__unclassified_g__Neisseria</v>
          </cell>
        </row>
        <row r="18465">
          <cell r="G18465" t="str">
            <v>ASV24290</v>
          </cell>
          <cell r="H18465" t="str">
            <v>g__unclassified_p__Firmicutes</v>
          </cell>
          <cell r="I18465" t="str">
            <v>s__unclassified_p__Firmicutes</v>
          </cell>
        </row>
        <row r="18466">
          <cell r="G18466" t="str">
            <v>ASV1433</v>
          </cell>
          <cell r="H18466" t="str">
            <v>g__Christensenellaceae_R-7_group</v>
          </cell>
          <cell r="I18466" t="str">
            <v>s__unclassified_g__Christensenellaceae_R-7_group</v>
          </cell>
        </row>
        <row r="18467">
          <cell r="G18467" t="str">
            <v>ASV16569</v>
          </cell>
          <cell r="H18467" t="str">
            <v>g__UCG-004</v>
          </cell>
          <cell r="I18467" t="str">
            <v>s__uncultured_bacterium_g__UCG-004</v>
          </cell>
        </row>
        <row r="18468">
          <cell r="G18468" t="str">
            <v>ASV9122</v>
          </cell>
          <cell r="H18468" t="str">
            <v>g__Bacillus</v>
          </cell>
          <cell r="I18468" t="str">
            <v>s__Lactobacillus_vaginalis_g__Bacillus</v>
          </cell>
        </row>
        <row r="18469">
          <cell r="G18469" t="str">
            <v>ASV8886</v>
          </cell>
          <cell r="H18469" t="str">
            <v>g__Prevotella</v>
          </cell>
          <cell r="I18469" t="str">
            <v>s__Prevotella_sp._DJF_LS16</v>
          </cell>
        </row>
        <row r="18470">
          <cell r="G18470" t="str">
            <v>ASV4332</v>
          </cell>
          <cell r="H18470" t="str">
            <v>g__unclassified_f__Oscillospiraceae</v>
          </cell>
          <cell r="I18470" t="str">
            <v>s__unclassified_f__Oscillospiraceae</v>
          </cell>
        </row>
        <row r="18471">
          <cell r="G18471" t="str">
            <v>ASV2480</v>
          </cell>
          <cell r="H18471" t="str">
            <v>g__unclassified_f__Lachnospiraceae</v>
          </cell>
          <cell r="I18471" t="str">
            <v>s__unclassified_f__Lachnospiraceae</v>
          </cell>
        </row>
        <row r="18472">
          <cell r="G18472" t="str">
            <v>ASV22783</v>
          </cell>
          <cell r="H18472" t="str">
            <v>g__unclassified_f__Lachnospiraceae</v>
          </cell>
          <cell r="I18472" t="str">
            <v>s__unclassified_f__Lachnospiraceae</v>
          </cell>
        </row>
        <row r="18473">
          <cell r="G18473" t="str">
            <v>ASV23498</v>
          </cell>
          <cell r="H18473" t="str">
            <v>g__norank_f__Muribaculaceae</v>
          </cell>
          <cell r="I18473" t="str">
            <v>s__uncultured_bacterium_g__norank_f__Muribaculaceae</v>
          </cell>
        </row>
        <row r="18474">
          <cell r="G18474" t="str">
            <v>ASV1257</v>
          </cell>
          <cell r="H18474" t="str">
            <v>g__unclassified_c__Clostridia</v>
          </cell>
          <cell r="I18474" t="str">
            <v>s__unclassified_c__Clostridia</v>
          </cell>
        </row>
        <row r="18475">
          <cell r="G18475" t="str">
            <v>ASV12073</v>
          </cell>
          <cell r="H18475" t="str">
            <v>g__Lactobacillus</v>
          </cell>
          <cell r="I18475" t="str">
            <v>s__unclassified_g__Lactobacillus</v>
          </cell>
        </row>
        <row r="18476">
          <cell r="G18476" t="str">
            <v>ASV6267</v>
          </cell>
          <cell r="H18476" t="str">
            <v>g__unclassified_c__Clostridia</v>
          </cell>
          <cell r="I18476" t="str">
            <v>s__unclassified_c__Clostridia</v>
          </cell>
        </row>
        <row r="18477">
          <cell r="G18477" t="str">
            <v>ASV5362</v>
          </cell>
          <cell r="H18477" t="str">
            <v>g__Sphaerochaeta</v>
          </cell>
          <cell r="I18477" t="str">
            <v>s__uncultured_bacterium_g__Sphaerochaeta</v>
          </cell>
        </row>
        <row r="18478">
          <cell r="G18478" t="str">
            <v>ASV4245</v>
          </cell>
          <cell r="H18478" t="str">
            <v>g__unclassified_c__Clostridia</v>
          </cell>
          <cell r="I18478" t="str">
            <v>s__unclassified_c__Clostridia</v>
          </cell>
        </row>
        <row r="18479">
          <cell r="G18479" t="str">
            <v>ASV21025</v>
          </cell>
          <cell r="H18479" t="str">
            <v>g__unclassified_c__Clostridia</v>
          </cell>
          <cell r="I18479" t="str">
            <v>s__unclassified_c__Clostridia</v>
          </cell>
        </row>
        <row r="18480">
          <cell r="G18480" t="str">
            <v>ASV5281</v>
          </cell>
          <cell r="H18480" t="str">
            <v>g__unclassified_f__Ruminococcaceae</v>
          </cell>
          <cell r="I18480" t="str">
            <v>s__unclassified_f__Ruminococcaceae</v>
          </cell>
        </row>
        <row r="18481">
          <cell r="G18481" t="str">
            <v>ASV19961</v>
          </cell>
          <cell r="H18481" t="str">
            <v>g__unclassified_p__Firmicutes</v>
          </cell>
          <cell r="I18481" t="str">
            <v>s__unclassified_p__Firmicutes</v>
          </cell>
        </row>
        <row r="18482">
          <cell r="G18482" t="str">
            <v>ASV16766</v>
          </cell>
          <cell r="H18482" t="str">
            <v>g__Bacteroides</v>
          </cell>
          <cell r="I18482" t="str">
            <v>s__unclassified_g__Bacteroides</v>
          </cell>
        </row>
        <row r="18483">
          <cell r="G18483" t="str">
            <v>ASV1118</v>
          </cell>
          <cell r="H18483" t="str">
            <v>g__unclassified_c__Clostridia</v>
          </cell>
          <cell r="I18483" t="str">
            <v>s__unclassified_c__Clostridia</v>
          </cell>
        </row>
        <row r="18484">
          <cell r="G18484" t="str">
            <v>ASV15712</v>
          </cell>
          <cell r="H18484" t="str">
            <v>g__unclassified_c__Clostridia</v>
          </cell>
          <cell r="I18484" t="str">
            <v>s__unclassified_c__Clostridia</v>
          </cell>
        </row>
        <row r="18485">
          <cell r="G18485" t="str">
            <v>ASV7399</v>
          </cell>
          <cell r="H18485" t="str">
            <v>g__Erysipelatoclostridium</v>
          </cell>
          <cell r="I18485" t="str">
            <v>s__unclassified_g__Erysipelatoclostridium</v>
          </cell>
        </row>
        <row r="18486">
          <cell r="G18486" t="str">
            <v>ASV2568</v>
          </cell>
          <cell r="H18486" t="str">
            <v>g__unclassified_f__Lachnospiraceae</v>
          </cell>
          <cell r="I18486" t="str">
            <v>s__unclassified_f__Lachnospiraceae</v>
          </cell>
        </row>
        <row r="18487">
          <cell r="G18487" t="str">
            <v>ASV4380</v>
          </cell>
          <cell r="H18487" t="str">
            <v>g__unclassified_c__Clostridia</v>
          </cell>
          <cell r="I18487" t="str">
            <v>s__unclassified_c__Clostridia</v>
          </cell>
        </row>
        <row r="18488">
          <cell r="G18488" t="str">
            <v>ASV12240</v>
          </cell>
          <cell r="H18488" t="str">
            <v>g__norank_f__UCG-010</v>
          </cell>
          <cell r="I18488" t="str">
            <v>s__unclassified_g__norank_f__UCG-010</v>
          </cell>
        </row>
        <row r="18489">
          <cell r="G18489" t="str">
            <v>ASV17256</v>
          </cell>
          <cell r="H18489" t="str">
            <v>g__Streptococcus</v>
          </cell>
          <cell r="I18489" t="str">
            <v>s__unclassified_g__Streptococcus</v>
          </cell>
        </row>
        <row r="18490">
          <cell r="G18490" t="str">
            <v>ASV20130</v>
          </cell>
          <cell r="H18490" t="str">
            <v>g__norank_f__Muribaculaceae</v>
          </cell>
          <cell r="I18490" t="str">
            <v>s__uncultured_bacterium_g__norank_f__Muribaculaceae</v>
          </cell>
        </row>
        <row r="18491">
          <cell r="G18491" t="str">
            <v>ASV9818</v>
          </cell>
          <cell r="H18491" t="str">
            <v>g__unclassified_f__Lachnospiraceae</v>
          </cell>
          <cell r="I18491" t="str">
            <v>s__unclassified_f__Lachnospiraceae</v>
          </cell>
        </row>
        <row r="18492">
          <cell r="G18492" t="str">
            <v>ASV19145</v>
          </cell>
          <cell r="H18492" t="str">
            <v>g__unclassified_p__Firmicutes</v>
          </cell>
          <cell r="I18492" t="str">
            <v>s__unclassified_p__Firmicutes</v>
          </cell>
        </row>
        <row r="18493">
          <cell r="G18493" t="str">
            <v>ASV14829</v>
          </cell>
          <cell r="H18493" t="str">
            <v>g__Streptococcus</v>
          </cell>
          <cell r="I18493" t="str">
            <v>s__unclassified_g__Streptococcus</v>
          </cell>
        </row>
        <row r="18494">
          <cell r="G18494" t="str">
            <v>ASV24022</v>
          </cell>
          <cell r="H18494" t="str">
            <v>g__unclassified_p__Firmicutes</v>
          </cell>
          <cell r="I18494" t="str">
            <v>s__unclassified_p__Firmicutes</v>
          </cell>
        </row>
        <row r="18495">
          <cell r="G18495" t="str">
            <v>ASV23488</v>
          </cell>
          <cell r="H18495" t="str">
            <v>g__Butyricimonas</v>
          </cell>
          <cell r="I18495" t="str">
            <v>s__uncultured_bacterium_g__Butyricimonas</v>
          </cell>
        </row>
        <row r="18496">
          <cell r="G18496" t="str">
            <v>ASV4305</v>
          </cell>
          <cell r="H18496" t="str">
            <v>g__unclassified_c__Clostridia</v>
          </cell>
          <cell r="I18496" t="str">
            <v>s__unclassified_c__Clostridia</v>
          </cell>
        </row>
        <row r="18497">
          <cell r="G18497" t="str">
            <v>ASV9671</v>
          </cell>
          <cell r="H18497" t="str">
            <v>g__norank_f__Erysipelotrichaceae</v>
          </cell>
          <cell r="I18497" t="str">
            <v>s__uncultured_bacterium_g__norank_f__Erysipelotrichaceae</v>
          </cell>
        </row>
        <row r="18498">
          <cell r="G18498" t="str">
            <v>ASV18688</v>
          </cell>
          <cell r="H18498" t="str">
            <v>g__unclassified_p__Firmicutes</v>
          </cell>
          <cell r="I18498" t="str">
            <v>s__unclassified_p__Firmicutes</v>
          </cell>
        </row>
        <row r="18499">
          <cell r="G18499" t="str">
            <v>ASV6958</v>
          </cell>
          <cell r="H18499" t="str">
            <v>g__unclassified_f__Peptostreptococcaceae</v>
          </cell>
          <cell r="I18499" t="str">
            <v>s__unclassified_f__Peptostreptococcaceae</v>
          </cell>
        </row>
        <row r="18500">
          <cell r="G18500" t="str">
            <v>ASV18267</v>
          </cell>
          <cell r="H18500" t="str">
            <v>g__unclassified_c__Clostridia</v>
          </cell>
          <cell r="I18500" t="str">
            <v>s__unclassified_c__Clostridia</v>
          </cell>
        </row>
        <row r="18501">
          <cell r="G18501" t="str">
            <v>ASV16097</v>
          </cell>
          <cell r="H18501" t="str">
            <v>g__Lachnospiraceae_NC2004_group</v>
          </cell>
          <cell r="I18501" t="str">
            <v>s__uncultured_bacterium_g__Lachnospiraceae_NC2004_group</v>
          </cell>
        </row>
        <row r="18502">
          <cell r="G18502" t="str">
            <v>ASV13206</v>
          </cell>
          <cell r="H18502" t="str">
            <v>g__Monoglobus</v>
          </cell>
          <cell r="I18502" t="str">
            <v>s__uncultured_bacterium_g__Monoglobus</v>
          </cell>
        </row>
        <row r="18503">
          <cell r="G18503" t="str">
            <v>ASV5326</v>
          </cell>
          <cell r="H18503" t="str">
            <v>g__norank_f__Erysipelotrichaceae</v>
          </cell>
          <cell r="I18503" t="str">
            <v>s__uncultured_bacterium_g__norank_f__Erysipelotrichaceae</v>
          </cell>
        </row>
        <row r="18504">
          <cell r="G18504" t="str">
            <v>ASV20971</v>
          </cell>
          <cell r="H18504" t="str">
            <v>g__Christensenellaceae_R-7_group</v>
          </cell>
          <cell r="I18504" t="str">
            <v>s__unclassified_g__Christensenellaceae_R-7_group</v>
          </cell>
        </row>
        <row r="18505">
          <cell r="G18505" t="str">
            <v>ASV18971</v>
          </cell>
          <cell r="H18505" t="str">
            <v>g__Prevotella</v>
          </cell>
          <cell r="I18505" t="str">
            <v>s__unclassified_g__Prevotella</v>
          </cell>
        </row>
        <row r="18506">
          <cell r="G18506" t="str">
            <v>ASV11080</v>
          </cell>
          <cell r="H18506" t="str">
            <v>g__unclassified_k__norank_d__Bacteria</v>
          </cell>
          <cell r="I18506" t="str">
            <v>s__unclassified_k__norank_d__Bacteria</v>
          </cell>
        </row>
        <row r="18507">
          <cell r="G18507" t="str">
            <v>ASV10955</v>
          </cell>
          <cell r="H18507" t="str">
            <v>g__norank_f__Eubacterium_coprostanoligenes_group</v>
          </cell>
          <cell r="I18507" t="str">
            <v>s__unclassified_g__norank_f__Eubacterium_coprostanoligenes_group</v>
          </cell>
        </row>
        <row r="18508">
          <cell r="G18508" t="str">
            <v>ASV10240</v>
          </cell>
          <cell r="H18508" t="str">
            <v>g__unclassified_c__Bacilli</v>
          </cell>
          <cell r="I18508" t="str">
            <v>s__unclassified_c__Bacilli</v>
          </cell>
        </row>
        <row r="18509">
          <cell r="G18509" t="str">
            <v>ASV6237</v>
          </cell>
          <cell r="H18509" t="str">
            <v>g__norank_f__norank_o__Clostridia_UCG-014</v>
          </cell>
          <cell r="I18509" t="str">
            <v>s__uncultured_bacterium_g__norank_f__norank_o__Clostridia_UCG-014</v>
          </cell>
        </row>
        <row r="18510">
          <cell r="G18510" t="str">
            <v>ASV6404</v>
          </cell>
          <cell r="H18510" t="str">
            <v>g__Treponema</v>
          </cell>
          <cell r="I18510" t="str">
            <v>s__Treponema_berlinense</v>
          </cell>
        </row>
        <row r="18511">
          <cell r="G18511" t="str">
            <v>ASV15663</v>
          </cell>
          <cell r="H18511" t="str">
            <v>g__unclassified_f__Lachnospiraceae</v>
          </cell>
          <cell r="I18511" t="str">
            <v>s__unclassified_f__Lachnospiraceae</v>
          </cell>
        </row>
        <row r="18512">
          <cell r="G18512" t="str">
            <v>ASV5357</v>
          </cell>
          <cell r="H18512" t="str">
            <v>g__norank_f__Oscillospiraceae</v>
          </cell>
          <cell r="I18512" t="str">
            <v>s__uncultured_bacterium_g__norank_f__Oscillospiraceae</v>
          </cell>
        </row>
        <row r="18513">
          <cell r="G18513" t="str">
            <v>ASV24391</v>
          </cell>
          <cell r="H18513" t="str">
            <v>g__Corynebacterium</v>
          </cell>
          <cell r="I18513" t="str">
            <v>s__unclassified_g__Corynebacterium</v>
          </cell>
        </row>
        <row r="18514">
          <cell r="G18514" t="str">
            <v>ASV22843</v>
          </cell>
          <cell r="H18514" t="str">
            <v>g__unclassified_f__Lachnospiraceae</v>
          </cell>
          <cell r="I18514" t="str">
            <v>s__unclassified_f__Lachnospiraceae</v>
          </cell>
        </row>
        <row r="18515">
          <cell r="G18515" t="str">
            <v>ASV5344</v>
          </cell>
          <cell r="H18515" t="str">
            <v>g__Eubacterium_oxidoreducens_group</v>
          </cell>
          <cell r="I18515" t="str">
            <v>s__uncultured_bacterium_g__Eubacterium_oxidoreducens_group</v>
          </cell>
        </row>
        <row r="18516">
          <cell r="G18516" t="str">
            <v>ASV16997</v>
          </cell>
          <cell r="H18516" t="str">
            <v>g__Eubacterium</v>
          </cell>
          <cell r="I18516" t="str">
            <v>s__unclassified_g__Eubacterium</v>
          </cell>
        </row>
        <row r="18517">
          <cell r="G18517" t="str">
            <v>ASV19019</v>
          </cell>
          <cell r="H18517" t="str">
            <v>g__Bacteroides</v>
          </cell>
          <cell r="I18517" t="str">
            <v>s__unclassified_g__Bacteroides</v>
          </cell>
        </row>
        <row r="18518">
          <cell r="G18518" t="str">
            <v>ASV8118</v>
          </cell>
          <cell r="H18518" t="str">
            <v>g__unclassified_c__Clostridia</v>
          </cell>
          <cell r="I18518" t="str">
            <v>s__unclassified_c__Clostridia</v>
          </cell>
        </row>
        <row r="18519">
          <cell r="G18519" t="str">
            <v>ASV10998</v>
          </cell>
          <cell r="H18519" t="str">
            <v>g__unclassified_c__Clostridia</v>
          </cell>
          <cell r="I18519" t="str">
            <v>s__unclassified_c__Clostridia</v>
          </cell>
        </row>
        <row r="18520">
          <cell r="G18520" t="str">
            <v>ASV1206</v>
          </cell>
          <cell r="H18520" t="str">
            <v>g__unclassified_c__Clostridia</v>
          </cell>
          <cell r="I18520" t="str">
            <v>s__unclassified_c__Clostridia</v>
          </cell>
        </row>
        <row r="18521">
          <cell r="G18521" t="str">
            <v>ASV13187</v>
          </cell>
          <cell r="H18521" t="str">
            <v>g__unclassified_f__Oscillospiraceae</v>
          </cell>
          <cell r="I18521" t="str">
            <v>s__unclassified_f__Oscillospiraceae</v>
          </cell>
        </row>
        <row r="18522">
          <cell r="G18522" t="str">
            <v>ASV10256</v>
          </cell>
          <cell r="H18522" t="str">
            <v>g__Enterococcus</v>
          </cell>
          <cell r="I18522" t="str">
            <v>s__unclassified_g__Enterococcus</v>
          </cell>
        </row>
        <row r="18523">
          <cell r="G18523" t="str">
            <v>ASV6158</v>
          </cell>
          <cell r="H18523" t="str">
            <v>g__Enterorhabdus</v>
          </cell>
          <cell r="I18523" t="str">
            <v>s__uncultured_bacterium_g__Enterorhabdus</v>
          </cell>
        </row>
        <row r="18524">
          <cell r="G18524" t="str">
            <v>ASV8080</v>
          </cell>
          <cell r="H18524" t="str">
            <v>g__unclassified_p__Firmicutes</v>
          </cell>
          <cell r="I18524" t="str">
            <v>s__unclassified_p__Firmicutes</v>
          </cell>
        </row>
        <row r="18525">
          <cell r="G18525" t="str">
            <v>ASV7997</v>
          </cell>
          <cell r="H18525" t="str">
            <v>g__Actinomyces</v>
          </cell>
          <cell r="I18525" t="str">
            <v>s__unclassified_g__Actinomyces</v>
          </cell>
        </row>
        <row r="18526">
          <cell r="G18526" t="str">
            <v>ASV12119</v>
          </cell>
          <cell r="H18526" t="str">
            <v>g__unclassified_p__Firmicutes</v>
          </cell>
          <cell r="I18526" t="str">
            <v>s__unclassified_p__Firmicutes</v>
          </cell>
        </row>
        <row r="18527">
          <cell r="G18527" t="str">
            <v>ASV8876</v>
          </cell>
          <cell r="H18527" t="str">
            <v>g__unclassified_c__Clostridia</v>
          </cell>
          <cell r="I18527" t="str">
            <v>s__unclassified_c__Clostridia</v>
          </cell>
        </row>
        <row r="18528">
          <cell r="G18528" t="str">
            <v>ASV13191</v>
          </cell>
          <cell r="H18528" t="str">
            <v>g__unclassified_f__Lachnospiraceae</v>
          </cell>
          <cell r="I18528" t="str">
            <v>s__unclassified_f__Lachnospiraceae</v>
          </cell>
        </row>
        <row r="18529">
          <cell r="G18529" t="str">
            <v>ASV14617</v>
          </cell>
          <cell r="H18529" t="str">
            <v>g__Lachnospiraceae_UCG-004</v>
          </cell>
          <cell r="I18529" t="str">
            <v>s__uncultured_bacterium_g__Lachnospiraceae_UCG-004</v>
          </cell>
        </row>
        <row r="18530">
          <cell r="G18530" t="str">
            <v>ASV1500</v>
          </cell>
          <cell r="H18530" t="str">
            <v>g__norank_f__Peptostreptococcaceae</v>
          </cell>
          <cell r="I18530" t="str">
            <v>s__uncultured_bacterium_g__norank_f__Peptostreptococcaceae</v>
          </cell>
        </row>
        <row r="18531">
          <cell r="G18531" t="str">
            <v>ASV21131</v>
          </cell>
          <cell r="H18531" t="str">
            <v>g__Lachnospiraceae_NC2004_group</v>
          </cell>
          <cell r="I18531" t="str">
            <v>s__unclassified_g__Lachnospiraceae_NC2004_group</v>
          </cell>
        </row>
        <row r="18532">
          <cell r="G18532" t="str">
            <v>ASV19923</v>
          </cell>
          <cell r="H18532" t="str">
            <v>g__Clostridium_sensu_stricto_1</v>
          </cell>
          <cell r="I18532" t="str">
            <v>s__uncultured_bacterium_g__Clostridium_sensu_stricto_1</v>
          </cell>
        </row>
        <row r="18533">
          <cell r="G18533" t="str">
            <v>ASV19959</v>
          </cell>
          <cell r="H18533" t="str">
            <v>g__unclassified_c__Bacilli</v>
          </cell>
          <cell r="I18533" t="str">
            <v>s__unclassified_c__Bacilli</v>
          </cell>
        </row>
        <row r="18534">
          <cell r="G18534" t="str">
            <v>ASV20314</v>
          </cell>
          <cell r="H18534" t="str">
            <v>g__unclassified_f__Ruminococcaceae</v>
          </cell>
          <cell r="I18534" t="str">
            <v>s__unclassified_f__Ruminococcaceae</v>
          </cell>
        </row>
        <row r="18535">
          <cell r="G18535" t="str">
            <v>ASV10939</v>
          </cell>
          <cell r="H18535" t="str">
            <v>g__unclassified_p__Firmicutes</v>
          </cell>
          <cell r="I18535" t="str">
            <v>s__unclassified_p__Firmicutes</v>
          </cell>
        </row>
        <row r="18536">
          <cell r="G18536" t="str">
            <v>ASV20057</v>
          </cell>
          <cell r="H18536" t="str">
            <v>g__unclassified_c__Clostridia</v>
          </cell>
          <cell r="I18536" t="str">
            <v>s__unclassified_c__Clostridia</v>
          </cell>
        </row>
        <row r="18537">
          <cell r="G18537" t="str">
            <v>ASV21384</v>
          </cell>
          <cell r="H18537" t="str">
            <v>g__Fusobacterium</v>
          </cell>
          <cell r="I18537" t="str">
            <v>s__unclassified_g__Fusobacterium</v>
          </cell>
        </row>
        <row r="18538">
          <cell r="G18538" t="str">
            <v>ASV5235</v>
          </cell>
          <cell r="H18538" t="str">
            <v>g__Enterococcus</v>
          </cell>
          <cell r="I18538" t="str">
            <v>s__unclassified_g__Enterococcus</v>
          </cell>
        </row>
        <row r="18539">
          <cell r="G18539" t="str">
            <v>ASV6262</v>
          </cell>
          <cell r="H18539" t="str">
            <v>g__Eubacterium_nodatum_group</v>
          </cell>
          <cell r="I18539" t="str">
            <v>s__Eubacterium_sp._68-3-10</v>
          </cell>
        </row>
        <row r="18540">
          <cell r="G18540" t="str">
            <v>ASV22592</v>
          </cell>
          <cell r="H18540" t="str">
            <v>g__Lactobacillus</v>
          </cell>
          <cell r="I18540" t="str">
            <v>s__unclassified_g__Lactobacillus</v>
          </cell>
        </row>
        <row r="18541">
          <cell r="G18541" t="str">
            <v>ASV2492</v>
          </cell>
          <cell r="H18541" t="str">
            <v>g__unclassified_f__Ruminococcaceae</v>
          </cell>
          <cell r="I18541" t="str">
            <v>s__unclassified_f__Ruminococcaceae</v>
          </cell>
        </row>
        <row r="18542">
          <cell r="G18542" t="str">
            <v>ASV24285</v>
          </cell>
          <cell r="H18542" t="str">
            <v>g__Bacillus</v>
          </cell>
          <cell r="I18542" t="str">
            <v>s__Lactobacillus_vaginalis_g__Bacillus</v>
          </cell>
        </row>
        <row r="18543">
          <cell r="G18543" t="str">
            <v>ASV16624</v>
          </cell>
          <cell r="H18543" t="str">
            <v>g__unclassified_c__Clostridia</v>
          </cell>
          <cell r="I18543" t="str">
            <v>s__unclassified_c__Clostridia</v>
          </cell>
        </row>
        <row r="18544">
          <cell r="G18544" t="str">
            <v>ASV22723</v>
          </cell>
          <cell r="H18544" t="str">
            <v>g__Eubacterium_oxidoreducens_group</v>
          </cell>
          <cell r="I18544" t="str">
            <v>s__uncultured_bacterium_g__Eubacterium_oxidoreducens_group</v>
          </cell>
        </row>
        <row r="18545">
          <cell r="G18545" t="str">
            <v>ASV1305</v>
          </cell>
          <cell r="H18545" t="str">
            <v>g__unclassified_o__Oscillospirales</v>
          </cell>
          <cell r="I18545" t="str">
            <v>s__unclassified_o__Oscillospirales</v>
          </cell>
        </row>
        <row r="18546">
          <cell r="G18546" t="str">
            <v>ASV8581</v>
          </cell>
          <cell r="H18546" t="str">
            <v>g__Megasphaera</v>
          </cell>
          <cell r="I18546" t="str">
            <v>s__unclassified_g__Megasphaera</v>
          </cell>
        </row>
        <row r="18547">
          <cell r="G18547" t="str">
            <v>ASV12176</v>
          </cell>
          <cell r="H18547" t="str">
            <v>g__unclassified_k__norank_d__Bacteria</v>
          </cell>
          <cell r="I18547" t="str">
            <v>s__unclassified_k__norank_d__Bacteria</v>
          </cell>
        </row>
        <row r="18548">
          <cell r="G18548" t="str">
            <v>ASV12050</v>
          </cell>
          <cell r="H18548" t="str">
            <v>g__unclassified_k__norank_d__Bacteria</v>
          </cell>
          <cell r="I18548" t="str">
            <v>s__unclassified_k__norank_d__Bacteria</v>
          </cell>
        </row>
        <row r="18549">
          <cell r="G18549" t="str">
            <v>ASV17540</v>
          </cell>
          <cell r="H18549" t="str">
            <v>g__norank_f__Oscillospiraceae</v>
          </cell>
          <cell r="I18549" t="str">
            <v>s__Pseudoflavonifractor_sp._Marseille-P3106</v>
          </cell>
        </row>
        <row r="18550">
          <cell r="G18550" t="str">
            <v>ASV12069</v>
          </cell>
          <cell r="H18550" t="str">
            <v>g__unclassified_c__Clostridia</v>
          </cell>
          <cell r="I18550" t="str">
            <v>s__unclassified_c__Clostridia</v>
          </cell>
        </row>
        <row r="18551">
          <cell r="G18551" t="str">
            <v>ASV3527</v>
          </cell>
          <cell r="H18551" t="str">
            <v>g__Enterococcus</v>
          </cell>
          <cell r="I18551" t="str">
            <v>s__unclassified_g__Enterococcus</v>
          </cell>
        </row>
        <row r="18552">
          <cell r="G18552" t="str">
            <v>ASV8305</v>
          </cell>
          <cell r="H18552" t="str">
            <v>g__Olsenella</v>
          </cell>
          <cell r="I18552" t="str">
            <v>s__unclassified_g__Olsenella</v>
          </cell>
        </row>
        <row r="18553">
          <cell r="G18553" t="str">
            <v>ASV17089</v>
          </cell>
          <cell r="H18553" t="str">
            <v>g__Eubacterium_oxidoreducens_group</v>
          </cell>
          <cell r="I18553" t="str">
            <v>s__uncultured_bacterium_g__Eubacterium_oxidoreducens_group</v>
          </cell>
        </row>
        <row r="18554">
          <cell r="G18554" t="str">
            <v>ASV20022</v>
          </cell>
          <cell r="H18554" t="str">
            <v>g__Blautia</v>
          </cell>
          <cell r="I18554" t="str">
            <v>s__unclassified_g__Blautia</v>
          </cell>
        </row>
        <row r="18555">
          <cell r="G18555" t="str">
            <v>ASV9820</v>
          </cell>
          <cell r="H18555" t="str">
            <v>g__norank_f__Oscillospiraceae</v>
          </cell>
          <cell r="I18555" t="str">
            <v>s__unclassified_g__norank_f__Oscillospiraceae</v>
          </cell>
        </row>
        <row r="18556">
          <cell r="G18556" t="str">
            <v>ASV4219</v>
          </cell>
          <cell r="H18556" t="str">
            <v>g__Sharpea</v>
          </cell>
          <cell r="I18556" t="str">
            <v>s__unclassified_g__Sharpea</v>
          </cell>
        </row>
        <row r="18557">
          <cell r="G18557" t="str">
            <v>ASV8242</v>
          </cell>
          <cell r="H18557" t="str">
            <v>g__Lactobacillus</v>
          </cell>
          <cell r="I18557" t="str">
            <v>s__unclassified_g__Lactobacillus</v>
          </cell>
        </row>
        <row r="18558">
          <cell r="G18558" t="str">
            <v>ASV23884</v>
          </cell>
          <cell r="H18558" t="str">
            <v>g__unclassified_f__Lachnospiraceae</v>
          </cell>
          <cell r="I18558" t="str">
            <v>s__unclassified_f__Lachnospiraceae</v>
          </cell>
        </row>
        <row r="18559">
          <cell r="G18559" t="str">
            <v>ASV22556</v>
          </cell>
          <cell r="H18559" t="str">
            <v>g__unclassified_c__Clostridia</v>
          </cell>
          <cell r="I18559" t="str">
            <v>s__unclassified_c__Clostridia</v>
          </cell>
        </row>
        <row r="18560">
          <cell r="G18560" t="str">
            <v>ASV22603</v>
          </cell>
          <cell r="H18560" t="str">
            <v>g__Clostridium_sensu_stricto_1</v>
          </cell>
          <cell r="I18560" t="str">
            <v>s__unclassified_g__Clostridium_sensu_stricto_1</v>
          </cell>
        </row>
        <row r="18561">
          <cell r="G18561" t="str">
            <v>ASV19964</v>
          </cell>
          <cell r="H18561" t="str">
            <v>g__norank_f__Muribaculaceae</v>
          </cell>
          <cell r="I18561" t="str">
            <v>s__uncultured_bacterium_g__norank_f__Muribaculaceae</v>
          </cell>
        </row>
        <row r="18562">
          <cell r="G18562" t="str">
            <v>ASV18976</v>
          </cell>
          <cell r="H18562" t="str">
            <v>g__unclassified_f__Lachnospiraceae</v>
          </cell>
          <cell r="I18562" t="str">
            <v>s__unclassified_f__Lachnospiraceae</v>
          </cell>
        </row>
        <row r="18563">
          <cell r="G18563" t="str">
            <v>ASV21506</v>
          </cell>
          <cell r="H18563" t="str">
            <v>g__Catenisphaera</v>
          </cell>
          <cell r="I18563" t="str">
            <v>s__uncultured_rumen_bacterium_g__Catenisphaera</v>
          </cell>
        </row>
        <row r="18564">
          <cell r="G18564" t="str">
            <v>ASV2786</v>
          </cell>
          <cell r="H18564" t="str">
            <v>g__Tyzzerella</v>
          </cell>
          <cell r="I18564" t="str">
            <v>s__unclassified_g__Tyzzerella</v>
          </cell>
        </row>
        <row r="18565">
          <cell r="G18565" t="str">
            <v>ASV20033</v>
          </cell>
          <cell r="H18565" t="str">
            <v>g__norank_f__UCG-010</v>
          </cell>
          <cell r="I18565" t="str">
            <v>s__uncultured_bacterium_g__norank_f__UCG-010</v>
          </cell>
        </row>
        <row r="18566">
          <cell r="G18566" t="str">
            <v>ASV6282</v>
          </cell>
          <cell r="H18566" t="str">
            <v>g__Escherichia-Shigella</v>
          </cell>
          <cell r="I18566" t="str">
            <v>s__uncultured_proteobacterium_g__Escherichia-Shigella</v>
          </cell>
        </row>
        <row r="18567">
          <cell r="G18567" t="str">
            <v>ASV1788</v>
          </cell>
          <cell r="H18567" t="str">
            <v>g__unclassified_p__Firmicutes</v>
          </cell>
          <cell r="I18567" t="str">
            <v>s__unclassified_p__Firmicutes</v>
          </cell>
        </row>
        <row r="18568">
          <cell r="G18568" t="str">
            <v>ASV1112</v>
          </cell>
          <cell r="H18568" t="str">
            <v>g__unclassified_f__Lachnospiraceae</v>
          </cell>
          <cell r="I18568" t="str">
            <v>s__unclassified_f__Lachnospiraceae</v>
          </cell>
        </row>
        <row r="18569">
          <cell r="G18569" t="str">
            <v>ASV18355</v>
          </cell>
          <cell r="H18569" t="str">
            <v>g__unclassified_c__Bacteroidia</v>
          </cell>
          <cell r="I18569" t="str">
            <v>s__unclassified_c__Bacteroidia</v>
          </cell>
        </row>
        <row r="18570">
          <cell r="G18570" t="str">
            <v>ASV22563</v>
          </cell>
          <cell r="H18570" t="str">
            <v>g__unclassified_o__Clostridiales</v>
          </cell>
          <cell r="I18570" t="str">
            <v>s__unclassified_o__Clostridiales</v>
          </cell>
        </row>
        <row r="18571">
          <cell r="G18571" t="str">
            <v>ASV22794</v>
          </cell>
          <cell r="H18571" t="str">
            <v>g__Christensenellaceae_R-7_group</v>
          </cell>
          <cell r="I18571" t="str">
            <v>s__unclassified_g__Christensenellaceae_R-7_group</v>
          </cell>
        </row>
        <row r="18572">
          <cell r="G18572" t="str">
            <v>ASV21359</v>
          </cell>
          <cell r="H18572" t="str">
            <v>g__unclassified_o__Lactobacillales</v>
          </cell>
          <cell r="I18572" t="str">
            <v>s__unclassified_o__Lactobacillales</v>
          </cell>
        </row>
        <row r="18573">
          <cell r="G18573" t="str">
            <v>ASV10907</v>
          </cell>
          <cell r="H18573" t="str">
            <v>g__Fournierella</v>
          </cell>
          <cell r="I18573" t="str">
            <v>s__uncultured_bacterium_g__Fournierella</v>
          </cell>
        </row>
        <row r="18574">
          <cell r="G18574" t="str">
            <v>ASV20052</v>
          </cell>
          <cell r="H18574" t="str">
            <v>g__Lactobacillus</v>
          </cell>
          <cell r="I18574" t="str">
            <v>s__unclassified_g__Lactobacillus</v>
          </cell>
        </row>
        <row r="18575">
          <cell r="G18575" t="str">
            <v>ASV16154</v>
          </cell>
          <cell r="H18575" t="str">
            <v>g__unclassified_f__Lachnospiraceae</v>
          </cell>
          <cell r="I18575" t="str">
            <v>s__unclassified_f__Lachnospiraceae</v>
          </cell>
        </row>
        <row r="18576">
          <cell r="G18576" t="str">
            <v>ASV16704</v>
          </cell>
          <cell r="H18576" t="str">
            <v>g__unclassified_c__Clostridia</v>
          </cell>
          <cell r="I18576" t="str">
            <v>s__unclassified_c__Clostridia</v>
          </cell>
        </row>
        <row r="18577">
          <cell r="G18577" t="str">
            <v>ASV12111</v>
          </cell>
          <cell r="H18577" t="str">
            <v>g__unclassified_c__Clostridia</v>
          </cell>
          <cell r="I18577" t="str">
            <v>s__unclassified_c__Clostridia</v>
          </cell>
        </row>
        <row r="18578">
          <cell r="G18578" t="str">
            <v>ASV15721</v>
          </cell>
          <cell r="H18578" t="str">
            <v>g__unclassified_c__Clostridia</v>
          </cell>
          <cell r="I18578" t="str">
            <v>s__unclassified_c__Clostridia</v>
          </cell>
        </row>
        <row r="18579">
          <cell r="G18579" t="str">
            <v>ASV10344</v>
          </cell>
          <cell r="H18579" t="str">
            <v>g__unclassified_f__Lachnospiraceae</v>
          </cell>
          <cell r="I18579" t="str">
            <v>s__unclassified_f__Lachnospiraceae</v>
          </cell>
        </row>
        <row r="18580">
          <cell r="G18580" t="str">
            <v>ASV13098</v>
          </cell>
          <cell r="H18580" t="str">
            <v>g__unclassified_c__Clostridia</v>
          </cell>
          <cell r="I18580" t="str">
            <v>s__unclassified_c__Clostridia</v>
          </cell>
        </row>
        <row r="18581">
          <cell r="G18581" t="str">
            <v>ASV3285</v>
          </cell>
          <cell r="H18581" t="str">
            <v>g__unclassified_p__Firmicutes</v>
          </cell>
          <cell r="I18581" t="str">
            <v>s__unclassified_p__Firmicutes</v>
          </cell>
        </row>
        <row r="18582">
          <cell r="G18582" t="str">
            <v>ASV1213</v>
          </cell>
          <cell r="H18582" t="str">
            <v>g__unclassified_c__Bacilli</v>
          </cell>
          <cell r="I18582" t="str">
            <v>s__unclassified_c__Bacilli</v>
          </cell>
        </row>
        <row r="18583">
          <cell r="G18583" t="str">
            <v>ASV9675</v>
          </cell>
          <cell r="H18583" t="str">
            <v>g__unclassified_o__Burkholderiales</v>
          </cell>
          <cell r="I18583" t="str">
            <v>s__unclassified_o__Burkholderiales</v>
          </cell>
        </row>
        <row r="18584">
          <cell r="G18584" t="str">
            <v>ASV10128</v>
          </cell>
          <cell r="H18584" t="str">
            <v>g__Colidextribacter</v>
          </cell>
          <cell r="I18584" t="str">
            <v>s__uncultured_bacterium_g__Colidextribacter</v>
          </cell>
        </row>
        <row r="18585">
          <cell r="G18585" t="str">
            <v>ASV9608</v>
          </cell>
          <cell r="H18585" t="str">
            <v>g__Bacteroides</v>
          </cell>
          <cell r="I18585" t="str">
            <v>s__unclassified_g__Bacteroides</v>
          </cell>
        </row>
        <row r="18586">
          <cell r="G18586" t="str">
            <v>ASV12107</v>
          </cell>
          <cell r="H18586" t="str">
            <v>g__Prevotella</v>
          </cell>
          <cell r="I18586" t="str">
            <v>s__unclassified_g__Prevotella</v>
          </cell>
        </row>
        <row r="18587">
          <cell r="G18587" t="str">
            <v>ASV16129</v>
          </cell>
          <cell r="H18587" t="str">
            <v>g__Campylobacter</v>
          </cell>
          <cell r="I18587" t="str">
            <v>s__unclassified_g__Campylobacter</v>
          </cell>
        </row>
        <row r="18588">
          <cell r="G18588" t="str">
            <v>ASV21331</v>
          </cell>
          <cell r="H18588" t="str">
            <v>g__Holdemanella</v>
          </cell>
          <cell r="I18588" t="str">
            <v>s__uncultured_bacterium_g__Holdemanella</v>
          </cell>
        </row>
        <row r="18589">
          <cell r="G18589" t="str">
            <v>ASV21334</v>
          </cell>
          <cell r="H18589" t="str">
            <v>g__Peptostreptococcus</v>
          </cell>
          <cell r="I18589" t="str">
            <v>s__unclassified_g__Peptostreptococcus</v>
          </cell>
        </row>
        <row r="18590">
          <cell r="G18590" t="str">
            <v>ASV22747</v>
          </cell>
          <cell r="H18590" t="str">
            <v>g__norank_f__Eubacterium_coprostanoligenes_group</v>
          </cell>
          <cell r="I18590" t="str">
            <v>s__uncultured_bacterium_g__norank_f__Eubacterium_coprostanoligenes_group</v>
          </cell>
        </row>
        <row r="18591">
          <cell r="G18591" t="str">
            <v>ASV9756</v>
          </cell>
          <cell r="H18591" t="str">
            <v>g__unclassified_c__Clostridia</v>
          </cell>
          <cell r="I18591" t="str">
            <v>s__unclassified_c__Clostridia</v>
          </cell>
        </row>
        <row r="18592">
          <cell r="G18592" t="str">
            <v>ASV9817</v>
          </cell>
          <cell r="H18592" t="str">
            <v>g__unclassified_f__Lachnospiraceae</v>
          </cell>
          <cell r="I18592" t="str">
            <v>s__unclassified_f__Lachnospiraceae</v>
          </cell>
        </row>
        <row r="18593">
          <cell r="G18593" t="str">
            <v>ASV12123</v>
          </cell>
          <cell r="H18593" t="str">
            <v>g__unclassified_k__norank_d__Bacteria</v>
          </cell>
          <cell r="I18593" t="str">
            <v>s__unclassified_k__norank_d__Bacteria</v>
          </cell>
        </row>
        <row r="18594">
          <cell r="G18594" t="str">
            <v>ASV8219</v>
          </cell>
          <cell r="H18594" t="str">
            <v>g__Lactobacillus</v>
          </cell>
          <cell r="I18594" t="str">
            <v>s__unclassified_g__Lactobacillus</v>
          </cell>
        </row>
        <row r="18595">
          <cell r="G18595" t="str">
            <v>ASV23799</v>
          </cell>
          <cell r="H18595" t="str">
            <v>g__Helcococcus</v>
          </cell>
          <cell r="I18595" t="str">
            <v>s__uncultured_bacterium_g__Helcococcus</v>
          </cell>
        </row>
        <row r="18596">
          <cell r="G18596" t="str">
            <v>ASV6169</v>
          </cell>
          <cell r="H18596" t="str">
            <v>g__unclassified_k__norank_d__Bacteria</v>
          </cell>
          <cell r="I18596" t="str">
            <v>s__unclassified_k__norank_d__Bacteria</v>
          </cell>
        </row>
        <row r="18597">
          <cell r="G18597" t="str">
            <v>ASV23494</v>
          </cell>
          <cell r="H18597" t="str">
            <v>g__Parabacteroides</v>
          </cell>
          <cell r="I18597" t="str">
            <v>s__uncultured_bacterium_g__Parabacteroides</v>
          </cell>
        </row>
        <row r="18598">
          <cell r="G18598" t="str">
            <v>ASV20141</v>
          </cell>
          <cell r="H18598" t="str">
            <v>g__unclassified_c__Clostridia</v>
          </cell>
          <cell r="I18598" t="str">
            <v>s__unclassified_c__Clostridia</v>
          </cell>
        </row>
        <row r="18599">
          <cell r="G18599" t="str">
            <v>ASV5255</v>
          </cell>
          <cell r="H18599" t="str">
            <v>g__unclassified_k__norank_d__Bacteria</v>
          </cell>
          <cell r="I18599" t="str">
            <v>s__unclassified_k__norank_d__Bacteria</v>
          </cell>
        </row>
        <row r="18600">
          <cell r="G18600" t="str">
            <v>ASV10904</v>
          </cell>
          <cell r="H18600" t="str">
            <v>g__unclassified_p__Firmicutes</v>
          </cell>
          <cell r="I18600" t="str">
            <v>s__unclassified_p__Firmicutes</v>
          </cell>
        </row>
        <row r="18601">
          <cell r="G18601" t="str">
            <v>ASV24397</v>
          </cell>
          <cell r="H18601" t="str">
            <v>g__Lactobacillus</v>
          </cell>
          <cell r="I18601" t="str">
            <v>s__unclassified_g__Lactobacillus</v>
          </cell>
        </row>
        <row r="18602">
          <cell r="G18602" t="str">
            <v>ASV17067</v>
          </cell>
          <cell r="H18602" t="str">
            <v>g__unclassified_k__norank_d__Bacteria</v>
          </cell>
          <cell r="I18602" t="str">
            <v>s__unclassified_k__norank_d__Bacteria</v>
          </cell>
        </row>
        <row r="18603">
          <cell r="G18603" t="str">
            <v>ASV6860</v>
          </cell>
          <cell r="H18603" t="str">
            <v>g__unclassified_c__Clostridia</v>
          </cell>
          <cell r="I18603" t="str">
            <v>s__unclassified_c__Clostridia</v>
          </cell>
        </row>
        <row r="18604">
          <cell r="G18604" t="str">
            <v>ASV4335</v>
          </cell>
          <cell r="H18604" t="str">
            <v>g__unclassified_c__Clostridia</v>
          </cell>
          <cell r="I18604" t="str">
            <v>s__unclassified_c__Clostridia</v>
          </cell>
        </row>
        <row r="18605">
          <cell r="G18605" t="str">
            <v>ASV10912</v>
          </cell>
          <cell r="H18605" t="str">
            <v>g__norank_f__Muribaculaceae</v>
          </cell>
          <cell r="I18605" t="str">
            <v>s__uncultured_Porphyromonadaceae_bacterium_g__norank_f__Muribaculaceae</v>
          </cell>
        </row>
        <row r="18606">
          <cell r="G18606" t="str">
            <v>ASV22648</v>
          </cell>
          <cell r="H18606" t="str">
            <v>g__unclassified_f__Anaerovoracaceae</v>
          </cell>
          <cell r="I18606" t="str">
            <v>s__unclassified_f__Anaerovoracaceae</v>
          </cell>
        </row>
        <row r="18607">
          <cell r="G18607" t="str">
            <v>ASV21755</v>
          </cell>
          <cell r="H18607" t="str">
            <v>g__Thermomonas</v>
          </cell>
          <cell r="I18607" t="str">
            <v>s__unclassified_g__Thermomonas</v>
          </cell>
        </row>
        <row r="18608">
          <cell r="G18608" t="str">
            <v>ASV21329</v>
          </cell>
          <cell r="H18608" t="str">
            <v>g__Escherichia-Shigella</v>
          </cell>
          <cell r="I18608" t="str">
            <v>s__unclassified_g__Escherichia-Shigella</v>
          </cell>
        </row>
        <row r="18609">
          <cell r="G18609" t="str">
            <v>ASV13569</v>
          </cell>
          <cell r="H18609" t="str">
            <v>g__Lachnoclostridium</v>
          </cell>
          <cell r="I18609" t="str">
            <v>s__unclassified_g__Lachnoclostridium</v>
          </cell>
        </row>
        <row r="18610">
          <cell r="G18610" t="str">
            <v>ASV6852</v>
          </cell>
          <cell r="H18610" t="str">
            <v>g__Bilophila</v>
          </cell>
          <cell r="I18610" t="str">
            <v>s__unclassified_g__Bilophila</v>
          </cell>
        </row>
        <row r="18611">
          <cell r="G18611" t="str">
            <v>ASV1298</v>
          </cell>
          <cell r="H18611" t="str">
            <v>g__unclassified_f__Lachnospiraceae</v>
          </cell>
          <cell r="I18611" t="str">
            <v>s__unclassified_f__Lachnospiraceae</v>
          </cell>
        </row>
        <row r="18612">
          <cell r="G18612" t="str">
            <v>ASV4376</v>
          </cell>
          <cell r="H18612" t="str">
            <v>g__Holdemanella</v>
          </cell>
          <cell r="I18612" t="str">
            <v>s__uncultured_bacterium_g__Holdemanella</v>
          </cell>
        </row>
        <row r="18613">
          <cell r="G18613" t="str">
            <v>ASV10232</v>
          </cell>
          <cell r="H18613" t="str">
            <v>g__Eubacterium_nodatum_group</v>
          </cell>
          <cell r="I18613" t="str">
            <v>s__Eubacterium_pyruvativorans</v>
          </cell>
        </row>
        <row r="18614">
          <cell r="G18614" t="str">
            <v>ASV12415</v>
          </cell>
          <cell r="H18614" t="str">
            <v>g__Christensenellaceae_R-7_group</v>
          </cell>
          <cell r="I18614" t="str">
            <v>s__unclassified_g__Christensenellaceae_R-7_group</v>
          </cell>
        </row>
        <row r="18615">
          <cell r="G18615" t="str">
            <v>ASV23689</v>
          </cell>
          <cell r="H18615" t="str">
            <v>g__unclassified_c__Clostridia</v>
          </cell>
          <cell r="I18615" t="str">
            <v>s__unclassified_c__Clostridia</v>
          </cell>
        </row>
        <row r="18616">
          <cell r="G18616" t="str">
            <v>ASV17052</v>
          </cell>
          <cell r="H18616" t="str">
            <v>g__Odoribacter</v>
          </cell>
          <cell r="I18616" t="str">
            <v>s__uncultured_bacterium_g__Odoribacter</v>
          </cell>
        </row>
        <row r="18617">
          <cell r="G18617" t="str">
            <v>ASV21038</v>
          </cell>
          <cell r="H18617" t="str">
            <v>g__Turicibacter</v>
          </cell>
          <cell r="I18617" t="str">
            <v>s__uncultured_bacterium_g__Turicibacter</v>
          </cell>
        </row>
        <row r="18618">
          <cell r="G18618" t="str">
            <v>ASV23506</v>
          </cell>
          <cell r="H18618" t="str">
            <v>g__norank_f__Bacteroidales_RF16_group</v>
          </cell>
          <cell r="I18618" t="str">
            <v>s__uncultured_bacterium_g__norank_f__Bacteroidales_RF16_group</v>
          </cell>
        </row>
        <row r="18619">
          <cell r="G18619" t="str">
            <v>ASV18421</v>
          </cell>
          <cell r="H18619" t="str">
            <v>g__unclassified_p__Firmicutes</v>
          </cell>
          <cell r="I18619" t="str">
            <v>s__unclassified_p__Firmicutes</v>
          </cell>
        </row>
        <row r="18620">
          <cell r="G18620" t="str">
            <v>ASV8072</v>
          </cell>
          <cell r="H18620" t="str">
            <v>g__norank_f__Eubacterium_coprostanoligenes_group</v>
          </cell>
          <cell r="I18620" t="str">
            <v>s__uncultured_bacterium_g__norank_f__Eubacterium_coprostanoligenes_group</v>
          </cell>
        </row>
        <row r="18621">
          <cell r="G18621" t="str">
            <v>ASV20962</v>
          </cell>
          <cell r="H18621" t="str">
            <v>g__Anaerofustis</v>
          </cell>
          <cell r="I18621" t="str">
            <v>s__unclassified_g__Anaerofustis</v>
          </cell>
        </row>
        <row r="18622">
          <cell r="G18622" t="str">
            <v>ASV5383</v>
          </cell>
          <cell r="H18622" t="str">
            <v>g__Rikenellaceae_RC9_gut_group</v>
          </cell>
          <cell r="I18622" t="str">
            <v>s__uncultured_bacterium_g__Rikenellaceae_RC9_gut_group</v>
          </cell>
        </row>
        <row r="18623">
          <cell r="G18623" t="str">
            <v>ASV16611</v>
          </cell>
          <cell r="H18623" t="str">
            <v>g__unclassified_c__Clostridia</v>
          </cell>
          <cell r="I18623" t="str">
            <v>s__unclassified_c__Clostridia</v>
          </cell>
        </row>
        <row r="18624">
          <cell r="G18624" t="str">
            <v>ASV10328</v>
          </cell>
          <cell r="H18624" t="str">
            <v>g__norank_f__norank_o__Chloroplast</v>
          </cell>
          <cell r="I18624" t="str">
            <v>s__Vischeria_sp._CAUP_Q_202</v>
          </cell>
        </row>
        <row r="18625">
          <cell r="G18625" t="str">
            <v>ASV18446</v>
          </cell>
          <cell r="H18625" t="str">
            <v>g__Rikenellaceae_RC9_gut_group</v>
          </cell>
          <cell r="I18625" t="str">
            <v>s__uncultured_bacterium_g__Rikenellaceae_RC9_gut_group</v>
          </cell>
        </row>
        <row r="18626">
          <cell r="G18626" t="str">
            <v>ASV21046</v>
          </cell>
          <cell r="H18626" t="str">
            <v>g__Christensenellaceae_R-7_group</v>
          </cell>
          <cell r="I18626" t="str">
            <v>s__unclassified_g__Christensenellaceae_R-7_group</v>
          </cell>
        </row>
        <row r="18627">
          <cell r="G18627" t="str">
            <v>ASV16764</v>
          </cell>
          <cell r="H18627" t="str">
            <v>g__unclassified_k__norank_d__Bacteria</v>
          </cell>
          <cell r="I18627" t="str">
            <v>s__unclassified_k__norank_d__Bacteria</v>
          </cell>
        </row>
        <row r="18628">
          <cell r="G18628" t="str">
            <v>ASV9716</v>
          </cell>
          <cell r="H18628" t="str">
            <v>g__unclassified_p__Firmicutes</v>
          </cell>
          <cell r="I18628" t="str">
            <v>s__unclassified_p__Firmicutes</v>
          </cell>
        </row>
        <row r="18629">
          <cell r="G18629" t="str">
            <v>ASV19920</v>
          </cell>
          <cell r="H18629" t="str">
            <v>g__unclassified_o__Oscillospirales</v>
          </cell>
          <cell r="I18629" t="str">
            <v>s__unclassified_o__Oscillospirales</v>
          </cell>
        </row>
        <row r="18630">
          <cell r="G18630" t="str">
            <v>ASV1388</v>
          </cell>
          <cell r="H18630" t="str">
            <v>g__unclassified_c__Clostridia</v>
          </cell>
          <cell r="I18630" t="str">
            <v>s__unclassified_c__Clostridia</v>
          </cell>
        </row>
        <row r="18631">
          <cell r="G18631" t="str">
            <v>ASV22754</v>
          </cell>
          <cell r="H18631" t="str">
            <v>g__unclassified_c__Clostridia</v>
          </cell>
          <cell r="I18631" t="str">
            <v>s__unclassified_c__Clostridia</v>
          </cell>
        </row>
        <row r="18632">
          <cell r="G18632" t="str">
            <v>ASV15613</v>
          </cell>
          <cell r="H18632" t="str">
            <v>g__unclassified_f__Lachnospiraceae</v>
          </cell>
          <cell r="I18632" t="str">
            <v>s__unclassified_f__Lachnospiraceae</v>
          </cell>
        </row>
        <row r="18633">
          <cell r="G18633" t="str">
            <v>ASV5253</v>
          </cell>
          <cell r="H18633" t="str">
            <v>g__Lactobacillus</v>
          </cell>
          <cell r="I18633" t="str">
            <v>s__unclassified_g__Lactobacillus</v>
          </cell>
        </row>
        <row r="18634">
          <cell r="G18634" t="str">
            <v>ASV12280</v>
          </cell>
          <cell r="H18634" t="str">
            <v>g__unclassified_k__norank_d__Bacteria</v>
          </cell>
          <cell r="I18634" t="str">
            <v>s__unclassified_k__norank_d__Bacteria</v>
          </cell>
        </row>
        <row r="18635">
          <cell r="G18635" t="str">
            <v>ASV8040</v>
          </cell>
          <cell r="H18635" t="str">
            <v>g__Eubacterium_oxidoreducens_group</v>
          </cell>
          <cell r="I18635" t="str">
            <v>s__uncultured_bacterium_g__Eubacterium_oxidoreducens_group</v>
          </cell>
        </row>
        <row r="18636">
          <cell r="G18636" t="str">
            <v>ASV23526</v>
          </cell>
          <cell r="H18636" t="str">
            <v>g__Lactobacillus</v>
          </cell>
          <cell r="I18636" t="str">
            <v>s__unclassified_g__Lactobacillus</v>
          </cell>
        </row>
        <row r="18637">
          <cell r="G18637" t="str">
            <v>ASV23877</v>
          </cell>
          <cell r="H18637" t="str">
            <v>g__Clostridium_sensu_stricto_1</v>
          </cell>
          <cell r="I18637" t="str">
            <v>s__unclassified_g__Clostridium_sensu_stricto_1</v>
          </cell>
        </row>
        <row r="18638">
          <cell r="G18638" t="str">
            <v>ASV14708</v>
          </cell>
          <cell r="H18638" t="str">
            <v>g__unclassified_p__Firmicutes</v>
          </cell>
          <cell r="I18638" t="str">
            <v>s__unclassified_p__Firmicutes</v>
          </cell>
        </row>
        <row r="18639">
          <cell r="G18639" t="str">
            <v>ASV22852</v>
          </cell>
          <cell r="H18639" t="str">
            <v>g__unclassified_f__Lachnospiraceae</v>
          </cell>
          <cell r="I18639" t="str">
            <v>s__unclassified_f__Lachnospiraceae</v>
          </cell>
        </row>
        <row r="18640">
          <cell r="G18640" t="str">
            <v>ASV20001</v>
          </cell>
          <cell r="H18640" t="str">
            <v>g__unclassified_c__Bacilli</v>
          </cell>
          <cell r="I18640" t="str">
            <v>s__unclassified_c__Bacilli</v>
          </cell>
        </row>
        <row r="18641">
          <cell r="G18641" t="str">
            <v>ASV21051</v>
          </cell>
          <cell r="H18641" t="str">
            <v>g__unclassified_c__Clostridia</v>
          </cell>
          <cell r="I18641" t="str">
            <v>s__unclassified_c__Clostridia</v>
          </cell>
        </row>
        <row r="18642">
          <cell r="G18642" t="str">
            <v>ASV12046</v>
          </cell>
          <cell r="H18642" t="str">
            <v>g__unclassified_c__Bacilli</v>
          </cell>
          <cell r="I18642" t="str">
            <v>s__unclassified_c__Bacilli</v>
          </cell>
        </row>
        <row r="18643">
          <cell r="G18643" t="str">
            <v>ASV5131</v>
          </cell>
          <cell r="H18643" t="str">
            <v>g__norank_f__norank_o__Clostridia_UCG-014</v>
          </cell>
          <cell r="I18643" t="str">
            <v>s__unclassified_g__norank_f__norank_o__Clostridia_UCG-014</v>
          </cell>
        </row>
        <row r="18644">
          <cell r="G18644" t="str">
            <v>ASV12084</v>
          </cell>
          <cell r="H18644" t="str">
            <v>g__unclassified_f__Ruminococcaceae</v>
          </cell>
          <cell r="I18644" t="str">
            <v>s__unclassified_f__Ruminococcaceae</v>
          </cell>
        </row>
        <row r="18645">
          <cell r="G18645" t="str">
            <v>ASV23533</v>
          </cell>
          <cell r="H18645" t="str">
            <v>g__unclassified_c__Bacilli</v>
          </cell>
          <cell r="I18645" t="str">
            <v>s__unclassified_c__Bacilli</v>
          </cell>
        </row>
        <row r="18646">
          <cell r="G18646" t="str">
            <v>ASV23638</v>
          </cell>
          <cell r="H18646" t="str">
            <v>g__Lactobacillus</v>
          </cell>
          <cell r="I18646" t="str">
            <v>s__unclassified_g__Lactobacillus</v>
          </cell>
        </row>
        <row r="18647">
          <cell r="G18647" t="str">
            <v>ASV12462</v>
          </cell>
          <cell r="H18647" t="str">
            <v>g__unclassified_f__Oscillospiraceae</v>
          </cell>
          <cell r="I18647" t="str">
            <v>s__unclassified_f__Oscillospiraceae</v>
          </cell>
        </row>
        <row r="18648">
          <cell r="G18648" t="str">
            <v>ASV12400</v>
          </cell>
          <cell r="H18648" t="str">
            <v>g__norank_f__UCG-010</v>
          </cell>
          <cell r="I18648" t="str">
            <v>s__uncultured_bacterium_g__norank_f__UCG-010</v>
          </cell>
        </row>
        <row r="18649">
          <cell r="G18649" t="str">
            <v>ASV14921</v>
          </cell>
          <cell r="H18649" t="str">
            <v>g__Streptococcus</v>
          </cell>
          <cell r="I18649" t="str">
            <v>s__unclassified_g__Streptococcus</v>
          </cell>
        </row>
        <row r="18650">
          <cell r="G18650" t="str">
            <v>ASV6246</v>
          </cell>
          <cell r="H18650" t="str">
            <v>g__unclassified_k__norank_d__Bacteria</v>
          </cell>
          <cell r="I18650" t="str">
            <v>s__unclassified_k__norank_d__Bacteria</v>
          </cell>
        </row>
        <row r="18651">
          <cell r="G18651" t="str">
            <v>ASV6424</v>
          </cell>
          <cell r="H18651" t="str">
            <v>g__Christensenella</v>
          </cell>
          <cell r="I18651" t="str">
            <v>s__Christensenella_sp._g__Christensenella</v>
          </cell>
        </row>
        <row r="18652">
          <cell r="G18652" t="str">
            <v>ASV1250</v>
          </cell>
          <cell r="H18652" t="str">
            <v>g__Lactobacillus</v>
          </cell>
          <cell r="I18652" t="str">
            <v>s__unclassified_g__Lactobacillus</v>
          </cell>
        </row>
        <row r="18653">
          <cell r="G18653" t="str">
            <v>ASV3536</v>
          </cell>
          <cell r="H18653" t="str">
            <v>g__unclassified_c__Bacilli</v>
          </cell>
          <cell r="I18653" t="str">
            <v>s__unclassified_c__Bacilli</v>
          </cell>
        </row>
        <row r="18654">
          <cell r="G18654" t="str">
            <v>ASV1170</v>
          </cell>
          <cell r="H18654" t="str">
            <v>g__norank_f__norank_o__Clostridia_vadinBB60_group</v>
          </cell>
          <cell r="I18654" t="str">
            <v>s__uncultured_bacterium_g__norank_f__norank_o__Clostridia_vadinBB60_group</v>
          </cell>
        </row>
        <row r="18655">
          <cell r="G18655" t="str">
            <v>ASV18955</v>
          </cell>
          <cell r="H18655" t="str">
            <v>g__unclassified_k__norank_d__Bacteria</v>
          </cell>
          <cell r="I18655" t="str">
            <v>s__unclassified_k__norank_d__Bacteria</v>
          </cell>
        </row>
        <row r="18656">
          <cell r="G18656" t="str">
            <v>ASV5411</v>
          </cell>
          <cell r="H18656" t="str">
            <v>g__unclassified_f__Peptostreptococcaceae</v>
          </cell>
          <cell r="I18656" t="str">
            <v>s__unclassified_f__Peptostreptococcaceae</v>
          </cell>
        </row>
        <row r="18657">
          <cell r="G18657" t="str">
            <v>ASV4269</v>
          </cell>
          <cell r="H18657" t="str">
            <v>g__Phascolarctobacterium</v>
          </cell>
          <cell r="I18657" t="str">
            <v>s__Ruminococcus_sp._N15.MGS-57_g__Phascolarctobacterium</v>
          </cell>
        </row>
        <row r="18658">
          <cell r="G18658" t="str">
            <v>ASV6346</v>
          </cell>
          <cell r="H18658" t="str">
            <v>g__Monoglobus</v>
          </cell>
          <cell r="I18658" t="str">
            <v>s__uncultured_bacterium_g__Monoglobus</v>
          </cell>
        </row>
        <row r="18659">
          <cell r="G18659" t="str">
            <v>ASV5268</v>
          </cell>
          <cell r="H18659" t="str">
            <v>g__unclassified_f__Lachnospiraceae</v>
          </cell>
          <cell r="I18659" t="str">
            <v>s__unclassified_f__Lachnospiraceae</v>
          </cell>
        </row>
        <row r="18660">
          <cell r="G18660" t="str">
            <v>ASV17016</v>
          </cell>
          <cell r="H18660" t="str">
            <v>g__unclassified_o__Oscillospirales</v>
          </cell>
          <cell r="I18660" t="str">
            <v>s__unclassified_o__Oscillospirales</v>
          </cell>
        </row>
        <row r="18661">
          <cell r="G18661" t="str">
            <v>ASV19882</v>
          </cell>
          <cell r="H18661" t="str">
            <v>g__Lactobacillus</v>
          </cell>
          <cell r="I18661" t="str">
            <v>s__unclassified_g__Lactobacillus</v>
          </cell>
        </row>
        <row r="18662">
          <cell r="G18662" t="str">
            <v>ASV6295</v>
          </cell>
          <cell r="H18662" t="str">
            <v>g__unclassified_k__norank_d__Bacteria</v>
          </cell>
          <cell r="I18662" t="str">
            <v>s__unclassified_k__norank_d__Bacteria</v>
          </cell>
        </row>
        <row r="18663">
          <cell r="G18663" t="str">
            <v>ASV13118</v>
          </cell>
          <cell r="H18663" t="str">
            <v>g__Christensenellaceae_R-7_group</v>
          </cell>
          <cell r="I18663" t="str">
            <v>s__unclassified_g__Christensenellaceae_R-7_group</v>
          </cell>
        </row>
        <row r="18664">
          <cell r="G18664" t="str">
            <v>ASV14793</v>
          </cell>
          <cell r="H18664" t="str">
            <v>g__unclassified_p__Firmicutes</v>
          </cell>
          <cell r="I18664" t="str">
            <v>s__unclassified_p__Firmicutes</v>
          </cell>
        </row>
        <row r="18665">
          <cell r="G18665" t="str">
            <v>ASV22735</v>
          </cell>
          <cell r="H18665" t="str">
            <v>g__Enterorhabdus</v>
          </cell>
          <cell r="I18665" t="str">
            <v>s__uncultured_bacterium_g__Enterorhabdus</v>
          </cell>
        </row>
        <row r="18666">
          <cell r="G18666" t="str">
            <v>ASV9788</v>
          </cell>
          <cell r="H18666" t="str">
            <v>g__Eubacterium_oxidoreducens_group</v>
          </cell>
          <cell r="I18666" t="str">
            <v>s__uncultured_bacterium_g__Eubacterium_oxidoreducens_group</v>
          </cell>
        </row>
        <row r="18667">
          <cell r="G18667" t="str">
            <v>ASV16675</v>
          </cell>
          <cell r="H18667" t="str">
            <v>g__unclassified_c__Clostridia</v>
          </cell>
          <cell r="I18667" t="str">
            <v>s__unclassified_c__Clostridia</v>
          </cell>
        </row>
        <row r="18668">
          <cell r="G18668" t="str">
            <v>ASV22872</v>
          </cell>
          <cell r="H18668" t="str">
            <v>g__unclassified_c__Clostridia</v>
          </cell>
          <cell r="I18668" t="str">
            <v>s__unclassified_c__Clostridia</v>
          </cell>
        </row>
        <row r="18669">
          <cell r="G18669" t="str">
            <v>ASV14717</v>
          </cell>
          <cell r="H18669" t="str">
            <v>g__norank_f__Ruminococcaceae</v>
          </cell>
          <cell r="I18669" t="str">
            <v>s__unclassified_g__norank_f__Ruminococcaceae</v>
          </cell>
        </row>
        <row r="18670">
          <cell r="G18670" t="str">
            <v>ASV23784</v>
          </cell>
          <cell r="H18670" t="str">
            <v>g__Veillonella</v>
          </cell>
          <cell r="I18670" t="str">
            <v>s__unclassified_g__Veillonella</v>
          </cell>
        </row>
        <row r="18671">
          <cell r="G18671" t="str">
            <v>ASV14763</v>
          </cell>
          <cell r="H18671" t="str">
            <v>g__unclassified_f__Lachnospiraceae</v>
          </cell>
          <cell r="I18671" t="str">
            <v>s__unclassified_f__Lachnospiraceae</v>
          </cell>
        </row>
        <row r="18672">
          <cell r="G18672" t="str">
            <v>ASV7108</v>
          </cell>
          <cell r="H18672" t="str">
            <v>g__Bacteroides</v>
          </cell>
          <cell r="I18672" t="str">
            <v>s__unclassified_g__Bacteroides</v>
          </cell>
        </row>
        <row r="18673">
          <cell r="G18673" t="str">
            <v>ASV10936</v>
          </cell>
          <cell r="H18673" t="str">
            <v>g__unclassified_c__Clostridia</v>
          </cell>
          <cell r="I18673" t="str">
            <v>s__unclassified_c__Clostridia</v>
          </cell>
        </row>
        <row r="18674">
          <cell r="G18674" t="str">
            <v>ASV9603</v>
          </cell>
          <cell r="H18674" t="str">
            <v>g__unclassified_k__norank_d__Bacteria</v>
          </cell>
          <cell r="I18674" t="str">
            <v>s__unclassified_k__norank_d__Bacteria</v>
          </cell>
        </row>
        <row r="18675">
          <cell r="G18675" t="str">
            <v>ASV14621</v>
          </cell>
          <cell r="H18675" t="str">
            <v>g__NK4A214_group</v>
          </cell>
          <cell r="I18675" t="str">
            <v>s__unclassified_g__NK4A214_group</v>
          </cell>
        </row>
        <row r="18676">
          <cell r="G18676" t="str">
            <v>ASV5233</v>
          </cell>
          <cell r="H18676" t="str">
            <v>g__unclassified_c__Clostridia</v>
          </cell>
          <cell r="I18676" t="str">
            <v>s__unclassified_c__Clostridia</v>
          </cell>
        </row>
        <row r="18677">
          <cell r="G18677" t="str">
            <v>ASV2510</v>
          </cell>
          <cell r="H18677" t="str">
            <v>g__unclassified_f__Oscillospiraceae</v>
          </cell>
          <cell r="I18677" t="str">
            <v>s__unclassified_f__Oscillospiraceae</v>
          </cell>
        </row>
        <row r="18678">
          <cell r="G18678" t="str">
            <v>ASV23882</v>
          </cell>
          <cell r="H18678" t="str">
            <v>g__Bacteroides</v>
          </cell>
          <cell r="I18678" t="str">
            <v>s__unclassified_g__Bacteroides</v>
          </cell>
        </row>
        <row r="18679">
          <cell r="G18679" t="str">
            <v>ASV8066</v>
          </cell>
          <cell r="H18679" t="str">
            <v>g__unclassified_f__Ruminococcaceae</v>
          </cell>
          <cell r="I18679" t="str">
            <v>s__unclassified_f__Ruminococcaceae</v>
          </cell>
        </row>
        <row r="18680">
          <cell r="G18680" t="str">
            <v>ASV20053</v>
          </cell>
          <cell r="H18680" t="str">
            <v>g__Succiniclasticum</v>
          </cell>
          <cell r="I18680" t="str">
            <v>s__uncultured_rumen_bacterium_4C28d-16</v>
          </cell>
        </row>
        <row r="18681">
          <cell r="G18681" t="str">
            <v>ASV16606</v>
          </cell>
          <cell r="H18681" t="str">
            <v>g__Enterococcus</v>
          </cell>
          <cell r="I18681" t="str">
            <v>s__unclassified_g__Enterococcus</v>
          </cell>
        </row>
        <row r="18682">
          <cell r="G18682" t="str">
            <v>ASV13590</v>
          </cell>
          <cell r="H18682" t="str">
            <v>g__Clostridium_sensu_stricto_1</v>
          </cell>
          <cell r="I18682" t="str">
            <v>s__unclassified_g__Clostridium_sensu_stricto_1</v>
          </cell>
        </row>
        <row r="18683">
          <cell r="G18683" t="str">
            <v>ASV12374</v>
          </cell>
          <cell r="H18683" t="str">
            <v>g__norank_f__Muribaculaceae</v>
          </cell>
          <cell r="I18683" t="str">
            <v>s__uncultured_bacterium_g__norank_f__Muribaculaceae</v>
          </cell>
        </row>
        <row r="18684">
          <cell r="G18684" t="str">
            <v>ASV3703</v>
          </cell>
          <cell r="H18684" t="str">
            <v>g__Tissierella</v>
          </cell>
          <cell r="I18684" t="str">
            <v>s__unclassified_g__Tissierella</v>
          </cell>
        </row>
        <row r="18685">
          <cell r="G18685" t="str">
            <v>ASV15096</v>
          </cell>
          <cell r="H18685" t="str">
            <v>g__unclassified_k__norank_d__Bacteria</v>
          </cell>
          <cell r="I18685" t="str">
            <v>s__unclassified_k__norank_d__Bacteria</v>
          </cell>
        </row>
        <row r="18686">
          <cell r="G18686" t="str">
            <v>ASV21116</v>
          </cell>
          <cell r="H18686" t="str">
            <v>g__unclassified_c__Clostridia</v>
          </cell>
          <cell r="I18686" t="str">
            <v>s__unclassified_c__Clostridia</v>
          </cell>
        </row>
        <row r="18687">
          <cell r="G18687" t="str">
            <v>ASV12384</v>
          </cell>
          <cell r="H18687" t="str">
            <v>g__norank_f__Muribaculaceae</v>
          </cell>
          <cell r="I18687" t="str">
            <v>s__uncultured_bacterium_g__norank_f__Muribaculaceae</v>
          </cell>
        </row>
        <row r="18688">
          <cell r="G18688" t="str">
            <v>ASV21362</v>
          </cell>
          <cell r="H18688" t="str">
            <v>g__Streptococcus</v>
          </cell>
          <cell r="I18688" t="str">
            <v>s__unclassified_g__Streptococcus</v>
          </cell>
        </row>
        <row r="18689">
          <cell r="G18689" t="str">
            <v>ASV21125</v>
          </cell>
          <cell r="H18689" t="str">
            <v>g__Lactobacillus</v>
          </cell>
          <cell r="I18689" t="str">
            <v>s__unclassified_g__Lactobacillus</v>
          </cell>
        </row>
        <row r="18690">
          <cell r="G18690" t="str">
            <v>ASV16692</v>
          </cell>
          <cell r="H18690" t="str">
            <v>g__Christensenellaceae_R-7_group</v>
          </cell>
          <cell r="I18690" t="str">
            <v>s__uncultured_bacterium_g__Christensenellaceae_R-7_group</v>
          </cell>
        </row>
        <row r="18691">
          <cell r="G18691" t="str">
            <v>ASV2424</v>
          </cell>
          <cell r="H18691" t="str">
            <v>g__Peptococcus</v>
          </cell>
          <cell r="I18691" t="str">
            <v>s__unclassified_g__Peptococcus</v>
          </cell>
        </row>
        <row r="18692">
          <cell r="G18692" t="str">
            <v>ASV1827</v>
          </cell>
          <cell r="H18692" t="str">
            <v>g__unclassified_o__Lactobacillales</v>
          </cell>
          <cell r="I18692" t="str">
            <v>s__unclassified_o__Lactobacillales</v>
          </cell>
        </row>
        <row r="18693">
          <cell r="G18693" t="str">
            <v>ASV22530</v>
          </cell>
          <cell r="H18693" t="str">
            <v>g__Prevotella</v>
          </cell>
          <cell r="I18693" t="str">
            <v>s__unclassified_g__Prevotella</v>
          </cell>
        </row>
        <row r="18694">
          <cell r="G18694" t="str">
            <v>ASV15565</v>
          </cell>
          <cell r="H18694" t="str">
            <v>g__norank_f__Paludibacteraceae</v>
          </cell>
          <cell r="I18694" t="str">
            <v>s__uncultured_bacterium_g__norank_f__Paludibacteraceae</v>
          </cell>
        </row>
        <row r="18695">
          <cell r="G18695" t="str">
            <v>ASV6466</v>
          </cell>
          <cell r="H18695" t="str">
            <v>g__unclassified_c__Clostridia</v>
          </cell>
          <cell r="I18695" t="str">
            <v>s__unclassified_c__Clostridia</v>
          </cell>
        </row>
        <row r="18696">
          <cell r="G18696" t="str">
            <v>ASV9051</v>
          </cell>
          <cell r="H18696" t="str">
            <v>g__norank_f__norank_o__Clostridia_vadinBB60_group</v>
          </cell>
          <cell r="I18696" t="str">
            <v>s__unclassified_g__norank_f__norank_o__Clostridia_vadinBB60_group</v>
          </cell>
        </row>
        <row r="18697">
          <cell r="G18697" t="str">
            <v>ASV14817</v>
          </cell>
          <cell r="H18697" t="str">
            <v>g__Eubacterium_nodatum_group</v>
          </cell>
          <cell r="I18697" t="str">
            <v>s__uncultured_bacterium_g__Eubacterium_nodatum_group</v>
          </cell>
        </row>
        <row r="18698">
          <cell r="G18698" t="str">
            <v>ASV14813</v>
          </cell>
          <cell r="H18698" t="str">
            <v>g__unclassified_f__Oscillospiraceae</v>
          </cell>
          <cell r="I18698" t="str">
            <v>s__unclassified_f__Oscillospiraceae</v>
          </cell>
        </row>
        <row r="18699">
          <cell r="G18699" t="str">
            <v>ASV10992</v>
          </cell>
          <cell r="H18699" t="str">
            <v>g__unclassified_o__Oscillospirales</v>
          </cell>
          <cell r="I18699" t="str">
            <v>s__unclassified_o__Oscillospirales</v>
          </cell>
        </row>
        <row r="18700">
          <cell r="G18700" t="str">
            <v>ASV18680</v>
          </cell>
          <cell r="H18700" t="str">
            <v>g__Lactobacillus</v>
          </cell>
          <cell r="I18700" t="str">
            <v>s__unclassified_g__Lactobacillus</v>
          </cell>
        </row>
        <row r="18701">
          <cell r="G18701" t="str">
            <v>ASV15614</v>
          </cell>
          <cell r="H18701" t="str">
            <v>g__Rikenellaceae_RC9_gut_group</v>
          </cell>
          <cell r="I18701" t="str">
            <v>s__uncultured_bacterium_g__Rikenellaceae_RC9_gut_group</v>
          </cell>
        </row>
        <row r="18702">
          <cell r="G18702" t="str">
            <v>ASV6442</v>
          </cell>
          <cell r="H18702" t="str">
            <v>g__unclassified_k__norank_d__Bacteria</v>
          </cell>
          <cell r="I18702" t="str">
            <v>s__unclassified_k__norank_d__Bacteria</v>
          </cell>
        </row>
        <row r="18703">
          <cell r="G18703" t="str">
            <v>ASV18243</v>
          </cell>
          <cell r="H18703" t="str">
            <v>g__Prevotella</v>
          </cell>
          <cell r="I18703" t="str">
            <v>s__uncultured_bacterium_g__Prevotella</v>
          </cell>
        </row>
        <row r="18704">
          <cell r="G18704" t="str">
            <v>ASV13645</v>
          </cell>
          <cell r="H18704" t="str">
            <v>g__Clostridium_sensu_stricto_1</v>
          </cell>
          <cell r="I18704" t="str">
            <v>s__unclassified_g__Clostridium_sensu_stricto_1</v>
          </cell>
        </row>
        <row r="18705">
          <cell r="G18705" t="str">
            <v>ASV18414</v>
          </cell>
          <cell r="H18705" t="str">
            <v>g__Anaerotruncus</v>
          </cell>
          <cell r="I18705" t="str">
            <v>s__Anaerotruncus_sp._AT3</v>
          </cell>
        </row>
        <row r="18706">
          <cell r="G18706" t="str">
            <v>ASV17106</v>
          </cell>
          <cell r="H18706" t="str">
            <v>g__Faecalibacterium</v>
          </cell>
          <cell r="I18706" t="str">
            <v>s__unclassified_g__Faecalibacterium</v>
          </cell>
        </row>
        <row r="18707">
          <cell r="G18707" t="str">
            <v>ASV13598</v>
          </cell>
          <cell r="H18707" t="str">
            <v>g__Subdoligranulum</v>
          </cell>
          <cell r="I18707" t="str">
            <v>s__unclassified_g__Subdoligranulum</v>
          </cell>
        </row>
        <row r="18708">
          <cell r="G18708" t="str">
            <v>ASV12277</v>
          </cell>
          <cell r="H18708" t="str">
            <v>g__norank_f__norank_o__Clostridia_UCG-014</v>
          </cell>
          <cell r="I18708" t="str">
            <v>s__unclassified_g__norank_f__norank_o__Clostridia_UCG-014</v>
          </cell>
        </row>
        <row r="18709">
          <cell r="G18709" t="str">
            <v>ASV2499</v>
          </cell>
          <cell r="H18709" t="str">
            <v>g__unclassified_f__Lachnospiraceae</v>
          </cell>
          <cell r="I18709" t="str">
            <v>s__unclassified_f__Lachnospiraceae</v>
          </cell>
        </row>
        <row r="18710">
          <cell r="G18710" t="str">
            <v>ASV18294</v>
          </cell>
          <cell r="H18710" t="str">
            <v>g__unclassified_f__Lachnospiraceae</v>
          </cell>
          <cell r="I18710" t="str">
            <v>s__unclassified_f__Lachnospiraceae</v>
          </cell>
        </row>
        <row r="18711">
          <cell r="G18711" t="str">
            <v>ASV19872</v>
          </cell>
          <cell r="H18711" t="str">
            <v>g__unclassified_k__norank_d__Bacteria</v>
          </cell>
          <cell r="I18711" t="str">
            <v>s__unclassified_k__norank_d__Bacteria</v>
          </cell>
        </row>
        <row r="18712">
          <cell r="G18712" t="str">
            <v>ASV20137</v>
          </cell>
          <cell r="H18712" t="str">
            <v>g__unclassified_c__Clostridia</v>
          </cell>
          <cell r="I18712" t="str">
            <v>s__unclassified_c__Clostridia</v>
          </cell>
        </row>
        <row r="18713">
          <cell r="G18713" t="str">
            <v>ASV22788</v>
          </cell>
          <cell r="H18713" t="str">
            <v>g__norank_f__Eubacterium_coprostanoligenes_group</v>
          </cell>
          <cell r="I18713" t="str">
            <v>s__unclassified_g__norank_f__Eubacterium_coprostanoligenes_group</v>
          </cell>
        </row>
        <row r="18714">
          <cell r="G18714" t="str">
            <v>ASV9752</v>
          </cell>
          <cell r="H18714" t="str">
            <v>g__unclassified_c__Clostridia</v>
          </cell>
          <cell r="I18714" t="str">
            <v>s__unclassified_c__Clostridia</v>
          </cell>
        </row>
        <row r="18715">
          <cell r="G18715" t="str">
            <v>ASV5317</v>
          </cell>
          <cell r="H18715" t="str">
            <v>g__Escherichia-Shigella</v>
          </cell>
          <cell r="I18715" t="str">
            <v>s__unclassified_g__Escherichia-Shigella</v>
          </cell>
        </row>
        <row r="18716">
          <cell r="G18716" t="str">
            <v>ASV21058</v>
          </cell>
          <cell r="H18716" t="str">
            <v>g__unclassified_c__Clostridia</v>
          </cell>
          <cell r="I18716" t="str">
            <v>s__unclassified_c__Clostridia</v>
          </cell>
        </row>
        <row r="18717">
          <cell r="G18717" t="str">
            <v>ASV6370</v>
          </cell>
          <cell r="H18717" t="str">
            <v>g__unclassified_f__Oscillospiraceae</v>
          </cell>
          <cell r="I18717" t="str">
            <v>s__unclassified_f__Oscillospiraceae</v>
          </cell>
        </row>
        <row r="18718">
          <cell r="G18718" t="str">
            <v>ASV6937</v>
          </cell>
          <cell r="H18718" t="str">
            <v>g__Enterococcus</v>
          </cell>
          <cell r="I18718" t="str">
            <v>s__unclassified_g__Enterococcus</v>
          </cell>
        </row>
        <row r="18719">
          <cell r="G18719" t="str">
            <v>ASV3050</v>
          </cell>
          <cell r="H18719" t="str">
            <v>g__Christensenellaceae_R-7_group</v>
          </cell>
          <cell r="I18719" t="str">
            <v>s__unclassified_g__Christensenellaceae_R-7_group</v>
          </cell>
        </row>
        <row r="18720">
          <cell r="G18720" t="str">
            <v>ASV12308</v>
          </cell>
          <cell r="H18720" t="str">
            <v>g__norank_f__UCG-010</v>
          </cell>
          <cell r="I18720" t="str">
            <v>s__uncultured_bacterium_g__norank_f__UCG-010</v>
          </cell>
        </row>
        <row r="18721">
          <cell r="G18721" t="str">
            <v>ASV24315</v>
          </cell>
          <cell r="H18721" t="str">
            <v>g__unclassified_f__Oscillospiraceae</v>
          </cell>
          <cell r="I18721" t="str">
            <v>s__unclassified_f__Oscillospiraceae</v>
          </cell>
        </row>
        <row r="18722">
          <cell r="G18722" t="str">
            <v>ASV12484</v>
          </cell>
          <cell r="H18722" t="str">
            <v>g__unclassified_f__Lachnospiraceae</v>
          </cell>
          <cell r="I18722" t="str">
            <v>s__unclassified_f__Lachnospiraceae</v>
          </cell>
        </row>
        <row r="18723">
          <cell r="G18723" t="str">
            <v>ASV21676</v>
          </cell>
          <cell r="H18723" t="str">
            <v>g__Escherichia-Shigella</v>
          </cell>
          <cell r="I18723" t="str">
            <v>s__unclassified_g__Escherichia-Shigella</v>
          </cell>
        </row>
        <row r="18724">
          <cell r="G18724" t="str">
            <v>ASV17126</v>
          </cell>
          <cell r="H18724" t="str">
            <v>g__Staphylococcus</v>
          </cell>
          <cell r="I18724" t="str">
            <v>s__unclassified_g__Staphylococcus</v>
          </cell>
        </row>
        <row r="18725">
          <cell r="G18725" t="str">
            <v>ASV4367</v>
          </cell>
          <cell r="H18725" t="str">
            <v>g__Phascolarctobacterium</v>
          </cell>
          <cell r="I18725" t="str">
            <v>s__Ruminococcus_sp._N15.MGS-57_g__Phascolarctobacterium</v>
          </cell>
        </row>
        <row r="18726">
          <cell r="G18726" t="str">
            <v>ASV14664</v>
          </cell>
          <cell r="H18726" t="str">
            <v>g__norank_f__Ruminococcaceae</v>
          </cell>
          <cell r="I18726" t="str">
            <v>s__unclassified_g__norank_f__Ruminococcaceae</v>
          </cell>
        </row>
        <row r="18727">
          <cell r="G18727" t="str">
            <v>ASV20173</v>
          </cell>
          <cell r="H18727" t="str">
            <v>g__unclassified_f__Lachnospiraceae</v>
          </cell>
          <cell r="I18727" t="str">
            <v>s__unclassified_f__Lachnospiraceae</v>
          </cell>
        </row>
        <row r="18728">
          <cell r="G18728" t="str">
            <v>ASV4286</v>
          </cell>
          <cell r="H18728" t="str">
            <v>g__unclassified_c__Clostridia</v>
          </cell>
          <cell r="I18728" t="str">
            <v>s__unclassified_c__Clostridia</v>
          </cell>
        </row>
        <row r="18729">
          <cell r="G18729" t="str">
            <v>ASV1121</v>
          </cell>
          <cell r="H18729" t="str">
            <v>g__Parabacteroides</v>
          </cell>
          <cell r="I18729" t="str">
            <v>s__uncultured_bacterium_g__Parabacteroides</v>
          </cell>
        </row>
        <row r="18730">
          <cell r="G18730" t="str">
            <v>ASV16739</v>
          </cell>
          <cell r="H18730" t="str">
            <v>g__unclassified_f__Oscillospiraceae</v>
          </cell>
          <cell r="I18730" t="str">
            <v>s__unclassified_f__Oscillospiraceae</v>
          </cell>
        </row>
        <row r="18731">
          <cell r="G18731" t="str">
            <v>ASV23539</v>
          </cell>
          <cell r="H18731" t="str">
            <v>g__unclassified_p__Firmicutes</v>
          </cell>
          <cell r="I18731" t="str">
            <v>s__unclassified_p__Firmicutes</v>
          </cell>
        </row>
        <row r="18732">
          <cell r="G18732" t="str">
            <v>ASV15621</v>
          </cell>
          <cell r="H18732" t="str">
            <v>g__unclassified_c__Clostridia</v>
          </cell>
          <cell r="I18732" t="str">
            <v>s__unclassified_c__Clostridia</v>
          </cell>
        </row>
        <row r="18733">
          <cell r="G18733" t="str">
            <v>ASV8232</v>
          </cell>
          <cell r="H18733" t="str">
            <v>g__unclassified_c__Clostridia</v>
          </cell>
          <cell r="I18733" t="str">
            <v>s__unclassified_c__Clostridia</v>
          </cell>
        </row>
        <row r="18734">
          <cell r="G18734" t="str">
            <v>ASV10869</v>
          </cell>
          <cell r="H18734" t="str">
            <v>g__norank_f__norank_o__Saccharimonadales</v>
          </cell>
          <cell r="I18734" t="str">
            <v>s__unclassified_g__norank_f__norank_o__Saccharimonadales</v>
          </cell>
        </row>
        <row r="18735">
          <cell r="G18735" t="str">
            <v>ASV18248</v>
          </cell>
          <cell r="H18735" t="str">
            <v>g__unclassified_f__Muribaculaceae</v>
          </cell>
          <cell r="I18735" t="str">
            <v>s__unclassified_f__Muribaculaceae</v>
          </cell>
        </row>
        <row r="18736">
          <cell r="G18736" t="str">
            <v>ASV20008</v>
          </cell>
          <cell r="H18736" t="str">
            <v>g__unclassified_c__Clostridia</v>
          </cell>
          <cell r="I18736" t="str">
            <v>s__unclassified_c__Clostridia</v>
          </cell>
        </row>
        <row r="18737">
          <cell r="G18737" t="str">
            <v>ASV9689</v>
          </cell>
          <cell r="H18737" t="str">
            <v>g__Lachnospiraceae_ND3007_group</v>
          </cell>
          <cell r="I18737" t="str">
            <v>s__uncultured_bacterium_g__Lachnospiraceae_ND3007_group</v>
          </cell>
        </row>
        <row r="18738">
          <cell r="G18738" t="str">
            <v>ASV9717</v>
          </cell>
          <cell r="H18738" t="str">
            <v>g__unclassified_f__Lachnospiraceae</v>
          </cell>
          <cell r="I18738" t="str">
            <v>s__unclassified_f__Lachnospiraceae</v>
          </cell>
        </row>
        <row r="18739">
          <cell r="G18739" t="str">
            <v>ASV5426</v>
          </cell>
          <cell r="H18739" t="str">
            <v>g__norank_f__Eubacterium_coprostanoligenes_group</v>
          </cell>
          <cell r="I18739" t="str">
            <v>s__unclassified_g__norank_f__Eubacterium_coprostanoligenes_group</v>
          </cell>
        </row>
        <row r="18740">
          <cell r="G18740" t="str">
            <v>ASV18394</v>
          </cell>
          <cell r="H18740" t="str">
            <v>g__unclassified_f__Oscillospiraceae</v>
          </cell>
          <cell r="I18740" t="str">
            <v>s__unclassified_f__Oscillospiraceae</v>
          </cell>
        </row>
        <row r="18741">
          <cell r="G18741" t="str">
            <v>ASV5351</v>
          </cell>
          <cell r="H18741" t="str">
            <v>g__unclassified_c__Clostridia</v>
          </cell>
          <cell r="I18741" t="str">
            <v>s__unclassified_c__Clostridia</v>
          </cell>
        </row>
        <row r="18742">
          <cell r="G18742" t="str">
            <v>ASV5231</v>
          </cell>
          <cell r="H18742" t="str">
            <v>g__unclassified_p__Firmicutes</v>
          </cell>
          <cell r="I18742" t="str">
            <v>s__unclassified_p__Firmicutes</v>
          </cell>
        </row>
        <row r="18743">
          <cell r="G18743" t="str">
            <v>ASV1183</v>
          </cell>
          <cell r="H18743" t="str">
            <v>g__unclassified_f__Lachnospiraceae</v>
          </cell>
          <cell r="I18743" t="str">
            <v>s__unclassified_f__Lachnospiraceae</v>
          </cell>
        </row>
        <row r="18744">
          <cell r="G18744" t="str">
            <v>ASV1428</v>
          </cell>
          <cell r="H18744" t="str">
            <v>g__unclassified_c__Bacilli</v>
          </cell>
          <cell r="I18744" t="str">
            <v>s__unclassified_c__Bacilli</v>
          </cell>
        </row>
        <row r="18745">
          <cell r="G18745" t="str">
            <v>ASV14728</v>
          </cell>
          <cell r="H18745" t="str">
            <v>g__unclassified_p__Firmicutes</v>
          </cell>
          <cell r="I18745" t="str">
            <v>s__unclassified_p__Firmicutes</v>
          </cell>
        </row>
        <row r="18746">
          <cell r="G18746" t="str">
            <v>ASV6198</v>
          </cell>
          <cell r="H18746" t="str">
            <v>g__unclassified_k__norank_d__Bacteria</v>
          </cell>
          <cell r="I18746" t="str">
            <v>s__unclassified_k__norank_d__Bacteria</v>
          </cell>
        </row>
        <row r="18747">
          <cell r="G18747" t="str">
            <v>ASV13222</v>
          </cell>
          <cell r="H18747" t="str">
            <v>g__Turicibacter</v>
          </cell>
          <cell r="I18747" t="str">
            <v>s__uncultured_bacterium_g__Turicibacter</v>
          </cell>
        </row>
        <row r="18748">
          <cell r="G18748" t="str">
            <v>ASV18437</v>
          </cell>
          <cell r="H18748" t="str">
            <v>g__unclassified_f__Lachnospiraceae</v>
          </cell>
          <cell r="I18748" t="str">
            <v>s__unclassified_f__Lachnospiraceae</v>
          </cell>
        </row>
        <row r="18749">
          <cell r="G18749" t="str">
            <v>ASV8173</v>
          </cell>
          <cell r="H18749" t="str">
            <v>g__Streptococcus</v>
          </cell>
          <cell r="I18749" t="str">
            <v>s__unclassified_g__Streptococcus</v>
          </cell>
        </row>
        <row r="18750">
          <cell r="G18750" t="str">
            <v>ASV24036</v>
          </cell>
          <cell r="H18750" t="str">
            <v>g__Megasphaera</v>
          </cell>
          <cell r="I18750" t="str">
            <v>s__unclassified_g__Megasphaera</v>
          </cell>
        </row>
        <row r="18751">
          <cell r="G18751" t="str">
            <v>ASV16626</v>
          </cell>
          <cell r="H18751" t="str">
            <v>g__Parabacteroides</v>
          </cell>
          <cell r="I18751" t="str">
            <v>s__Porphyromonadaceae_bacterium_DJF_B175</v>
          </cell>
        </row>
        <row r="18752">
          <cell r="G18752" t="str">
            <v>ASV1114</v>
          </cell>
          <cell r="H18752" t="str">
            <v>g__unclassified_k__norank_d__Bacteria</v>
          </cell>
          <cell r="I18752" t="str">
            <v>s__unclassified_k__norank_d__Bacteria</v>
          </cell>
        </row>
        <row r="18753">
          <cell r="G18753" t="str">
            <v>ASV10949</v>
          </cell>
          <cell r="H18753" t="str">
            <v>g__unclassified_c__Clostridia</v>
          </cell>
          <cell r="I18753" t="str">
            <v>s__unclassified_c__Clostridia</v>
          </cell>
        </row>
        <row r="18754">
          <cell r="G18754" t="str">
            <v>ASV22744</v>
          </cell>
          <cell r="H18754" t="str">
            <v>g__unclassified_f__Lachnospiraceae</v>
          </cell>
          <cell r="I18754" t="str">
            <v>s__unclassified_f__Lachnospiraceae</v>
          </cell>
        </row>
        <row r="18755">
          <cell r="G18755" t="str">
            <v>ASV9782</v>
          </cell>
          <cell r="H18755" t="str">
            <v>g__unclassified_f__Lachnospiraceae</v>
          </cell>
          <cell r="I18755" t="str">
            <v>s__unclassified_f__Lachnospiraceae</v>
          </cell>
        </row>
        <row r="18756">
          <cell r="G18756" t="str">
            <v>ASV14754</v>
          </cell>
          <cell r="H18756" t="str">
            <v>g__unclassified_p__Firmicutes</v>
          </cell>
          <cell r="I18756" t="str">
            <v>s__unclassified_p__Firmicutes</v>
          </cell>
        </row>
        <row r="18757">
          <cell r="G18757" t="str">
            <v>ASV20092</v>
          </cell>
          <cell r="H18757" t="str">
            <v>g__Enterococcus</v>
          </cell>
          <cell r="I18757" t="str">
            <v>s__unclassified_g__Enterococcus</v>
          </cell>
        </row>
        <row r="18758">
          <cell r="G18758" t="str">
            <v>ASV1763</v>
          </cell>
          <cell r="H18758" t="str">
            <v>g__Bifidobacterium</v>
          </cell>
          <cell r="I18758" t="str">
            <v>s__unclassified_g__Bifidobacterium</v>
          </cell>
        </row>
        <row r="18759">
          <cell r="G18759" t="str">
            <v>ASV6184</v>
          </cell>
          <cell r="H18759" t="str">
            <v>g__unclassified_f__Oxalobacteraceae</v>
          </cell>
          <cell r="I18759" t="str">
            <v>s__unclassified_f__Oxalobacteraceae</v>
          </cell>
        </row>
        <row r="18760">
          <cell r="G18760" t="str">
            <v>ASV22545</v>
          </cell>
          <cell r="H18760" t="str">
            <v>g__unclassified_k__norank_d__Bacteria</v>
          </cell>
          <cell r="I18760" t="str">
            <v>s__unclassified_k__norank_d__Bacteria</v>
          </cell>
        </row>
        <row r="18761">
          <cell r="G18761" t="str">
            <v>ASV20108</v>
          </cell>
          <cell r="H18761" t="str">
            <v>g__unclassified_p__Firmicutes</v>
          </cell>
          <cell r="I18761" t="str">
            <v>s__unclassified_p__Firmicutes</v>
          </cell>
        </row>
        <row r="18762">
          <cell r="G18762" t="str">
            <v>ASV14631</v>
          </cell>
          <cell r="H18762" t="str">
            <v>g__unclassified_c__Bacilli</v>
          </cell>
          <cell r="I18762" t="str">
            <v>s__unclassified_c__Bacilli</v>
          </cell>
        </row>
        <row r="18763">
          <cell r="G18763" t="str">
            <v>ASV23707</v>
          </cell>
          <cell r="H18763" t="str">
            <v>g__unclassified_f__Selenomonadaceae</v>
          </cell>
          <cell r="I18763" t="str">
            <v>s__unclassified_f__Selenomonadaceae</v>
          </cell>
        </row>
        <row r="18764">
          <cell r="G18764" t="str">
            <v>ASV22634</v>
          </cell>
          <cell r="H18764" t="str">
            <v>g__unclassified_f__Lachnospiraceae</v>
          </cell>
          <cell r="I18764" t="str">
            <v>s__unclassified_f__Lachnospiraceae</v>
          </cell>
        </row>
        <row r="18765">
          <cell r="G18765" t="str">
            <v>ASV12456</v>
          </cell>
          <cell r="H18765" t="str">
            <v>g__Christensenellaceae_R-7_group</v>
          </cell>
          <cell r="I18765" t="str">
            <v>s__unclassified_g__Christensenellaceae_R-7_group</v>
          </cell>
        </row>
        <row r="18766">
          <cell r="G18766" t="str">
            <v>ASV1434</v>
          </cell>
          <cell r="H18766" t="str">
            <v>g__unclassified_f__Ruminococcaceae</v>
          </cell>
          <cell r="I18766" t="str">
            <v>s__unclassified_f__Ruminococcaceae</v>
          </cell>
        </row>
        <row r="18767">
          <cell r="G18767" t="str">
            <v>ASV9865</v>
          </cell>
          <cell r="H18767" t="str">
            <v>g__unclassified_f__Lachnospiraceae</v>
          </cell>
          <cell r="I18767" t="str">
            <v>s__unclassified_f__Lachnospiraceae</v>
          </cell>
        </row>
        <row r="18768">
          <cell r="G18768" t="str">
            <v>ASV10902</v>
          </cell>
          <cell r="H18768" t="str">
            <v>g__norank_f__Eubacterium_coprostanoligenes_group</v>
          </cell>
          <cell r="I18768" t="str">
            <v>s__uncultured_bacterium_g__norank_f__Eubacterium_coprostanoligenes_group</v>
          </cell>
        </row>
        <row r="18769">
          <cell r="G18769" t="str">
            <v>ASV16719</v>
          </cell>
          <cell r="H18769" t="str">
            <v>g__unclassified_k__norank_d__Bacteria</v>
          </cell>
          <cell r="I18769" t="str">
            <v>s__unclassified_k__norank_d__Bacteria</v>
          </cell>
        </row>
        <row r="18770">
          <cell r="G18770" t="str">
            <v>ASV21049</v>
          </cell>
          <cell r="H18770" t="str">
            <v>g__unclassified_f__Ruminococcaceae</v>
          </cell>
          <cell r="I18770" t="str">
            <v>s__unclassified_f__Ruminococcaceae</v>
          </cell>
        </row>
        <row r="18771">
          <cell r="G18771" t="str">
            <v>ASV24345</v>
          </cell>
          <cell r="H18771" t="str">
            <v>g__norank_f__Peptostreptococcaceae</v>
          </cell>
          <cell r="I18771" t="str">
            <v>s__uncultured_bacterium_g__norank_f__Peptostreptococcaceae</v>
          </cell>
        </row>
        <row r="18772">
          <cell r="G18772" t="str">
            <v>ASV8209</v>
          </cell>
          <cell r="H18772" t="str">
            <v>g__unclassified_f__Peptostreptococcaceae</v>
          </cell>
          <cell r="I18772" t="str">
            <v>s__unclassified_f__Peptostreptococcaceae</v>
          </cell>
        </row>
        <row r="18773">
          <cell r="G18773" t="str">
            <v>ASV22690</v>
          </cell>
          <cell r="H18773" t="str">
            <v>g__Eubacterium_oxidoreducens_group</v>
          </cell>
          <cell r="I18773" t="str">
            <v>s__uncultured_bacterium_g__Eubacterium_oxidoreducens_group</v>
          </cell>
        </row>
        <row r="18774">
          <cell r="G18774" t="str">
            <v>ASV4270</v>
          </cell>
          <cell r="H18774" t="str">
            <v>g__unclassified_c__Clostridia</v>
          </cell>
          <cell r="I18774" t="str">
            <v>s__unclassified_c__Clostridia</v>
          </cell>
        </row>
        <row r="18775">
          <cell r="G18775" t="str">
            <v>ASV16664</v>
          </cell>
          <cell r="H18775" t="str">
            <v>g__unclassified_k__norank_d__Bacteria</v>
          </cell>
          <cell r="I18775" t="str">
            <v>s__unclassified_k__norank_d__Bacteria</v>
          </cell>
        </row>
        <row r="18776">
          <cell r="G18776" t="str">
            <v>ASV24349</v>
          </cell>
          <cell r="H18776" t="str">
            <v>g__unclassified_k__norank_d__Bacteria</v>
          </cell>
          <cell r="I18776" t="str">
            <v>s__unclassified_k__norank_d__Bacteria</v>
          </cell>
        </row>
        <row r="18777">
          <cell r="G18777" t="str">
            <v>ASV8006</v>
          </cell>
          <cell r="H18777" t="str">
            <v>g__unclassified_k__norank_d__Bacteria</v>
          </cell>
          <cell r="I18777" t="str">
            <v>s__unclassified_k__norank_d__Bacteria</v>
          </cell>
        </row>
        <row r="18778">
          <cell r="G18778" t="str">
            <v>ASV8098</v>
          </cell>
          <cell r="H18778" t="str">
            <v>g__unclassified_f__Clostridiaceae</v>
          </cell>
          <cell r="I18778" t="str">
            <v>s__unclassified_f__Clostridiaceae</v>
          </cell>
        </row>
        <row r="18779">
          <cell r="G18779" t="str">
            <v>ASV21547</v>
          </cell>
          <cell r="H18779" t="str">
            <v>g__Prevotellaceae_UCG-001</v>
          </cell>
          <cell r="I18779" t="str">
            <v>s__uncultured_bacterium_g__Prevotellaceae_UCG-001</v>
          </cell>
        </row>
        <row r="18780">
          <cell r="G18780" t="str">
            <v>ASV18464</v>
          </cell>
          <cell r="H18780" t="str">
            <v>g__unclassified_c__Clostridia</v>
          </cell>
          <cell r="I18780" t="str">
            <v>s__unclassified_c__Clostridia</v>
          </cell>
        </row>
        <row r="18781">
          <cell r="G18781" t="str">
            <v>ASV16158</v>
          </cell>
          <cell r="H18781" t="str">
            <v>g__Fusobacterium</v>
          </cell>
          <cell r="I18781" t="str">
            <v>s__Bacillus_bogoriensis_ATCC_BAA-922</v>
          </cell>
        </row>
        <row r="18782">
          <cell r="G18782" t="str">
            <v>ASV15656</v>
          </cell>
          <cell r="H18782" t="str">
            <v>g__unclassified_f__Ruminococcaceae</v>
          </cell>
          <cell r="I18782" t="str">
            <v>s__unclassified_f__Ruminococcaceae</v>
          </cell>
        </row>
        <row r="18783">
          <cell r="G18783" t="str">
            <v>ASV8203</v>
          </cell>
          <cell r="H18783" t="str">
            <v>g__norank_f__Muribaculaceae</v>
          </cell>
          <cell r="I18783" t="str">
            <v>s__unclassified_g__norank_f__Muribaculaceae</v>
          </cell>
        </row>
        <row r="18784">
          <cell r="G18784" t="str">
            <v>ASV5327</v>
          </cell>
          <cell r="H18784" t="str">
            <v>g__unclassified_o__Oscillospirales</v>
          </cell>
          <cell r="I18784" t="str">
            <v>s__unclassified_o__Oscillospirales</v>
          </cell>
        </row>
        <row r="18785">
          <cell r="G18785" t="str">
            <v>ASV2567</v>
          </cell>
          <cell r="H18785" t="str">
            <v>g__norank_f__Eubacterium_coprostanoligenes_group</v>
          </cell>
          <cell r="I18785" t="str">
            <v>s__unclassified_g__norank_f__Eubacterium_coprostanoligenes_group</v>
          </cell>
        </row>
        <row r="18786">
          <cell r="G18786" t="str">
            <v>ASV4313</v>
          </cell>
          <cell r="H18786" t="str">
            <v>g__unclassified_p__Firmicutes</v>
          </cell>
          <cell r="I18786" t="str">
            <v>s__unclassified_p__Firmicutes</v>
          </cell>
        </row>
        <row r="18787">
          <cell r="G18787" t="str">
            <v>ASV23888</v>
          </cell>
          <cell r="H18787" t="str">
            <v>g__Bacteroides</v>
          </cell>
          <cell r="I18787" t="str">
            <v>s__unclassified_g__Bacteroides</v>
          </cell>
        </row>
        <row r="18788">
          <cell r="G18788" t="str">
            <v>ASV9605</v>
          </cell>
          <cell r="H18788" t="str">
            <v>g__norank_f__Muribaculaceae</v>
          </cell>
          <cell r="I18788" t="str">
            <v>s__unclassified_g__norank_f__Muribaculaceae</v>
          </cell>
        </row>
        <row r="18789">
          <cell r="G18789" t="str">
            <v>ASV5246</v>
          </cell>
          <cell r="H18789" t="str">
            <v>g__unclassified_o__Oscillospirales</v>
          </cell>
          <cell r="I18789" t="str">
            <v>s__unclassified_o__Oscillospirales</v>
          </cell>
        </row>
        <row r="18790">
          <cell r="G18790" t="str">
            <v>ASV18404</v>
          </cell>
          <cell r="H18790" t="str">
            <v>g__unclassified_c__Clostridia</v>
          </cell>
          <cell r="I18790" t="str">
            <v>s__unclassified_c__Clostridia</v>
          </cell>
        </row>
        <row r="18791">
          <cell r="G18791" t="str">
            <v>ASV5334</v>
          </cell>
          <cell r="H18791" t="str">
            <v>g__unclassified_f__Lachnospiraceae</v>
          </cell>
          <cell r="I18791" t="str">
            <v>s__unclassified_f__Lachnospiraceae</v>
          </cell>
        </row>
        <row r="18792">
          <cell r="G18792" t="str">
            <v>ASV1766</v>
          </cell>
          <cell r="H18792" t="str">
            <v>g__unclassified_c__Clostridia</v>
          </cell>
          <cell r="I18792" t="str">
            <v>s__unclassified_c__Clostridia</v>
          </cell>
        </row>
        <row r="18793">
          <cell r="G18793" t="str">
            <v>ASV6406</v>
          </cell>
          <cell r="H18793" t="str">
            <v>g__unclassified_f__Lachnospiraceae</v>
          </cell>
          <cell r="I18793" t="str">
            <v>s__unclassified_f__Lachnospiraceae</v>
          </cell>
        </row>
        <row r="18794">
          <cell r="G18794" t="str">
            <v>ASV14590</v>
          </cell>
          <cell r="H18794" t="str">
            <v>g__Rikenellaceae_RC9_gut_group</v>
          </cell>
          <cell r="I18794" t="str">
            <v>s__uncultured_bacterium_g__Rikenellaceae_RC9_gut_group</v>
          </cell>
        </row>
        <row r="18795">
          <cell r="G18795" t="str">
            <v>ASV18981</v>
          </cell>
          <cell r="H18795" t="str">
            <v>g__unclassified_k__norank_d__Bacteria</v>
          </cell>
          <cell r="I18795" t="str">
            <v>s__unclassified_k__norank_d__Bacteria</v>
          </cell>
        </row>
        <row r="18796">
          <cell r="G18796" t="str">
            <v>ASV1110</v>
          </cell>
          <cell r="H18796" t="str">
            <v>g__unclassified_k__norank_d__Bacteria</v>
          </cell>
          <cell r="I18796" t="str">
            <v>s__unclassified_k__norank_d__Bacteria</v>
          </cell>
        </row>
        <row r="18797">
          <cell r="G18797" t="str">
            <v>ASV16189</v>
          </cell>
          <cell r="H18797" t="str">
            <v>g__Veillonella</v>
          </cell>
          <cell r="I18797" t="str">
            <v>s__unclassified_g__Veillonella</v>
          </cell>
        </row>
        <row r="18798">
          <cell r="G18798" t="str">
            <v>ASV9789</v>
          </cell>
          <cell r="H18798" t="str">
            <v>g__norank_f__Eubacterium_coprostanoligenes_group</v>
          </cell>
          <cell r="I18798" t="str">
            <v>s__unclassified_g__norank_f__Eubacterium_coprostanoligenes_group</v>
          </cell>
        </row>
        <row r="18799">
          <cell r="G18799" t="str">
            <v>ASV8744</v>
          </cell>
          <cell r="H18799" t="str">
            <v>g__Actinobacillus</v>
          </cell>
          <cell r="I18799" t="str">
            <v>s__Actinobacillus_porcinus</v>
          </cell>
        </row>
        <row r="18800">
          <cell r="G18800" t="str">
            <v>ASV15638</v>
          </cell>
          <cell r="H18800" t="str">
            <v>g__Rikenellaceae_RC9_gut_group</v>
          </cell>
          <cell r="I18800" t="str">
            <v>s__uncultured_bacterium_g__Rikenellaceae_RC9_gut_group</v>
          </cell>
        </row>
        <row r="18801">
          <cell r="G18801" t="str">
            <v>ASV22768</v>
          </cell>
          <cell r="H18801" t="str">
            <v>g__unclassified_f__Prevotellaceae</v>
          </cell>
          <cell r="I18801" t="str">
            <v>s__unclassified_f__Prevotellaceae</v>
          </cell>
        </row>
        <row r="18802">
          <cell r="G18802" t="str">
            <v>ASV9664</v>
          </cell>
          <cell r="H18802" t="str">
            <v>g__Howardella</v>
          </cell>
          <cell r="I18802" t="str">
            <v>s__unclassified_g__Howardella</v>
          </cell>
        </row>
        <row r="18803">
          <cell r="G18803" t="str">
            <v>ASV23504</v>
          </cell>
          <cell r="H18803" t="str">
            <v>g__unclassified_c__Clostridia</v>
          </cell>
          <cell r="I18803" t="str">
            <v>s__unclassified_c__Clostridia</v>
          </cell>
        </row>
        <row r="18804">
          <cell r="G18804" t="str">
            <v>ASV8559</v>
          </cell>
          <cell r="H18804" t="str">
            <v>g__Escherichia-Shigella</v>
          </cell>
          <cell r="I18804" t="str">
            <v>s__unclassified_g__Escherichia-Shigella</v>
          </cell>
        </row>
        <row r="18805">
          <cell r="G18805" t="str">
            <v>ASV13059</v>
          </cell>
          <cell r="H18805" t="str">
            <v>g__unclassified_f__Erysipelatoclostridiaceae</v>
          </cell>
          <cell r="I18805" t="str">
            <v>s__unclassified_f__Erysipelatoclostridiaceae</v>
          </cell>
        </row>
        <row r="18806">
          <cell r="G18806" t="str">
            <v>ASV1304</v>
          </cell>
          <cell r="H18806" t="str">
            <v>g__norank_f__Muribaculaceae</v>
          </cell>
          <cell r="I18806" t="str">
            <v>s__uncultured_bacterium_g__norank_f__Muribaculaceae</v>
          </cell>
        </row>
        <row r="18807">
          <cell r="G18807" t="str">
            <v>ASV21068</v>
          </cell>
          <cell r="H18807" t="str">
            <v>g__unclassified_f__Oscillospiraceae</v>
          </cell>
          <cell r="I18807" t="str">
            <v>s__unclassified_f__Oscillospiraceae</v>
          </cell>
        </row>
        <row r="18808">
          <cell r="G18808" t="str">
            <v>ASV2475</v>
          </cell>
          <cell r="H18808" t="str">
            <v>g__unclassified_f__Lachnospiraceae</v>
          </cell>
          <cell r="I18808" t="str">
            <v>s__unclassified_f__Lachnospiraceae</v>
          </cell>
        </row>
        <row r="18809">
          <cell r="G18809" t="str">
            <v>ASV20046</v>
          </cell>
          <cell r="H18809" t="str">
            <v>g__unclassified_f__Lachnospiraceae</v>
          </cell>
          <cell r="I18809" t="str">
            <v>s__unclassified_f__Lachnospiraceae</v>
          </cell>
        </row>
        <row r="18810">
          <cell r="G18810" t="str">
            <v>ASV5261</v>
          </cell>
          <cell r="H18810" t="str">
            <v>g__Turicibacter</v>
          </cell>
          <cell r="I18810" t="str">
            <v>s__uncultured_bacterium_g__Turicibacter</v>
          </cell>
        </row>
        <row r="18811">
          <cell r="G18811" t="str">
            <v>ASV1344</v>
          </cell>
          <cell r="H18811" t="str">
            <v>g__unclassified_c__Clostridia</v>
          </cell>
          <cell r="I18811" t="str">
            <v>s__unclassified_c__Clostridia</v>
          </cell>
        </row>
        <row r="18812">
          <cell r="G18812" t="str">
            <v>ASV12056</v>
          </cell>
          <cell r="H18812" t="str">
            <v>g__unclassified_k__norank_d__Bacteria</v>
          </cell>
          <cell r="I18812" t="str">
            <v>s__unclassified_k__norank_d__Bacteria</v>
          </cell>
        </row>
        <row r="18813">
          <cell r="G18813" t="str">
            <v>ASV7106</v>
          </cell>
          <cell r="H18813" t="str">
            <v>g__unclassified_c__Clostridia</v>
          </cell>
          <cell r="I18813" t="str">
            <v>s__unclassified_c__Clostridia</v>
          </cell>
        </row>
        <row r="18814">
          <cell r="G18814" t="str">
            <v>ASV15842</v>
          </cell>
          <cell r="H18814" t="str">
            <v>g__Clostridium_sensu_stricto_1</v>
          </cell>
          <cell r="I18814" t="str">
            <v>s__uncultured_bacterium_g__Clostridium_sensu_stricto_1</v>
          </cell>
        </row>
        <row r="18815">
          <cell r="G18815" t="str">
            <v>ASV14657</v>
          </cell>
          <cell r="H18815" t="str">
            <v>g__unclassified_f__Ruminococcaceae</v>
          </cell>
          <cell r="I18815" t="str">
            <v>s__unclassified_f__Ruminococcaceae</v>
          </cell>
        </row>
        <row r="18816">
          <cell r="G18816" t="str">
            <v>ASV15578</v>
          </cell>
          <cell r="H18816" t="str">
            <v>g__norank_f__UCG-010</v>
          </cell>
          <cell r="I18816" t="str">
            <v>s__unclassified_g__norank_f__UCG-010</v>
          </cell>
        </row>
        <row r="18817">
          <cell r="G18817" t="str">
            <v>ASV13015</v>
          </cell>
          <cell r="H18817" t="str">
            <v>g__unclassified_k__norank_d__Bacteria</v>
          </cell>
          <cell r="I18817" t="str">
            <v>s__unclassified_k__norank_d__Bacteria</v>
          </cell>
        </row>
        <row r="18818">
          <cell r="G18818" t="str">
            <v>ASV12138</v>
          </cell>
          <cell r="H18818" t="str">
            <v>g__unclassified_c__Clostridia</v>
          </cell>
          <cell r="I18818" t="str">
            <v>s__unclassified_c__Clostridia</v>
          </cell>
        </row>
        <row r="18819">
          <cell r="G18819" t="str">
            <v>ASV5294</v>
          </cell>
          <cell r="H18819" t="str">
            <v>g__unclassified_o__Oscillospirales</v>
          </cell>
          <cell r="I18819" t="str">
            <v>s__unclassified_o__Oscillospirales</v>
          </cell>
        </row>
        <row r="18820">
          <cell r="G18820" t="str">
            <v>ASV1403</v>
          </cell>
          <cell r="H18820" t="str">
            <v>g__unclassified_f__Ruminococcaceae</v>
          </cell>
          <cell r="I18820" t="str">
            <v>s__unclassified_f__Ruminococcaceae</v>
          </cell>
        </row>
        <row r="18821">
          <cell r="G18821" t="str">
            <v>ASV11078</v>
          </cell>
          <cell r="H18821" t="str">
            <v>g__unclassified_c__Clostridia</v>
          </cell>
          <cell r="I18821" t="str">
            <v>s__unclassified_c__Clostridia</v>
          </cell>
        </row>
        <row r="18822">
          <cell r="G18822" t="str">
            <v>ASV8854</v>
          </cell>
          <cell r="H18822" t="str">
            <v>g__Ferruginibacter</v>
          </cell>
          <cell r="I18822" t="str">
            <v>s__unclassified_g__Ferruginibacter</v>
          </cell>
        </row>
        <row r="18823">
          <cell r="G18823" t="str">
            <v>ASV1215</v>
          </cell>
          <cell r="H18823" t="str">
            <v>g__UCG-002</v>
          </cell>
          <cell r="I18823" t="str">
            <v>s__unclassified_g__UCG-002</v>
          </cell>
        </row>
        <row r="18824">
          <cell r="G18824" t="str">
            <v>ASV13186</v>
          </cell>
          <cell r="H18824" t="str">
            <v>g__Cloacibacillus</v>
          </cell>
          <cell r="I18824" t="str">
            <v>s__unclassified_g__Cloacibacillus</v>
          </cell>
        </row>
        <row r="18825">
          <cell r="G18825" t="str">
            <v>ASV12362</v>
          </cell>
          <cell r="H18825" t="str">
            <v>g__norank_f__Ruminococcaceae</v>
          </cell>
          <cell r="I18825" t="str">
            <v>s__unclassified_g__norank_f__Ruminococcaceae</v>
          </cell>
        </row>
        <row r="18826">
          <cell r="G18826" t="str">
            <v>ASV12471</v>
          </cell>
          <cell r="H18826" t="str">
            <v>g__unclassified_f__Lachnospiraceae</v>
          </cell>
          <cell r="I18826" t="str">
            <v>s__unclassified_f__Lachnospiraceae</v>
          </cell>
        </row>
        <row r="18827">
          <cell r="G18827" t="str">
            <v>ASV17108</v>
          </cell>
          <cell r="H18827" t="str">
            <v>g__Lactobacillus</v>
          </cell>
          <cell r="I18827" t="str">
            <v>s__unclassified_g__Lactobacillus</v>
          </cell>
        </row>
        <row r="18828">
          <cell r="G18828" t="str">
            <v>ASV21760</v>
          </cell>
          <cell r="H18828" t="str">
            <v>g__Chryseobacterium</v>
          </cell>
          <cell r="I18828" t="str">
            <v>s__unclassified_g__Chryseobacterium</v>
          </cell>
        </row>
        <row r="18829">
          <cell r="G18829" t="str">
            <v>ASV17055</v>
          </cell>
          <cell r="H18829" t="str">
            <v>g__unclassified_f__Lachnospiraceae</v>
          </cell>
          <cell r="I18829" t="str">
            <v>s__unclassified_f__Lachnospiraceae</v>
          </cell>
        </row>
        <row r="18830">
          <cell r="G18830" t="str">
            <v>ASV13107</v>
          </cell>
          <cell r="H18830" t="str">
            <v>g__Caproiciproducens</v>
          </cell>
          <cell r="I18830" t="str">
            <v>s__uncultured_bacterium_g__Caproiciproducens</v>
          </cell>
        </row>
        <row r="18831">
          <cell r="G18831" t="str">
            <v>ASV6388</v>
          </cell>
          <cell r="H18831" t="str">
            <v>g__Christensenellaceae_R-7_group</v>
          </cell>
          <cell r="I18831" t="str">
            <v>s__uncultured_Spirochaetales_bacterium_g__Christensenellaceae_R-7_group</v>
          </cell>
        </row>
        <row r="18832">
          <cell r="G18832" t="str">
            <v>ASV1316</v>
          </cell>
          <cell r="H18832" t="str">
            <v>g__unclassified_o__Oscillospirales</v>
          </cell>
          <cell r="I18832" t="str">
            <v>s__unclassified_o__Oscillospirales</v>
          </cell>
        </row>
        <row r="18833">
          <cell r="G18833" t="str">
            <v>ASV18434</v>
          </cell>
          <cell r="H18833" t="str">
            <v>g__unclassified_o__Oscillospirales</v>
          </cell>
          <cell r="I18833" t="str">
            <v>s__unclassified_o__Oscillospirales</v>
          </cell>
        </row>
        <row r="18834">
          <cell r="G18834" t="str">
            <v>ASV23683</v>
          </cell>
          <cell r="H18834" t="str">
            <v>g__Lactobacillus</v>
          </cell>
          <cell r="I18834" t="str">
            <v>s__unclassified_g__Lactobacillus</v>
          </cell>
        </row>
        <row r="18835">
          <cell r="G18835" t="str">
            <v>ASV6376</v>
          </cell>
          <cell r="H18835" t="str">
            <v>g__Bacteroides</v>
          </cell>
          <cell r="I18835" t="str">
            <v>s__unclassified_g__Bacteroides</v>
          </cell>
        </row>
        <row r="18836">
          <cell r="G18836" t="str">
            <v>ASV14797</v>
          </cell>
          <cell r="H18836" t="str">
            <v>g__unclassified_c__Clostridia</v>
          </cell>
          <cell r="I18836" t="str">
            <v>s__unclassified_c__Clostridia</v>
          </cell>
        </row>
        <row r="18837">
          <cell r="G18837" t="str">
            <v>ASV16634</v>
          </cell>
          <cell r="H18837" t="str">
            <v>g__unclassified_c__Clostridia</v>
          </cell>
          <cell r="I18837" t="str">
            <v>s__unclassified_c__Clostridia</v>
          </cell>
        </row>
        <row r="18838">
          <cell r="G18838" t="str">
            <v>ASV6375</v>
          </cell>
          <cell r="H18838" t="str">
            <v>g__unclassified_f__Lachnospiraceae</v>
          </cell>
          <cell r="I18838" t="str">
            <v>s__unclassified_f__Lachnospiraceae</v>
          </cell>
        </row>
        <row r="18839">
          <cell r="G18839" t="str">
            <v>ASV20104</v>
          </cell>
          <cell r="H18839" t="str">
            <v>g__unclassified_c__Clostridia</v>
          </cell>
          <cell r="I18839" t="str">
            <v>s__unclassified_c__Clostridia</v>
          </cell>
        </row>
        <row r="18840">
          <cell r="G18840" t="str">
            <v>ASV6220</v>
          </cell>
          <cell r="H18840" t="str">
            <v>g__Lactococcus</v>
          </cell>
          <cell r="I18840" t="str">
            <v>s__unclassified_g__Lactococcus</v>
          </cell>
        </row>
        <row r="18841">
          <cell r="G18841" t="str">
            <v>ASV23583</v>
          </cell>
          <cell r="H18841" t="str">
            <v>g__unclassified_c__Clostridia</v>
          </cell>
          <cell r="I18841" t="str">
            <v>s__unclassified_c__Clostridia</v>
          </cell>
        </row>
        <row r="18842">
          <cell r="G18842" t="str">
            <v>ASV16130</v>
          </cell>
          <cell r="H18842" t="str">
            <v>g__unclassified_f__Comamonadaceae</v>
          </cell>
          <cell r="I18842" t="str">
            <v>s__unclassified_f__Comamonadaceae</v>
          </cell>
        </row>
        <row r="18843">
          <cell r="G18843" t="str">
            <v>ASV17244</v>
          </cell>
          <cell r="H18843" t="str">
            <v>g__unclassified_p__Firmicutes</v>
          </cell>
          <cell r="I18843" t="str">
            <v>s__unclassified_p__Firmicutes</v>
          </cell>
        </row>
        <row r="18844">
          <cell r="G18844" t="str">
            <v>ASV19018</v>
          </cell>
          <cell r="H18844" t="str">
            <v>g__Collinsella</v>
          </cell>
          <cell r="I18844" t="str">
            <v>s__uncultured_bacterium_g__Collinsella</v>
          </cell>
        </row>
        <row r="18845">
          <cell r="G18845" t="str">
            <v>ASV24271</v>
          </cell>
          <cell r="H18845" t="str">
            <v>g__Lactobacillus</v>
          </cell>
          <cell r="I18845" t="str">
            <v>s__unclassified_g__Lactobacillus</v>
          </cell>
        </row>
        <row r="18846">
          <cell r="G18846" t="str">
            <v>ASV18431</v>
          </cell>
          <cell r="H18846" t="str">
            <v>g__UCG-005</v>
          </cell>
          <cell r="I18846" t="str">
            <v>s__uncultured_bacterium_g__UCG-005</v>
          </cell>
        </row>
        <row r="18847">
          <cell r="G18847" t="str">
            <v>ASV11000</v>
          </cell>
          <cell r="H18847" t="str">
            <v>g__Lactobacillus</v>
          </cell>
          <cell r="I18847" t="str">
            <v>s__unclassified_g__Lactobacillus</v>
          </cell>
        </row>
        <row r="18848">
          <cell r="G18848" t="str">
            <v>ASV16102</v>
          </cell>
          <cell r="H18848" t="str">
            <v>g__Cloacibacillus</v>
          </cell>
          <cell r="I18848" t="str">
            <v>s__unclassified_g__Cloacibacillus</v>
          </cell>
        </row>
        <row r="18849">
          <cell r="G18849" t="str">
            <v>ASV23555</v>
          </cell>
          <cell r="H18849" t="str">
            <v>g__unclassified_c__Clostridia</v>
          </cell>
          <cell r="I18849" t="str">
            <v>s__unclassified_c__Clostridia</v>
          </cell>
        </row>
        <row r="18850">
          <cell r="G18850" t="str">
            <v>ASV23865</v>
          </cell>
          <cell r="H18850" t="str">
            <v>g__Lactobacillus</v>
          </cell>
          <cell r="I18850" t="str">
            <v>s__unclassified_g__Lactobacillus</v>
          </cell>
        </row>
        <row r="18851">
          <cell r="G18851" t="str">
            <v>ASV6317</v>
          </cell>
          <cell r="H18851" t="str">
            <v>g__Escherichia-Shigella</v>
          </cell>
          <cell r="I18851" t="str">
            <v>s__unclassified_g__Escherichia-Shigella</v>
          </cell>
        </row>
        <row r="18852">
          <cell r="G18852" t="str">
            <v>ASV12077</v>
          </cell>
          <cell r="H18852" t="str">
            <v>g__unclassified_p__Firmicutes</v>
          </cell>
          <cell r="I18852" t="str">
            <v>s__unclassified_p__Firmicutes</v>
          </cell>
        </row>
        <row r="18853">
          <cell r="G18853" t="str">
            <v>ASV9724</v>
          </cell>
          <cell r="H18853" t="str">
            <v>g__unclassified_f__Lachnospiraceae</v>
          </cell>
          <cell r="I18853" t="str">
            <v>s__unclassified_f__Lachnospiraceae</v>
          </cell>
        </row>
        <row r="18854">
          <cell r="G18854" t="str">
            <v>ASV9725</v>
          </cell>
          <cell r="H18854" t="str">
            <v>g__unclassified_o__Oscillospirales</v>
          </cell>
          <cell r="I18854" t="str">
            <v>s__unclassified_o__Oscillospirales</v>
          </cell>
        </row>
        <row r="18855">
          <cell r="G18855" t="str">
            <v>ASV13138</v>
          </cell>
          <cell r="H18855" t="str">
            <v>g__unclassified_c__Bacilli</v>
          </cell>
          <cell r="I18855" t="str">
            <v>s__unclassified_c__Bacilli</v>
          </cell>
        </row>
        <row r="18856">
          <cell r="G18856" t="str">
            <v>ASV20341</v>
          </cell>
          <cell r="H18856" t="str">
            <v>g__Bacteroides</v>
          </cell>
          <cell r="I18856" t="str">
            <v>s__unclassified_g__Bacteroides</v>
          </cell>
        </row>
        <row r="18857">
          <cell r="G18857" t="str">
            <v>ASV9729</v>
          </cell>
          <cell r="H18857" t="str">
            <v>g__unclassified_f__Lachnospiraceae</v>
          </cell>
          <cell r="I18857" t="str">
            <v>s__unclassified_f__Lachnospiraceae</v>
          </cell>
        </row>
        <row r="18858">
          <cell r="G18858" t="str">
            <v>ASV18372</v>
          </cell>
          <cell r="H18858" t="str">
            <v>g__norank_f__Peptococcaceae</v>
          </cell>
          <cell r="I18858" t="str">
            <v>s__uncultured_bacterium_g__norank_f__Peptococcaceae</v>
          </cell>
        </row>
        <row r="18859">
          <cell r="G18859" t="str">
            <v>ASV6418</v>
          </cell>
          <cell r="H18859" t="str">
            <v>g__Clostridium_sensu_stricto_1</v>
          </cell>
          <cell r="I18859" t="str">
            <v>s__unclassified_g__Clostridium_sensu_stricto_1</v>
          </cell>
        </row>
        <row r="18860">
          <cell r="G18860" t="str">
            <v>ASV16792</v>
          </cell>
          <cell r="H18860" t="str">
            <v>g__unclassified_f__Lachnospiraceae</v>
          </cell>
          <cell r="I18860" t="str">
            <v>s__unclassified_f__Lachnospiraceae</v>
          </cell>
        </row>
        <row r="18861">
          <cell r="G18861" t="str">
            <v>ASV10986</v>
          </cell>
          <cell r="H18861" t="str">
            <v>g__unclassified_c__Clostridia</v>
          </cell>
          <cell r="I18861" t="str">
            <v>s__unclassified_c__Clostridia</v>
          </cell>
        </row>
        <row r="18862">
          <cell r="G18862" t="str">
            <v>ASV19008</v>
          </cell>
          <cell r="H18862" t="str">
            <v>g__unclassified_k__norank_d__Bacteria</v>
          </cell>
          <cell r="I18862" t="str">
            <v>s__unclassified_k__norank_d__Bacteria</v>
          </cell>
        </row>
        <row r="18863">
          <cell r="G18863" t="str">
            <v>ASV6385</v>
          </cell>
          <cell r="H18863" t="str">
            <v>g__unclassified_c__Clostridia</v>
          </cell>
          <cell r="I18863" t="str">
            <v>s__unclassified_c__Clostridia</v>
          </cell>
        </row>
        <row r="18864">
          <cell r="G18864" t="str">
            <v>ASV20048</v>
          </cell>
          <cell r="H18864" t="str">
            <v>g__norank_f__Eubacterium_coprostanoligenes_group</v>
          </cell>
          <cell r="I18864" t="str">
            <v>s__uncultured_bacterium_g__norank_f__Eubacterium_coprostanoligenes_group</v>
          </cell>
        </row>
        <row r="18865">
          <cell r="G18865" t="str">
            <v>ASV6472</v>
          </cell>
          <cell r="H18865" t="str">
            <v>g__unclassified_o__Clostridiales</v>
          </cell>
          <cell r="I18865" t="str">
            <v>s__unclassified_o__Clostridiales</v>
          </cell>
        </row>
        <row r="18866">
          <cell r="G18866" t="str">
            <v>ASV9830</v>
          </cell>
          <cell r="H18866" t="str">
            <v>g__Colidextribacter</v>
          </cell>
          <cell r="I18866" t="str">
            <v>s__unclassified_g__Colidextribacter</v>
          </cell>
        </row>
        <row r="18867">
          <cell r="G18867" t="str">
            <v>ASV2421</v>
          </cell>
          <cell r="H18867" t="str">
            <v>g__unclassified_f__Erysipelotrichaceae</v>
          </cell>
          <cell r="I18867" t="str">
            <v>s__unclassified_f__Erysipelotrichaceae</v>
          </cell>
        </row>
        <row r="18868">
          <cell r="G18868" t="str">
            <v>ASV13570</v>
          </cell>
          <cell r="H18868" t="str">
            <v>g__unclassified_c__Clostridia</v>
          </cell>
          <cell r="I18868" t="str">
            <v>s__unclassified_c__Clostridia</v>
          </cell>
        </row>
        <row r="18869">
          <cell r="G18869" t="str">
            <v>ASV21515</v>
          </cell>
          <cell r="H18869" t="str">
            <v>g__Megasphaera</v>
          </cell>
          <cell r="I18869" t="str">
            <v>s__unclassified_g__Megasphaera</v>
          </cell>
        </row>
        <row r="18870">
          <cell r="G18870" t="str">
            <v>ASV8165</v>
          </cell>
          <cell r="H18870" t="str">
            <v>g__unclassified_f__Lachnospiraceae</v>
          </cell>
          <cell r="I18870" t="str">
            <v>s__unclassified_f__Lachnospiraceae</v>
          </cell>
        </row>
        <row r="18871">
          <cell r="G18871" t="str">
            <v>ASV11075</v>
          </cell>
          <cell r="H18871" t="str">
            <v>g__Lactobacillus</v>
          </cell>
          <cell r="I18871" t="str">
            <v>s__unclassified_g__Lactobacillus</v>
          </cell>
        </row>
        <row r="18872">
          <cell r="G18872" t="str">
            <v>ASV21062</v>
          </cell>
          <cell r="H18872" t="str">
            <v>g__norank_f__Oscillospiraceae</v>
          </cell>
          <cell r="I18872" t="str">
            <v>s__Pseudoflavonifractor_sp._Marseille-P3106</v>
          </cell>
        </row>
        <row r="18873">
          <cell r="G18873" t="str">
            <v>ASV9824</v>
          </cell>
          <cell r="H18873" t="str">
            <v>g__Parabacteroides</v>
          </cell>
          <cell r="I18873" t="str">
            <v>s__Porphyromonadaceae_bacterium_DJF_B175</v>
          </cell>
        </row>
        <row r="18874">
          <cell r="G18874" t="str">
            <v>ASV20124</v>
          </cell>
          <cell r="H18874" t="str">
            <v>g__Prevotella</v>
          </cell>
          <cell r="I18874" t="str">
            <v>s__unclassified_g__Prevotella</v>
          </cell>
        </row>
        <row r="18875">
          <cell r="G18875" t="str">
            <v>ASV6335</v>
          </cell>
          <cell r="H18875" t="str">
            <v>g__unclassified_p__Firmicutes</v>
          </cell>
          <cell r="I18875" t="str">
            <v>s__unclassified_p__Firmicutes</v>
          </cell>
        </row>
        <row r="18876">
          <cell r="G18876" t="str">
            <v>ASV23878</v>
          </cell>
          <cell r="H18876" t="str">
            <v>g__Lachnoclostridium</v>
          </cell>
          <cell r="I18876" t="str">
            <v>s__unclassified_g__Lachnoclostridium</v>
          </cell>
        </row>
        <row r="18877">
          <cell r="G18877" t="str">
            <v>ASV9060</v>
          </cell>
          <cell r="H18877" t="str">
            <v>g__norank_f__norank_o__Clostridia_UCG-014</v>
          </cell>
          <cell r="I18877" t="str">
            <v>s__uncultured_bacterium_g__norank_f__norank_o__Clostridia_UCG-014</v>
          </cell>
        </row>
        <row r="18878">
          <cell r="G18878" t="str">
            <v>ASV9068</v>
          </cell>
          <cell r="H18878" t="str">
            <v>g__unclassified_c__Bacilli</v>
          </cell>
          <cell r="I18878" t="str">
            <v>s__unclassified_c__Bacilli</v>
          </cell>
        </row>
        <row r="18879">
          <cell r="G18879" t="str">
            <v>ASV11069</v>
          </cell>
          <cell r="H18879" t="str">
            <v>g__Prevotella</v>
          </cell>
          <cell r="I18879" t="str">
            <v>s__unclassified_g__Prevotella</v>
          </cell>
        </row>
        <row r="18880">
          <cell r="G18880" t="str">
            <v>ASV2966</v>
          </cell>
          <cell r="H18880" t="str">
            <v>g__Bordetella</v>
          </cell>
          <cell r="I18880" t="str">
            <v>s__unclassified_g__Bordetella</v>
          </cell>
        </row>
        <row r="18881">
          <cell r="G18881" t="str">
            <v>ASV10858</v>
          </cell>
          <cell r="H18881" t="str">
            <v>g__norank_f__Eubacterium_coprostanoligenes_group</v>
          </cell>
          <cell r="I18881" t="str">
            <v>s__uncultured_bacterium_g__norank_f__Eubacterium_coprostanoligenes_group</v>
          </cell>
        </row>
        <row r="18882">
          <cell r="G18882" t="str">
            <v>ASV15602</v>
          </cell>
          <cell r="H18882" t="str">
            <v>g__unclassified_c__Clostridia</v>
          </cell>
          <cell r="I18882" t="str">
            <v>s__unclassified_c__Clostridia</v>
          </cell>
        </row>
        <row r="18883">
          <cell r="G18883" t="str">
            <v>ASV17382</v>
          </cell>
          <cell r="H18883" t="str">
            <v>g__norank_f__Muribaculaceae</v>
          </cell>
          <cell r="I18883" t="str">
            <v>s__unclassified_g__norank_f__Muribaculaceae</v>
          </cell>
        </row>
        <row r="18884">
          <cell r="G18884" t="str">
            <v>ASV13220</v>
          </cell>
          <cell r="H18884" t="str">
            <v>g__unclassified_c__Clostridia</v>
          </cell>
          <cell r="I18884" t="str">
            <v>s__unclassified_c__Clostridia</v>
          </cell>
        </row>
        <row r="18885">
          <cell r="G18885" t="str">
            <v>ASV5445</v>
          </cell>
          <cell r="H18885" t="str">
            <v>g__Prevotellaceae_UCG-001</v>
          </cell>
          <cell r="I18885" t="str">
            <v>s__uncultured_bacterium_g__Prevotellaceae_UCG-001</v>
          </cell>
        </row>
        <row r="18886">
          <cell r="G18886" t="str">
            <v>ASV8377</v>
          </cell>
          <cell r="H18886" t="str">
            <v>g__Lactobacillus</v>
          </cell>
          <cell r="I18886" t="str">
            <v>s__uncultured_bacterium_g__Lactobacillus</v>
          </cell>
        </row>
        <row r="18887">
          <cell r="G18887" t="str">
            <v>ASV22721</v>
          </cell>
          <cell r="H18887" t="str">
            <v>g__unclassified_o__Oscillospirales</v>
          </cell>
          <cell r="I18887" t="str">
            <v>s__unclassified_o__Oscillospirales</v>
          </cell>
        </row>
        <row r="18888">
          <cell r="G18888" t="str">
            <v>ASV23651</v>
          </cell>
          <cell r="H18888" t="str">
            <v>g__unclassified_o__Oscillospirales</v>
          </cell>
          <cell r="I18888" t="str">
            <v>s__unclassified_o__Oscillospirales</v>
          </cell>
        </row>
        <row r="18889">
          <cell r="G18889" t="str">
            <v>ASV14666</v>
          </cell>
          <cell r="H18889" t="str">
            <v>g__unclassified_k__norank_d__Bacteria</v>
          </cell>
          <cell r="I18889" t="str">
            <v>s__unclassified_k__norank_d__Bacteria</v>
          </cell>
        </row>
        <row r="18890">
          <cell r="G18890" t="str">
            <v>ASV14749</v>
          </cell>
          <cell r="H18890" t="str">
            <v>g__unclassified_c__Bacteroidia</v>
          </cell>
          <cell r="I18890" t="str">
            <v>s__unclassified_c__Bacteroidia</v>
          </cell>
        </row>
        <row r="18891">
          <cell r="G18891" t="str">
            <v>ASV22594</v>
          </cell>
          <cell r="H18891" t="str">
            <v>g__unclassified_c__Clostridia</v>
          </cell>
          <cell r="I18891" t="str">
            <v>s__unclassified_c__Clostridia</v>
          </cell>
        </row>
        <row r="18892">
          <cell r="G18892" t="str">
            <v>ASV9602</v>
          </cell>
          <cell r="H18892" t="str">
            <v>g__Alistipes</v>
          </cell>
          <cell r="I18892" t="str">
            <v>s__Bacteroides_sp._DSM_12148</v>
          </cell>
        </row>
        <row r="18893">
          <cell r="G18893" t="str">
            <v>ASV24324</v>
          </cell>
          <cell r="H18893" t="str">
            <v>g__unclassified_f__Peptostreptococcaceae</v>
          </cell>
          <cell r="I18893" t="str">
            <v>s__unclassified_f__Peptostreptococcaceae</v>
          </cell>
        </row>
        <row r="18894">
          <cell r="G18894" t="str">
            <v>ASV16698</v>
          </cell>
          <cell r="H18894" t="str">
            <v>g__Cloacibacillus</v>
          </cell>
          <cell r="I18894" t="str">
            <v>s__unclassified_g__Cloacibacillus</v>
          </cell>
        </row>
        <row r="18895">
          <cell r="G18895" t="str">
            <v>ASV22692</v>
          </cell>
          <cell r="H18895" t="str">
            <v>g__unclassified_c__Clostridia</v>
          </cell>
          <cell r="I18895" t="str">
            <v>s__unclassified_c__Clostridia</v>
          </cell>
        </row>
        <row r="18896">
          <cell r="G18896" t="str">
            <v>ASV12226</v>
          </cell>
          <cell r="H18896" t="str">
            <v>g__unclassified_c__Clostridia</v>
          </cell>
          <cell r="I18896" t="str">
            <v>s__unclassified_c__Clostridia</v>
          </cell>
        </row>
        <row r="18897">
          <cell r="G18897" t="str">
            <v>ASV18664</v>
          </cell>
          <cell r="H18897" t="str">
            <v>g__Escherichia-Shigella</v>
          </cell>
          <cell r="I18897" t="str">
            <v>s__unclassified_g__Escherichia-Shigella</v>
          </cell>
        </row>
        <row r="18898">
          <cell r="G18898" t="str">
            <v>ASV1127</v>
          </cell>
          <cell r="H18898" t="str">
            <v>g__Lachnospiraceae_UCG-004</v>
          </cell>
          <cell r="I18898" t="str">
            <v>s__uncultured_bacterium_g__Lachnospiraceae_UCG-004</v>
          </cell>
        </row>
        <row r="18899">
          <cell r="G18899" t="str">
            <v>ASV10897</v>
          </cell>
          <cell r="H18899" t="str">
            <v>g__Peptococcus</v>
          </cell>
          <cell r="I18899" t="str">
            <v>s__unclassified_g__Peptococcus</v>
          </cell>
        </row>
        <row r="18900">
          <cell r="G18900" t="str">
            <v>ASV18275</v>
          </cell>
          <cell r="H18900" t="str">
            <v>g__unclassified_k__norank_d__Bacteria</v>
          </cell>
          <cell r="I18900" t="str">
            <v>s__unclassified_k__norank_d__Bacteria</v>
          </cell>
        </row>
        <row r="18901">
          <cell r="G18901" t="str">
            <v>ASV8555</v>
          </cell>
          <cell r="H18901" t="str">
            <v>g__unclassified_f__Pasteurellaceae</v>
          </cell>
          <cell r="I18901" t="str">
            <v>s__unclassified_f__Pasteurellaceae</v>
          </cell>
        </row>
        <row r="18902">
          <cell r="G18902" t="str">
            <v>ASV11007</v>
          </cell>
          <cell r="H18902" t="str">
            <v>g__unclassified_c__Clostridia</v>
          </cell>
          <cell r="I18902" t="str">
            <v>s__unclassified_c__Clostridia</v>
          </cell>
        </row>
        <row r="18903">
          <cell r="G18903" t="str">
            <v>ASV20040</v>
          </cell>
          <cell r="H18903" t="str">
            <v>g__norank_f__Eubacterium_coprostanoligenes_group</v>
          </cell>
          <cell r="I18903" t="str">
            <v>s__uncultured_bacterium_g__norank_f__Eubacterium_coprostanoligenes_group</v>
          </cell>
        </row>
        <row r="18904">
          <cell r="G18904" t="str">
            <v>ASV5158</v>
          </cell>
          <cell r="H18904" t="str">
            <v>g__unclassified_k__norank_d__Bacteria</v>
          </cell>
          <cell r="I18904" t="str">
            <v>s__unclassified_k__norank_d__Bacteria</v>
          </cell>
        </row>
        <row r="18905">
          <cell r="G18905" t="str">
            <v>ASV18316</v>
          </cell>
          <cell r="H18905" t="str">
            <v>g__Desulfovibrio</v>
          </cell>
          <cell r="I18905" t="str">
            <v>s__unclassified_g__Desulfovibrio</v>
          </cell>
        </row>
        <row r="18906">
          <cell r="G18906" t="str">
            <v>ASV10854</v>
          </cell>
          <cell r="H18906" t="str">
            <v>g__unclassified_p__Firmicutes</v>
          </cell>
          <cell r="I18906" t="str">
            <v>s__unclassified_p__Firmicutes</v>
          </cell>
        </row>
        <row r="18907">
          <cell r="G18907" t="str">
            <v>ASV8138</v>
          </cell>
          <cell r="H18907" t="str">
            <v>g__unclassified_c__Clostridia</v>
          </cell>
          <cell r="I18907" t="str">
            <v>s__unclassified_c__Clostridia</v>
          </cell>
        </row>
        <row r="18908">
          <cell r="G18908" t="str">
            <v>ASV6913</v>
          </cell>
          <cell r="H18908" t="str">
            <v>g__Escherichia-Shigella</v>
          </cell>
          <cell r="I18908" t="str">
            <v>s__unclassified_g__Escherichia-Shigella</v>
          </cell>
        </row>
        <row r="18909">
          <cell r="G18909" t="str">
            <v>ASV16089</v>
          </cell>
          <cell r="H18909" t="str">
            <v>g__UBA1819</v>
          </cell>
          <cell r="I18909" t="str">
            <v>s__unclassified_g__UBA1819</v>
          </cell>
        </row>
        <row r="18910">
          <cell r="G18910" t="str">
            <v>ASV14580</v>
          </cell>
          <cell r="H18910" t="str">
            <v>g__unclassified_f__Propionibacteriaceae</v>
          </cell>
          <cell r="I18910" t="str">
            <v>s__unclassified_f__Propionibacteriaceae</v>
          </cell>
        </row>
        <row r="18911">
          <cell r="G18911" t="str">
            <v>ASV6943</v>
          </cell>
          <cell r="H18911" t="str">
            <v>g__unclassified_c__Bacilli</v>
          </cell>
          <cell r="I18911" t="str">
            <v>s__unclassified_c__Bacilli</v>
          </cell>
        </row>
        <row r="18912">
          <cell r="G18912" t="str">
            <v>ASV12165</v>
          </cell>
          <cell r="H18912" t="str">
            <v>g__unclassified_c__Clostridia</v>
          </cell>
          <cell r="I18912" t="str">
            <v>s__unclassified_c__Clostridia</v>
          </cell>
        </row>
        <row r="18913">
          <cell r="G18913" t="str">
            <v>ASV8044</v>
          </cell>
          <cell r="H18913" t="str">
            <v>g__Coriobacteriaceae_UCG-002</v>
          </cell>
          <cell r="I18913" t="str">
            <v>s__uncultured_bacterium_g__Coriobacteriaceae_UCG-002</v>
          </cell>
        </row>
        <row r="18914">
          <cell r="G18914" t="str">
            <v>ASV16120</v>
          </cell>
          <cell r="H18914" t="str">
            <v>g__Lactobacillus</v>
          </cell>
          <cell r="I18914" t="str">
            <v>s__unclassified_g__Lactobacillus</v>
          </cell>
        </row>
        <row r="18915">
          <cell r="G18915" t="str">
            <v>ASV21674</v>
          </cell>
          <cell r="H18915" t="str">
            <v>g__Fusicatenibacter</v>
          </cell>
          <cell r="I18915" t="str">
            <v>s__unclassified_g__Fusicatenibacter</v>
          </cell>
        </row>
        <row r="18916">
          <cell r="G18916" t="str">
            <v>ASV20997</v>
          </cell>
          <cell r="H18916" t="str">
            <v>g__unclassified_f__Lachnospiraceae</v>
          </cell>
          <cell r="I18916" t="str">
            <v>s__unclassified_f__Lachnospiraceae</v>
          </cell>
        </row>
        <row r="18917">
          <cell r="G18917" t="str">
            <v>ASV13041</v>
          </cell>
          <cell r="H18917" t="str">
            <v>g__Rikenellaceae_RC9_gut_group</v>
          </cell>
          <cell r="I18917" t="str">
            <v>s__unclassified_g__Rikenellaceae_RC9_gut_group</v>
          </cell>
        </row>
        <row r="18918">
          <cell r="G18918" t="str">
            <v>ASV18379</v>
          </cell>
          <cell r="H18918" t="str">
            <v>g__Eubacterium_oxidoreducens_group</v>
          </cell>
          <cell r="I18918" t="str">
            <v>s__uncultured_bacterium_g__Eubacterium_oxidoreducens_group</v>
          </cell>
        </row>
        <row r="18919">
          <cell r="G18919" t="str">
            <v>ASV18683</v>
          </cell>
          <cell r="H18919" t="str">
            <v>g__norank_f__Atopobiaceae</v>
          </cell>
          <cell r="I18919" t="str">
            <v>s__uncultured_bacterium_g__norank_f__Atopobiaceae</v>
          </cell>
        </row>
        <row r="18920">
          <cell r="G18920" t="str">
            <v>ASV17534</v>
          </cell>
          <cell r="H18920" t="str">
            <v>g__unclassified_o__Coriobacteriales</v>
          </cell>
          <cell r="I18920" t="str">
            <v>s__unclassified_o__Coriobacteriales</v>
          </cell>
        </row>
        <row r="18921">
          <cell r="G18921" t="str">
            <v>ASV18418</v>
          </cell>
          <cell r="H18921" t="str">
            <v>g__unclassified_o__Oscillospirales</v>
          </cell>
          <cell r="I18921" t="str">
            <v>s__unclassified_o__Oscillospirales</v>
          </cell>
        </row>
        <row r="18922">
          <cell r="G18922" t="str">
            <v>ASV12307</v>
          </cell>
          <cell r="H18922" t="str">
            <v>g__unclassified_k__norank_d__Bacteria</v>
          </cell>
          <cell r="I18922" t="str">
            <v>s__unclassified_k__norank_d__Bacteria</v>
          </cell>
        </row>
        <row r="18923">
          <cell r="G18923" t="str">
            <v>ASV9714</v>
          </cell>
          <cell r="H18923" t="str">
            <v>g__unclassified_c__Clostridia</v>
          </cell>
          <cell r="I18923" t="str">
            <v>s__unclassified_c__Clostridia</v>
          </cell>
        </row>
        <row r="18924">
          <cell r="G18924" t="str">
            <v>ASV18436</v>
          </cell>
          <cell r="H18924" t="str">
            <v>g__unclassified_c__Clostridia</v>
          </cell>
          <cell r="I18924" t="str">
            <v>s__unclassified_c__Clostridia</v>
          </cell>
        </row>
        <row r="18925">
          <cell r="G18925" t="str">
            <v>ASV4334</v>
          </cell>
          <cell r="H18925" t="str">
            <v>g__Clostridium_sensu_stricto_1</v>
          </cell>
          <cell r="I18925" t="str">
            <v>s__unclassified_g__Clostridium_sensu_stricto_1</v>
          </cell>
        </row>
        <row r="18926">
          <cell r="G18926" t="str">
            <v>ASV1286</v>
          </cell>
          <cell r="H18926" t="str">
            <v>g__unclassified_c__Clostridia</v>
          </cell>
          <cell r="I18926" t="str">
            <v>s__unclassified_c__Clostridia</v>
          </cell>
        </row>
        <row r="18927">
          <cell r="G18927" t="str">
            <v>ASV14837</v>
          </cell>
          <cell r="H18927" t="str">
            <v>g__unclassified_c__Clostridia</v>
          </cell>
          <cell r="I18927" t="str">
            <v>s__unclassified_c__Clostridia</v>
          </cell>
        </row>
        <row r="18928">
          <cell r="G18928" t="str">
            <v>ASV10339</v>
          </cell>
          <cell r="H18928" t="str">
            <v>g__unclassified_c__Bacilli</v>
          </cell>
          <cell r="I18928" t="str">
            <v>s__unclassified_c__Bacilli</v>
          </cell>
        </row>
        <row r="18929">
          <cell r="G18929" t="str">
            <v>ASV15605</v>
          </cell>
          <cell r="H18929" t="str">
            <v>g__unclassified_f__Clostridiaceae</v>
          </cell>
          <cell r="I18929" t="str">
            <v>s__unclassified_f__Clostridiaceae</v>
          </cell>
        </row>
        <row r="18930">
          <cell r="G18930" t="str">
            <v>ASV10914</v>
          </cell>
          <cell r="H18930" t="str">
            <v>g__unclassified_c__Clostridia</v>
          </cell>
          <cell r="I18930" t="str">
            <v>s__unclassified_c__Clostridia</v>
          </cell>
        </row>
        <row r="18931">
          <cell r="G18931" t="str">
            <v>ASV16109</v>
          </cell>
          <cell r="H18931" t="str">
            <v>g__unclassified_f__Lachnospiraceae</v>
          </cell>
          <cell r="I18931" t="str">
            <v>s__unclassified_f__Lachnospiraceae</v>
          </cell>
        </row>
        <row r="18932">
          <cell r="G18932" t="str">
            <v>ASV22820</v>
          </cell>
          <cell r="H18932" t="str">
            <v>g__norank_f__Erysipelotrichaceae</v>
          </cell>
          <cell r="I18932" t="str">
            <v>s__uncultured_bacterium_g__norank_f__Erysipelotrichaceae</v>
          </cell>
        </row>
        <row r="18933">
          <cell r="G18933" t="str">
            <v>ASV13100</v>
          </cell>
          <cell r="H18933" t="str">
            <v>g__unclassified_c__Clostridia</v>
          </cell>
          <cell r="I18933" t="str">
            <v>s__unclassified_c__Clostridia</v>
          </cell>
        </row>
        <row r="18934">
          <cell r="G18934" t="str">
            <v>ASV5165</v>
          </cell>
          <cell r="H18934" t="str">
            <v>g__unclassified_c__Clostridia</v>
          </cell>
          <cell r="I18934" t="str">
            <v>s__unclassified_c__Clostridia</v>
          </cell>
        </row>
        <row r="18935">
          <cell r="G18935" t="str">
            <v>ASV9058</v>
          </cell>
          <cell r="H18935" t="str">
            <v>g__Turicibacter</v>
          </cell>
          <cell r="I18935" t="str">
            <v>s__unclassified_g__Turicibacter</v>
          </cell>
        </row>
        <row r="18936">
          <cell r="G18936" t="str">
            <v>ASV17101</v>
          </cell>
          <cell r="H18936" t="str">
            <v>g__norank_f__UCG-011</v>
          </cell>
          <cell r="I18936" t="str">
            <v>s__uncultured_bacterium_g__norank_f__UCG-011</v>
          </cell>
        </row>
        <row r="18937">
          <cell r="G18937" t="str">
            <v>ASV2569</v>
          </cell>
          <cell r="H18937" t="str">
            <v>g__Christensenellaceae_R-7_group</v>
          </cell>
          <cell r="I18937" t="str">
            <v>s__unclassified_g__Christensenellaceae_R-7_group</v>
          </cell>
        </row>
        <row r="18938">
          <cell r="G18938" t="str">
            <v>ASV4374</v>
          </cell>
          <cell r="H18938" t="str">
            <v>g__norank_f__Ruminococcaceae</v>
          </cell>
          <cell r="I18938" t="str">
            <v>s__unclassified_g__norank_f__Ruminococcaceae</v>
          </cell>
        </row>
        <row r="18939">
          <cell r="G18939" t="str">
            <v>ASV14619</v>
          </cell>
          <cell r="H18939" t="str">
            <v>g__Lachnospiraceae_NC2004_group</v>
          </cell>
          <cell r="I18939" t="str">
            <v>s__uncultured_bacterium_g__Lachnospiraceae_NC2004_group</v>
          </cell>
        </row>
        <row r="18940">
          <cell r="G18940" t="str">
            <v>ASV17010</v>
          </cell>
          <cell r="H18940" t="str">
            <v>g__Prevotella</v>
          </cell>
          <cell r="I18940" t="str">
            <v>s__uncultured_bacterium_g__Prevotella</v>
          </cell>
        </row>
        <row r="18941">
          <cell r="G18941" t="str">
            <v>ASV8140</v>
          </cell>
          <cell r="H18941" t="str">
            <v>g__Subdoligranulum</v>
          </cell>
          <cell r="I18941" t="str">
            <v>s__unclassified_g__Subdoligranulum</v>
          </cell>
        </row>
        <row r="18942">
          <cell r="G18942" t="str">
            <v>ASV13639</v>
          </cell>
          <cell r="H18942" t="str">
            <v>g__Clostridium_sensu_stricto_1</v>
          </cell>
          <cell r="I18942" t="str">
            <v>s__unclassified_g__Clostridium_sensu_stricto_1</v>
          </cell>
        </row>
        <row r="18943">
          <cell r="G18943" t="str">
            <v>ASV5166</v>
          </cell>
          <cell r="H18943" t="str">
            <v>g__unclassified_o__Bacteroidales</v>
          </cell>
          <cell r="I18943" t="str">
            <v>s__unclassified_o__Bacteroidales</v>
          </cell>
        </row>
        <row r="18944">
          <cell r="G18944" t="str">
            <v>ASV22631</v>
          </cell>
          <cell r="H18944" t="str">
            <v>g__unclassified_c__Clostridia</v>
          </cell>
          <cell r="I18944" t="str">
            <v>s__unclassified_c__Clostridia</v>
          </cell>
        </row>
        <row r="18945">
          <cell r="G18945" t="str">
            <v>ASV13742</v>
          </cell>
          <cell r="H18945" t="str">
            <v>g__Lactobacillus</v>
          </cell>
          <cell r="I18945" t="str">
            <v>s__unclassified_g__Lactobacillus</v>
          </cell>
        </row>
        <row r="18946">
          <cell r="G18946" t="str">
            <v>ASV4256</v>
          </cell>
          <cell r="H18946" t="str">
            <v>g__norank_f__Synergistaceae</v>
          </cell>
          <cell r="I18946" t="str">
            <v>s__uncultured_bacterium_g__norank_f__Synergistaceae</v>
          </cell>
        </row>
        <row r="18947">
          <cell r="G18947" t="str">
            <v>ASV4289</v>
          </cell>
          <cell r="H18947" t="str">
            <v>g__unclassified_o__Peptostreptococcales-Tissierellales</v>
          </cell>
          <cell r="I18947" t="str">
            <v>s__unclassified_o__Peptostreptococcales-Tissierellales</v>
          </cell>
        </row>
        <row r="18948">
          <cell r="G18948" t="str">
            <v>ASV8145</v>
          </cell>
          <cell r="H18948" t="str">
            <v>g__unclassified_c__Clostridia</v>
          </cell>
          <cell r="I18948" t="str">
            <v>s__unclassified_c__Clostridia</v>
          </cell>
        </row>
        <row r="18949">
          <cell r="G18949" t="str">
            <v>ASV22823</v>
          </cell>
          <cell r="H18949" t="str">
            <v>g__Faecalibacterium</v>
          </cell>
          <cell r="I18949" t="str">
            <v>s__uncultured_bacterium_g__Faecalibacterium</v>
          </cell>
        </row>
        <row r="18950">
          <cell r="G18950" t="str">
            <v>ASV7216</v>
          </cell>
          <cell r="H18950" t="str">
            <v>g__Streptococcus</v>
          </cell>
          <cell r="I18950" t="str">
            <v>s__unclassified_g__Streptococcus</v>
          </cell>
        </row>
        <row r="18951">
          <cell r="G18951" t="str">
            <v>ASV12185</v>
          </cell>
          <cell r="H18951" t="str">
            <v>g__unclassified_o__Oscillospirales</v>
          </cell>
          <cell r="I18951" t="str">
            <v>s__unclassified_o__Oscillospirales</v>
          </cell>
        </row>
        <row r="18952">
          <cell r="G18952" t="str">
            <v>ASV2463</v>
          </cell>
          <cell r="H18952" t="str">
            <v>g__unclassified_c__Clostridia</v>
          </cell>
          <cell r="I18952" t="str">
            <v>s__unclassified_c__Clostridia</v>
          </cell>
        </row>
        <row r="18953">
          <cell r="G18953" t="str">
            <v>ASV6455</v>
          </cell>
          <cell r="H18953" t="str">
            <v>g__Christensenellaceae_R-7_group</v>
          </cell>
          <cell r="I18953" t="str">
            <v>s__unclassified_g__Christensenellaceae_R-7_group</v>
          </cell>
        </row>
        <row r="18954">
          <cell r="G18954" t="str">
            <v>ASV2442</v>
          </cell>
          <cell r="H18954" t="str">
            <v>g__unclassified_c__Clostridia</v>
          </cell>
          <cell r="I18954" t="str">
            <v>s__unclassified_c__Clostridia</v>
          </cell>
        </row>
        <row r="18955">
          <cell r="G18955" t="str">
            <v>ASV2420</v>
          </cell>
          <cell r="H18955" t="str">
            <v>g__Christensenellaceae_R-7_group</v>
          </cell>
          <cell r="I18955" t="str">
            <v>s__unclassified_g__Christensenellaceae_R-7_group</v>
          </cell>
        </row>
        <row r="18956">
          <cell r="G18956" t="str">
            <v>ASV22720</v>
          </cell>
          <cell r="H18956" t="str">
            <v>g__unclassified_c__Clostridia</v>
          </cell>
          <cell r="I18956" t="str">
            <v>s__unclassified_c__Clostridia</v>
          </cell>
        </row>
        <row r="18957">
          <cell r="G18957" t="str">
            <v>ASV19142</v>
          </cell>
          <cell r="H18957" t="str">
            <v>g__Lachnoclostridium</v>
          </cell>
          <cell r="I18957" t="str">
            <v>s__unclassified_g__Lachnoclostridium</v>
          </cell>
        </row>
        <row r="18958">
          <cell r="G18958" t="str">
            <v>ASV4359</v>
          </cell>
          <cell r="H18958" t="str">
            <v>g__Fusobacterium</v>
          </cell>
          <cell r="I18958" t="str">
            <v>s__unclassified_g__Fusobacterium</v>
          </cell>
        </row>
        <row r="18959">
          <cell r="G18959" t="str">
            <v>ASV9082</v>
          </cell>
          <cell r="H18959" t="str">
            <v>g__Turicibacter</v>
          </cell>
          <cell r="I18959" t="str">
            <v>s__unclassified_g__Turicibacter</v>
          </cell>
        </row>
        <row r="18960">
          <cell r="G18960" t="str">
            <v>ASV20122</v>
          </cell>
          <cell r="H18960" t="str">
            <v>g__Monoglobus</v>
          </cell>
          <cell r="I18960" t="str">
            <v>s__unclassified_g__Monoglobus</v>
          </cell>
        </row>
        <row r="18961">
          <cell r="G18961" t="str">
            <v>ASV18330</v>
          </cell>
          <cell r="H18961" t="str">
            <v>g__unclassified_c__Clostridia</v>
          </cell>
          <cell r="I18961" t="str">
            <v>s__unclassified_c__Clostridia</v>
          </cell>
        </row>
        <row r="18962">
          <cell r="G18962" t="str">
            <v>ASV17234</v>
          </cell>
          <cell r="H18962" t="str">
            <v>g__unclassified_p__Firmicutes</v>
          </cell>
          <cell r="I18962" t="str">
            <v>s__unclassified_p__Firmicutes</v>
          </cell>
        </row>
        <row r="18963">
          <cell r="G18963" t="str">
            <v>ASV20319</v>
          </cell>
          <cell r="H18963" t="str">
            <v>g__Colidextribacter</v>
          </cell>
          <cell r="I18963" t="str">
            <v>s__unclassified_g__Colidextribacter</v>
          </cell>
        </row>
        <row r="18964">
          <cell r="G18964" t="str">
            <v>ASV21517</v>
          </cell>
          <cell r="H18964" t="str">
            <v>g__unclassified_k__norank_d__Bacteria</v>
          </cell>
          <cell r="I18964" t="str">
            <v>s__unclassified_k__norank_d__Bacteria</v>
          </cell>
        </row>
        <row r="18965">
          <cell r="G18965" t="str">
            <v>ASV12140</v>
          </cell>
          <cell r="H18965" t="str">
            <v>g__unclassified_k__norank_d__Bacteria</v>
          </cell>
          <cell r="I18965" t="str">
            <v>s__unclassified_k__norank_d__Bacteria</v>
          </cell>
        </row>
        <row r="18966">
          <cell r="G18966" t="str">
            <v>ASV19006</v>
          </cell>
          <cell r="H18966" t="str">
            <v>g__Prevotella</v>
          </cell>
          <cell r="I18966" t="str">
            <v>s__unclassified_g__Prevotella</v>
          </cell>
        </row>
        <row r="18967">
          <cell r="G18967" t="str">
            <v>ASV18708</v>
          </cell>
          <cell r="H18967" t="str">
            <v>g__norank_f__Muribaculaceae</v>
          </cell>
          <cell r="I18967" t="str">
            <v>s__uncultured_bacterium_g__norank_f__Muribaculaceae</v>
          </cell>
        </row>
        <row r="18968">
          <cell r="G18968" t="str">
            <v>ASV21118</v>
          </cell>
          <cell r="H18968" t="str">
            <v>g__Turicibacter</v>
          </cell>
          <cell r="I18968" t="str">
            <v>s__uncultured_bacterium_g__Turicibacter</v>
          </cell>
        </row>
        <row r="18969">
          <cell r="G18969" t="str">
            <v>ASV20321</v>
          </cell>
          <cell r="H18969" t="str">
            <v>g__unclassified_k__norank_d__Bacteria</v>
          </cell>
          <cell r="I18969" t="str">
            <v>s__unclassified_k__norank_d__Bacteria</v>
          </cell>
        </row>
        <row r="18970">
          <cell r="G18970" t="str">
            <v>ASV12199</v>
          </cell>
          <cell r="H18970" t="str">
            <v>g__unclassified_c__Clostridia</v>
          </cell>
          <cell r="I18970" t="str">
            <v>s__unclassified_c__Clostridia</v>
          </cell>
        </row>
        <row r="18971">
          <cell r="G18971" t="str">
            <v>ASV12131</v>
          </cell>
          <cell r="H18971" t="str">
            <v>g__unclassified_k__norank_d__Bacteria</v>
          </cell>
          <cell r="I18971" t="str">
            <v>s__unclassified_k__norank_d__Bacteria</v>
          </cell>
        </row>
        <row r="18972">
          <cell r="G18972" t="str">
            <v>ASV12151</v>
          </cell>
          <cell r="H18972" t="str">
            <v>g__unclassified_f__Ruminococcaceae</v>
          </cell>
          <cell r="I18972" t="str">
            <v>s__unclassified_f__Ruminococcaceae</v>
          </cell>
        </row>
        <row r="18973">
          <cell r="G18973" t="str">
            <v>ASV21124</v>
          </cell>
          <cell r="H18973" t="str">
            <v>g__unclassified_c__Bacilli</v>
          </cell>
          <cell r="I18973" t="str">
            <v>s__unclassified_c__Bacilli</v>
          </cell>
        </row>
        <row r="18974">
          <cell r="G18974" t="str">
            <v>ASV14774</v>
          </cell>
          <cell r="H18974" t="str">
            <v>g__unclassified_k__norank_d__Bacteria</v>
          </cell>
          <cell r="I18974" t="str">
            <v>s__unclassified_k__norank_d__Bacteria</v>
          </cell>
        </row>
        <row r="18975">
          <cell r="G18975" t="str">
            <v>ASV9841</v>
          </cell>
          <cell r="H18975" t="str">
            <v>g__norank_f__Erysipelotrichaceae</v>
          </cell>
          <cell r="I18975" t="str">
            <v>s__uncultured_bacterium_g__norank_f__Erysipelotrichaceae</v>
          </cell>
        </row>
        <row r="18976">
          <cell r="G18976" t="str">
            <v>ASV20073</v>
          </cell>
          <cell r="H18976" t="str">
            <v>g__Lactobacillus</v>
          </cell>
          <cell r="I18976" t="str">
            <v>s__unclassified_g__Lactobacillus</v>
          </cell>
        </row>
        <row r="18977">
          <cell r="G18977" t="str">
            <v>ASV22697</v>
          </cell>
          <cell r="H18977" t="str">
            <v>g__unclassified_f__Ruminococcaceae</v>
          </cell>
          <cell r="I18977" t="str">
            <v>s__unclassified_f__Ruminococcaceae</v>
          </cell>
        </row>
        <row r="18978">
          <cell r="G18978" t="str">
            <v>ASV23662</v>
          </cell>
          <cell r="H18978" t="str">
            <v>g__Clostridium_sensu_stricto_1</v>
          </cell>
          <cell r="I18978" t="str">
            <v>s__unclassified_g__Clostridium_sensu_stricto_1</v>
          </cell>
        </row>
        <row r="18979">
          <cell r="G18979" t="str">
            <v>ASV8574</v>
          </cell>
          <cell r="H18979" t="str">
            <v>g__Megasphaera</v>
          </cell>
          <cell r="I18979" t="str">
            <v>s__unclassified_g__Megasphaera</v>
          </cell>
        </row>
        <row r="18980">
          <cell r="G18980" t="str">
            <v>ASV17066</v>
          </cell>
          <cell r="H18980" t="str">
            <v>g__Butyricimonas</v>
          </cell>
          <cell r="I18980" t="str">
            <v>s__unclassified_g__Butyricimonas</v>
          </cell>
        </row>
        <row r="18981">
          <cell r="G18981" t="str">
            <v>ASV3328</v>
          </cell>
          <cell r="H18981" t="str">
            <v>g__Lactobacillus</v>
          </cell>
          <cell r="I18981" t="str">
            <v>s__unclassified_g__Lactobacillus</v>
          </cell>
        </row>
        <row r="18982">
          <cell r="G18982" t="str">
            <v>ASV1359</v>
          </cell>
          <cell r="H18982" t="str">
            <v>g__unclassified_c__Clostridia</v>
          </cell>
          <cell r="I18982" t="str">
            <v>s__unclassified_c__Clostridia</v>
          </cell>
        </row>
        <row r="18983">
          <cell r="G18983" t="str">
            <v>ASV19133</v>
          </cell>
          <cell r="H18983" t="str">
            <v>g__Lactobacillus</v>
          </cell>
          <cell r="I18983" t="str">
            <v>s__unclassified_g__Lactobacillus</v>
          </cell>
        </row>
        <row r="18984">
          <cell r="G18984" t="str">
            <v>ASV4357</v>
          </cell>
          <cell r="H18984" t="str">
            <v>g__norank_f__Oscillospiraceae</v>
          </cell>
          <cell r="I18984" t="str">
            <v>s__Pseudoflavonifractor_sp._Marseille-P3106</v>
          </cell>
        </row>
        <row r="18985">
          <cell r="G18985" t="str">
            <v>ASV9632</v>
          </cell>
          <cell r="H18985" t="str">
            <v>g__norank_f__Erysipelotrichaceae</v>
          </cell>
          <cell r="I18985" t="str">
            <v>s__uncultured_bacterium_g__norank_f__Erysipelotrichaceae</v>
          </cell>
        </row>
        <row r="18986">
          <cell r="G18986" t="str">
            <v>ASV13831</v>
          </cell>
          <cell r="H18986" t="str">
            <v>g__Lactobacillus</v>
          </cell>
          <cell r="I18986" t="str">
            <v>s__unclassified_g__Lactobacillus</v>
          </cell>
        </row>
        <row r="18987">
          <cell r="G18987" t="str">
            <v>ASV5222</v>
          </cell>
          <cell r="H18987" t="str">
            <v>g__Subdoligranulum</v>
          </cell>
          <cell r="I18987" t="str">
            <v>s__unclassified_g__Subdoligranulum</v>
          </cell>
        </row>
        <row r="18988">
          <cell r="G18988" t="str">
            <v>ASV19124</v>
          </cell>
          <cell r="H18988" t="str">
            <v>g__unclassified_c__Bacilli</v>
          </cell>
          <cell r="I18988" t="str">
            <v>s__unclassified_c__Bacilli</v>
          </cell>
        </row>
        <row r="18989">
          <cell r="G18989" t="str">
            <v>ASV19121</v>
          </cell>
          <cell r="H18989" t="str">
            <v>g__Eubacterium_nodatum_group</v>
          </cell>
          <cell r="I18989" t="str">
            <v>s__uncultured_bacterium_g__Eubacterium_nodatum_group</v>
          </cell>
        </row>
        <row r="18990">
          <cell r="G18990" t="str">
            <v>ASV1764</v>
          </cell>
          <cell r="H18990" t="str">
            <v>g__Elusimicrobium</v>
          </cell>
          <cell r="I18990" t="str">
            <v>s__unclassified_g__Elusimicrobium</v>
          </cell>
        </row>
        <row r="18991">
          <cell r="G18991" t="str">
            <v>ASV22859</v>
          </cell>
          <cell r="H18991" t="str">
            <v>g__unclassified_f__Lachnospiraceae</v>
          </cell>
          <cell r="I18991" t="str">
            <v>s__unclassified_f__Lachnospiraceae</v>
          </cell>
        </row>
        <row r="18992">
          <cell r="G18992" t="str">
            <v>ASV5314</v>
          </cell>
          <cell r="H18992" t="str">
            <v>g__Lactobacillus</v>
          </cell>
          <cell r="I18992" t="str">
            <v>s__unclassified_g__Lactobacillus</v>
          </cell>
        </row>
        <row r="18993">
          <cell r="G18993" t="str">
            <v>ASV6957</v>
          </cell>
          <cell r="H18993" t="str">
            <v>g__unclassified_c__Bacilli</v>
          </cell>
          <cell r="I18993" t="str">
            <v>s__unclassified_c__Bacilli</v>
          </cell>
        </row>
        <row r="18994">
          <cell r="G18994" t="str">
            <v>ASV16994</v>
          </cell>
          <cell r="H18994" t="str">
            <v>g__Rikenellaceae_RC9_gut_group</v>
          </cell>
          <cell r="I18994" t="str">
            <v>s__uncultured_bacterium_g__Rikenellaceae_RC9_gut_group</v>
          </cell>
        </row>
        <row r="18995">
          <cell r="G18995" t="str">
            <v>ASV14645</v>
          </cell>
          <cell r="H18995" t="str">
            <v>g__unclassified_f__Lachnospiraceae</v>
          </cell>
          <cell r="I18995" t="str">
            <v>s__unclassified_f__Lachnospiraceae</v>
          </cell>
        </row>
        <row r="18996">
          <cell r="G18996" t="str">
            <v>ASV4333</v>
          </cell>
          <cell r="H18996" t="str">
            <v>g__Eubacterium_oxidoreducens_group</v>
          </cell>
          <cell r="I18996" t="str">
            <v>s__uncultured_bacterium_g__Eubacterium_oxidoreducens_group</v>
          </cell>
        </row>
        <row r="18997">
          <cell r="G18997" t="str">
            <v>ASV6855</v>
          </cell>
          <cell r="H18997" t="str">
            <v>g__Peptococcus</v>
          </cell>
          <cell r="I18997" t="str">
            <v>s__uncultured_bacterium_g__Peptococcus</v>
          </cell>
        </row>
        <row r="18998">
          <cell r="G18998" t="str">
            <v>ASV5440</v>
          </cell>
          <cell r="H18998" t="str">
            <v>g__unclassified_f__Ruminococcaceae</v>
          </cell>
          <cell r="I18998" t="str">
            <v>s__unclassified_f__Ruminococcaceae</v>
          </cell>
        </row>
        <row r="18999">
          <cell r="G18999" t="str">
            <v>ASV18681</v>
          </cell>
          <cell r="H18999" t="str">
            <v>g__Mitsuokella</v>
          </cell>
          <cell r="I18999" t="str">
            <v>s__unclassified_g__Mitsuokella</v>
          </cell>
        </row>
        <row r="19000">
          <cell r="G19000" t="str">
            <v>ASV18986</v>
          </cell>
          <cell r="H19000" t="str">
            <v>g__Bacteroides</v>
          </cell>
          <cell r="I19000" t="str">
            <v>s__unclassified_g__Bacteroides</v>
          </cell>
        </row>
        <row r="19001">
          <cell r="G19001" t="str">
            <v>ASV15839</v>
          </cell>
          <cell r="H19001" t="str">
            <v>g__Brevundimonas</v>
          </cell>
          <cell r="I19001" t="str">
            <v>s__unclassified_g__Brevundimonas</v>
          </cell>
        </row>
        <row r="19002">
          <cell r="G19002" t="str">
            <v>ASV19013</v>
          </cell>
          <cell r="H19002" t="str">
            <v>g__Fusobacterium</v>
          </cell>
          <cell r="I19002" t="str">
            <v>s__Bacillus_bogoriensis_ATCC_BAA-922</v>
          </cell>
        </row>
        <row r="19003">
          <cell r="G19003" t="str">
            <v>ASV20964</v>
          </cell>
          <cell r="H19003" t="str">
            <v>g__unclassified_o__Micrococcales</v>
          </cell>
          <cell r="I19003" t="str">
            <v>s__unclassified_o__Micrococcales</v>
          </cell>
        </row>
        <row r="19004">
          <cell r="G19004" t="str">
            <v>ASV9061</v>
          </cell>
          <cell r="H19004" t="str">
            <v>g__Bergeyella</v>
          </cell>
          <cell r="I19004" t="str">
            <v>s__unclassified_g__Bergeyella</v>
          </cell>
        </row>
        <row r="19005">
          <cell r="G19005" t="str">
            <v>ASV18987</v>
          </cell>
          <cell r="H19005" t="str">
            <v>g__Fusobacterium</v>
          </cell>
          <cell r="I19005" t="str">
            <v>s__unclassified_g__Fusobacterium</v>
          </cell>
        </row>
        <row r="19006">
          <cell r="G19006" t="str">
            <v>ASV18347</v>
          </cell>
          <cell r="H19006" t="str">
            <v>g__Hydrogenoanaerobacterium</v>
          </cell>
          <cell r="I19006" t="str">
            <v>s__uncultured_bacterium_g__Hydrogenoanaerobacterium</v>
          </cell>
        </row>
        <row r="19007">
          <cell r="G19007" t="str">
            <v>ASV14815</v>
          </cell>
          <cell r="H19007" t="str">
            <v>g__unclassified_f__Lachnospiraceae</v>
          </cell>
          <cell r="I19007" t="str">
            <v>s__unclassified_f__Lachnospiraceae</v>
          </cell>
        </row>
        <row r="19008">
          <cell r="G19008" t="str">
            <v>ASV14767</v>
          </cell>
          <cell r="H19008" t="str">
            <v>g__Christensenellaceae_R-7_group</v>
          </cell>
          <cell r="I19008" t="str">
            <v>s__uncultured_spirochete_g__Christensenellaceae_R-7_group</v>
          </cell>
        </row>
        <row r="19009">
          <cell r="G19009" t="str">
            <v>ASV3541</v>
          </cell>
          <cell r="H19009" t="str">
            <v>g__Klenkia</v>
          </cell>
          <cell r="I19009" t="str">
            <v>s__unclassified_g__Klenkia</v>
          </cell>
        </row>
        <row r="19010">
          <cell r="G19010" t="str">
            <v>ASV12297</v>
          </cell>
          <cell r="H19010" t="str">
            <v>g__unclassified_c__Clostridia</v>
          </cell>
          <cell r="I19010" t="str">
            <v>s__unclassified_c__Clostridia</v>
          </cell>
        </row>
        <row r="19011">
          <cell r="G19011" t="str">
            <v>ASV18472</v>
          </cell>
          <cell r="H19011" t="str">
            <v>g__Ruminococcus</v>
          </cell>
          <cell r="I19011" t="str">
            <v>s__unclassified_g__Ruminococcus</v>
          </cell>
        </row>
        <row r="19012">
          <cell r="G19012" t="str">
            <v>ASV1137</v>
          </cell>
          <cell r="H19012" t="str">
            <v>g__Prevotella</v>
          </cell>
          <cell r="I19012" t="str">
            <v>s__uncultured_bacterium_g__Prevotella</v>
          </cell>
        </row>
        <row r="19013">
          <cell r="G19013" t="str">
            <v>ASV5376</v>
          </cell>
          <cell r="H19013" t="str">
            <v>g__Ruminococcus</v>
          </cell>
          <cell r="I19013" t="str">
            <v>s__unclassified_g__Ruminococcus</v>
          </cell>
        </row>
        <row r="19014">
          <cell r="G19014" t="str">
            <v>ASV4212</v>
          </cell>
          <cell r="H19014" t="str">
            <v>g__unclassified_k__norank_d__Bacteria</v>
          </cell>
          <cell r="I19014" t="str">
            <v>s__unclassified_k__norank_d__Bacteria</v>
          </cell>
        </row>
        <row r="19015">
          <cell r="G19015" t="str">
            <v>ASV20094</v>
          </cell>
          <cell r="H19015" t="str">
            <v>g__Christensenellaceae_R-7_group</v>
          </cell>
          <cell r="I19015" t="str">
            <v>s__unclassified_g__Christensenellaceae_R-7_group</v>
          </cell>
        </row>
        <row r="19016">
          <cell r="G19016" t="str">
            <v>ASV6162</v>
          </cell>
          <cell r="H19016" t="str">
            <v>g__Bacteroides</v>
          </cell>
          <cell r="I19016" t="str">
            <v>s__unclassified_g__Bacteroides</v>
          </cell>
        </row>
        <row r="19017">
          <cell r="G19017" t="str">
            <v>ASV10862</v>
          </cell>
          <cell r="H19017" t="str">
            <v>g__Ruminococcus</v>
          </cell>
          <cell r="I19017" t="str">
            <v>s__unclassified_g__Ruminococcus</v>
          </cell>
        </row>
        <row r="19018">
          <cell r="G19018" t="str">
            <v>ASV10859</v>
          </cell>
          <cell r="H19018" t="str">
            <v>g__unclassified_c__Clostridia</v>
          </cell>
          <cell r="I19018" t="str">
            <v>s__unclassified_c__Clostridia</v>
          </cell>
        </row>
        <row r="19019">
          <cell r="G19019" t="str">
            <v>ASV22798</v>
          </cell>
          <cell r="H19019" t="str">
            <v>g__unclassified_c__Clostridia</v>
          </cell>
          <cell r="I19019" t="str">
            <v>s__unclassified_c__Clostridia</v>
          </cell>
        </row>
        <row r="19020">
          <cell r="G19020" t="str">
            <v>ASV22629</v>
          </cell>
          <cell r="H19020" t="str">
            <v>g__Succiniclasticum</v>
          </cell>
          <cell r="I19020" t="str">
            <v>s__unclassified_g__Succiniclasticum</v>
          </cell>
        </row>
        <row r="19021">
          <cell r="G19021" t="str">
            <v>ASV20102</v>
          </cell>
          <cell r="H19021" t="str">
            <v>g__Christensenellaceae_R-7_group</v>
          </cell>
          <cell r="I19021" t="str">
            <v>s__unclassified_g__Christensenellaceae_R-7_group</v>
          </cell>
        </row>
        <row r="19022">
          <cell r="G19022" t="str">
            <v>ASV6425</v>
          </cell>
          <cell r="H19022" t="str">
            <v>g__unclassified_p__Firmicutes</v>
          </cell>
          <cell r="I19022" t="str">
            <v>s__unclassified_p__Firmicutes</v>
          </cell>
        </row>
        <row r="19023">
          <cell r="G19023" t="str">
            <v>ASV10131</v>
          </cell>
          <cell r="H19023" t="str">
            <v>g__Bacillus</v>
          </cell>
          <cell r="I19023" t="str">
            <v>s__Lactobacillus_vaginalis_g__Bacillus</v>
          </cell>
        </row>
        <row r="19024">
          <cell r="G19024" t="str">
            <v>ASV19874</v>
          </cell>
          <cell r="H19024" t="str">
            <v>g__unclassified_c__Clostridia</v>
          </cell>
          <cell r="I19024" t="str">
            <v>s__unclassified_c__Clostridia</v>
          </cell>
        </row>
        <row r="19025">
          <cell r="G19025" t="str">
            <v>ASV21120</v>
          </cell>
          <cell r="H19025" t="str">
            <v>g__unclassified_c__Clostridia</v>
          </cell>
          <cell r="I19025" t="str">
            <v>s__unclassified_c__Clostridia</v>
          </cell>
        </row>
        <row r="19026">
          <cell r="G19026" t="str">
            <v>ASV9812</v>
          </cell>
          <cell r="H19026" t="str">
            <v>g__Phascolarctobacterium</v>
          </cell>
          <cell r="I19026" t="str">
            <v>s__uncultured_bacterium_g__Phascolarctobacterium</v>
          </cell>
        </row>
        <row r="19027">
          <cell r="G19027" t="str">
            <v>ASV22694</v>
          </cell>
          <cell r="H19027" t="str">
            <v>g__unclassified_f__Lachnospiraceae</v>
          </cell>
          <cell r="I19027" t="str">
            <v>s__unclassified_f__Lachnospiraceae</v>
          </cell>
        </row>
        <row r="19028">
          <cell r="G19028" t="str">
            <v>ASV14913</v>
          </cell>
          <cell r="H19028" t="str">
            <v>g__Intestinimonas</v>
          </cell>
          <cell r="I19028" t="str">
            <v>s__unclassified_g__Intestinimonas</v>
          </cell>
        </row>
        <row r="19029">
          <cell r="G19029" t="str">
            <v>ASV6384</v>
          </cell>
          <cell r="H19029" t="str">
            <v>g__unclassified_c__Clostridia</v>
          </cell>
          <cell r="I19029" t="str">
            <v>s__unclassified_c__Clostridia</v>
          </cell>
        </row>
        <row r="19030">
          <cell r="G19030" t="str">
            <v>ASV7308</v>
          </cell>
          <cell r="H19030" t="str">
            <v>g__Mailhella</v>
          </cell>
          <cell r="I19030" t="str">
            <v>s__Desulfovibrio_sp._Marseille-P3199</v>
          </cell>
        </row>
        <row r="19031">
          <cell r="G19031" t="str">
            <v>ASV16619</v>
          </cell>
          <cell r="H19031" t="str">
            <v>g__norank_f__Erysipelotrichaceae</v>
          </cell>
          <cell r="I19031" t="str">
            <v>s__uncultured_bacterium_g__norank_f__Erysipelotrichaceae</v>
          </cell>
        </row>
        <row r="19032">
          <cell r="G19032" t="str">
            <v>ASV1194</v>
          </cell>
          <cell r="H19032" t="str">
            <v>g__norank_f__Muribaculaceae</v>
          </cell>
          <cell r="I19032" t="str">
            <v>s__uncultured_bacterium_g__norank_f__Muribaculaceae</v>
          </cell>
        </row>
        <row r="19033">
          <cell r="G19033" t="str">
            <v>ASV14853</v>
          </cell>
          <cell r="H19033" t="str">
            <v>g__unclassified_f__Lachnospiraceae</v>
          </cell>
          <cell r="I19033" t="str">
            <v>s__unclassified_f__Lachnospiraceae</v>
          </cell>
        </row>
        <row r="19034">
          <cell r="G19034" t="str">
            <v>ASV22942</v>
          </cell>
          <cell r="H19034" t="str">
            <v>g__Micromonospora</v>
          </cell>
          <cell r="I19034" t="str">
            <v>s__unclassified_g__Micromonospora</v>
          </cell>
        </row>
        <row r="19035">
          <cell r="G19035" t="str">
            <v>ASV2519</v>
          </cell>
          <cell r="H19035" t="str">
            <v>g__unclassified_f__Lachnospiraceae</v>
          </cell>
          <cell r="I19035" t="str">
            <v>s__unclassified_f__Lachnospiraceae</v>
          </cell>
        </row>
        <row r="19036">
          <cell r="G19036" t="str">
            <v>ASV18348</v>
          </cell>
          <cell r="H19036" t="str">
            <v>g__unclassified_c__Clostridia</v>
          </cell>
          <cell r="I19036" t="str">
            <v>s__unclassified_c__Clostridia</v>
          </cell>
        </row>
        <row r="19037">
          <cell r="G19037" t="str">
            <v>ASV18678</v>
          </cell>
          <cell r="H19037" t="str">
            <v>g__norank_f__Oscillospiraceae</v>
          </cell>
          <cell r="I19037" t="str">
            <v>s__unclassified_g__norank_f__Oscillospiraceae</v>
          </cell>
        </row>
        <row r="19038">
          <cell r="G19038" t="str">
            <v>ASV14814</v>
          </cell>
          <cell r="H19038" t="str">
            <v>g__Colidextribacter</v>
          </cell>
          <cell r="I19038" t="str">
            <v>s__unclassified_g__Colidextribacter</v>
          </cell>
        </row>
        <row r="19039">
          <cell r="G19039" t="str">
            <v>ASV22578</v>
          </cell>
          <cell r="H19039" t="str">
            <v>g__unclassified_f__Lachnospiraceae</v>
          </cell>
          <cell r="I19039" t="str">
            <v>s__unclassified_f__Lachnospiraceae</v>
          </cell>
        </row>
        <row r="19040">
          <cell r="G19040" t="str">
            <v>ASV22614</v>
          </cell>
          <cell r="H19040" t="str">
            <v>g__unclassified_f__Anaerovoracaceae</v>
          </cell>
          <cell r="I19040" t="str">
            <v>s__unclassified_f__Anaerovoracaceae</v>
          </cell>
        </row>
        <row r="19041">
          <cell r="G19041" t="str">
            <v>ASV16636</v>
          </cell>
          <cell r="H19041" t="str">
            <v>g__Streptococcus</v>
          </cell>
          <cell r="I19041" t="str">
            <v>s__unclassified_g__Streptococcus</v>
          </cell>
        </row>
        <row r="19042">
          <cell r="G19042" t="str">
            <v>ASV1405</v>
          </cell>
          <cell r="H19042" t="str">
            <v>g__Mogibacterium</v>
          </cell>
          <cell r="I19042" t="str">
            <v>s__uncultured_bacterium_g__Mogibacterium</v>
          </cell>
        </row>
        <row r="19043">
          <cell r="G19043" t="str">
            <v>ASV20172</v>
          </cell>
          <cell r="H19043" t="str">
            <v>g__unclassified_f__Lactobacillaceae</v>
          </cell>
          <cell r="I19043" t="str">
            <v>s__unclassified_f__Lactobacillaceae</v>
          </cell>
        </row>
        <row r="19044">
          <cell r="G19044" t="str">
            <v>ASV6977</v>
          </cell>
          <cell r="H19044" t="str">
            <v>g__Enterococcus</v>
          </cell>
          <cell r="I19044" t="str">
            <v>s__unclassified_g__Enterococcus</v>
          </cell>
        </row>
        <row r="19045">
          <cell r="G19045" t="str">
            <v>ASV13837</v>
          </cell>
          <cell r="H19045" t="str">
            <v>g__Enterococcus</v>
          </cell>
          <cell r="I19045" t="str">
            <v>s__unclassified_g__Enterococcus</v>
          </cell>
        </row>
        <row r="19046">
          <cell r="G19046" t="str">
            <v>ASV2431</v>
          </cell>
          <cell r="H19046" t="str">
            <v>g__Anaerofilum</v>
          </cell>
          <cell r="I19046" t="str">
            <v>s__uncultured_bacterium_g__Anaerofilum</v>
          </cell>
        </row>
        <row r="19047">
          <cell r="G19047" t="str">
            <v>ASV6516</v>
          </cell>
          <cell r="H19047" t="str">
            <v>g__Ruminococcus</v>
          </cell>
          <cell r="I19047" t="str">
            <v>s__bacterium_ic1277</v>
          </cell>
        </row>
        <row r="19048">
          <cell r="G19048" t="str">
            <v>ASV18245</v>
          </cell>
          <cell r="H19048" t="str">
            <v>g__Bifidobacterium</v>
          </cell>
          <cell r="I19048" t="str">
            <v>s__unclassified_g__Bifidobacterium</v>
          </cell>
        </row>
        <row r="19049">
          <cell r="G19049" t="str">
            <v>ASV17078</v>
          </cell>
          <cell r="H19049" t="str">
            <v>g__unclassified_f__Oscillospiraceae</v>
          </cell>
          <cell r="I19049" t="str">
            <v>s__unclassified_f__Oscillospiraceae</v>
          </cell>
        </row>
        <row r="19050">
          <cell r="G19050" t="str">
            <v>ASV12238</v>
          </cell>
          <cell r="H19050" t="str">
            <v>g__unclassified_f__Lachnospiraceae</v>
          </cell>
          <cell r="I19050" t="str">
            <v>s__unclassified_f__Lachnospiraceae</v>
          </cell>
        </row>
        <row r="19051">
          <cell r="G19051" t="str">
            <v>ASV17023</v>
          </cell>
          <cell r="H19051" t="str">
            <v>g__Lactobacillus</v>
          </cell>
          <cell r="I19051" t="str">
            <v>s__unclassified_g__Lactobacillus</v>
          </cell>
        </row>
        <row r="19052">
          <cell r="G19052" t="str">
            <v>ASV18952</v>
          </cell>
          <cell r="H19052" t="str">
            <v>g__Megasphaera</v>
          </cell>
          <cell r="I19052" t="str">
            <v>s__Megasphaera_hexanoica</v>
          </cell>
        </row>
        <row r="19053">
          <cell r="G19053" t="str">
            <v>ASV19986</v>
          </cell>
          <cell r="H19053" t="str">
            <v>g__Phascolarctobacterium</v>
          </cell>
          <cell r="I19053" t="str">
            <v>s__uncultured_bacterium_g__Phascolarctobacterium</v>
          </cell>
        </row>
        <row r="19054">
          <cell r="G19054" t="str">
            <v>ASV12469</v>
          </cell>
          <cell r="H19054" t="str">
            <v>g__unclassified_c__Clostridia</v>
          </cell>
          <cell r="I19054" t="str">
            <v>s__unclassified_c__Clostridia</v>
          </cell>
        </row>
        <row r="19055">
          <cell r="G19055" t="str">
            <v>ASV22658</v>
          </cell>
          <cell r="H19055" t="str">
            <v>g__unclassified_c__Clostridia</v>
          </cell>
          <cell r="I19055" t="str">
            <v>s__unclassified_c__Clostridia</v>
          </cell>
        </row>
        <row r="19056">
          <cell r="G19056" t="str">
            <v>ASV14951</v>
          </cell>
          <cell r="H19056" t="str">
            <v>g__Family_XIII_AD3011_group</v>
          </cell>
          <cell r="I19056" t="str">
            <v>s__uncultured_bacterium_g__Family_XIII_AD3011_group</v>
          </cell>
        </row>
        <row r="19057">
          <cell r="G19057" t="str">
            <v>ASV14895</v>
          </cell>
          <cell r="H19057" t="str">
            <v>g__unclassified_o__Oscillospirales</v>
          </cell>
          <cell r="I19057" t="str">
            <v>s__unclassified_o__Oscillospirales</v>
          </cell>
        </row>
        <row r="19058">
          <cell r="G19058" t="str">
            <v>ASV6279</v>
          </cell>
          <cell r="H19058" t="str">
            <v>g__unclassified_c__Clostridia</v>
          </cell>
          <cell r="I19058" t="str">
            <v>s__unclassified_c__Clostridia</v>
          </cell>
        </row>
        <row r="19059">
          <cell r="G19059" t="str">
            <v>ASV15734</v>
          </cell>
          <cell r="H19059" t="str">
            <v>g__norank_f__norank_o__Clostridia_vadinBB60_group</v>
          </cell>
          <cell r="I19059" t="str">
            <v>s__unclassified_g__norank_f__norank_o__Clostridia_vadinBB60_group</v>
          </cell>
        </row>
        <row r="19060">
          <cell r="G19060" t="str">
            <v>ASV17553</v>
          </cell>
          <cell r="H19060" t="str">
            <v>g__Lactobacillus</v>
          </cell>
          <cell r="I19060" t="str">
            <v>s__unclassified_g__Lactobacillus</v>
          </cell>
        </row>
        <row r="19061">
          <cell r="G19061" t="str">
            <v>ASV20315</v>
          </cell>
          <cell r="H19061" t="str">
            <v>g__Butyricicoccus</v>
          </cell>
          <cell r="I19061" t="str">
            <v>s__unclassified_g__Butyricicoccus</v>
          </cell>
        </row>
        <row r="19062">
          <cell r="G19062" t="str">
            <v>ASV6227</v>
          </cell>
          <cell r="H19062" t="str">
            <v>g__unclassified_o__Oscillospirales</v>
          </cell>
          <cell r="I19062" t="str">
            <v>s__unclassified_o__Oscillospirales</v>
          </cell>
        </row>
        <row r="19063">
          <cell r="G19063" t="str">
            <v>ASV10332</v>
          </cell>
          <cell r="H19063" t="str">
            <v>g__Enterorhabdus</v>
          </cell>
          <cell r="I19063" t="str">
            <v>s__uncultured_bacterium_g__Enterorhabdus</v>
          </cell>
        </row>
        <row r="19064">
          <cell r="G19064" t="str">
            <v>ASV19000</v>
          </cell>
          <cell r="H19064" t="str">
            <v>g__unclassified_o__Lactobacillales</v>
          </cell>
          <cell r="I19064" t="str">
            <v>s__unclassified_o__Lactobacillales</v>
          </cell>
        </row>
        <row r="19065">
          <cell r="G19065" t="str">
            <v>ASV20197</v>
          </cell>
          <cell r="H19065" t="str">
            <v>g__Terrisporobacter</v>
          </cell>
          <cell r="I19065" t="str">
            <v>s__unclassified_g__Terrisporobacter</v>
          </cell>
        </row>
        <row r="19066">
          <cell r="G19066" t="str">
            <v>ASV16653</v>
          </cell>
          <cell r="H19066" t="str">
            <v>g__unclassified_f__Lachnospiraceae</v>
          </cell>
          <cell r="I19066" t="str">
            <v>s__unclassified_f__Lachnospiraceae</v>
          </cell>
        </row>
        <row r="19067">
          <cell r="G19067" t="str">
            <v>ASV1287</v>
          </cell>
          <cell r="H19067" t="str">
            <v>g__unclassified_c__Clostridia</v>
          </cell>
          <cell r="I19067" t="str">
            <v>s__unclassified_c__Clostridia</v>
          </cell>
        </row>
        <row r="19068">
          <cell r="G19068" t="str">
            <v>ASV16114</v>
          </cell>
          <cell r="H19068" t="str">
            <v>g__Phascolarctobacterium</v>
          </cell>
          <cell r="I19068" t="str">
            <v>s__unclassified_g__Phascolarctobacterium</v>
          </cell>
        </row>
        <row r="19069">
          <cell r="G19069" t="str">
            <v>ASV20045</v>
          </cell>
          <cell r="H19069" t="str">
            <v>g__Rikenellaceae_RC9_gut_group</v>
          </cell>
          <cell r="I19069" t="str">
            <v>s__uncultured_bacterium_g__Rikenellaceae_RC9_gut_group</v>
          </cell>
        </row>
        <row r="19070">
          <cell r="G19070" t="str">
            <v>ASV14949</v>
          </cell>
          <cell r="H19070" t="str">
            <v>g__unclassified_k__norank_d__Bacteria</v>
          </cell>
          <cell r="I19070" t="str">
            <v>s__unclassified_k__norank_d__Bacteria</v>
          </cell>
        </row>
        <row r="19071">
          <cell r="G19071" t="str">
            <v>ASV22661</v>
          </cell>
          <cell r="H19071" t="str">
            <v>g__unclassified_c__Clostridia</v>
          </cell>
          <cell r="I19071" t="str">
            <v>s__unclassified_c__Clostridia</v>
          </cell>
        </row>
        <row r="19072">
          <cell r="G19072" t="str">
            <v>ASV5267</v>
          </cell>
          <cell r="H19072" t="str">
            <v>g__unclassified_c__Clostridia</v>
          </cell>
          <cell r="I19072" t="str">
            <v>s__unclassified_c__Clostridia</v>
          </cell>
        </row>
        <row r="19073">
          <cell r="G19073" t="str">
            <v>ASV1261</v>
          </cell>
          <cell r="H19073" t="str">
            <v>g__unclassified_k__norank_d__Bacteria</v>
          </cell>
          <cell r="I19073" t="str">
            <v>s__unclassified_k__norank_d__Bacteria</v>
          </cell>
        </row>
        <row r="19074">
          <cell r="G19074" t="str">
            <v>ASV21029</v>
          </cell>
          <cell r="H19074" t="str">
            <v>g__unclassified_f__Lachnospiraceae</v>
          </cell>
          <cell r="I19074" t="str">
            <v>s__unclassified_f__Lachnospiraceae</v>
          </cell>
        </row>
        <row r="19075">
          <cell r="G19075" t="str">
            <v>ASV9624</v>
          </cell>
          <cell r="H19075" t="str">
            <v>g__unclassified_f__Ruminococcaceae</v>
          </cell>
          <cell r="I19075" t="str">
            <v>s__unclassified_f__Ruminococcaceae</v>
          </cell>
        </row>
        <row r="19076">
          <cell r="G19076" t="str">
            <v>ASV10929</v>
          </cell>
          <cell r="H19076" t="str">
            <v>g__unclassified_f__Lachnospiraceae</v>
          </cell>
          <cell r="I19076" t="str">
            <v>s__unclassified_f__Lachnospiraceae</v>
          </cell>
        </row>
        <row r="19077">
          <cell r="G19077" t="str">
            <v>ASV6965</v>
          </cell>
          <cell r="H19077" t="str">
            <v>g__unclassified_f__Oscillospiraceae</v>
          </cell>
          <cell r="I19077" t="str">
            <v>s__unclassified_f__Oscillospiraceae</v>
          </cell>
        </row>
        <row r="19078">
          <cell r="G19078" t="str">
            <v>ASV12112</v>
          </cell>
          <cell r="H19078" t="str">
            <v>g__Enterorhabdus</v>
          </cell>
          <cell r="I19078" t="str">
            <v>s__uncultured_bacterium_g__Enterorhabdus</v>
          </cell>
        </row>
        <row r="19079">
          <cell r="G19079" t="str">
            <v>ASV19126</v>
          </cell>
          <cell r="H19079" t="str">
            <v>g__unclassified_p__Firmicutes</v>
          </cell>
          <cell r="I19079" t="str">
            <v>s__unclassified_p__Firmicutes</v>
          </cell>
        </row>
        <row r="19080">
          <cell r="G19080" t="str">
            <v>ASV16648</v>
          </cell>
          <cell r="H19080" t="str">
            <v>g__unclassified_c__Clostridia</v>
          </cell>
          <cell r="I19080" t="str">
            <v>s__unclassified_c__Clostridia</v>
          </cell>
        </row>
        <row r="19081">
          <cell r="G19081" t="str">
            <v>ASV23588</v>
          </cell>
          <cell r="H19081" t="str">
            <v>g__norank_f__Muribaculaceae</v>
          </cell>
          <cell r="I19081" t="str">
            <v>s__uncultured_bacterium_g__norank_f__Muribaculaceae</v>
          </cell>
        </row>
        <row r="19082">
          <cell r="G19082" t="str">
            <v>ASV5405</v>
          </cell>
          <cell r="H19082" t="str">
            <v>g__unclassified_f__Lachnospiraceae</v>
          </cell>
          <cell r="I19082" t="str">
            <v>s__unclassified_f__Lachnospiraceae</v>
          </cell>
        </row>
        <row r="19083">
          <cell r="G19083" t="str">
            <v>ASV5400</v>
          </cell>
          <cell r="H19083" t="str">
            <v>g__unclassified_p__Firmicutes</v>
          </cell>
          <cell r="I19083" t="str">
            <v>s__unclassified_p__Firmicutes</v>
          </cell>
        </row>
        <row r="19084">
          <cell r="G19084" t="str">
            <v>ASV12291</v>
          </cell>
          <cell r="H19084" t="str">
            <v>g__unclassified_f__Rikenellaceae</v>
          </cell>
          <cell r="I19084" t="str">
            <v>s__unclassified_f__Rikenellaceae</v>
          </cell>
        </row>
        <row r="19085">
          <cell r="G19085" t="str">
            <v>ASV6334</v>
          </cell>
          <cell r="H19085" t="str">
            <v>g__norank_f__Ruminococcaceae</v>
          </cell>
          <cell r="I19085" t="str">
            <v>s__unclassified_g__norank_f__Ruminococcaceae</v>
          </cell>
        </row>
        <row r="19086">
          <cell r="G19086" t="str">
            <v>ASV1445</v>
          </cell>
          <cell r="H19086" t="str">
            <v>g__NK4A214_group</v>
          </cell>
          <cell r="I19086" t="str">
            <v>s__uncultured_bacterium_g__NK4A214_group</v>
          </cell>
        </row>
        <row r="19087">
          <cell r="G19087" t="str">
            <v>ASV20296</v>
          </cell>
          <cell r="H19087" t="str">
            <v>g__unclassified_c__Bacilli</v>
          </cell>
          <cell r="I19087" t="str">
            <v>s__unclassified_c__Bacilli</v>
          </cell>
        </row>
        <row r="19088">
          <cell r="G19088" t="str">
            <v>ASV19934</v>
          </cell>
          <cell r="H19088" t="str">
            <v>g__Lactobacillus</v>
          </cell>
          <cell r="I19088" t="str">
            <v>s__unclassified_g__Lactobacillus</v>
          </cell>
        </row>
        <row r="19089">
          <cell r="G19089" t="str">
            <v>ASV8213</v>
          </cell>
          <cell r="H19089" t="str">
            <v>g__unclassified_c__Clostridia</v>
          </cell>
          <cell r="I19089" t="str">
            <v>s__unclassified_c__Clostridia</v>
          </cell>
        </row>
        <row r="19090">
          <cell r="G19090" t="str">
            <v>ASV21066</v>
          </cell>
          <cell r="H19090" t="str">
            <v>g__unclassified_o__Oscillospirales</v>
          </cell>
          <cell r="I19090" t="str">
            <v>s__unclassified_o__Oscillospirales</v>
          </cell>
        </row>
        <row r="19091">
          <cell r="G19091" t="str">
            <v>ASV8054</v>
          </cell>
          <cell r="H19091" t="str">
            <v>g__unclassified_p__Firmicutes</v>
          </cell>
          <cell r="I19091" t="str">
            <v>s__unclassified_p__Firmicutes</v>
          </cell>
        </row>
        <row r="19092">
          <cell r="G19092" t="str">
            <v>ASV17233</v>
          </cell>
          <cell r="H19092" t="str">
            <v>g__Helcococcus</v>
          </cell>
          <cell r="I19092" t="str">
            <v>s__unclassified_g__Helcococcus</v>
          </cell>
        </row>
        <row r="19093">
          <cell r="G19093" t="str">
            <v>ASV8074</v>
          </cell>
          <cell r="H19093" t="str">
            <v>g__unclassified_c__Clostridia</v>
          </cell>
          <cell r="I19093" t="str">
            <v>s__unclassified_c__Clostridia</v>
          </cell>
        </row>
        <row r="19094">
          <cell r="G19094" t="str">
            <v>ASV5447</v>
          </cell>
          <cell r="H19094" t="str">
            <v>g__unclassified_p__Firmicutes</v>
          </cell>
          <cell r="I19094" t="str">
            <v>s__unclassified_p__Firmicutes</v>
          </cell>
        </row>
        <row r="19095">
          <cell r="G19095" t="str">
            <v>ASV13134</v>
          </cell>
          <cell r="H19095" t="str">
            <v>g__unclassified_p__Firmicutes</v>
          </cell>
          <cell r="I19095" t="str">
            <v>s__unclassified_p__Firmicutes</v>
          </cell>
        </row>
        <row r="19096">
          <cell r="G19096" t="str">
            <v>ASV20983</v>
          </cell>
          <cell r="H19096" t="str">
            <v>g__Romboutsia</v>
          </cell>
          <cell r="I19096" t="str">
            <v>s__unclassified_g__Romboutsia</v>
          </cell>
        </row>
        <row r="19097">
          <cell r="G19097" t="str">
            <v>ASV14781</v>
          </cell>
          <cell r="H19097" t="str">
            <v>g__unclassified_f__Peptostreptococcaceae</v>
          </cell>
          <cell r="I19097" t="str">
            <v>s__unclassified_f__Peptostreptococcaceae</v>
          </cell>
        </row>
        <row r="19098">
          <cell r="G19098" t="str">
            <v>ASV6477</v>
          </cell>
          <cell r="H19098" t="str">
            <v>g__unclassified_c__Clostridia</v>
          </cell>
          <cell r="I19098" t="str">
            <v>s__unclassified_c__Clostridia</v>
          </cell>
        </row>
        <row r="19099">
          <cell r="G19099" t="str">
            <v>ASV24038</v>
          </cell>
          <cell r="H19099" t="str">
            <v>g__unclassified_c__Bacilli</v>
          </cell>
          <cell r="I19099" t="str">
            <v>s__unclassified_c__Bacilli</v>
          </cell>
        </row>
        <row r="19100">
          <cell r="G19100" t="str">
            <v>ASV16143</v>
          </cell>
          <cell r="H19100" t="str">
            <v>g__Sutterella</v>
          </cell>
          <cell r="I19100" t="str">
            <v>s__unclassified_g__Sutterella</v>
          </cell>
        </row>
        <row r="19101">
          <cell r="G19101" t="str">
            <v>ASV22566</v>
          </cell>
          <cell r="H19101" t="str">
            <v>g__Monoglobus</v>
          </cell>
          <cell r="I19101" t="str">
            <v>s__uncultured_bacterium_g__Monoglobus</v>
          </cell>
        </row>
        <row r="19102">
          <cell r="G19102" t="str">
            <v>ASV21316</v>
          </cell>
          <cell r="H19102" t="str">
            <v>g__unclassified_k__norank_d__Bacteria</v>
          </cell>
          <cell r="I19102" t="str">
            <v>s__unclassified_k__norank_d__Bacteria</v>
          </cell>
        </row>
        <row r="19103">
          <cell r="G19103" t="str">
            <v>ASV18438</v>
          </cell>
          <cell r="H19103" t="str">
            <v>g__unclassified_p__Firmicutes</v>
          </cell>
          <cell r="I19103" t="str">
            <v>s__unclassified_p__Firmicutes</v>
          </cell>
        </row>
        <row r="19104">
          <cell r="G19104" t="str">
            <v>ASV1830</v>
          </cell>
          <cell r="H19104" t="str">
            <v>g__Prevotellaceae_NK3B31_group</v>
          </cell>
          <cell r="I19104" t="str">
            <v>s__unclassified_g__Prevotellaceae_NK3B31_group</v>
          </cell>
        </row>
        <row r="19105">
          <cell r="G19105" t="str">
            <v>ASV20005</v>
          </cell>
          <cell r="H19105" t="str">
            <v>g__unclassified_f__Oscillospiraceae</v>
          </cell>
          <cell r="I19105" t="str">
            <v>s__unclassified_f__Oscillospiraceae</v>
          </cell>
        </row>
        <row r="19106">
          <cell r="G19106" t="str">
            <v>ASV8565</v>
          </cell>
          <cell r="H19106" t="str">
            <v>g__unclassified_f__Veillonellaceae</v>
          </cell>
          <cell r="I19106" t="str">
            <v>s__unclassified_f__Veillonellaceae</v>
          </cell>
        </row>
        <row r="19107">
          <cell r="G19107" t="str">
            <v>ASV24283</v>
          </cell>
          <cell r="H19107" t="str">
            <v>g__unclassified_f__Lachnospiraceae</v>
          </cell>
          <cell r="I19107" t="str">
            <v>s__unclassified_f__Lachnospiraceae</v>
          </cell>
        </row>
        <row r="19108">
          <cell r="G19108" t="str">
            <v>ASV8102</v>
          </cell>
          <cell r="H19108" t="str">
            <v>g__unclassified_f__Lachnospiraceae</v>
          </cell>
          <cell r="I19108" t="str">
            <v>s__unclassified_f__Lachnospiraceae</v>
          </cell>
        </row>
        <row r="19109">
          <cell r="G19109" t="str">
            <v>ASV4350</v>
          </cell>
          <cell r="H19109" t="str">
            <v>g__Escherichia-Shigella</v>
          </cell>
          <cell r="I19109" t="str">
            <v>s__unclassified_g__Escherichia-Shigella</v>
          </cell>
        </row>
        <row r="19110">
          <cell r="G19110" t="str">
            <v>ASV6414</v>
          </cell>
          <cell r="H19110" t="str">
            <v>g__unclassified_f__Spirochaetaceae</v>
          </cell>
          <cell r="I19110" t="str">
            <v>s__unclassified_f__Spirochaetaceae</v>
          </cell>
        </row>
        <row r="19111">
          <cell r="G19111" t="str">
            <v>ASV5252</v>
          </cell>
          <cell r="H19111" t="str">
            <v>g__unclassified_f__Lachnospiraceae</v>
          </cell>
          <cell r="I19111" t="str">
            <v>s__unclassified_f__Lachnospiraceae</v>
          </cell>
        </row>
        <row r="19112">
          <cell r="G19112" t="str">
            <v>ASV16127</v>
          </cell>
          <cell r="H19112" t="str">
            <v>g__Lactobacillus</v>
          </cell>
          <cell r="I19112" t="str">
            <v>s__unclassified_g__Lactobacillus</v>
          </cell>
        </row>
        <row r="19113">
          <cell r="G19113" t="str">
            <v>ASV6268</v>
          </cell>
          <cell r="H19113" t="str">
            <v>g__unclassified_c__Clostridia</v>
          </cell>
          <cell r="I19113" t="str">
            <v>s__unclassified_c__Clostridia</v>
          </cell>
        </row>
        <row r="19114">
          <cell r="G19114" t="str">
            <v>ASV1310</v>
          </cell>
          <cell r="H19114" t="str">
            <v>g__unclassified_f__Lachnospiraceae</v>
          </cell>
          <cell r="I19114" t="str">
            <v>s__unclassified_f__Lachnospiraceae</v>
          </cell>
        </row>
        <row r="19115">
          <cell r="G19115" t="str">
            <v>ASV14924</v>
          </cell>
          <cell r="H19115" t="str">
            <v>g__unclassified_f__Anaerovoracaceae</v>
          </cell>
          <cell r="I19115" t="str">
            <v>s__unclassified_f__Anaerovoracaceae</v>
          </cell>
        </row>
        <row r="19116">
          <cell r="G19116" t="str">
            <v>ASV4282</v>
          </cell>
          <cell r="H19116" t="str">
            <v>g__Cloacibacillus</v>
          </cell>
          <cell r="I19116" t="str">
            <v>s__unclassified_g__Cloacibacillus</v>
          </cell>
        </row>
        <row r="19117">
          <cell r="G19117" t="str">
            <v>ASV20170</v>
          </cell>
          <cell r="H19117" t="str">
            <v>g__norank_f__Muribaculaceae</v>
          </cell>
          <cell r="I19117" t="str">
            <v>s__uncultured_bacterium_g__norank_f__Muribaculaceae</v>
          </cell>
        </row>
        <row r="19118">
          <cell r="G19118" t="str">
            <v>ASV12363</v>
          </cell>
          <cell r="H19118" t="str">
            <v>g__Lactobacillus</v>
          </cell>
          <cell r="I19118" t="str">
            <v>s__unclassified_g__Lactobacillus</v>
          </cell>
        </row>
        <row r="19119">
          <cell r="G19119" t="str">
            <v>ASV22654</v>
          </cell>
          <cell r="H19119" t="str">
            <v>g__unclassified_f__Lachnospiraceae</v>
          </cell>
          <cell r="I19119" t="str">
            <v>s__unclassified_f__Lachnospiraceae</v>
          </cell>
        </row>
        <row r="19120">
          <cell r="G19120" t="str">
            <v>ASV2579</v>
          </cell>
          <cell r="H19120" t="str">
            <v>g__unclassified_p__Firmicutes</v>
          </cell>
          <cell r="I19120" t="str">
            <v>s__unclassified_p__Firmicutes</v>
          </cell>
        </row>
        <row r="19121">
          <cell r="G19121" t="str">
            <v>ASV18474</v>
          </cell>
          <cell r="H19121" t="str">
            <v>g__unclassified_f__Prevotellaceae</v>
          </cell>
          <cell r="I19121" t="str">
            <v>s__unclassified_f__Prevotellaceae</v>
          </cell>
        </row>
        <row r="19122">
          <cell r="G19122" t="str">
            <v>ASV22710</v>
          </cell>
          <cell r="H19122" t="str">
            <v>g__unclassified_p__Firmicutes</v>
          </cell>
          <cell r="I19122" t="str">
            <v>s__unclassified_p__Firmicutes</v>
          </cell>
        </row>
        <row r="19123">
          <cell r="G19123" t="str">
            <v>ASV9677</v>
          </cell>
          <cell r="H19123" t="str">
            <v>g__unclassified_o__Bacteroidales</v>
          </cell>
          <cell r="I19123" t="str">
            <v>s__unclassified_o__Bacteroidales</v>
          </cell>
        </row>
        <row r="19124">
          <cell r="G19124" t="str">
            <v>ASV6265</v>
          </cell>
          <cell r="H19124" t="str">
            <v>g__Eubacterium</v>
          </cell>
          <cell r="I19124" t="str">
            <v>s__unclassified_g__Eubacterium</v>
          </cell>
        </row>
        <row r="19125">
          <cell r="G19125" t="str">
            <v>ASV20028</v>
          </cell>
          <cell r="H19125" t="str">
            <v>g__Lachnospiraceae_NC2004_group</v>
          </cell>
          <cell r="I19125" t="str">
            <v>s__uncultured_bacterium_g__Lachnospiraceae_NC2004_group</v>
          </cell>
        </row>
        <row r="19126">
          <cell r="G19126" t="str">
            <v>ASV23711</v>
          </cell>
          <cell r="H19126" t="str">
            <v>g__norank_f__Oscillospiraceae</v>
          </cell>
          <cell r="I19126" t="str">
            <v>s__unclassified_g__norank_f__Oscillospiraceae</v>
          </cell>
        </row>
        <row r="19127">
          <cell r="G19127" t="str">
            <v>ASV9108</v>
          </cell>
          <cell r="H19127" t="str">
            <v>g__Desulfovibrio</v>
          </cell>
          <cell r="I19127" t="str">
            <v>s__unclassified_g__Desulfovibrio</v>
          </cell>
        </row>
        <row r="19128">
          <cell r="G19128" t="str">
            <v>ASV20306</v>
          </cell>
          <cell r="H19128" t="str">
            <v>g__Lactobacillus</v>
          </cell>
          <cell r="I19128" t="str">
            <v>s__unclassified_g__Lactobacillus</v>
          </cell>
        </row>
        <row r="19129">
          <cell r="G19129" t="str">
            <v>ASV2526</v>
          </cell>
          <cell r="H19129" t="str">
            <v>g__unclassified_c__Clostridia</v>
          </cell>
          <cell r="I19129" t="str">
            <v>s__unclassified_c__Clostridia</v>
          </cell>
        </row>
        <row r="19130">
          <cell r="G19130" t="str">
            <v>ASV1378</v>
          </cell>
          <cell r="H19130" t="str">
            <v>g__norank_f__norank_o__Clostridia_vadinBB60_group</v>
          </cell>
          <cell r="I19130" t="str">
            <v>s__uncultured_bacterium_g__norank_f__norank_o__Clostridia_vadinBB60_group</v>
          </cell>
        </row>
        <row r="19131">
          <cell r="G19131" t="str">
            <v>ASV23700</v>
          </cell>
          <cell r="H19131" t="str">
            <v>g__Peptococcus</v>
          </cell>
          <cell r="I19131" t="str">
            <v>s__unclassified_g__Peptococcus</v>
          </cell>
        </row>
        <row r="19132">
          <cell r="G19132" t="str">
            <v>ASV17434</v>
          </cell>
          <cell r="H19132" t="str">
            <v>g__unclassified_f__Oscillospiraceae</v>
          </cell>
          <cell r="I19132" t="str">
            <v>s__unclassified_f__Oscillospiraceae</v>
          </cell>
        </row>
        <row r="19133">
          <cell r="G19133" t="str">
            <v>ASV16135</v>
          </cell>
          <cell r="H19133" t="str">
            <v>g__Prevotella</v>
          </cell>
          <cell r="I19133" t="str">
            <v>s__unclassified_g__Prevotella</v>
          </cell>
        </row>
        <row r="19134">
          <cell r="G19134" t="str">
            <v>ASV1750</v>
          </cell>
          <cell r="H19134" t="str">
            <v>g__Treponema</v>
          </cell>
          <cell r="I19134" t="str">
            <v>s__uncultured_bacterium_g__Treponema</v>
          </cell>
        </row>
        <row r="19135">
          <cell r="G19135" t="str">
            <v>ASV1346</v>
          </cell>
          <cell r="H19135" t="str">
            <v>g__unclassified_c__Clostridia</v>
          </cell>
          <cell r="I19135" t="str">
            <v>s__unclassified_c__Clostridia</v>
          </cell>
        </row>
        <row r="19136">
          <cell r="G19136" t="str">
            <v>ASV5202</v>
          </cell>
          <cell r="H19136" t="str">
            <v>g__unclassified_o__Oscillospirales</v>
          </cell>
          <cell r="I19136" t="str">
            <v>s__unclassified_o__Oscillospirales</v>
          </cell>
        </row>
        <row r="19137">
          <cell r="G19137" t="str">
            <v>ASV13602</v>
          </cell>
          <cell r="H19137" t="str">
            <v>g__Eubacterium</v>
          </cell>
          <cell r="I19137" t="str">
            <v>s__unclassified_g__Eubacterium</v>
          </cell>
        </row>
        <row r="19138">
          <cell r="G19138" t="str">
            <v>ASV16639</v>
          </cell>
          <cell r="H19138" t="str">
            <v>g__unclassified_c__Clostridia</v>
          </cell>
          <cell r="I19138" t="str">
            <v>s__unclassified_c__Clostridia</v>
          </cell>
        </row>
        <row r="19139">
          <cell r="G19139" t="str">
            <v>ASV14909</v>
          </cell>
          <cell r="H19139" t="str">
            <v>g__Lachnospiraceae_NC2004_group</v>
          </cell>
          <cell r="I19139" t="str">
            <v>s__unclassified_g__Lachnospiraceae_NC2004_group</v>
          </cell>
        </row>
        <row r="19140">
          <cell r="G19140" t="str">
            <v>ASV13004</v>
          </cell>
          <cell r="H19140" t="str">
            <v>g__unclassified_k__norank_d__Bacteria</v>
          </cell>
          <cell r="I19140" t="str">
            <v>s__unclassified_k__norank_d__Bacteria</v>
          </cell>
        </row>
        <row r="19141">
          <cell r="G19141" t="str">
            <v>ASV17255</v>
          </cell>
          <cell r="H19141" t="str">
            <v>g__unclassified_f__Peptostreptococcaceae</v>
          </cell>
          <cell r="I19141" t="str">
            <v>s__unclassified_f__Peptostreptococcaceae</v>
          </cell>
        </row>
        <row r="19142">
          <cell r="G19142" t="str">
            <v>ASV13597</v>
          </cell>
          <cell r="H19142" t="str">
            <v>g__unclassified_f__Lachnospiraceae</v>
          </cell>
          <cell r="I19142" t="str">
            <v>s__unclassified_f__Lachnospiraceae</v>
          </cell>
        </row>
        <row r="19143">
          <cell r="G19143" t="str">
            <v>ASV13130</v>
          </cell>
          <cell r="H19143" t="str">
            <v>g__Prevotellaceae_UCG-003</v>
          </cell>
          <cell r="I19143" t="str">
            <v>s__uncultured_bacterium_g__Prevotellaceae_UCG-003</v>
          </cell>
        </row>
        <row r="19144">
          <cell r="G19144" t="str">
            <v>ASV16576</v>
          </cell>
          <cell r="H19144" t="str">
            <v>g__unclassified_k__norank_d__Bacteria</v>
          </cell>
          <cell r="I19144" t="str">
            <v>s__unclassified_k__norank_d__Bacteria</v>
          </cell>
        </row>
        <row r="19145">
          <cell r="G19145" t="str">
            <v>ASV18734</v>
          </cell>
          <cell r="H19145" t="str">
            <v>g__Christensenellaceae_R-7_group</v>
          </cell>
          <cell r="I19145" t="str">
            <v>s__unclassified_g__Christensenellaceae_R-7_group</v>
          </cell>
        </row>
        <row r="19146">
          <cell r="G19146" t="str">
            <v>ASV10841</v>
          </cell>
          <cell r="H19146" t="str">
            <v>g__norank_f__Paludibacteraceae</v>
          </cell>
          <cell r="I19146" t="str">
            <v>s__uncultured_bacterium_g__norank_f__Paludibacteraceae</v>
          </cell>
        </row>
        <row r="19147">
          <cell r="G19147" t="str">
            <v>ASV6930</v>
          </cell>
          <cell r="H19147" t="str">
            <v>g__Bacteroides</v>
          </cell>
          <cell r="I19147" t="str">
            <v>s__unclassified_g__Bacteroides</v>
          </cell>
        </row>
        <row r="19148">
          <cell r="G19148" t="str">
            <v>ASV24360</v>
          </cell>
          <cell r="H19148" t="str">
            <v>g__unclassified_c__Clostridia</v>
          </cell>
          <cell r="I19148" t="str">
            <v>s__unclassified_c__Clostridia</v>
          </cell>
        </row>
        <row r="19149">
          <cell r="G19149" t="str">
            <v>ASV3338</v>
          </cell>
          <cell r="H19149" t="str">
            <v>g__unclassified_k__norank_d__Bacteria</v>
          </cell>
          <cell r="I19149" t="str">
            <v>s__unclassified_k__norank_d__Bacteria</v>
          </cell>
        </row>
        <row r="19150">
          <cell r="G19150" t="str">
            <v>ASV3311</v>
          </cell>
          <cell r="H19150" t="str">
            <v>g__unclassified_f__Lachnospiraceae</v>
          </cell>
          <cell r="I19150" t="str">
            <v>s__unclassified_f__Lachnospiraceae</v>
          </cell>
        </row>
        <row r="19151">
          <cell r="G19151" t="str">
            <v>ASV6968</v>
          </cell>
          <cell r="H19151" t="str">
            <v>g__unclassified_f__Lachnospiraceae</v>
          </cell>
          <cell r="I19151" t="str">
            <v>s__unclassified_f__Lachnospiraceae</v>
          </cell>
        </row>
        <row r="19152">
          <cell r="G19152" t="str">
            <v>ASV23866</v>
          </cell>
          <cell r="H19152" t="str">
            <v>g__Bacteroides</v>
          </cell>
          <cell r="I19152" t="str">
            <v>s__unclassified_g__Bacteroides</v>
          </cell>
        </row>
        <row r="19153">
          <cell r="G19153" t="str">
            <v>ASV22809</v>
          </cell>
          <cell r="H19153" t="str">
            <v>g__unclassified_c__Clostridia</v>
          </cell>
          <cell r="I19153" t="str">
            <v>s__unclassified_c__Clostridia</v>
          </cell>
        </row>
        <row r="19154">
          <cell r="G19154" t="str">
            <v>ASV22865</v>
          </cell>
          <cell r="H19154" t="str">
            <v>g__unclassified_p__Firmicutes</v>
          </cell>
          <cell r="I19154" t="str">
            <v>s__unclassified_p__Firmicutes</v>
          </cell>
        </row>
        <row r="19155">
          <cell r="G19155" t="str">
            <v>ASV21044</v>
          </cell>
          <cell r="H19155" t="str">
            <v>g__unclassified_c__Clostridia</v>
          </cell>
          <cell r="I19155" t="str">
            <v>s__unclassified_c__Clostridia</v>
          </cell>
        </row>
        <row r="19156">
          <cell r="G19156" t="str">
            <v>ASV3560</v>
          </cell>
          <cell r="H19156" t="str">
            <v>g__Pasteurella</v>
          </cell>
          <cell r="I19156" t="str">
            <v>s__Pasteurella_aerogenes</v>
          </cell>
        </row>
        <row r="19157">
          <cell r="G19157" t="str">
            <v>ASV23874</v>
          </cell>
          <cell r="H19157" t="str">
            <v>g__Escherichia-Shigella</v>
          </cell>
          <cell r="I19157" t="str">
            <v>s__unclassified_g__Escherichia-Shigella</v>
          </cell>
        </row>
        <row r="19158">
          <cell r="G19158" t="str">
            <v>ASV2418</v>
          </cell>
          <cell r="H19158" t="str">
            <v>g__Escherichia-Shigella</v>
          </cell>
          <cell r="I19158" t="str">
            <v>s__unclassified_g__Escherichia-Shigella</v>
          </cell>
        </row>
        <row r="19159">
          <cell r="G19159" t="str">
            <v>ASV10252</v>
          </cell>
          <cell r="H19159" t="str">
            <v>g__Lactobacillus</v>
          </cell>
          <cell r="I19159" t="str">
            <v>s__unclassified_g__Lactobacillus</v>
          </cell>
        </row>
        <row r="19160">
          <cell r="G19160" t="str">
            <v>ASV16641</v>
          </cell>
          <cell r="H19160" t="str">
            <v>g__norank_f__Ruminococcaceae</v>
          </cell>
          <cell r="I19160" t="str">
            <v>s__unclassified_g__norank_f__Ruminococcaceae</v>
          </cell>
        </row>
        <row r="19161">
          <cell r="G19161" t="str">
            <v>ASV12340</v>
          </cell>
          <cell r="H19161" t="str">
            <v>g__Phascolarctobacterium</v>
          </cell>
          <cell r="I19161" t="str">
            <v>s__uncultured_bacterium_g__Phascolarctobacterium</v>
          </cell>
        </row>
        <row r="19162">
          <cell r="G19162" t="str">
            <v>ASV12317</v>
          </cell>
          <cell r="H19162" t="str">
            <v>g__unclassified_c__Clostridia</v>
          </cell>
          <cell r="I19162" t="str">
            <v>s__unclassified_c__Clostridia</v>
          </cell>
        </row>
        <row r="19163">
          <cell r="G19163" t="str">
            <v>ASV5276</v>
          </cell>
          <cell r="H19163" t="str">
            <v>g__unclassified_c__Clostridia</v>
          </cell>
          <cell r="I19163" t="str">
            <v>s__unclassified_c__Clostridia</v>
          </cell>
        </row>
        <row r="19164">
          <cell r="G19164" t="str">
            <v>ASV5198</v>
          </cell>
          <cell r="H19164" t="str">
            <v>g__unclassified_p__Firmicutes</v>
          </cell>
          <cell r="I19164" t="str">
            <v>s__unclassified_p__Firmicutes</v>
          </cell>
        </row>
        <row r="19165">
          <cell r="G19165" t="str">
            <v>ASV5265</v>
          </cell>
          <cell r="H19165" t="str">
            <v>g__unclassified_c__Clostridia</v>
          </cell>
          <cell r="I19165" t="str">
            <v>s__unclassified_c__Clostridia</v>
          </cell>
        </row>
        <row r="19166">
          <cell r="G19166" t="str">
            <v>ASV20311</v>
          </cell>
          <cell r="H19166" t="str">
            <v>g__unclassified_c__Clostridia</v>
          </cell>
          <cell r="I19166" t="str">
            <v>s__unclassified_c__Clostridia</v>
          </cell>
        </row>
        <row r="19167">
          <cell r="G19167" t="str">
            <v>ASV18299</v>
          </cell>
          <cell r="H19167" t="str">
            <v>g__unclassified_f__Lachnospiraceae</v>
          </cell>
          <cell r="I19167" t="str">
            <v>s__unclassified_f__Lachnospiraceae</v>
          </cell>
        </row>
        <row r="19168">
          <cell r="G19168" t="str">
            <v>ASV16656</v>
          </cell>
          <cell r="H19168" t="str">
            <v>g__unclassified_c__Clostridia</v>
          </cell>
          <cell r="I19168" t="str">
            <v>s__unclassified_c__Clostridia</v>
          </cell>
        </row>
        <row r="19169">
          <cell r="G19169" t="str">
            <v>ASV12082</v>
          </cell>
          <cell r="H19169" t="str">
            <v>g__unclassified_p__Firmicutes</v>
          </cell>
          <cell r="I19169" t="str">
            <v>s__unclassified_p__Firmicutes</v>
          </cell>
        </row>
        <row r="19170">
          <cell r="G19170" t="str">
            <v>ASV18378</v>
          </cell>
          <cell r="H19170" t="str">
            <v>g__unclassified_f__Ruminococcaceae</v>
          </cell>
          <cell r="I19170" t="str">
            <v>s__unclassified_f__Ruminococcaceae</v>
          </cell>
        </row>
        <row r="19171">
          <cell r="G19171" t="str">
            <v>ASV17529</v>
          </cell>
          <cell r="H19171" t="str">
            <v>g__Escherichia-Shigella</v>
          </cell>
          <cell r="I19171" t="str">
            <v>s__unclassified_g__Escherichia-Shigella</v>
          </cell>
        </row>
        <row r="19172">
          <cell r="G19172" t="str">
            <v>ASV18738</v>
          </cell>
          <cell r="H19172" t="str">
            <v>g__Lactobacillus</v>
          </cell>
          <cell r="I19172" t="str">
            <v>s__unclassified_g__Lactobacillus</v>
          </cell>
        </row>
        <row r="19173">
          <cell r="G19173" t="str">
            <v>ASV17438</v>
          </cell>
          <cell r="H19173" t="str">
            <v>g__Moraxella</v>
          </cell>
          <cell r="I19173" t="str">
            <v>s__unclassified_g__Moraxella</v>
          </cell>
        </row>
        <row r="19174">
          <cell r="G19174" t="str">
            <v>ASV12171</v>
          </cell>
          <cell r="H19174" t="str">
            <v>g__unclassified_c__Clostridia</v>
          </cell>
          <cell r="I19174" t="str">
            <v>s__unclassified_c__Clostridia</v>
          </cell>
        </row>
        <row r="19175">
          <cell r="G19175" t="str">
            <v>ASV3542</v>
          </cell>
          <cell r="H19175" t="str">
            <v>g__Bacillus</v>
          </cell>
          <cell r="I19175" t="str">
            <v>s__Lactobacillus_vaginalis_g__Bacillus</v>
          </cell>
        </row>
        <row r="19176">
          <cell r="G19176" t="str">
            <v>ASV22601</v>
          </cell>
          <cell r="H19176" t="str">
            <v>g__unclassified_p__Firmicutes</v>
          </cell>
          <cell r="I19176" t="str">
            <v>s__unclassified_p__Firmicutes</v>
          </cell>
        </row>
        <row r="19177">
          <cell r="G19177" t="str">
            <v>ASV19022</v>
          </cell>
          <cell r="H19177" t="str">
            <v>g__unclassified_f__Lachnospiraceae</v>
          </cell>
          <cell r="I19177" t="str">
            <v>s__unclassified_f__Lachnospiraceae</v>
          </cell>
        </row>
        <row r="19178">
          <cell r="G19178" t="str">
            <v>ASV21323</v>
          </cell>
          <cell r="H19178" t="str">
            <v>g__unclassified_f__Lachnospiraceae</v>
          </cell>
          <cell r="I19178" t="str">
            <v>s__unclassified_f__Lachnospiraceae</v>
          </cell>
        </row>
        <row r="19179">
          <cell r="G19179" t="str">
            <v>ASV17156</v>
          </cell>
          <cell r="H19179" t="str">
            <v>g__Blastococcus</v>
          </cell>
          <cell r="I19179" t="str">
            <v>s__unclassified_g__Blastococcus</v>
          </cell>
        </row>
        <row r="19180">
          <cell r="G19180" t="str">
            <v>ASV13625</v>
          </cell>
          <cell r="H19180" t="str">
            <v>g__norank_f__Peptostreptococcaceae</v>
          </cell>
          <cell r="I19180" t="str">
            <v>s__unclassified_g__norank_f__Peptostreptococcaceae</v>
          </cell>
        </row>
        <row r="19181">
          <cell r="G19181" t="str">
            <v>ASV18359</v>
          </cell>
          <cell r="H19181" t="str">
            <v>g__unclassified_c__Clostridia</v>
          </cell>
          <cell r="I19181" t="str">
            <v>s__unclassified_c__Clostridia</v>
          </cell>
        </row>
        <row r="19182">
          <cell r="G19182" t="str">
            <v>ASV17057</v>
          </cell>
          <cell r="H19182" t="str">
            <v>g__unclassified_p__Firmicutes</v>
          </cell>
          <cell r="I19182" t="str">
            <v>s__unclassified_p__Firmicutes</v>
          </cell>
        </row>
        <row r="19183">
          <cell r="G19183" t="str">
            <v>ASV17558</v>
          </cell>
          <cell r="H19183" t="str">
            <v>g__unclassified_f__Lachnospiraceae</v>
          </cell>
          <cell r="I19183" t="str">
            <v>s__unclassified_f__Lachnospiraceae</v>
          </cell>
        </row>
        <row r="19184">
          <cell r="G19184" t="str">
            <v>ASV21011</v>
          </cell>
          <cell r="H19184" t="str">
            <v>g__Phascolarctobacterium</v>
          </cell>
          <cell r="I19184" t="str">
            <v>s__Ruminococcus_sp._N15.MGS-57_g__Phascolarctobacterium</v>
          </cell>
        </row>
        <row r="19185">
          <cell r="G19185" t="str">
            <v>ASV5211</v>
          </cell>
          <cell r="H19185" t="str">
            <v>g__Ruminococcus</v>
          </cell>
          <cell r="I19185" t="str">
            <v>s__uncultured_bacterium_g__Ruminococcus</v>
          </cell>
        </row>
        <row r="19186">
          <cell r="G19186" t="str">
            <v>ASV14588</v>
          </cell>
          <cell r="H19186" t="str">
            <v>g__norank_f__norank_o__RF39</v>
          </cell>
          <cell r="I19186" t="str">
            <v>s__uncultured_bacterium_g__norank_f__norank_o__RF39</v>
          </cell>
        </row>
        <row r="19187">
          <cell r="G19187" t="str">
            <v>ASV8222</v>
          </cell>
          <cell r="H19187" t="str">
            <v>g__unclassified_p__Firmicutes</v>
          </cell>
          <cell r="I19187" t="str">
            <v>s__unclassified_p__Firmicutes</v>
          </cell>
        </row>
        <row r="19188">
          <cell r="G19188" t="str">
            <v>ASV21103</v>
          </cell>
          <cell r="H19188" t="str">
            <v>g__Eubacterium_oxidoreducens_group</v>
          </cell>
          <cell r="I19188" t="str">
            <v>s__uncultured_bacterium_g__Eubacterium_oxidoreducens_group</v>
          </cell>
        </row>
        <row r="19189">
          <cell r="G19189" t="str">
            <v>ASV4244</v>
          </cell>
          <cell r="H19189" t="str">
            <v>g__unclassified_c__Clostridia</v>
          </cell>
          <cell r="I19189" t="str">
            <v>s__unclassified_c__Clostridia</v>
          </cell>
        </row>
        <row r="19190">
          <cell r="G19190" t="str">
            <v>ASV1374</v>
          </cell>
          <cell r="H19190" t="str">
            <v>g__unclassified_c__Clostridia</v>
          </cell>
          <cell r="I19190" t="str">
            <v>s__unclassified_c__Clostridia</v>
          </cell>
        </row>
        <row r="19191">
          <cell r="G19191" t="str">
            <v>ASV2530</v>
          </cell>
          <cell r="H19191" t="str">
            <v>g__Ruminococcus</v>
          </cell>
          <cell r="I19191" t="str">
            <v>s__uncultured_bacterium_g__Ruminococcus</v>
          </cell>
        </row>
        <row r="19192">
          <cell r="G19192" t="str">
            <v>ASV4284</v>
          </cell>
          <cell r="H19192" t="str">
            <v>g__unclassified_f__Lachnospiraceae</v>
          </cell>
          <cell r="I19192" t="str">
            <v>s__unclassified_f__Lachnospiraceae</v>
          </cell>
        </row>
        <row r="19193">
          <cell r="G19193" t="str">
            <v>ASV20959</v>
          </cell>
          <cell r="H19193" t="str">
            <v>g__unclassified_k__norank_d__Bacteria</v>
          </cell>
          <cell r="I19193" t="str">
            <v>s__unclassified_k__norank_d__Bacteria</v>
          </cell>
        </row>
        <row r="19194">
          <cell r="G19194" t="str">
            <v>ASV17097</v>
          </cell>
          <cell r="H19194" t="str">
            <v>g__unclassified_o__Oscillospirales</v>
          </cell>
          <cell r="I19194" t="str">
            <v>s__unclassified_o__Oscillospirales</v>
          </cell>
        </row>
        <row r="19195">
          <cell r="G19195" t="str">
            <v>ASV22818</v>
          </cell>
          <cell r="H19195" t="str">
            <v>g__norank_f__Muribaculaceae</v>
          </cell>
          <cell r="I19195" t="str">
            <v>s__uncultured_bacterium_g__norank_f__Muribaculaceae</v>
          </cell>
        </row>
        <row r="19196">
          <cell r="G19196" t="str">
            <v>ASV16087</v>
          </cell>
          <cell r="H19196" t="str">
            <v>g__Escherichia-Shigella</v>
          </cell>
          <cell r="I19196" t="str">
            <v>s__unclassified_g__Escherichia-Shigella</v>
          </cell>
        </row>
        <row r="19197">
          <cell r="G19197" t="str">
            <v>ASV23575</v>
          </cell>
          <cell r="H19197" t="str">
            <v>g__Lactobacillus</v>
          </cell>
          <cell r="I19197" t="str">
            <v>s__unclassified_g__Lactobacillus</v>
          </cell>
        </row>
        <row r="19198">
          <cell r="G19198" t="str">
            <v>ASV4246</v>
          </cell>
          <cell r="H19198" t="str">
            <v>g__unclassified_k__norank_d__Bacteria</v>
          </cell>
          <cell r="I19198" t="str">
            <v>s__unclassified_k__norank_d__Bacteria</v>
          </cell>
        </row>
        <row r="19199">
          <cell r="G19199" t="str">
            <v>ASV17236</v>
          </cell>
          <cell r="H19199" t="str">
            <v>g__unclassified_p__Firmicutes</v>
          </cell>
          <cell r="I19199" t="str">
            <v>s__unclassified_p__Firmicutes</v>
          </cell>
        </row>
        <row r="19200">
          <cell r="G19200" t="str">
            <v>ASV15666</v>
          </cell>
          <cell r="H19200" t="str">
            <v>g__unclassified_k__norank_d__Bacteria</v>
          </cell>
          <cell r="I19200" t="str">
            <v>s__unclassified_k__norank_d__Bacteria</v>
          </cell>
        </row>
        <row r="19201">
          <cell r="G19201" t="str">
            <v>ASV15857</v>
          </cell>
          <cell r="H19201" t="str">
            <v>g__Bacteroides</v>
          </cell>
          <cell r="I19201" t="str">
            <v>s__unclassified_g__Bacteroides</v>
          </cell>
        </row>
        <row r="19202">
          <cell r="G19202" t="str">
            <v>ASV12045</v>
          </cell>
          <cell r="H19202" t="str">
            <v>g__unclassified_o__Bacteroidales</v>
          </cell>
          <cell r="I19202" t="str">
            <v>s__unclassified_o__Bacteroidales</v>
          </cell>
        </row>
        <row r="19203">
          <cell r="G19203" t="str">
            <v>ASV8340</v>
          </cell>
          <cell r="H19203" t="str">
            <v>g__Lactobacillus</v>
          </cell>
          <cell r="I19203" t="str">
            <v>s__unclassified_g__Lactobacillus</v>
          </cell>
        </row>
        <row r="19204">
          <cell r="G19204" t="str">
            <v>ASV10927</v>
          </cell>
          <cell r="H19204" t="str">
            <v>g__unclassified_c__Clostridia</v>
          </cell>
          <cell r="I19204" t="str">
            <v>s__unclassified_c__Clostridia</v>
          </cell>
        </row>
        <row r="19205">
          <cell r="G19205" t="str">
            <v>ASV19880</v>
          </cell>
          <cell r="H19205" t="str">
            <v>g__Rikenellaceae_RC9_gut_group</v>
          </cell>
          <cell r="I19205" t="str">
            <v>s__uncultured_bacterium_g__Rikenellaceae_RC9_gut_group</v>
          </cell>
        </row>
        <row r="19206">
          <cell r="G19206" t="str">
            <v>ASV14652</v>
          </cell>
          <cell r="H19206" t="str">
            <v>g__unclassified_c__Clostridia</v>
          </cell>
          <cell r="I19206" t="str">
            <v>s__unclassified_c__Clostridia</v>
          </cell>
        </row>
        <row r="19207">
          <cell r="G19207" t="str">
            <v>ASV12386</v>
          </cell>
          <cell r="H19207" t="str">
            <v>g__unclassified_c__Clostridia</v>
          </cell>
          <cell r="I19207" t="str">
            <v>s__unclassified_c__Clostridia</v>
          </cell>
        </row>
        <row r="19208">
          <cell r="G19208" t="str">
            <v>ASV17029</v>
          </cell>
          <cell r="H19208" t="str">
            <v>g__unclassified_c__Clostridia</v>
          </cell>
          <cell r="I19208" t="str">
            <v>s__unclassified_c__Clostridia</v>
          </cell>
        </row>
        <row r="19209">
          <cell r="G19209" t="str">
            <v>ASV19015</v>
          </cell>
          <cell r="H19209" t="str">
            <v>g__unclassified_f__Lachnospiraceae</v>
          </cell>
          <cell r="I19209" t="str">
            <v>s__unclassified_f__Lachnospiraceae</v>
          </cell>
        </row>
        <row r="19210">
          <cell r="G19210" t="str">
            <v>ASV23657</v>
          </cell>
          <cell r="H19210" t="str">
            <v>g__unclassified_f__Ruminococcaceae</v>
          </cell>
          <cell r="I19210" t="str">
            <v>s__unclassified_f__Ruminococcaceae</v>
          </cell>
        </row>
        <row r="19211">
          <cell r="G19211" t="str">
            <v>ASV3308</v>
          </cell>
          <cell r="H19211" t="str">
            <v>g__Eubacterium_oxidoreducens_group</v>
          </cell>
          <cell r="I19211" t="str">
            <v>s__uncultured_bacterium_g__Eubacterium_oxidoreducens_group</v>
          </cell>
        </row>
        <row r="19212">
          <cell r="G19212" t="str">
            <v>ASV20155</v>
          </cell>
          <cell r="H19212" t="str">
            <v>g__norank_f__UCG-010</v>
          </cell>
          <cell r="I19212" t="str">
            <v>s__uncultured_bacterium_g__norank_f__UCG-010</v>
          </cell>
        </row>
        <row r="19213">
          <cell r="G19213" t="str">
            <v>ASV14734</v>
          </cell>
          <cell r="H19213" t="str">
            <v>g__Prevotella</v>
          </cell>
          <cell r="I19213" t="str">
            <v>s__unclassified_g__Prevotella</v>
          </cell>
        </row>
        <row r="19214">
          <cell r="G19214" t="str">
            <v>ASV11020</v>
          </cell>
          <cell r="H19214" t="str">
            <v>g__unclassified_f__Lachnospiraceae</v>
          </cell>
          <cell r="I19214" t="str">
            <v>s__unclassified_f__Lachnospiraceae</v>
          </cell>
        </row>
        <row r="19215">
          <cell r="G19215" t="str">
            <v>ASV13117</v>
          </cell>
          <cell r="H19215" t="str">
            <v>g__unclassified_c__Clostridia</v>
          </cell>
          <cell r="I19215" t="str">
            <v>s__unclassified_c__Clostridia</v>
          </cell>
        </row>
        <row r="19216">
          <cell r="G19216" t="str">
            <v>ASV7121</v>
          </cell>
          <cell r="H19216" t="str">
            <v>g__Lactobacillus</v>
          </cell>
          <cell r="I19216" t="str">
            <v>s__unclassified_g__Lactobacillus</v>
          </cell>
        </row>
        <row r="19217">
          <cell r="G19217" t="str">
            <v>ASV16583</v>
          </cell>
          <cell r="H19217" t="str">
            <v>g__unclassified_k__norank_d__Bacteria</v>
          </cell>
          <cell r="I19217" t="str">
            <v>s__unclassified_k__norank_d__Bacteria</v>
          </cell>
        </row>
        <row r="19218">
          <cell r="G19218" t="str">
            <v>ASV13084</v>
          </cell>
          <cell r="H19218" t="str">
            <v>g__unclassified_k__norank_d__Bacteria</v>
          </cell>
          <cell r="I19218" t="str">
            <v>s__unclassified_k__norank_d__Bacteria</v>
          </cell>
        </row>
        <row r="19219">
          <cell r="G19219" t="str">
            <v>ASV14776</v>
          </cell>
          <cell r="H19219" t="str">
            <v>g__Lactobacillus</v>
          </cell>
          <cell r="I19219" t="str">
            <v>s__unclassified_g__Lactobacillus</v>
          </cell>
        </row>
        <row r="19220">
          <cell r="G19220" t="str">
            <v>ASV14825</v>
          </cell>
          <cell r="H19220" t="str">
            <v>g__unclassified_f__Oscillospiraceae</v>
          </cell>
          <cell r="I19220" t="str">
            <v>s__unclassified_f__Oscillospiraceae</v>
          </cell>
        </row>
        <row r="19221">
          <cell r="G19221" t="str">
            <v>ASV21069</v>
          </cell>
          <cell r="H19221" t="str">
            <v>g__unclassified_f__Peptostreptococcaceae</v>
          </cell>
          <cell r="I19221" t="str">
            <v>s__unclassified_f__Peptostreptococcaceae</v>
          </cell>
        </row>
        <row r="19222">
          <cell r="G19222" t="str">
            <v>ASV21087</v>
          </cell>
          <cell r="H19222" t="str">
            <v>g__unclassified_f__Peptostreptococcaceae</v>
          </cell>
          <cell r="I19222" t="str">
            <v>s__unclassified_f__Peptostreptococcaceae</v>
          </cell>
        </row>
        <row r="19223">
          <cell r="G19223" t="str">
            <v>ASV14883</v>
          </cell>
          <cell r="H19223" t="str">
            <v>g__unclassified_o__Bacteroidales</v>
          </cell>
          <cell r="I19223" t="str">
            <v>s__unclassified_o__Bacteroidales</v>
          </cell>
        </row>
        <row r="19224">
          <cell r="G19224" t="str">
            <v>ASV17531</v>
          </cell>
          <cell r="H19224" t="str">
            <v>g__unclassified_c__Bacilli</v>
          </cell>
          <cell r="I19224" t="str">
            <v>s__unclassified_c__Bacilli</v>
          </cell>
        </row>
        <row r="19225">
          <cell r="G19225" t="str">
            <v>ASV10345</v>
          </cell>
          <cell r="H19225" t="str">
            <v>g__unclassified_o__Oscillospirales</v>
          </cell>
          <cell r="I19225" t="str">
            <v>s__unclassified_o__Oscillospirales</v>
          </cell>
        </row>
        <row r="19226">
          <cell r="G19226" t="str">
            <v>ASV12113</v>
          </cell>
          <cell r="H19226" t="str">
            <v>g__Rikenellaceae_RC9_gut_group</v>
          </cell>
          <cell r="I19226" t="str">
            <v>s__wallaby_gut_metagenome_g__Rikenellaceae_RC9_gut_group</v>
          </cell>
        </row>
        <row r="19227">
          <cell r="G19227" t="str">
            <v>ASV14902</v>
          </cell>
          <cell r="H19227" t="str">
            <v>g__unclassified_f__Lachnospiraceae</v>
          </cell>
          <cell r="I19227" t="str">
            <v>s__unclassified_f__Lachnospiraceae</v>
          </cell>
        </row>
        <row r="19228">
          <cell r="G19228" t="str">
            <v>ASV5133</v>
          </cell>
          <cell r="H19228" t="str">
            <v>g__Prevotella</v>
          </cell>
          <cell r="I19228" t="str">
            <v>s__uncultured_bacterium_g__Prevotella</v>
          </cell>
        </row>
        <row r="19229">
          <cell r="G19229" t="str">
            <v>ASV23872</v>
          </cell>
          <cell r="H19229" t="str">
            <v>g__unclassified_p__Firmicutes</v>
          </cell>
          <cell r="I19229" t="str">
            <v>s__unclassified_p__Firmicutes</v>
          </cell>
        </row>
        <row r="19230">
          <cell r="G19230" t="str">
            <v>ASV9123</v>
          </cell>
          <cell r="H19230" t="str">
            <v>g__Lactobacillus</v>
          </cell>
          <cell r="I19230" t="str">
            <v>s__unclassified_g__Lactobacillus</v>
          </cell>
        </row>
        <row r="19231">
          <cell r="G19231" t="str">
            <v>ASV12216</v>
          </cell>
          <cell r="H19231" t="str">
            <v>g__norank_f__Eubacterium_coprostanoligenes_group</v>
          </cell>
          <cell r="I19231" t="str">
            <v>s__uncultured_bacterium_g__norank_f__Eubacterium_coprostanoligenes_group</v>
          </cell>
        </row>
        <row r="19232">
          <cell r="G19232" t="str">
            <v>ASV22605</v>
          </cell>
          <cell r="H19232" t="str">
            <v>g__unclassified_c__Clostridia</v>
          </cell>
          <cell r="I19232" t="str">
            <v>s__unclassified_c__Clostridia</v>
          </cell>
        </row>
        <row r="19233">
          <cell r="G19233" t="str">
            <v>ASV14678</v>
          </cell>
          <cell r="H19233" t="str">
            <v>g__unclassified_c__Clostridia</v>
          </cell>
          <cell r="I19233" t="str">
            <v>s__unclassified_c__Clostridia</v>
          </cell>
        </row>
        <row r="19234">
          <cell r="G19234" t="str">
            <v>ASV12068</v>
          </cell>
          <cell r="H19234" t="str">
            <v>g__norank_f__Muribaculaceae</v>
          </cell>
          <cell r="I19234" t="str">
            <v>s__uncultured_bacterium_g__norank_f__Muribaculaceae</v>
          </cell>
        </row>
        <row r="19235">
          <cell r="G19235" t="str">
            <v>ASV2551</v>
          </cell>
          <cell r="H19235" t="str">
            <v>g__unclassified_c__Clostridia</v>
          </cell>
          <cell r="I19235" t="str">
            <v>s__unclassified_c__Clostridia</v>
          </cell>
        </row>
        <row r="19236">
          <cell r="G19236" t="str">
            <v>ASV22673</v>
          </cell>
          <cell r="H19236" t="str">
            <v>g__Acetitomaculum</v>
          </cell>
          <cell r="I19236" t="str">
            <v>s__uncultured_bacterium_g__Acetitomaculum</v>
          </cell>
        </row>
        <row r="19237">
          <cell r="G19237" t="str">
            <v>ASV22540</v>
          </cell>
          <cell r="H19237" t="str">
            <v>g__unclassified_c__Clostridia</v>
          </cell>
          <cell r="I19237" t="str">
            <v>s__unclassified_c__Clostridia</v>
          </cell>
        </row>
        <row r="19238">
          <cell r="G19238" t="str">
            <v>ASV5203</v>
          </cell>
          <cell r="H19238" t="str">
            <v>g__unclassified_f__Peptostreptococcaceae</v>
          </cell>
          <cell r="I19238" t="str">
            <v>s__unclassified_f__Peptostreptococcaceae</v>
          </cell>
        </row>
        <row r="19239">
          <cell r="G19239" t="str">
            <v>ASV22940</v>
          </cell>
          <cell r="H19239" t="str">
            <v>g__Bacillus</v>
          </cell>
          <cell r="I19239" t="str">
            <v>s__unclassified_g__Bacillus</v>
          </cell>
        </row>
        <row r="19240">
          <cell r="G19240" t="str">
            <v>ASV23580</v>
          </cell>
          <cell r="H19240" t="str">
            <v>g__unclassified_p__Firmicutes</v>
          </cell>
          <cell r="I19240" t="str">
            <v>s__unclassified_p__Firmicutes</v>
          </cell>
        </row>
        <row r="19241">
          <cell r="G19241" t="str">
            <v>ASV22696</v>
          </cell>
          <cell r="H19241" t="str">
            <v>g__unclassified_f__Lachnospiraceae</v>
          </cell>
          <cell r="I19241" t="str">
            <v>s__unclassified_f__Lachnospiraceae</v>
          </cell>
        </row>
        <row r="19242">
          <cell r="G19242" t="str">
            <v>ASV24338</v>
          </cell>
          <cell r="H19242" t="str">
            <v>g__norank_f__Erysipelotrichaceae</v>
          </cell>
          <cell r="I19242" t="str">
            <v>s__uncultured_bacterium_g__norank_f__Erysipelotrichaceae</v>
          </cell>
        </row>
        <row r="19243">
          <cell r="G19243" t="str">
            <v>ASV12480</v>
          </cell>
          <cell r="H19243" t="str">
            <v>g__unclassified_c__Clostridia</v>
          </cell>
          <cell r="I19243" t="str">
            <v>s__unclassified_c__Clostridia</v>
          </cell>
        </row>
        <row r="19244">
          <cell r="G19244" t="str">
            <v>ASV19969</v>
          </cell>
          <cell r="H19244" t="str">
            <v>g__norank_f__norank_o__Gastranaerophilales</v>
          </cell>
          <cell r="I19244" t="str">
            <v>s__uncultured_bacterium_g__norank_f__norank_o__Gastranaerophilales</v>
          </cell>
        </row>
        <row r="19245">
          <cell r="G19245" t="str">
            <v>ASV2565</v>
          </cell>
          <cell r="H19245" t="str">
            <v>g__Christensenellaceae_R-7_group</v>
          </cell>
          <cell r="I19245" t="str">
            <v>s__uncultured_spirochete_g__Christensenellaceae_R-7_group</v>
          </cell>
        </row>
        <row r="19246">
          <cell r="G19246" t="str">
            <v>ASV1247</v>
          </cell>
          <cell r="H19246" t="str">
            <v>g__unclassified_c__Clostridia</v>
          </cell>
          <cell r="I19246" t="str">
            <v>s__unclassified_c__Clostridia</v>
          </cell>
        </row>
        <row r="19247">
          <cell r="G19247" t="str">
            <v>ASV13574</v>
          </cell>
          <cell r="H19247" t="str">
            <v>g__Peptostreptococcus</v>
          </cell>
          <cell r="I19247" t="str">
            <v>s__unclassified_g__Peptostreptococcus</v>
          </cell>
        </row>
        <row r="19248">
          <cell r="G19248" t="str">
            <v>ASV1807</v>
          </cell>
          <cell r="H19248" t="str">
            <v>g__unclassified_f__Pasteurellaceae</v>
          </cell>
          <cell r="I19248" t="str">
            <v>s__unclassified_f__Pasteurellaceae</v>
          </cell>
        </row>
        <row r="19249">
          <cell r="G19249" t="str">
            <v>ASV8226</v>
          </cell>
          <cell r="H19249" t="str">
            <v>g__unclassified_f__Lachnospiraceae</v>
          </cell>
          <cell r="I19249" t="str">
            <v>s__unclassified_f__Lachnospiraceae</v>
          </cell>
        </row>
        <row r="19250">
          <cell r="G19250" t="str">
            <v>ASV12287</v>
          </cell>
          <cell r="H19250" t="str">
            <v>g__unclassified_f__Ruminococcaceae</v>
          </cell>
          <cell r="I19250" t="str">
            <v>s__unclassified_f__Ruminococcaceae</v>
          </cell>
        </row>
        <row r="19251">
          <cell r="G19251" t="str">
            <v>ASV24019</v>
          </cell>
          <cell r="H19251" t="str">
            <v>g__unclassified_f__Lachnospiraceae</v>
          </cell>
          <cell r="I19251" t="str">
            <v>s__unclassified_f__Lachnospiraceae</v>
          </cell>
        </row>
        <row r="19252">
          <cell r="G19252" t="str">
            <v>ASV23637</v>
          </cell>
          <cell r="H19252" t="str">
            <v>g__unclassified_c__Clostridia</v>
          </cell>
          <cell r="I19252" t="str">
            <v>s__unclassified_c__Clostridia</v>
          </cell>
        </row>
        <row r="19253">
          <cell r="G19253" t="str">
            <v>ASV2798</v>
          </cell>
          <cell r="H19253" t="str">
            <v>g__Staphylococcus</v>
          </cell>
          <cell r="I19253" t="str">
            <v>s__unclassified_g__Staphylococcus</v>
          </cell>
        </row>
        <row r="19254">
          <cell r="G19254" t="str">
            <v>ASV6475</v>
          </cell>
          <cell r="H19254" t="str">
            <v>g__unclassified_f__Lachnospiraceae</v>
          </cell>
          <cell r="I19254" t="str">
            <v>s__unclassified_f__Lachnospiraceae</v>
          </cell>
        </row>
        <row r="19255">
          <cell r="G19255" t="str">
            <v>ASV1243</v>
          </cell>
          <cell r="H19255" t="str">
            <v>g__norank_f__Muribaculaceae</v>
          </cell>
          <cell r="I19255" t="str">
            <v>s__uncultured_bacterium_g__norank_f__Muribaculaceae</v>
          </cell>
        </row>
        <row r="19256">
          <cell r="G19256" t="str">
            <v>ASV18960</v>
          </cell>
          <cell r="H19256" t="str">
            <v>g__unclassified_c__Clostridia</v>
          </cell>
          <cell r="I19256" t="str">
            <v>s__unclassified_c__Clostridia</v>
          </cell>
        </row>
        <row r="19257">
          <cell r="G19257" t="str">
            <v>ASV7996</v>
          </cell>
          <cell r="H19257" t="str">
            <v>g__norank_f__Muribaculaceae</v>
          </cell>
          <cell r="I19257" t="str">
            <v>s__uncultured_bacterium_g__norank_f__Muribaculaceae</v>
          </cell>
        </row>
        <row r="19258">
          <cell r="G19258" t="str">
            <v>ASV8172</v>
          </cell>
          <cell r="H19258" t="str">
            <v>g__unclassified_c__Clostridia</v>
          </cell>
          <cell r="I19258" t="str">
            <v>s__unclassified_c__Clostridia</v>
          </cell>
        </row>
        <row r="19259">
          <cell r="G19259" t="str">
            <v>ASV24017</v>
          </cell>
          <cell r="H19259" t="str">
            <v>g__Phascolarctobacterium</v>
          </cell>
          <cell r="I19259" t="str">
            <v>s__uncultured_bacterium_g__Phascolarctobacterium</v>
          </cell>
        </row>
        <row r="19260">
          <cell r="G19260" t="str">
            <v>ASV19173</v>
          </cell>
          <cell r="H19260" t="str">
            <v>g__Bacteroides</v>
          </cell>
          <cell r="I19260" t="str">
            <v>s__unclassified_g__Bacteroides</v>
          </cell>
        </row>
        <row r="19261">
          <cell r="G19261" t="str">
            <v>ASV3544</v>
          </cell>
          <cell r="H19261" t="str">
            <v>g__unclassified_c__Bacilli</v>
          </cell>
          <cell r="I19261" t="str">
            <v>s__unclassified_c__Bacilli</v>
          </cell>
        </row>
        <row r="19262">
          <cell r="G19262" t="str">
            <v>ASV6874</v>
          </cell>
          <cell r="H19262" t="str">
            <v>g__unclassified_p__Firmicutes</v>
          </cell>
          <cell r="I19262" t="str">
            <v>s__unclassified_p__Firmicutes</v>
          </cell>
        </row>
        <row r="19263">
          <cell r="G19263" t="str">
            <v>ASV18251</v>
          </cell>
          <cell r="H19263" t="str">
            <v>g__unclassified_k__norank_d__Bacteria</v>
          </cell>
          <cell r="I19263" t="str">
            <v>s__unclassified_k__norank_d__Bacteria</v>
          </cell>
        </row>
        <row r="19264">
          <cell r="G19264" t="str">
            <v>ASV18384</v>
          </cell>
          <cell r="H19264" t="str">
            <v>g__unclassified_f__Synergistaceae</v>
          </cell>
          <cell r="I19264" t="str">
            <v>s__unclassified_f__Synergistaceae</v>
          </cell>
        </row>
        <row r="19265">
          <cell r="G19265" t="str">
            <v>ASV12365</v>
          </cell>
          <cell r="H19265" t="str">
            <v>g__unclassified_f__Lachnospiraceae</v>
          </cell>
          <cell r="I19265" t="str">
            <v>s__unclassified_f__Lachnospiraceae</v>
          </cell>
        </row>
        <row r="19266">
          <cell r="G19266" t="str">
            <v>ASV17002</v>
          </cell>
          <cell r="H19266" t="str">
            <v>g__unclassified_f__Anaerovoracaceae</v>
          </cell>
          <cell r="I19266" t="str">
            <v>s__unclassified_f__Anaerovoracaceae</v>
          </cell>
        </row>
        <row r="19267">
          <cell r="G19267" t="str">
            <v>ASV21102</v>
          </cell>
          <cell r="H19267" t="str">
            <v>g__unclassified_f__Lachnospiraceae</v>
          </cell>
          <cell r="I19267" t="str">
            <v>s__unclassified_f__Lachnospiraceae</v>
          </cell>
        </row>
        <row r="19268">
          <cell r="G19268" t="str">
            <v>ASV19948</v>
          </cell>
          <cell r="H19268" t="str">
            <v>g__unclassified_f__Prevotellaceae</v>
          </cell>
          <cell r="I19268" t="str">
            <v>s__unclassified_f__Prevotellaceae</v>
          </cell>
        </row>
        <row r="19269">
          <cell r="G19269" t="str">
            <v>ASV24343</v>
          </cell>
          <cell r="H19269" t="str">
            <v>g__unclassified_f__Anaerovoracaceae</v>
          </cell>
          <cell r="I19269" t="str">
            <v>s__unclassified_f__Anaerovoracaceae</v>
          </cell>
        </row>
        <row r="19270">
          <cell r="G19270" t="str">
            <v>ASV15595</v>
          </cell>
          <cell r="H19270" t="str">
            <v>g__norank_f__Ruminococcaceae</v>
          </cell>
          <cell r="I19270" t="str">
            <v>s__uncultured_bacterium_g__norank_f__Ruminococcaceae</v>
          </cell>
        </row>
        <row r="19271">
          <cell r="G19271" t="str">
            <v>ASV12432</v>
          </cell>
          <cell r="H19271" t="str">
            <v>g__Turicibacter</v>
          </cell>
          <cell r="I19271" t="str">
            <v>s__unclassified_g__Turicibacter</v>
          </cell>
        </row>
        <row r="19272">
          <cell r="G19272" t="str">
            <v>ASV15843</v>
          </cell>
          <cell r="H19272" t="str">
            <v>g__unclassified_f__Veillonellaceae</v>
          </cell>
          <cell r="I19272" t="str">
            <v>s__unclassified_f__Veillonellaceae</v>
          </cell>
        </row>
        <row r="19273">
          <cell r="G19273" t="str">
            <v>ASV12299</v>
          </cell>
          <cell r="H19273" t="str">
            <v>g__norank_f__norank_o__WCHB1-41</v>
          </cell>
          <cell r="I19273" t="str">
            <v>s__uncultured_bacterium_g__norank_f__norank_o__WCHB1-41</v>
          </cell>
        </row>
        <row r="19274">
          <cell r="G19274" t="str">
            <v>ASV19945</v>
          </cell>
          <cell r="H19274" t="str">
            <v>g__unclassified_f__Ruminococcaceae</v>
          </cell>
          <cell r="I19274" t="str">
            <v>s__unclassified_f__Ruminococcaceae</v>
          </cell>
        </row>
        <row r="19275">
          <cell r="G19275" t="str">
            <v>ASV1432</v>
          </cell>
          <cell r="H19275" t="str">
            <v>g__norank_f__UCG-010</v>
          </cell>
          <cell r="I19275" t="str">
            <v>s__uncultured_bacterium_g__norank_f__UCG-010</v>
          </cell>
        </row>
        <row r="19276">
          <cell r="G19276" t="str">
            <v>ASV1350</v>
          </cell>
          <cell r="H19276" t="str">
            <v>g__unclassified_c__Clostridia</v>
          </cell>
          <cell r="I19276" t="str">
            <v>s__unclassified_c__Clostridia</v>
          </cell>
        </row>
        <row r="19277">
          <cell r="G19277" t="str">
            <v>ASV22822</v>
          </cell>
          <cell r="H19277" t="str">
            <v>g__unclassified_f__Lachnospiraceae</v>
          </cell>
          <cell r="I19277" t="str">
            <v>s__unclassified_f__Lachnospiraceae</v>
          </cell>
        </row>
        <row r="19278">
          <cell r="G19278" t="str">
            <v>ASV21657</v>
          </cell>
          <cell r="H19278" t="str">
            <v>g__unclassified_k__norank_d__Bacteria</v>
          </cell>
          <cell r="I19278" t="str">
            <v>s__unclassified_k__norank_d__Bacteria</v>
          </cell>
        </row>
        <row r="19279">
          <cell r="G19279" t="str">
            <v>ASV14826</v>
          </cell>
          <cell r="H19279" t="str">
            <v>g__norank_f__Christensenellaceae</v>
          </cell>
          <cell r="I19279" t="str">
            <v>s__unclassified_g__norank_f__Christensenellaceae</v>
          </cell>
        </row>
        <row r="19280">
          <cell r="G19280" t="str">
            <v>ASV18979</v>
          </cell>
          <cell r="H19280" t="str">
            <v>g__unclassified_f__Lachnospiraceae</v>
          </cell>
          <cell r="I19280" t="str">
            <v>s__unclassified_f__Lachnospiraceae</v>
          </cell>
        </row>
        <row r="19281">
          <cell r="G19281" t="str">
            <v>ASV7127</v>
          </cell>
          <cell r="H19281" t="str">
            <v>g__Collinsella</v>
          </cell>
          <cell r="I19281" t="str">
            <v>s__unclassified_g__Collinsella</v>
          </cell>
        </row>
        <row r="19282">
          <cell r="G19282" t="str">
            <v>ASV4373</v>
          </cell>
          <cell r="H19282" t="str">
            <v>g__Lactobacillus</v>
          </cell>
          <cell r="I19282" t="str">
            <v>s__unclassified_g__Lactobacillus</v>
          </cell>
        </row>
        <row r="19283">
          <cell r="G19283" t="str">
            <v>ASV15680</v>
          </cell>
          <cell r="H19283" t="str">
            <v>g__Eubacterium</v>
          </cell>
          <cell r="I19283" t="str">
            <v>s__unclassified_g__Eubacterium</v>
          </cell>
        </row>
        <row r="19284">
          <cell r="G19284" t="str">
            <v>ASV17561</v>
          </cell>
          <cell r="H19284" t="str">
            <v>g__Mogibacterium</v>
          </cell>
          <cell r="I19284" t="str">
            <v>s__uncultured_bacterium_g__Mogibacterium</v>
          </cell>
        </row>
        <row r="19285">
          <cell r="G19285" t="str">
            <v>ASV10233</v>
          </cell>
          <cell r="H19285" t="str">
            <v>g__Escherichia-Shigella</v>
          </cell>
          <cell r="I19285" t="str">
            <v>s__unclassified_g__Escherichia-Shigella</v>
          </cell>
        </row>
        <row r="19286">
          <cell r="G19286" t="str">
            <v>ASV18313</v>
          </cell>
          <cell r="H19286" t="str">
            <v>g__Lachnospiraceae_UCG-004</v>
          </cell>
          <cell r="I19286" t="str">
            <v>s__uncultured_bacterium_g__Lachnospiraceae_UCG-004</v>
          </cell>
        </row>
        <row r="19287">
          <cell r="G19287" t="str">
            <v>ASV12204</v>
          </cell>
          <cell r="H19287" t="str">
            <v>g__Eubacterium_oxidoreducens_group</v>
          </cell>
          <cell r="I19287" t="str">
            <v>s__uncultured_bacterium_g__Eubacterium_oxidoreducens_group</v>
          </cell>
        </row>
        <row r="19288">
          <cell r="G19288" t="str">
            <v>ASV24009</v>
          </cell>
          <cell r="H19288" t="str">
            <v>g__Stenotrophomonas</v>
          </cell>
          <cell r="I19288" t="str">
            <v>s__unclassified_g__Stenotrophomonas</v>
          </cell>
        </row>
        <row r="19289">
          <cell r="G19289" t="str">
            <v>ASV6238</v>
          </cell>
          <cell r="H19289" t="str">
            <v>g__unclassified_k__norank_d__Bacteria</v>
          </cell>
          <cell r="I19289" t="str">
            <v>s__unclassified_k__norank_d__Bacteria</v>
          </cell>
        </row>
        <row r="19290">
          <cell r="G19290" t="str">
            <v>ASV13740</v>
          </cell>
          <cell r="H19290" t="str">
            <v>g__Eubacterium_nodatum_group</v>
          </cell>
          <cell r="I19290" t="str">
            <v>s__Eubacterium_sp._68-3-10</v>
          </cell>
        </row>
        <row r="19291">
          <cell r="G19291" t="str">
            <v>ASV5228</v>
          </cell>
          <cell r="H19291" t="str">
            <v>g__unclassified_f__Ruminococcaceae</v>
          </cell>
          <cell r="I19291" t="str">
            <v>s__unclassified_f__Ruminococcaceae</v>
          </cell>
        </row>
        <row r="19292">
          <cell r="G19292" t="str">
            <v>ASV22523</v>
          </cell>
          <cell r="H19292" t="str">
            <v>g__Faecalicoccus</v>
          </cell>
          <cell r="I19292" t="str">
            <v>s__unclassified_g__Faecalicoccus</v>
          </cell>
        </row>
        <row r="19293">
          <cell r="G19293" t="str">
            <v>ASV12117</v>
          </cell>
          <cell r="H19293" t="str">
            <v>g__unclassified_c__Clostridia</v>
          </cell>
          <cell r="I19293" t="str">
            <v>s__unclassified_c__Clostridia</v>
          </cell>
        </row>
        <row r="19294">
          <cell r="G19294" t="str">
            <v>ASV20180</v>
          </cell>
          <cell r="H19294" t="str">
            <v>g__Megasphaera</v>
          </cell>
          <cell r="I19294" t="str">
            <v>s__unclassified_g__Megasphaera</v>
          </cell>
        </row>
        <row r="19295">
          <cell r="G19295" t="str">
            <v>ASV22519</v>
          </cell>
          <cell r="H19295" t="str">
            <v>g__unclassified_f__Lachnospiraceae</v>
          </cell>
          <cell r="I19295" t="str">
            <v>s__unclassified_f__Lachnospiraceae</v>
          </cell>
        </row>
        <row r="19296">
          <cell r="G19296" t="str">
            <v>ASV8740</v>
          </cell>
          <cell r="H19296" t="str">
            <v>g__Clostridium_sensu_stricto_1</v>
          </cell>
          <cell r="I19296" t="str">
            <v>s__unclassified_g__Clostridium_sensu_stricto_1</v>
          </cell>
        </row>
        <row r="19297">
          <cell r="G19297" t="str">
            <v>ASV16191</v>
          </cell>
          <cell r="H19297" t="str">
            <v>g__Lactobacillus</v>
          </cell>
          <cell r="I19297" t="str">
            <v>s__Lactobacillus_sp._oral_clone_HT002</v>
          </cell>
        </row>
        <row r="19298">
          <cell r="G19298" t="str">
            <v>ASV9080</v>
          </cell>
          <cell r="H19298" t="str">
            <v>g__unclassified_f__Lachnospiraceae</v>
          </cell>
          <cell r="I19298" t="str">
            <v>s__unclassified_f__Lachnospiraceae</v>
          </cell>
        </row>
        <row r="19299">
          <cell r="G19299" t="str">
            <v>ASV10333</v>
          </cell>
          <cell r="H19299" t="str">
            <v>g__Microbacterium</v>
          </cell>
          <cell r="I19299" t="str">
            <v>s__unclassified_g__Microbacterium</v>
          </cell>
        </row>
        <row r="19300">
          <cell r="G19300" t="str">
            <v>ASV2951</v>
          </cell>
          <cell r="H19300" t="str">
            <v>g__Arcicella</v>
          </cell>
          <cell r="I19300" t="str">
            <v>s__unclassified_g__Arcicella</v>
          </cell>
        </row>
        <row r="19301">
          <cell r="G19301" t="str">
            <v>ASV22608</v>
          </cell>
          <cell r="H19301" t="str">
            <v>g__unclassified_f__Oscillospiraceae</v>
          </cell>
          <cell r="I19301" t="str">
            <v>s__unclassified_f__Oscillospiraceae</v>
          </cell>
        </row>
        <row r="19302">
          <cell r="G19302" t="str">
            <v>ASV5180</v>
          </cell>
          <cell r="H19302" t="str">
            <v>g__unclassified_c__Bacteroidia</v>
          </cell>
          <cell r="I19302" t="str">
            <v>s__unclassified_c__Bacteroidia</v>
          </cell>
        </row>
        <row r="19303">
          <cell r="G19303" t="str">
            <v>ASV1481</v>
          </cell>
          <cell r="H19303" t="str">
            <v>g__unclassified_c__Clostridia</v>
          </cell>
          <cell r="I19303" t="str">
            <v>s__unclassified_c__Clostridia</v>
          </cell>
        </row>
        <row r="19304">
          <cell r="G19304" t="str">
            <v>ASV12175</v>
          </cell>
          <cell r="H19304" t="str">
            <v>g__unclassified_o__Bacteroidales</v>
          </cell>
          <cell r="I19304" t="str">
            <v>s__unclassified_o__Bacteroidales</v>
          </cell>
        </row>
        <row r="19305">
          <cell r="G19305" t="str">
            <v>ASV1477</v>
          </cell>
          <cell r="H19305" t="str">
            <v>g__Prevotella</v>
          </cell>
          <cell r="I19305" t="str">
            <v>s__unclassified_g__Prevotella</v>
          </cell>
        </row>
        <row r="19306">
          <cell r="G19306" t="str">
            <v>ASV8221</v>
          </cell>
          <cell r="H19306" t="str">
            <v>g__Sharpea</v>
          </cell>
          <cell r="I19306" t="str">
            <v>s__unclassified_g__Sharpea</v>
          </cell>
        </row>
        <row r="19307">
          <cell r="G19307" t="str">
            <v>ASV12061</v>
          </cell>
          <cell r="H19307" t="str">
            <v>g__unclassified_k__norank_d__Bacteria</v>
          </cell>
          <cell r="I19307" t="str">
            <v>s__unclassified_k__norank_d__Bacteria</v>
          </cell>
        </row>
        <row r="19308">
          <cell r="G19308" t="str">
            <v>ASV14845</v>
          </cell>
          <cell r="H19308" t="str">
            <v>g__unclassified_c__Bacilli</v>
          </cell>
          <cell r="I19308" t="str">
            <v>s__unclassified_c__Bacilli</v>
          </cell>
        </row>
        <row r="19309">
          <cell r="G19309" t="str">
            <v>ASV10251</v>
          </cell>
          <cell r="H19309" t="str">
            <v>g__Lactobacillus</v>
          </cell>
          <cell r="I19309" t="str">
            <v>s__unclassified_g__Lactobacillus</v>
          </cell>
        </row>
        <row r="19310">
          <cell r="G19310" t="str">
            <v>ASV14675</v>
          </cell>
          <cell r="H19310" t="str">
            <v>g__unclassified_f__Oscillospiraceae</v>
          </cell>
          <cell r="I19310" t="str">
            <v>s__unclassified_f__Oscillospiraceae</v>
          </cell>
        </row>
        <row r="19311">
          <cell r="G19311" t="str">
            <v>ASV5354</v>
          </cell>
          <cell r="H19311" t="str">
            <v>g__Rikenellaceae_RC9_gut_group</v>
          </cell>
          <cell r="I19311" t="str">
            <v>s__uncultured_bacterium_g__Rikenellaceae_RC9_gut_group</v>
          </cell>
        </row>
        <row r="19312">
          <cell r="G19312" t="str">
            <v>ASV21026</v>
          </cell>
          <cell r="H19312" t="str">
            <v>g__unclassified_o__Burkholderiales</v>
          </cell>
          <cell r="I19312" t="str">
            <v>s__unclassified_o__Burkholderiales</v>
          </cell>
        </row>
        <row r="19313">
          <cell r="G19313" t="str">
            <v>ASV5318</v>
          </cell>
          <cell r="H19313" t="str">
            <v>g__unclassified_f__Oscillospiraceae</v>
          </cell>
          <cell r="I19313" t="str">
            <v>s__unclassified_f__Oscillospiraceae</v>
          </cell>
        </row>
        <row r="19314">
          <cell r="G19314" t="str">
            <v>ASV23805</v>
          </cell>
          <cell r="H19314" t="str">
            <v>g__unclassified_c__Bacilli</v>
          </cell>
          <cell r="I19314" t="str">
            <v>s__unclassified_c__Bacilli</v>
          </cell>
        </row>
        <row r="19315">
          <cell r="G19315" t="str">
            <v>ASV22939</v>
          </cell>
          <cell r="H19315" t="str">
            <v>g__unclassified_o__Lactobacillales</v>
          </cell>
          <cell r="I19315" t="str">
            <v>s__unclassified_o__Lactobacillales</v>
          </cell>
        </row>
        <row r="19316">
          <cell r="G19316" t="str">
            <v>ASV9062</v>
          </cell>
          <cell r="H19316" t="str">
            <v>g__unclassified_c__Bacilli</v>
          </cell>
          <cell r="I19316" t="str">
            <v>s__unclassified_c__Bacilli</v>
          </cell>
        </row>
        <row r="19317">
          <cell r="G19317" t="str">
            <v>ASV18466</v>
          </cell>
          <cell r="H19317" t="str">
            <v>g__UCG-002</v>
          </cell>
          <cell r="I19317" t="str">
            <v>s__unclassified_g__UCG-002</v>
          </cell>
        </row>
        <row r="19318">
          <cell r="G19318" t="str">
            <v>ASV13545</v>
          </cell>
          <cell r="H19318" t="str">
            <v>g__unclassified_p__Firmicutes</v>
          </cell>
          <cell r="I19318" t="str">
            <v>s__unclassified_p__Firmicutes</v>
          </cell>
        </row>
        <row r="19319">
          <cell r="G19319" t="str">
            <v>ASV12156</v>
          </cell>
          <cell r="H19319" t="str">
            <v>g__unclassified_f__Rikenellaceae</v>
          </cell>
          <cell r="I19319" t="str">
            <v>s__unclassified_f__Rikenellaceae</v>
          </cell>
        </row>
        <row r="19320">
          <cell r="G19320" t="str">
            <v>ASV1254</v>
          </cell>
          <cell r="H19320" t="str">
            <v>g__Ruminococcus</v>
          </cell>
          <cell r="I19320" t="str">
            <v>s__uncultured_bacterium_g__Ruminococcus</v>
          </cell>
        </row>
        <row r="19321">
          <cell r="G19321" t="str">
            <v>ASV16646</v>
          </cell>
          <cell r="H19321" t="str">
            <v>g__norank_f__Muribaculaceae</v>
          </cell>
          <cell r="I19321" t="str">
            <v>s__uncultured_bacterium_g__norank_f__Muribaculaceae</v>
          </cell>
        </row>
        <row r="19322">
          <cell r="G19322" t="str">
            <v>ASV22762</v>
          </cell>
          <cell r="H19322" t="str">
            <v>g__unclassified_c__Clostridia</v>
          </cell>
          <cell r="I19322" t="str">
            <v>s__unclassified_c__Clostridia</v>
          </cell>
        </row>
        <row r="19323">
          <cell r="G19323" t="str">
            <v>ASV15838</v>
          </cell>
          <cell r="H19323" t="str">
            <v>g__Paraeggerthella</v>
          </cell>
          <cell r="I19323" t="str">
            <v>s__unclassified_g__Paraeggerthella</v>
          </cell>
        </row>
        <row r="19324">
          <cell r="G19324" t="str">
            <v>ASV10943</v>
          </cell>
          <cell r="H19324" t="str">
            <v>g__unclassified_f__Lachnospiraceae</v>
          </cell>
          <cell r="I19324" t="str">
            <v>s__unclassified_f__Lachnospiraceae</v>
          </cell>
        </row>
        <row r="19325">
          <cell r="G19325" t="str">
            <v>ASV24337</v>
          </cell>
          <cell r="H19325" t="str">
            <v>g__Christensenellaceae_R-7_group</v>
          </cell>
          <cell r="I19325" t="str">
            <v>s__unclassified_g__Christensenellaceae_R-7_group</v>
          </cell>
        </row>
        <row r="19326">
          <cell r="G19326" t="str">
            <v>ASV9767</v>
          </cell>
          <cell r="H19326" t="str">
            <v>g__Lactobacillus</v>
          </cell>
          <cell r="I19326" t="str">
            <v>s__Lactobacillus_sp._C30An8</v>
          </cell>
        </row>
        <row r="19327">
          <cell r="G19327" t="str">
            <v>ASV21549</v>
          </cell>
          <cell r="H19327" t="str">
            <v>g__Megasphaera</v>
          </cell>
          <cell r="I19327" t="str">
            <v>s__unclassified_g__Megasphaera</v>
          </cell>
        </row>
        <row r="19328">
          <cell r="G19328" t="str">
            <v>ASV6470</v>
          </cell>
          <cell r="H19328" t="str">
            <v>g__Rikenellaceae_RC9_gut_group</v>
          </cell>
          <cell r="I19328" t="str">
            <v>s__uncultured_beta_proteobacterium_g__Rikenellaceae_RC9_gut_group</v>
          </cell>
        </row>
        <row r="19329">
          <cell r="G19329" t="str">
            <v>ASV1189</v>
          </cell>
          <cell r="H19329" t="str">
            <v>g__unclassified_o__Bacteroidales</v>
          </cell>
          <cell r="I19329" t="str">
            <v>s__unclassified_o__Bacteroidales</v>
          </cell>
        </row>
        <row r="19330">
          <cell r="G19330" t="str">
            <v>ASV16756</v>
          </cell>
          <cell r="H19330" t="str">
            <v>g__Bacteroides</v>
          </cell>
          <cell r="I19330" t="str">
            <v>s__unclassified_g__Bacteroides</v>
          </cell>
        </row>
        <row r="19331">
          <cell r="G19331" t="str">
            <v>ASV8031</v>
          </cell>
          <cell r="H19331" t="str">
            <v>g__unclassified_p__Firmicutes</v>
          </cell>
          <cell r="I19331" t="str">
            <v>s__unclassified_p__Firmicutes</v>
          </cell>
        </row>
        <row r="19332">
          <cell r="G19332" t="str">
            <v>ASV20039</v>
          </cell>
          <cell r="H19332" t="str">
            <v>g__unclassified_c__Bacilli</v>
          </cell>
          <cell r="I19332" t="str">
            <v>s__unclassified_c__Bacilli</v>
          </cell>
        </row>
        <row r="19333">
          <cell r="G19333" t="str">
            <v>ASV23706</v>
          </cell>
          <cell r="H19333" t="str">
            <v>g__unclassified_f__Lachnospiraceae</v>
          </cell>
          <cell r="I19333" t="str">
            <v>s__unclassified_f__Lachnospiraceae</v>
          </cell>
        </row>
        <row r="19334">
          <cell r="G19334" t="str">
            <v>ASV8010</v>
          </cell>
          <cell r="H19334" t="str">
            <v>g__unclassified_c__Clostridia</v>
          </cell>
          <cell r="I19334" t="str">
            <v>s__unclassified_c__Clostridia</v>
          </cell>
        </row>
        <row r="19335">
          <cell r="G19335" t="str">
            <v>ASV2449</v>
          </cell>
          <cell r="H19335" t="str">
            <v>g__unclassified_c__Bacilli</v>
          </cell>
          <cell r="I19335" t="str">
            <v>s__unclassified_c__Bacilli</v>
          </cell>
        </row>
        <row r="19336">
          <cell r="G19336" t="str">
            <v>ASV23862</v>
          </cell>
          <cell r="H19336" t="str">
            <v>g__Escherichia-Shigella</v>
          </cell>
          <cell r="I19336" t="str">
            <v>s__unclassified_g__Escherichia-Shigella</v>
          </cell>
        </row>
        <row r="19337">
          <cell r="G19337" t="str">
            <v>ASV12161</v>
          </cell>
          <cell r="H19337" t="str">
            <v>g__unclassified_p__Firmicutes</v>
          </cell>
          <cell r="I19337" t="str">
            <v>s__unclassified_p__Firmicutes</v>
          </cell>
        </row>
        <row r="19338">
          <cell r="G19338" t="str">
            <v>ASV6199</v>
          </cell>
          <cell r="H19338" t="str">
            <v>g__Lachnospiraceae_UCG-004</v>
          </cell>
          <cell r="I19338" t="str">
            <v>s__uncultured_bacterium_g__Lachnospiraceae_UCG-004</v>
          </cell>
        </row>
        <row r="19339">
          <cell r="G19339" t="str">
            <v>ASV1145</v>
          </cell>
          <cell r="H19339" t="str">
            <v>g__unclassified_o__Erysipelotrichales</v>
          </cell>
          <cell r="I19339" t="str">
            <v>s__unclassified_o__Erysipelotrichales</v>
          </cell>
        </row>
        <row r="19340">
          <cell r="G19340" t="str">
            <v>ASV18957</v>
          </cell>
          <cell r="H19340" t="str">
            <v>g__DNF00809</v>
          </cell>
          <cell r="I19340" t="str">
            <v>s__Coriobacteriaceae_bacterium_68-1-3</v>
          </cell>
        </row>
        <row r="19341">
          <cell r="G19341" t="str">
            <v>ASV8169</v>
          </cell>
          <cell r="H19341" t="str">
            <v>g__Terrisporobacter</v>
          </cell>
          <cell r="I19341" t="str">
            <v>s__unclassified_g__Terrisporobacter</v>
          </cell>
        </row>
        <row r="19342">
          <cell r="G19342" t="str">
            <v>ASV19144</v>
          </cell>
          <cell r="H19342" t="str">
            <v>g__Lachnospiraceae_NC2004_group</v>
          </cell>
          <cell r="I19342" t="str">
            <v>s__uncultured_bacterium_g__Lachnospiraceae_NC2004_group</v>
          </cell>
        </row>
        <row r="19343">
          <cell r="G19343" t="str">
            <v>ASV4381</v>
          </cell>
          <cell r="H19343" t="str">
            <v>g__unclassified_c__Clostridia</v>
          </cell>
          <cell r="I19343" t="str">
            <v>s__unclassified_c__Clostridia</v>
          </cell>
        </row>
        <row r="19344">
          <cell r="G19344" t="str">
            <v>ASV15865</v>
          </cell>
          <cell r="H19344" t="str">
            <v>g__unclassified_k__norank_d__Bacteria</v>
          </cell>
          <cell r="I19344" t="str">
            <v>s__unclassified_k__norank_d__Bacteria</v>
          </cell>
        </row>
        <row r="19345">
          <cell r="G19345" t="str">
            <v>ASV8038</v>
          </cell>
          <cell r="H19345" t="str">
            <v>g__unclassified_c__Clostridia</v>
          </cell>
          <cell r="I19345" t="str">
            <v>s__unclassified_c__Clostridia</v>
          </cell>
        </row>
        <row r="19346">
          <cell r="G19346" t="str">
            <v>ASV23741</v>
          </cell>
          <cell r="H19346" t="str">
            <v>g__Streptococcus</v>
          </cell>
          <cell r="I19346" t="str">
            <v>s__unclassified_g__Streptococcus</v>
          </cell>
        </row>
        <row r="19347">
          <cell r="G19347" t="str">
            <v>ASV22987</v>
          </cell>
          <cell r="H19347" t="str">
            <v>g__Acidaminococcus</v>
          </cell>
          <cell r="I19347" t="str">
            <v>s__unclassified_g__Acidaminococcus</v>
          </cell>
        </row>
        <row r="19348">
          <cell r="G19348" t="str">
            <v>ASV13632</v>
          </cell>
          <cell r="H19348" t="str">
            <v>g__Colidextribacter</v>
          </cell>
          <cell r="I19348" t="str">
            <v>s__unclassified_g__Colidextribacter</v>
          </cell>
        </row>
        <row r="19349">
          <cell r="G19349" t="str">
            <v>ASV10262</v>
          </cell>
          <cell r="H19349" t="str">
            <v>g__Bacteroides</v>
          </cell>
          <cell r="I19349" t="str">
            <v>s__unclassified_g__Bacteroides</v>
          </cell>
        </row>
        <row r="19350">
          <cell r="G19350" t="str">
            <v>ASV23779</v>
          </cell>
          <cell r="H19350" t="str">
            <v>g__Legionella</v>
          </cell>
          <cell r="I19350" t="str">
            <v>s__unclassified_g__Legionella</v>
          </cell>
        </row>
        <row r="19351">
          <cell r="G19351" t="str">
            <v>ASV1332</v>
          </cell>
          <cell r="H19351" t="str">
            <v>g__unclassified_o__Oscillospirales</v>
          </cell>
          <cell r="I19351" t="str">
            <v>s__unclassified_o__Oscillospirales</v>
          </cell>
        </row>
        <row r="19352">
          <cell r="G19352" t="str">
            <v>ASV9709</v>
          </cell>
          <cell r="H19352" t="str">
            <v>g__Lactobacillus</v>
          </cell>
          <cell r="I19352" t="str">
            <v>s__unclassified_g__Lactobacillus</v>
          </cell>
        </row>
        <row r="19353">
          <cell r="G19353" t="str">
            <v>ASV22580</v>
          </cell>
          <cell r="H19353" t="str">
            <v>g__unclassified_c__Clostridia</v>
          </cell>
          <cell r="I19353" t="str">
            <v>s__unclassified_c__Clostridia</v>
          </cell>
        </row>
        <row r="19354">
          <cell r="G19354" t="str">
            <v>ASV1817</v>
          </cell>
          <cell r="H19354" t="str">
            <v>g__Escherichia-Shigella</v>
          </cell>
          <cell r="I19354" t="str">
            <v>s__unclassified_g__Escherichia-Shigella</v>
          </cell>
        </row>
        <row r="19355">
          <cell r="G19355" t="str">
            <v>ASV21355</v>
          </cell>
          <cell r="H19355" t="str">
            <v>g__Holdemanella</v>
          </cell>
          <cell r="I19355" t="str">
            <v>s__unclassified_g__Holdemanella</v>
          </cell>
        </row>
        <row r="19356">
          <cell r="G19356" t="str">
            <v>ASV15626</v>
          </cell>
          <cell r="H19356" t="str">
            <v>g__unclassified_c__Bacilli</v>
          </cell>
          <cell r="I19356" t="str">
            <v>s__unclassified_c__Bacilli</v>
          </cell>
        </row>
        <row r="19357">
          <cell r="G19357" t="str">
            <v>ASV19104</v>
          </cell>
          <cell r="H19357" t="str">
            <v>g__Veillonella</v>
          </cell>
          <cell r="I19357" t="str">
            <v>s__unclassified_g__Veillonella</v>
          </cell>
        </row>
        <row r="19358">
          <cell r="G19358" t="str">
            <v>ASV17323</v>
          </cell>
          <cell r="H19358" t="str">
            <v>g__unclassified_f__Clostridiaceae</v>
          </cell>
          <cell r="I19358" t="str">
            <v>s__unclassified_f__Clostridiaceae</v>
          </cell>
        </row>
        <row r="19359">
          <cell r="G19359" t="str">
            <v>ASV9103</v>
          </cell>
          <cell r="H19359" t="str">
            <v>g__Lactobacillus</v>
          </cell>
          <cell r="I19359" t="str">
            <v>s__unclassified_g__Lactobacillus</v>
          </cell>
        </row>
        <row r="19360">
          <cell r="G19360" t="str">
            <v>ASV20481</v>
          </cell>
          <cell r="H19360" t="str">
            <v>g__unclassified_k__norank_d__Bacteria</v>
          </cell>
          <cell r="I19360" t="str">
            <v>s__unclassified_k__norank_d__Bacteria</v>
          </cell>
        </row>
        <row r="19361">
          <cell r="G19361" t="str">
            <v>ASV22564</v>
          </cell>
          <cell r="H19361" t="str">
            <v>g__norank_f__Eubacterium_coprostanoligenes_group</v>
          </cell>
          <cell r="I19361" t="str">
            <v>s__uncultured_bacterium_g__norank_f__Eubacterium_coprostanoligenes_group</v>
          </cell>
        </row>
        <row r="19362">
          <cell r="G19362" t="str">
            <v>ASV21319</v>
          </cell>
          <cell r="H19362" t="str">
            <v>g__unclassified_o__Oscillospirales</v>
          </cell>
          <cell r="I19362" t="str">
            <v>s__unclassified_o__Oscillospirales</v>
          </cell>
        </row>
        <row r="19363">
          <cell r="G19363" t="str">
            <v>ASV12428</v>
          </cell>
          <cell r="H19363" t="str">
            <v>g__Subdoligranulum</v>
          </cell>
          <cell r="I19363" t="str">
            <v>s__unclassified_g__Subdoligranulum</v>
          </cell>
        </row>
        <row r="19364">
          <cell r="G19364" t="str">
            <v>ASV2457</v>
          </cell>
          <cell r="H19364" t="str">
            <v>g__norank_f__Muribaculaceae</v>
          </cell>
          <cell r="I19364" t="str">
            <v>s__uncultured_bacterium_g__norank_f__Muribaculaceae</v>
          </cell>
        </row>
        <row r="19365">
          <cell r="G19365" t="str">
            <v>ASV21333</v>
          </cell>
          <cell r="H19365" t="str">
            <v>g__norank_f__Butyricicoccaceae</v>
          </cell>
          <cell r="I19365" t="str">
            <v>s__uncultured_bacterium_g__norank_f__Butyricicoccaceae</v>
          </cell>
        </row>
        <row r="19366">
          <cell r="G19366" t="str">
            <v>ASV13556</v>
          </cell>
          <cell r="H19366" t="str">
            <v>g__unclassified_c__Clostridia</v>
          </cell>
          <cell r="I19366" t="str">
            <v>s__unclassified_c__Clostridia</v>
          </cell>
        </row>
        <row r="19367">
          <cell r="G19367" t="str">
            <v>ASV21763</v>
          </cell>
          <cell r="H19367" t="str">
            <v>g__Corynebacterium</v>
          </cell>
          <cell r="I19367" t="str">
            <v>s__Corynebacterium_renale</v>
          </cell>
        </row>
        <row r="19368">
          <cell r="G19368" t="str">
            <v>ASV19891</v>
          </cell>
          <cell r="H19368" t="str">
            <v>g__Holdemanella</v>
          </cell>
          <cell r="I19368" t="str">
            <v>s__unclassified_g__Holdemanella</v>
          </cell>
        </row>
        <row r="19369">
          <cell r="G19369" t="str">
            <v>ASV1253</v>
          </cell>
          <cell r="H19369" t="str">
            <v>g__unclassified_f__Oscillospiraceae</v>
          </cell>
          <cell r="I19369" t="str">
            <v>s__unclassified_f__Oscillospiraceae</v>
          </cell>
        </row>
        <row r="19370">
          <cell r="G19370" t="str">
            <v>ASV16152</v>
          </cell>
          <cell r="H19370" t="str">
            <v>g__Lachnoclostridium</v>
          </cell>
          <cell r="I19370" t="str">
            <v>s__unclassified_g__Lachnoclostridium</v>
          </cell>
        </row>
        <row r="19371">
          <cell r="G19371" t="str">
            <v>ASV21510</v>
          </cell>
          <cell r="H19371" t="str">
            <v>g__Monoglobus</v>
          </cell>
          <cell r="I19371" t="str">
            <v>s__unclassified_g__Monoglobus</v>
          </cell>
        </row>
        <row r="19372">
          <cell r="G19372" t="str">
            <v>ASV12230</v>
          </cell>
          <cell r="H19372" t="str">
            <v>g__unclassified_c__Clostridia</v>
          </cell>
          <cell r="I19372" t="str">
            <v>s__unclassified_c__Clostridia</v>
          </cell>
        </row>
        <row r="19373">
          <cell r="G19373" t="str">
            <v>ASV18335</v>
          </cell>
          <cell r="H19373" t="str">
            <v>g__Enterococcus</v>
          </cell>
          <cell r="I19373" t="str">
            <v>s__unclassified_g__Enterococcus</v>
          </cell>
        </row>
        <row r="19374">
          <cell r="G19374" t="str">
            <v>ASV5189</v>
          </cell>
          <cell r="H19374" t="str">
            <v>g__unclassified_k__norank_d__Bacteria</v>
          </cell>
          <cell r="I19374" t="str">
            <v>s__unclassified_k__norank_d__Bacteria</v>
          </cell>
        </row>
        <row r="19375">
          <cell r="G19375" t="str">
            <v>ASV17550</v>
          </cell>
          <cell r="H19375" t="str">
            <v>g__unclassified_p__Firmicutes</v>
          </cell>
          <cell r="I19375" t="str">
            <v>s__unclassified_p__Firmicutes</v>
          </cell>
        </row>
        <row r="19376">
          <cell r="G19376" t="str">
            <v>ASV24008</v>
          </cell>
          <cell r="H19376" t="str">
            <v>g__Ruminococcus_gauvreauii_group</v>
          </cell>
          <cell r="I19376" t="str">
            <v>s__uncultured_rumen_bacterium_g__Ruminococcus_gauvreauii_group</v>
          </cell>
        </row>
        <row r="19377">
          <cell r="G19377" t="str">
            <v>ASV6858</v>
          </cell>
          <cell r="H19377" t="str">
            <v>g__unclassified_k__norank_d__Bacteria</v>
          </cell>
          <cell r="I19377" t="str">
            <v>s__unclassified_k__norank_d__Bacteria</v>
          </cell>
        </row>
        <row r="19378">
          <cell r="G19378" t="str">
            <v>ASV22803</v>
          </cell>
          <cell r="H19378" t="str">
            <v>g__unclassified_c__Clostridia</v>
          </cell>
          <cell r="I19378" t="str">
            <v>s__unclassified_c__Clostridia</v>
          </cell>
        </row>
        <row r="19379">
          <cell r="G19379" t="str">
            <v>ASV17085</v>
          </cell>
          <cell r="H19379" t="str">
            <v>g__Lactobacillus</v>
          </cell>
          <cell r="I19379" t="str">
            <v>s__unclassified_g__Lactobacillus</v>
          </cell>
        </row>
        <row r="19380">
          <cell r="G19380" t="str">
            <v>ASV9764</v>
          </cell>
          <cell r="H19380" t="str">
            <v>g__unclassified_o__Peptostreptococcales-Tissierellales</v>
          </cell>
          <cell r="I19380" t="str">
            <v>s__unclassified_o__Peptostreptococcales-Tissierellales</v>
          </cell>
        </row>
        <row r="19381">
          <cell r="G19381" t="str">
            <v>ASV5310</v>
          </cell>
          <cell r="H19381" t="str">
            <v>g__unclassified_c__Clostridia</v>
          </cell>
          <cell r="I19381" t="str">
            <v>s__unclassified_c__Clostridia</v>
          </cell>
        </row>
        <row r="19382">
          <cell r="G19382" t="str">
            <v>ASV3305</v>
          </cell>
          <cell r="H19382" t="str">
            <v>g__Phascolarctobacterium</v>
          </cell>
          <cell r="I19382" t="str">
            <v>s__uncultured_bacterium_g__Phascolarctobacterium</v>
          </cell>
        </row>
        <row r="19383">
          <cell r="G19383" t="str">
            <v>ASV13620</v>
          </cell>
          <cell r="H19383" t="str">
            <v>g__Lactobacillus</v>
          </cell>
          <cell r="I19383" t="str">
            <v>s__Lactobacillus_sp._C30An8</v>
          </cell>
        </row>
        <row r="19384">
          <cell r="G19384" t="str">
            <v>ASV9662</v>
          </cell>
          <cell r="H19384" t="str">
            <v>g__unclassified_f__Lachnospiraceae</v>
          </cell>
          <cell r="I19384" t="str">
            <v>s__unclassified_f__Lachnospiraceae</v>
          </cell>
        </row>
        <row r="19385">
          <cell r="G19385" t="str">
            <v>ASV18985</v>
          </cell>
          <cell r="H19385" t="str">
            <v>g__Prevotella</v>
          </cell>
          <cell r="I19385" t="str">
            <v>s__unclassified_g__Prevotella</v>
          </cell>
        </row>
        <row r="19386">
          <cell r="G19386" t="str">
            <v>ASV22746</v>
          </cell>
          <cell r="H19386" t="str">
            <v>g__unclassified_o__Oscillospirales</v>
          </cell>
          <cell r="I19386" t="str">
            <v>s__unclassified_o__Oscillospirales</v>
          </cell>
        </row>
        <row r="19387">
          <cell r="G19387" t="str">
            <v>ASV1468</v>
          </cell>
          <cell r="H19387" t="str">
            <v>g__unclassified_c__Clostridia</v>
          </cell>
          <cell r="I19387" t="str">
            <v>s__unclassified_c__Clostridia</v>
          </cell>
        </row>
        <row r="19388">
          <cell r="G19388" t="str">
            <v>ASV10976</v>
          </cell>
          <cell r="H19388" t="str">
            <v>g__Christensenellaceae_R-7_group</v>
          </cell>
          <cell r="I19388" t="str">
            <v>s__uncultured_Spirochaetales_bacterium_g__Christensenellaceae_R-7_group</v>
          </cell>
        </row>
        <row r="19389">
          <cell r="G19389" t="str">
            <v>ASV16673</v>
          </cell>
          <cell r="H19389" t="str">
            <v>g__unclassified_o__Bacteroidales</v>
          </cell>
          <cell r="I19389" t="str">
            <v>s__unclassified_o__Bacteroidales</v>
          </cell>
        </row>
        <row r="19390">
          <cell r="G19390" t="str">
            <v>ASV20009</v>
          </cell>
          <cell r="H19390" t="str">
            <v>g__Monoglobus</v>
          </cell>
          <cell r="I19390" t="str">
            <v>s__unclassified_g__Monoglobus</v>
          </cell>
        </row>
        <row r="19391">
          <cell r="G19391" t="str">
            <v>ASV9659</v>
          </cell>
          <cell r="H19391" t="str">
            <v>g__Faecalibacterium</v>
          </cell>
          <cell r="I19391" t="str">
            <v>s__unclassified_g__Faecalibacterium</v>
          </cell>
        </row>
        <row r="19392">
          <cell r="G19392" t="str">
            <v>ASV21089</v>
          </cell>
          <cell r="H19392" t="str">
            <v>g__UCG-002</v>
          </cell>
          <cell r="I19392" t="str">
            <v>s__unclassified_g__UCG-002</v>
          </cell>
        </row>
        <row r="19393">
          <cell r="G19393" t="str">
            <v>ASV15622</v>
          </cell>
          <cell r="H19393" t="str">
            <v>g__unclassified_c__Clostridia</v>
          </cell>
          <cell r="I19393" t="str">
            <v>s__unclassified_c__Clostridia</v>
          </cell>
        </row>
        <row r="19394">
          <cell r="G19394" t="str">
            <v>ASV14887</v>
          </cell>
          <cell r="H19394" t="str">
            <v>g__Ruminococcus</v>
          </cell>
          <cell r="I19394" t="str">
            <v>s__unclassified_g__Ruminococcus</v>
          </cell>
        </row>
        <row r="19395">
          <cell r="G19395" t="str">
            <v>ASV20999</v>
          </cell>
          <cell r="H19395" t="str">
            <v>g__Lactobacillus</v>
          </cell>
          <cell r="I19395" t="str">
            <v>s__unclassified_g__Lactobacillus</v>
          </cell>
        </row>
        <row r="19396">
          <cell r="G19396" t="str">
            <v>ASV18669</v>
          </cell>
          <cell r="H19396" t="str">
            <v>g__Lactobacillus</v>
          </cell>
          <cell r="I19396" t="str">
            <v>s__unclassified_g__Lactobacillus</v>
          </cell>
        </row>
        <row r="19397">
          <cell r="G19397" t="str">
            <v>ASV14766</v>
          </cell>
          <cell r="H19397" t="str">
            <v>g__Veillonella</v>
          </cell>
          <cell r="I19397" t="str">
            <v>s__unclassified_g__Veillonella</v>
          </cell>
        </row>
        <row r="19398">
          <cell r="G19398" t="str">
            <v>ASV20091</v>
          </cell>
          <cell r="H19398" t="str">
            <v>g__unclassified_p__Firmicutes</v>
          </cell>
          <cell r="I19398" t="str">
            <v>s__unclassified_p__Firmicutes</v>
          </cell>
        </row>
        <row r="19399">
          <cell r="G19399" t="str">
            <v>ASV2413</v>
          </cell>
          <cell r="H19399" t="str">
            <v>g__unclassified_o__Peptostreptococcales-Tissierellales</v>
          </cell>
          <cell r="I19399" t="str">
            <v>s__unclassified_o__Peptostreptococcales-Tissierellales</v>
          </cell>
        </row>
        <row r="19400">
          <cell r="G19400" t="str">
            <v>ASV8121</v>
          </cell>
          <cell r="H19400" t="str">
            <v>g__unclassified_f__Lachnospiraceae</v>
          </cell>
          <cell r="I19400" t="str">
            <v>s__unclassified_f__Lachnospiraceae</v>
          </cell>
        </row>
        <row r="19401">
          <cell r="G19401" t="str">
            <v>ASV12345</v>
          </cell>
          <cell r="H19401" t="str">
            <v>g__unclassified_c__Clostridia</v>
          </cell>
          <cell r="I19401" t="str">
            <v>s__unclassified_c__Clostridia</v>
          </cell>
        </row>
        <row r="19402">
          <cell r="G19402" t="str">
            <v>ASV14912</v>
          </cell>
          <cell r="H19402" t="str">
            <v>g__unclassified_c__Clostridia</v>
          </cell>
          <cell r="I19402" t="str">
            <v>s__unclassified_c__Clostridia</v>
          </cell>
        </row>
        <row r="19403">
          <cell r="G19403" t="str">
            <v>ASV17530</v>
          </cell>
          <cell r="H19403" t="str">
            <v>g__Lachnospiraceae_UCG-004</v>
          </cell>
          <cell r="I19403" t="str">
            <v>s__uncultured_bacterium_g__Lachnospiraceae_UCG-004</v>
          </cell>
        </row>
        <row r="19404">
          <cell r="G19404" t="str">
            <v>ASV6877</v>
          </cell>
          <cell r="H19404" t="str">
            <v>g__unclassified_c__Bacilli</v>
          </cell>
          <cell r="I19404" t="str">
            <v>s__unclassified_c__Bacilli</v>
          </cell>
        </row>
        <row r="19405">
          <cell r="G19405" t="str">
            <v>ASV14640</v>
          </cell>
          <cell r="H19405" t="str">
            <v>g__unclassified_f__Selenomonadaceae</v>
          </cell>
          <cell r="I19405" t="str">
            <v>s__unclassified_f__Selenomonadaceae</v>
          </cell>
        </row>
        <row r="19406">
          <cell r="G19406" t="str">
            <v>ASV17560</v>
          </cell>
          <cell r="H19406" t="str">
            <v>g__unclassified_f__Lachnospiraceae</v>
          </cell>
          <cell r="I19406" t="str">
            <v>s__unclassified_f__Lachnospiraceae</v>
          </cell>
        </row>
        <row r="19407">
          <cell r="G19407" t="str">
            <v>ASV20969</v>
          </cell>
          <cell r="H19407" t="str">
            <v>g__unclassified_o__Oscillospirales</v>
          </cell>
          <cell r="I19407" t="str">
            <v>s__unclassified_o__Oscillospirales</v>
          </cell>
        </row>
        <row r="19408">
          <cell r="G19408" t="str">
            <v>ASV22835</v>
          </cell>
          <cell r="H19408" t="str">
            <v>g__unclassified_c__Clostridia</v>
          </cell>
          <cell r="I19408" t="str">
            <v>s__unclassified_c__Clostridia</v>
          </cell>
        </row>
        <row r="19409">
          <cell r="G19409" t="str">
            <v>ASV3532</v>
          </cell>
          <cell r="H19409" t="str">
            <v>g__Lactobacillus</v>
          </cell>
          <cell r="I19409" t="str">
            <v>s__unclassified_g__Lactobacillus</v>
          </cell>
        </row>
        <row r="19410">
          <cell r="G19410" t="str">
            <v>ASV6172</v>
          </cell>
          <cell r="H19410" t="str">
            <v>g__unclassified_c__Bacteroidia</v>
          </cell>
          <cell r="I19410" t="str">
            <v>s__unclassified_c__Bacteroidia</v>
          </cell>
        </row>
        <row r="19411">
          <cell r="G19411" t="str">
            <v>ASV5451</v>
          </cell>
          <cell r="H19411" t="str">
            <v>g__unclassified_c__Clostridia</v>
          </cell>
          <cell r="I19411" t="str">
            <v>s__unclassified_c__Clostridia</v>
          </cell>
        </row>
        <row r="19412">
          <cell r="G19412" t="str">
            <v>ASV5243</v>
          </cell>
          <cell r="H19412" t="str">
            <v>g__Corynebacterium</v>
          </cell>
          <cell r="I19412" t="str">
            <v>s__unclassified_g__Corynebacterium</v>
          </cell>
        </row>
        <row r="19413">
          <cell r="G19413" t="str">
            <v>ASV13198</v>
          </cell>
          <cell r="H19413" t="str">
            <v>g__Sphaerochaeta</v>
          </cell>
          <cell r="I19413" t="str">
            <v>s__uncultured_bacterium_g__Sphaerochaeta</v>
          </cell>
        </row>
        <row r="19414">
          <cell r="G19414" t="str">
            <v>ASV1384</v>
          </cell>
          <cell r="H19414" t="str">
            <v>g__Candidatus_Soleaferrea</v>
          </cell>
          <cell r="I19414" t="str">
            <v>s__uncultured_bacterium_g__Candidatus_Soleaferrea</v>
          </cell>
        </row>
        <row r="19415">
          <cell r="G19415" t="str">
            <v>ASV1226</v>
          </cell>
          <cell r="H19415" t="str">
            <v>g__unclassified_f__Oscillospiraceae</v>
          </cell>
          <cell r="I19415" t="str">
            <v>s__unclassified_f__Oscillospiraceae</v>
          </cell>
        </row>
        <row r="19416">
          <cell r="G19416" t="str">
            <v>ASV12286</v>
          </cell>
          <cell r="H19416" t="str">
            <v>g__Sharpea</v>
          </cell>
          <cell r="I19416" t="str">
            <v>s__unclassified_g__Sharpea</v>
          </cell>
        </row>
        <row r="19417">
          <cell r="G19417" t="str">
            <v>ASV22777</v>
          </cell>
          <cell r="H19417" t="str">
            <v>g__unclassified_f__Lachnospiraceae</v>
          </cell>
          <cell r="I19417" t="str">
            <v>s__unclassified_f__Lachnospiraceae</v>
          </cell>
        </row>
        <row r="19418">
          <cell r="G19418" t="str">
            <v>ASV16680</v>
          </cell>
          <cell r="H19418" t="str">
            <v>g__UCG-005</v>
          </cell>
          <cell r="I19418" t="str">
            <v>s__uncultured_bacterium_g__UCG-005</v>
          </cell>
        </row>
        <row r="19419">
          <cell r="G19419" t="str">
            <v>ASV8171</v>
          </cell>
          <cell r="H19419" t="str">
            <v>g__Candidatus_Soleaferrea</v>
          </cell>
          <cell r="I19419" t="str">
            <v>s__uncultured_bacterium_g__Candidatus_Soleaferrea</v>
          </cell>
        </row>
        <row r="19420">
          <cell r="G19420" t="str">
            <v>ASV4279</v>
          </cell>
          <cell r="H19420" t="str">
            <v>g__unclassified_k__norank_d__Bacteria</v>
          </cell>
          <cell r="I19420" t="str">
            <v>s__unclassified_k__norank_d__Bacteria</v>
          </cell>
        </row>
        <row r="19421">
          <cell r="G19421" t="str">
            <v>ASV13122</v>
          </cell>
          <cell r="H19421" t="str">
            <v>g__Candidatus_Soleaferrea</v>
          </cell>
          <cell r="I19421" t="str">
            <v>s__uncultured_bacterium_g__Candidatus_Soleaferrea</v>
          </cell>
        </row>
        <row r="19422">
          <cell r="G19422" t="str">
            <v>ASV13144</v>
          </cell>
          <cell r="H19422" t="str">
            <v>g__unclassified_c__Clostridia</v>
          </cell>
          <cell r="I19422" t="str">
            <v>s__unclassified_c__Clostridia</v>
          </cell>
        </row>
        <row r="19423">
          <cell r="G19423" t="str">
            <v>ASV5304</v>
          </cell>
          <cell r="H19423" t="str">
            <v>g__Eubacterium_oxidoreducens_group</v>
          </cell>
          <cell r="I19423" t="str">
            <v>s__uncultured_bacterium_g__Eubacterium_oxidoreducens_group</v>
          </cell>
        </row>
        <row r="19424">
          <cell r="G19424" t="str">
            <v>ASV6929</v>
          </cell>
          <cell r="H19424" t="str">
            <v>g__unclassified_c__Clostridia</v>
          </cell>
          <cell r="I19424" t="str">
            <v>s__unclassified_c__Clostridia</v>
          </cell>
        </row>
        <row r="19425">
          <cell r="G19425" t="str">
            <v>ASV17681</v>
          </cell>
          <cell r="H19425" t="str">
            <v>g__unclassified_c__Clostridia</v>
          </cell>
          <cell r="I19425" t="str">
            <v>s__unclassified_c__Clostridia</v>
          </cell>
        </row>
        <row r="19426">
          <cell r="G19426" t="str">
            <v>ASV15701</v>
          </cell>
          <cell r="H19426" t="str">
            <v>g__unclassified_c__Clostridia</v>
          </cell>
          <cell r="I19426" t="str">
            <v>s__unclassified_c__Clostridia</v>
          </cell>
        </row>
        <row r="19427">
          <cell r="G19427" t="str">
            <v>ASV18263</v>
          </cell>
          <cell r="H19427" t="str">
            <v>g__Lactobacillus</v>
          </cell>
          <cell r="I19427" t="str">
            <v>s__unclassified_g__Lactobacillus</v>
          </cell>
        </row>
        <row r="19428">
          <cell r="G19428" t="str">
            <v>ASV18460</v>
          </cell>
          <cell r="H19428" t="str">
            <v>g__unclassified_f__Prevotellaceae</v>
          </cell>
          <cell r="I19428" t="str">
            <v>s__unclassified_f__Prevotellaceae</v>
          </cell>
        </row>
        <row r="19429">
          <cell r="G19429" t="str">
            <v>ASV2500</v>
          </cell>
          <cell r="H19429" t="str">
            <v>g__norank_f__Eubacterium_coprostanoligenes_group</v>
          </cell>
          <cell r="I19429" t="str">
            <v>s__uncultured_bacterium_g__norank_f__Eubacterium_coprostanoligenes_group</v>
          </cell>
        </row>
        <row r="19430">
          <cell r="G19430" t="str">
            <v>ASV20075</v>
          </cell>
          <cell r="H19430" t="str">
            <v>g__unclassified_p__Firmicutes</v>
          </cell>
          <cell r="I19430" t="str">
            <v>s__unclassified_p__Firmicutes</v>
          </cell>
        </row>
        <row r="19431">
          <cell r="G19431" t="str">
            <v>ASV4237</v>
          </cell>
          <cell r="H19431" t="str">
            <v>g__unclassified_c__Clostridia</v>
          </cell>
          <cell r="I19431" t="str">
            <v>s__unclassified_c__Clostridia</v>
          </cell>
        </row>
        <row r="19432">
          <cell r="G19432" t="str">
            <v>ASV13066</v>
          </cell>
          <cell r="H19432" t="str">
            <v>g__unclassified_f__Lachnospiraceae</v>
          </cell>
          <cell r="I19432" t="str">
            <v>s__unclassified_f__Lachnospiraceae</v>
          </cell>
        </row>
        <row r="19433">
          <cell r="G19433" t="str">
            <v>ASV16105</v>
          </cell>
          <cell r="H19433" t="str">
            <v>g__unclassified_p__Firmicutes</v>
          </cell>
          <cell r="I19433" t="str">
            <v>s__unclassified_p__Firmicutes</v>
          </cell>
        </row>
        <row r="19434">
          <cell r="G19434" t="str">
            <v>ASV23618</v>
          </cell>
          <cell r="H19434" t="str">
            <v>g__unclassified_c__Clostridia</v>
          </cell>
          <cell r="I19434" t="str">
            <v>s__unclassified_c__Clostridia</v>
          </cell>
        </row>
        <row r="19435">
          <cell r="G19435" t="str">
            <v>ASV3549</v>
          </cell>
          <cell r="H19435" t="str">
            <v>g__Klebsiella</v>
          </cell>
          <cell r="I19435" t="str">
            <v>s__unclassified_g__Klebsiella</v>
          </cell>
        </row>
        <row r="19436">
          <cell r="G19436" t="str">
            <v>ASV3290</v>
          </cell>
          <cell r="H19436" t="str">
            <v>g__unclassified_p__Firmicutes</v>
          </cell>
          <cell r="I19436" t="str">
            <v>s__unclassified_p__Firmicutes</v>
          </cell>
        </row>
        <row r="19437">
          <cell r="G19437" t="str">
            <v>ASV9772</v>
          </cell>
          <cell r="H19437" t="str">
            <v>g__unclassified_p__Firmicutes</v>
          </cell>
          <cell r="I19437" t="str">
            <v>s__unclassified_p__Firmicutes</v>
          </cell>
        </row>
        <row r="19438">
          <cell r="G19438" t="str">
            <v>ASV9837</v>
          </cell>
          <cell r="H19438" t="str">
            <v>g__unclassified_c__Bacilli</v>
          </cell>
          <cell r="I19438" t="str">
            <v>s__unclassified_c__Bacilli</v>
          </cell>
        </row>
        <row r="19439">
          <cell r="G19439" t="str">
            <v>ASV6170</v>
          </cell>
          <cell r="H19439" t="str">
            <v>g__Enterorhabdus</v>
          </cell>
          <cell r="I19439" t="str">
            <v>s__uncultured_bacterium_g__Enterorhabdus</v>
          </cell>
        </row>
        <row r="19440">
          <cell r="G19440" t="str">
            <v>ASV6183</v>
          </cell>
          <cell r="H19440" t="str">
            <v>g__Butyricimonas</v>
          </cell>
          <cell r="I19440" t="str">
            <v>s__unclassified_g__Butyricimonas</v>
          </cell>
        </row>
        <row r="19441">
          <cell r="G19441" t="str">
            <v>ASV14748</v>
          </cell>
          <cell r="H19441" t="str">
            <v>g__unclassified_f__Ruminococcaceae</v>
          </cell>
          <cell r="I19441" t="str">
            <v>s__unclassified_f__Ruminococcaceae</v>
          </cell>
        </row>
        <row r="19442">
          <cell r="G19442" t="str">
            <v>ASV21380</v>
          </cell>
          <cell r="H19442" t="str">
            <v>g__unclassified_p__Firmicutes</v>
          </cell>
          <cell r="I19442" t="str">
            <v>s__unclassified_p__Firmicutes</v>
          </cell>
        </row>
        <row r="19443">
          <cell r="G19443" t="str">
            <v>ASV12333</v>
          </cell>
          <cell r="H19443" t="str">
            <v>g__unclassified_c__Clostridia</v>
          </cell>
          <cell r="I19443" t="str">
            <v>s__unclassified_c__Clostridia</v>
          </cell>
        </row>
        <row r="19444">
          <cell r="G19444" t="str">
            <v>ASV2494</v>
          </cell>
          <cell r="H19444" t="str">
            <v>g__unclassified_c__Clostridia</v>
          </cell>
          <cell r="I19444" t="str">
            <v>s__unclassified_c__Clostridia</v>
          </cell>
        </row>
        <row r="19445">
          <cell r="G19445" t="str">
            <v>ASV3051</v>
          </cell>
          <cell r="H19445" t="str">
            <v>g__unclassified_f__Lachnospiraceae</v>
          </cell>
          <cell r="I19445" t="str">
            <v>s__unclassified_f__Lachnospiraceae</v>
          </cell>
        </row>
        <row r="19446">
          <cell r="G19446" t="str">
            <v>ASV7301</v>
          </cell>
          <cell r="H19446" t="str">
            <v>g__unclassified_k__norank_d__Bacteria</v>
          </cell>
          <cell r="I19446" t="str">
            <v>s__unclassified_k__norank_d__Bacteria</v>
          </cell>
        </row>
        <row r="19447">
          <cell r="G19447" t="str">
            <v>ASV22739</v>
          </cell>
          <cell r="H19447" t="str">
            <v>g__Christensenellaceae_R-7_group</v>
          </cell>
          <cell r="I19447" t="str">
            <v>s__unclassified_g__Christensenellaceae_R-7_group</v>
          </cell>
        </row>
        <row r="19448">
          <cell r="G19448" t="str">
            <v>ASV9645</v>
          </cell>
          <cell r="H19448" t="str">
            <v>g__unclassified_k__norank_d__Bacteria</v>
          </cell>
          <cell r="I19448" t="str">
            <v>s__unclassified_k__norank_d__Bacteria</v>
          </cell>
        </row>
        <row r="19449">
          <cell r="G19449" t="str">
            <v>ASV8170</v>
          </cell>
          <cell r="H19449" t="str">
            <v>g__Sharpea</v>
          </cell>
          <cell r="I19449" t="str">
            <v>s__unclassified_g__Sharpea</v>
          </cell>
        </row>
        <row r="19450">
          <cell r="G19450" t="str">
            <v>ASV6318</v>
          </cell>
          <cell r="H19450" t="str">
            <v>g__unclassified_c__Clostridia</v>
          </cell>
          <cell r="I19450" t="str">
            <v>s__unclassified_c__Clostridia</v>
          </cell>
        </row>
        <row r="19451">
          <cell r="G19451" t="str">
            <v>ASV10358</v>
          </cell>
          <cell r="H19451" t="str">
            <v>g__unclassified_c__Clostridia</v>
          </cell>
          <cell r="I19451" t="str">
            <v>s__unclassified_c__Clostridia</v>
          </cell>
        </row>
        <row r="19452">
          <cell r="G19452" t="str">
            <v>ASV13020</v>
          </cell>
          <cell r="H19452" t="str">
            <v>g__unclassified_k__norank_d__Bacteria</v>
          </cell>
          <cell r="I19452" t="str">
            <v>s__unclassified_k__norank_d__Bacteria</v>
          </cell>
        </row>
        <row r="19453">
          <cell r="G19453" t="str">
            <v>ASV4312</v>
          </cell>
          <cell r="H19453" t="str">
            <v>g__unclassified_f__Lachnospiraceae</v>
          </cell>
          <cell r="I19453" t="str">
            <v>s__unclassified_f__Lachnospiraceae</v>
          </cell>
        </row>
        <row r="19454">
          <cell r="G19454" t="str">
            <v>ASV21330</v>
          </cell>
          <cell r="H19454" t="str">
            <v>g__Holdemanella</v>
          </cell>
          <cell r="I19454" t="str">
            <v>s__unclassified_g__Holdemanella</v>
          </cell>
        </row>
        <row r="19455">
          <cell r="G19455" t="str">
            <v>ASV21326</v>
          </cell>
          <cell r="H19455" t="str">
            <v>g__unclassified_c__Clostridia</v>
          </cell>
          <cell r="I19455" t="str">
            <v>s__unclassified_c__Clostridia</v>
          </cell>
        </row>
        <row r="19456">
          <cell r="G19456" t="str">
            <v>ASV18262</v>
          </cell>
          <cell r="H19456" t="str">
            <v>g__unclassified_k__norank_d__Bacteria</v>
          </cell>
          <cell r="I19456" t="str">
            <v>s__unclassified_k__norank_d__Bacteria</v>
          </cell>
        </row>
        <row r="19457">
          <cell r="G19457" t="str">
            <v>ASV1347</v>
          </cell>
          <cell r="H19457" t="str">
            <v>g__unclassified_c__Clostridia</v>
          </cell>
          <cell r="I19457" t="str">
            <v>s__unclassified_c__Clostridia</v>
          </cell>
        </row>
        <row r="19458">
          <cell r="G19458" t="str">
            <v>ASV12202</v>
          </cell>
          <cell r="H19458" t="str">
            <v>g__Ruminococcus</v>
          </cell>
          <cell r="I19458" t="str">
            <v>s__unclassified_g__Ruminococcus</v>
          </cell>
        </row>
        <row r="19459">
          <cell r="G19459" t="str">
            <v>ASV16747</v>
          </cell>
          <cell r="H19459" t="str">
            <v>g__unclassified_f__Clostridiaceae</v>
          </cell>
          <cell r="I19459" t="str">
            <v>s__unclassified_f__Clostridiaceae</v>
          </cell>
        </row>
        <row r="19460">
          <cell r="G19460" t="str">
            <v>ASV9052</v>
          </cell>
          <cell r="H19460" t="str">
            <v>g__Treponema</v>
          </cell>
          <cell r="I19460" t="str">
            <v>s__unclassified_g__Treponema</v>
          </cell>
        </row>
        <row r="19461">
          <cell r="G19461" t="str">
            <v>ASV7311</v>
          </cell>
          <cell r="H19461" t="str">
            <v>g__Ralstonia</v>
          </cell>
          <cell r="I19461" t="str">
            <v>s__unclassified_g__Ralstonia</v>
          </cell>
        </row>
        <row r="19462">
          <cell r="G19462" t="str">
            <v>ASV4264</v>
          </cell>
          <cell r="H19462" t="str">
            <v>g__unclassified_c__Clostridia</v>
          </cell>
          <cell r="I19462" t="str">
            <v>s__unclassified_c__Clostridia</v>
          </cell>
        </row>
        <row r="19463">
          <cell r="G19463" t="str">
            <v>ASV6437</v>
          </cell>
          <cell r="H19463" t="str">
            <v>g__norank_f__Eggerthellaceae</v>
          </cell>
          <cell r="I19463" t="str">
            <v>s__uncultured_bacterium_g__norank_f__Eggerthellaceae</v>
          </cell>
        </row>
        <row r="19464">
          <cell r="G19464" t="str">
            <v>ASV6963</v>
          </cell>
          <cell r="H19464" t="str">
            <v>g__Enterococcus</v>
          </cell>
          <cell r="I19464" t="str">
            <v>s__unclassified_g__Enterococcus</v>
          </cell>
        </row>
        <row r="19465">
          <cell r="G19465" t="str">
            <v>ASV1390</v>
          </cell>
          <cell r="H19465" t="str">
            <v>g__unclassified_c__Clostridia</v>
          </cell>
          <cell r="I19465" t="str">
            <v>s__unclassified_c__Clostridia</v>
          </cell>
        </row>
        <row r="19466">
          <cell r="G19466" t="str">
            <v>ASV13111</v>
          </cell>
          <cell r="H19466" t="str">
            <v>g__Eubacterium_siraeum_group</v>
          </cell>
          <cell r="I19466" t="str">
            <v>s__unclassified_g__Eubacterium_siraeum_group</v>
          </cell>
        </row>
        <row r="19467">
          <cell r="G19467" t="str">
            <v>ASV18371</v>
          </cell>
          <cell r="H19467" t="str">
            <v>g__norank_f__Eubacterium_coprostanoligenes_group</v>
          </cell>
          <cell r="I19467" t="str">
            <v>s__uncultured_bacterium_g__norank_f__Eubacterium_coprostanoligenes_group</v>
          </cell>
        </row>
        <row r="19468">
          <cell r="G19468" t="str">
            <v>ASV1820</v>
          </cell>
          <cell r="H19468" t="str">
            <v>g__norank_f__Peptostreptococcaceae</v>
          </cell>
          <cell r="I19468" t="str">
            <v>s__uncultured_bacterium_g__norank_f__Peptostreptococcaceae</v>
          </cell>
        </row>
        <row r="19469">
          <cell r="G19469" t="str">
            <v>ASV14764</v>
          </cell>
          <cell r="H19469" t="str">
            <v>g__norank_f__Muribaculaceae</v>
          </cell>
          <cell r="I19469" t="str">
            <v>s__uncultured_bacterium_g__norank_f__Muribaculaceae</v>
          </cell>
        </row>
        <row r="19470">
          <cell r="G19470" t="str">
            <v>ASV22660</v>
          </cell>
          <cell r="H19470" t="str">
            <v>g__unclassified_p__Firmicutes</v>
          </cell>
          <cell r="I19470" t="str">
            <v>s__unclassified_p__Firmicutes</v>
          </cell>
        </row>
        <row r="19471">
          <cell r="G19471" t="str">
            <v>ASV3329</v>
          </cell>
          <cell r="H19471" t="str">
            <v>g__Eubacterium_oxidoreducens_group</v>
          </cell>
          <cell r="I19471" t="str">
            <v>s__uncultured_bacterium_g__Eubacterium_oxidoreducens_group</v>
          </cell>
        </row>
        <row r="19472">
          <cell r="G19472" t="str">
            <v>ASV12169</v>
          </cell>
          <cell r="H19472" t="str">
            <v>g__Rikenellaceae_RC9_gut_group</v>
          </cell>
          <cell r="I19472" t="str">
            <v>s__uncultured_bacterium_g__Rikenellaceae_RC9_gut_group</v>
          </cell>
        </row>
        <row r="19473">
          <cell r="G19473" t="str">
            <v>ASV21688</v>
          </cell>
          <cell r="H19473" t="str">
            <v>g__Lactobacillus</v>
          </cell>
          <cell r="I19473" t="str">
            <v>s__unclassified_g__Lactobacillus</v>
          </cell>
        </row>
        <row r="19474">
          <cell r="G19474" t="str">
            <v>ASV23613</v>
          </cell>
          <cell r="H19474" t="str">
            <v>g__unclassified_c__Clostridia</v>
          </cell>
          <cell r="I19474" t="str">
            <v>s__unclassified_c__Clostridia</v>
          </cell>
        </row>
        <row r="19475">
          <cell r="G19475" t="str">
            <v>ASV2405</v>
          </cell>
          <cell r="H19475" t="str">
            <v>g__unclassified_c__Clostridia</v>
          </cell>
          <cell r="I19475" t="str">
            <v>s__unclassified_c__Clostridia</v>
          </cell>
        </row>
        <row r="19476">
          <cell r="G19476" t="str">
            <v>ASV19888</v>
          </cell>
          <cell r="H19476" t="str">
            <v>g__norank_f__Muribaculaceae</v>
          </cell>
          <cell r="I19476" t="str">
            <v>s__uncultured_bacterium_g__norank_f__Muribaculaceae</v>
          </cell>
        </row>
        <row r="19477">
          <cell r="G19477" t="str">
            <v>ASV12254</v>
          </cell>
          <cell r="H19477" t="str">
            <v>g__UCG-005</v>
          </cell>
          <cell r="I19477" t="str">
            <v>s__uncultured_bacterium_g__UCG-005</v>
          </cell>
        </row>
        <row r="19478">
          <cell r="G19478" t="str">
            <v>ASV5415</v>
          </cell>
          <cell r="H19478" t="str">
            <v>g__Lactobacillus</v>
          </cell>
          <cell r="I19478" t="str">
            <v>s__unclassified_g__Lactobacillus</v>
          </cell>
        </row>
        <row r="19479">
          <cell r="G19479" t="str">
            <v>ASV22946</v>
          </cell>
          <cell r="H19479" t="str">
            <v>g__Streptomyces</v>
          </cell>
          <cell r="I19479" t="str">
            <v>s__unclassified_g__Streptomyces</v>
          </cell>
        </row>
        <row r="19480">
          <cell r="G19480" t="str">
            <v>ASV21074</v>
          </cell>
          <cell r="H19480" t="str">
            <v>g__unclassified_f__Lachnospiraceae</v>
          </cell>
          <cell r="I19480" t="str">
            <v>s__unclassified_f__Lachnospiraceae</v>
          </cell>
        </row>
        <row r="19481">
          <cell r="G19481" t="str">
            <v>ASV22992</v>
          </cell>
          <cell r="H19481" t="str">
            <v>g__Lactobacillus</v>
          </cell>
          <cell r="I19481" t="str">
            <v>s__unclassified_g__Lactobacillus</v>
          </cell>
        </row>
        <row r="19482">
          <cell r="G19482" t="str">
            <v>ASV12126</v>
          </cell>
          <cell r="H19482" t="str">
            <v>g__unclassified_k__norank_d__Bacteria</v>
          </cell>
          <cell r="I19482" t="str">
            <v>s__unclassified_k__norank_d__Bacteria</v>
          </cell>
        </row>
        <row r="19483">
          <cell r="G19483" t="str">
            <v>ASV3709</v>
          </cell>
          <cell r="H19483" t="str">
            <v>g__Bacteroides</v>
          </cell>
          <cell r="I19483" t="str">
            <v>s__unclassified_g__Bacteroides</v>
          </cell>
        </row>
        <row r="19484">
          <cell r="G19484" t="str">
            <v>ASV3556</v>
          </cell>
          <cell r="H19484" t="str">
            <v>g__unclassified_o__Lactobacillales</v>
          </cell>
          <cell r="I19484" t="str">
            <v>s__unclassified_o__Lactobacillales</v>
          </cell>
        </row>
        <row r="19485">
          <cell r="G19485" t="str">
            <v>ASV4307</v>
          </cell>
          <cell r="H19485" t="str">
            <v>g__unclassified_o__Peptostreptococcales-Tissierellales</v>
          </cell>
          <cell r="I19485" t="str">
            <v>s__unclassified_o__Peptostreptococcales-Tissierellales</v>
          </cell>
        </row>
        <row r="19486">
          <cell r="G19486" t="str">
            <v>ASV6932</v>
          </cell>
          <cell r="H19486" t="str">
            <v>g__unclassified_f__Lachnospiraceae</v>
          </cell>
          <cell r="I19486" t="str">
            <v>s__unclassified_f__Lachnospiraceae</v>
          </cell>
        </row>
        <row r="19487">
          <cell r="G19487" t="str">
            <v>ASV16732</v>
          </cell>
          <cell r="H19487" t="str">
            <v>g__unclassified_k__norank_d__Bacteria</v>
          </cell>
          <cell r="I19487" t="str">
            <v>s__unclassified_k__norank_d__Bacteria</v>
          </cell>
        </row>
        <row r="19488">
          <cell r="G19488" t="str">
            <v>ASV20485</v>
          </cell>
          <cell r="H19488" t="str">
            <v>g__unclassified_o__Saccharimonadales</v>
          </cell>
          <cell r="I19488" t="str">
            <v>s__unclassified_o__Saccharimonadales</v>
          </cell>
        </row>
        <row r="19489">
          <cell r="G19489" t="str">
            <v>ASV12429</v>
          </cell>
          <cell r="H19489" t="str">
            <v>g__norank_f__Eubacterium_coprostanoligenes_group</v>
          </cell>
          <cell r="I19489" t="str">
            <v>s__unclassified_g__norank_f__Eubacterium_coprostanoligenes_group</v>
          </cell>
        </row>
        <row r="19490">
          <cell r="G19490" t="str">
            <v>ASV1311</v>
          </cell>
          <cell r="H19490" t="str">
            <v>g__unclassified_p__Firmicutes</v>
          </cell>
          <cell r="I19490" t="str">
            <v>s__unclassified_p__Firmicutes</v>
          </cell>
        </row>
        <row r="19491">
          <cell r="G19491" t="str">
            <v>ASV1179</v>
          </cell>
          <cell r="H19491" t="str">
            <v>g__Staphylococcus</v>
          </cell>
          <cell r="I19491" t="str">
            <v>s__unclassified_g__Staphylococcus</v>
          </cell>
        </row>
        <row r="19492">
          <cell r="G19492" t="str">
            <v>ASV14808</v>
          </cell>
          <cell r="H19492" t="str">
            <v>g__unclassified_f__Rikenellaceae</v>
          </cell>
          <cell r="I19492" t="str">
            <v>s__unclassified_f__Rikenellaceae</v>
          </cell>
        </row>
        <row r="19493">
          <cell r="G19493" t="str">
            <v>ASV3273</v>
          </cell>
          <cell r="H19493" t="str">
            <v>g__unclassified_k__norank_d__Bacteria</v>
          </cell>
          <cell r="I19493" t="str">
            <v>s__unclassified_k__norank_d__Bacteria</v>
          </cell>
        </row>
        <row r="19494">
          <cell r="G19494" t="str">
            <v>ASV17328</v>
          </cell>
          <cell r="H19494" t="str">
            <v>g__Lactobacillus</v>
          </cell>
          <cell r="I19494" t="str">
            <v>s__unclassified_g__Lactobacillus</v>
          </cell>
        </row>
        <row r="19495">
          <cell r="G19495" t="str">
            <v>ASV22858</v>
          </cell>
          <cell r="H19495" t="str">
            <v>g__Lachnospiraceae_NC2004_group</v>
          </cell>
          <cell r="I19495" t="str">
            <v>s__uncultured_bacterium_g__Lachnospiraceae_NC2004_group</v>
          </cell>
        </row>
        <row r="19496">
          <cell r="G19496" t="str">
            <v>ASV3349</v>
          </cell>
          <cell r="H19496" t="str">
            <v>g__unclassified_p__Firmicutes</v>
          </cell>
          <cell r="I19496" t="str">
            <v>s__unclassified_p__Firmicutes</v>
          </cell>
        </row>
        <row r="19497">
          <cell r="G19497" t="str">
            <v>ASV18661</v>
          </cell>
          <cell r="H19497" t="str">
            <v>g__Fusobacterium</v>
          </cell>
          <cell r="I19497" t="str">
            <v>s__unclassified_g__Fusobacterium</v>
          </cell>
        </row>
        <row r="19498">
          <cell r="G19498" t="str">
            <v>ASV3394</v>
          </cell>
          <cell r="H19498" t="str">
            <v>g__Ruminococcus</v>
          </cell>
          <cell r="I19498" t="str">
            <v>s__gut_metagenome_g__Ruminococcus</v>
          </cell>
        </row>
        <row r="19499">
          <cell r="G19499" t="str">
            <v>ASV5398</v>
          </cell>
          <cell r="H19499" t="str">
            <v>g__Eubacterium_oxidoreducens_group</v>
          </cell>
          <cell r="I19499" t="str">
            <v>s__uncultured_bacterium_g__Eubacterium_oxidoreducens_group</v>
          </cell>
        </row>
        <row r="19500">
          <cell r="G19500" t="str">
            <v>ASV6973</v>
          </cell>
          <cell r="H19500" t="str">
            <v>g__norank_f__Oscillospiraceae</v>
          </cell>
          <cell r="I19500" t="str">
            <v>s__unclassified_g__norank_f__Oscillospiraceae</v>
          </cell>
        </row>
        <row r="19501">
          <cell r="G19501" t="str">
            <v>ASV3397</v>
          </cell>
          <cell r="H19501" t="str">
            <v>g__unclassified_f__Lachnospiraceae</v>
          </cell>
          <cell r="I19501" t="str">
            <v>s__unclassified_f__Lachnospiraceae</v>
          </cell>
        </row>
        <row r="19502">
          <cell r="G19502" t="str">
            <v>ASV11081</v>
          </cell>
          <cell r="H19502" t="str">
            <v>g__unclassified_c__Clostridia</v>
          </cell>
          <cell r="I19502" t="str">
            <v>s__unclassified_c__Clostridia</v>
          </cell>
        </row>
        <row r="19503">
          <cell r="G19503" t="str">
            <v>ASV7107</v>
          </cell>
          <cell r="H19503" t="str">
            <v>g__Streptococcus</v>
          </cell>
          <cell r="I19503" t="str">
            <v>s__unclassified_g__Streptococcus</v>
          </cell>
        </row>
        <row r="19504">
          <cell r="G19504" t="str">
            <v>ASV16694</v>
          </cell>
          <cell r="H19504" t="str">
            <v>g__Christensenellaceae_R-7_group</v>
          </cell>
          <cell r="I19504" t="str">
            <v>s__unclassified_g__Christensenellaceae_R-7_group</v>
          </cell>
        </row>
        <row r="19505">
          <cell r="G19505" t="str">
            <v>ASV23607</v>
          </cell>
          <cell r="H19505" t="str">
            <v>g__unclassified_p__Firmicutes</v>
          </cell>
          <cell r="I19505" t="str">
            <v>s__unclassified_p__Firmicutes</v>
          </cell>
        </row>
        <row r="19506">
          <cell r="G19506" t="str">
            <v>ASV12381</v>
          </cell>
          <cell r="H19506" t="str">
            <v>g__unclassified_f__Lachnospiraceae</v>
          </cell>
          <cell r="I19506" t="str">
            <v>s__unclassified_f__Lachnospiraceae</v>
          </cell>
        </row>
        <row r="19507">
          <cell r="G19507" t="str">
            <v>ASV22549</v>
          </cell>
          <cell r="H19507" t="str">
            <v>g__unclassified_f__Lachnospiraceae</v>
          </cell>
          <cell r="I19507" t="str">
            <v>s__unclassified_f__Lachnospiraceae</v>
          </cell>
        </row>
        <row r="19508">
          <cell r="G19508" t="str">
            <v>ASV2514</v>
          </cell>
          <cell r="H19508" t="str">
            <v>g__Streptococcus</v>
          </cell>
          <cell r="I19508" t="str">
            <v>s__unclassified_g__Streptococcus</v>
          </cell>
        </row>
        <row r="19509">
          <cell r="G19509" t="str">
            <v>ASV13758</v>
          </cell>
          <cell r="H19509" t="str">
            <v>g__Anaerovibrio</v>
          </cell>
          <cell r="I19509" t="str">
            <v>s__unclassified_g__Anaerovibrio</v>
          </cell>
        </row>
        <row r="19510">
          <cell r="G19510" t="str">
            <v>ASV9654</v>
          </cell>
          <cell r="H19510" t="str">
            <v>g__unclassified_c__Clostridia</v>
          </cell>
          <cell r="I19510" t="str">
            <v>s__unclassified_c__Clostridia</v>
          </cell>
        </row>
        <row r="19511">
          <cell r="G19511" t="str">
            <v>ASV17042</v>
          </cell>
          <cell r="H19511" t="str">
            <v>g__unclassified_c__Bacilli</v>
          </cell>
          <cell r="I19511" t="str">
            <v>s__unclassified_c__Bacilli</v>
          </cell>
        </row>
        <row r="19512">
          <cell r="G19512" t="str">
            <v>ASV2553</v>
          </cell>
          <cell r="H19512" t="str">
            <v>g__unclassified_o__Oscillospirales</v>
          </cell>
          <cell r="I19512" t="str">
            <v>s__unclassified_o__Oscillospirales</v>
          </cell>
        </row>
        <row r="19513">
          <cell r="G19513" t="str">
            <v>ASV20331</v>
          </cell>
          <cell r="H19513" t="str">
            <v>g__unclassified_f__Pasteurellaceae</v>
          </cell>
          <cell r="I19513" t="str">
            <v>s__unclassified_f__Pasteurellaceae</v>
          </cell>
        </row>
        <row r="19514">
          <cell r="G19514" t="str">
            <v>ASV12213</v>
          </cell>
          <cell r="H19514" t="str">
            <v>g__unclassified_c__Clostridia</v>
          </cell>
          <cell r="I19514" t="str">
            <v>s__unclassified_c__Clostridia</v>
          </cell>
        </row>
        <row r="19515">
          <cell r="G19515" t="str">
            <v>ASV18325</v>
          </cell>
          <cell r="H19515" t="str">
            <v>g__unclassified_f__Lachnospiraceae</v>
          </cell>
          <cell r="I19515" t="str">
            <v>s__unclassified_f__Lachnospiraceae</v>
          </cell>
        </row>
        <row r="19516">
          <cell r="G19516" t="str">
            <v>ASV12262</v>
          </cell>
          <cell r="H19516" t="str">
            <v>g__unclassified_c__Clostridia</v>
          </cell>
          <cell r="I19516" t="str">
            <v>s__unclassified_c__Clostridia</v>
          </cell>
        </row>
        <row r="19517">
          <cell r="G19517" t="str">
            <v>ASV3712</v>
          </cell>
          <cell r="H19517" t="str">
            <v>g__Macrococcus</v>
          </cell>
          <cell r="I19517" t="str">
            <v>s__unclassified_g__Macrococcus</v>
          </cell>
        </row>
        <row r="19518">
          <cell r="G19518" t="str">
            <v>ASV21047</v>
          </cell>
          <cell r="H19518" t="str">
            <v>g__unclassified_f__Lachnospiraceae</v>
          </cell>
          <cell r="I19518" t="str">
            <v>s__unclassified_f__Lachnospiraceae</v>
          </cell>
        </row>
        <row r="19519">
          <cell r="G19519" t="str">
            <v>ASV4247</v>
          </cell>
          <cell r="H19519" t="str">
            <v>g__unclassified_f__Lachnospiraceae</v>
          </cell>
          <cell r="I19519" t="str">
            <v>s__unclassified_f__Lachnospiraceae</v>
          </cell>
        </row>
        <row r="19520">
          <cell r="G19520" t="str">
            <v>ASV13190</v>
          </cell>
          <cell r="H19520" t="str">
            <v>g__unclassified_f__Clostridiaceae</v>
          </cell>
          <cell r="I19520" t="str">
            <v>s__unclassified_f__Clostridiaceae</v>
          </cell>
        </row>
        <row r="19521">
          <cell r="G19521" t="str">
            <v>ASV20302</v>
          </cell>
          <cell r="H19521" t="str">
            <v>g__Enterococcus</v>
          </cell>
          <cell r="I19521" t="str">
            <v>s__unclassified_g__Enterococcus</v>
          </cell>
        </row>
        <row r="19522">
          <cell r="G19522" t="str">
            <v>ASV4292</v>
          </cell>
          <cell r="H19522" t="str">
            <v>g__norank_f__UCG-011</v>
          </cell>
          <cell r="I19522" t="str">
            <v>s__uncultured_bacterium_g__norank_f__UCG-011</v>
          </cell>
        </row>
        <row r="19523">
          <cell r="G19523" t="str">
            <v>ASV24273</v>
          </cell>
          <cell r="H19523" t="str">
            <v>g__unclassified_o__Saccharimonadales</v>
          </cell>
          <cell r="I19523" t="str">
            <v>s__unclassified_o__Saccharimonadales</v>
          </cell>
        </row>
        <row r="19524">
          <cell r="G19524" t="str">
            <v>ASV23703</v>
          </cell>
          <cell r="H19524" t="str">
            <v>g__Christensenellaceae_R-7_group</v>
          </cell>
          <cell r="I19524" t="str">
            <v>s__unclassified_g__Christensenellaceae_R-7_group</v>
          </cell>
        </row>
        <row r="19525">
          <cell r="G19525" t="str">
            <v>ASV5223</v>
          </cell>
          <cell r="H19525" t="str">
            <v>g__unclassified_k__norank_d__Bacteria</v>
          </cell>
          <cell r="I19525" t="str">
            <v>s__unclassified_k__norank_d__Bacteria</v>
          </cell>
        </row>
        <row r="19526">
          <cell r="G19526" t="str">
            <v>ASV8129</v>
          </cell>
          <cell r="H19526" t="str">
            <v>g__Streptococcus</v>
          </cell>
          <cell r="I19526" t="str">
            <v>s__unclassified_g__Streptococcus</v>
          </cell>
        </row>
        <row r="19527">
          <cell r="G19527" t="str">
            <v>ASV16123</v>
          </cell>
          <cell r="H19527" t="str">
            <v>g__unclassified_f__Lachnospiraceae</v>
          </cell>
          <cell r="I19527" t="str">
            <v>s__unclassified_f__Lachnospiraceae</v>
          </cell>
        </row>
        <row r="19528">
          <cell r="G19528" t="str">
            <v>ASV19174</v>
          </cell>
          <cell r="H19528" t="str">
            <v>g__Deinococcus</v>
          </cell>
          <cell r="I19528" t="str">
            <v>s__unclassified_g__Deinococcus</v>
          </cell>
        </row>
        <row r="19529">
          <cell r="G19529" t="str">
            <v>ASV17100</v>
          </cell>
          <cell r="H19529" t="str">
            <v>g__Campylobacter</v>
          </cell>
          <cell r="I19529" t="str">
            <v>s__unclassified_g__Campylobacter</v>
          </cell>
        </row>
        <row r="19530">
          <cell r="G19530" t="str">
            <v>ASV1239</v>
          </cell>
          <cell r="H19530" t="str">
            <v>g__unclassified_f__Lachnospiraceae</v>
          </cell>
          <cell r="I19530" t="str">
            <v>s__unclassified_f__Lachnospiraceae</v>
          </cell>
        </row>
        <row r="19531">
          <cell r="G19531" t="str">
            <v>ASV3331</v>
          </cell>
          <cell r="H19531" t="str">
            <v>g__unclassified_p__Firmicutes</v>
          </cell>
          <cell r="I19531" t="str">
            <v>s__unclassified_p__Firmicutes</v>
          </cell>
        </row>
        <row r="19532">
          <cell r="G19532" t="str">
            <v>ASV6864</v>
          </cell>
          <cell r="H19532" t="str">
            <v>g__unclassified_k__norank_d__Bacteria</v>
          </cell>
          <cell r="I19532" t="str">
            <v>s__unclassified_k__norank_d__Bacteria</v>
          </cell>
        </row>
        <row r="19533">
          <cell r="G19533" t="str">
            <v>ASV10226</v>
          </cell>
          <cell r="H19533" t="str">
            <v>g__Acidaminococcus</v>
          </cell>
          <cell r="I19533" t="str">
            <v>s__unclassified_g__Acidaminococcus</v>
          </cell>
        </row>
        <row r="19534">
          <cell r="G19534" t="str">
            <v>ASV1141</v>
          </cell>
          <cell r="H19534" t="str">
            <v>g__dgA-11_gut_group</v>
          </cell>
          <cell r="I19534" t="str">
            <v>s__uncultured_Bacteroidales_bacterium_g__dgA-11_gut_group</v>
          </cell>
        </row>
        <row r="19535">
          <cell r="G19535" t="str">
            <v>ASV15869</v>
          </cell>
          <cell r="H19535" t="str">
            <v>g__Collinsella</v>
          </cell>
          <cell r="I19535" t="str">
            <v>s__unclassified_g__Collinsella</v>
          </cell>
        </row>
        <row r="19536">
          <cell r="G19536" t="str">
            <v>ASV11012</v>
          </cell>
          <cell r="H19536" t="str">
            <v>g__unclassified_c__Clostridia</v>
          </cell>
          <cell r="I19536" t="str">
            <v>s__unclassified_c__Clostridia</v>
          </cell>
        </row>
        <row r="19537">
          <cell r="G19537" t="str">
            <v>ASV9790</v>
          </cell>
          <cell r="H19537" t="str">
            <v>g__Christensenellaceae_R-7_group</v>
          </cell>
          <cell r="I19537" t="str">
            <v>s__unclassified_g__Christensenellaceae_R-7_group</v>
          </cell>
        </row>
        <row r="19538">
          <cell r="G19538" t="str">
            <v>ASV23782</v>
          </cell>
          <cell r="H19538" t="str">
            <v>g__Catenisphaera</v>
          </cell>
          <cell r="I19538" t="str">
            <v>s__uncultured_rumen_bacterium_g__Catenisphaera</v>
          </cell>
        </row>
        <row r="19539">
          <cell r="G19539" t="str">
            <v>ASV20192</v>
          </cell>
          <cell r="H19539" t="str">
            <v>g__unclassified_f__Lachnospiraceae</v>
          </cell>
          <cell r="I19539" t="str">
            <v>s__unclassified_f__Lachnospiraceae</v>
          </cell>
        </row>
        <row r="19540">
          <cell r="G19540" t="str">
            <v>ASV1281</v>
          </cell>
          <cell r="H19540" t="str">
            <v>g__unclassified_c__Bacilli</v>
          </cell>
          <cell r="I19540" t="str">
            <v>s__unclassified_c__Bacilli</v>
          </cell>
        </row>
        <row r="19541">
          <cell r="G19541" t="str">
            <v>ASV12998</v>
          </cell>
          <cell r="H19541" t="str">
            <v>g__Arcanobacterium</v>
          </cell>
          <cell r="I19541" t="str">
            <v>s__unclassified_g__Arcanobacterium</v>
          </cell>
        </row>
        <row r="19542">
          <cell r="G19542" t="str">
            <v>ASV23676</v>
          </cell>
          <cell r="H19542" t="str">
            <v>g__unclassified_f__Lachnospiraceae</v>
          </cell>
          <cell r="I19542" t="str">
            <v>s__unclassified_f__Lachnospiraceae</v>
          </cell>
        </row>
        <row r="19543">
          <cell r="G19543" t="str">
            <v>ASV5249</v>
          </cell>
          <cell r="H19543" t="str">
            <v>g__unclassified_f__Lachnospiraceae</v>
          </cell>
          <cell r="I19543" t="str">
            <v>s__unclassified_f__Lachnospiraceae</v>
          </cell>
        </row>
        <row r="19544">
          <cell r="G19544" t="str">
            <v>ASV9821</v>
          </cell>
          <cell r="H19544" t="str">
            <v>g__norank_f__Muribaculaceae</v>
          </cell>
          <cell r="I19544" t="str">
            <v>s__uncultured_bacterium_g__norank_f__Muribaculaceae</v>
          </cell>
        </row>
        <row r="19545">
          <cell r="G19545" t="str">
            <v>ASV5178</v>
          </cell>
          <cell r="H19545" t="str">
            <v>g__Christensenellaceae_R-7_group</v>
          </cell>
          <cell r="I19545" t="str">
            <v>s__unclassified_g__Christensenellaceae_R-7_group</v>
          </cell>
        </row>
        <row r="19546">
          <cell r="G19546" t="str">
            <v>ASV17079</v>
          </cell>
          <cell r="H19546" t="str">
            <v>g__Terrisporobacter</v>
          </cell>
          <cell r="I19546" t="str">
            <v>s__unclassified_g__Terrisporobacter</v>
          </cell>
        </row>
        <row r="19547">
          <cell r="G19547" t="str">
            <v>ASV4328</v>
          </cell>
          <cell r="H19547" t="str">
            <v>g__unclassified_c__Clostridia</v>
          </cell>
          <cell r="I19547" t="str">
            <v>s__unclassified_c__Clostridia</v>
          </cell>
        </row>
        <row r="19548">
          <cell r="G19548" t="str">
            <v>ASV19944</v>
          </cell>
          <cell r="H19548" t="str">
            <v>g__Bacteroides</v>
          </cell>
          <cell r="I19548" t="str">
            <v>s__unclassified_g__Bacteroides</v>
          </cell>
        </row>
        <row r="19549">
          <cell r="G19549" t="str">
            <v>ASV8143</v>
          </cell>
          <cell r="H19549" t="str">
            <v>g__unclassified_c__Clostridia</v>
          </cell>
          <cell r="I19549" t="str">
            <v>s__unclassified_c__Clostridia</v>
          </cell>
        </row>
        <row r="19550">
          <cell r="G19550" t="str">
            <v>ASV18961</v>
          </cell>
          <cell r="H19550" t="str">
            <v>g__unclassified_k__norank_d__Bacteria</v>
          </cell>
          <cell r="I19550" t="str">
            <v>s__unclassified_k__norank_d__Bacteria</v>
          </cell>
        </row>
        <row r="19551">
          <cell r="G19551" t="str">
            <v>ASV3690</v>
          </cell>
          <cell r="H19551" t="str">
            <v>g__unclassified_f__Prevotellaceae</v>
          </cell>
          <cell r="I19551" t="str">
            <v>s__unclassified_f__Prevotellaceae</v>
          </cell>
        </row>
        <row r="19552">
          <cell r="G19552" t="str">
            <v>ASV6245</v>
          </cell>
          <cell r="H19552" t="str">
            <v>g__norank_f__norank_o__RF39</v>
          </cell>
          <cell r="I19552" t="str">
            <v>s__uncultured_bacterium_g__norank_f__norank_o__RF39</v>
          </cell>
        </row>
        <row r="19553">
          <cell r="G19553" t="str">
            <v>ASV15764</v>
          </cell>
          <cell r="H19553" t="str">
            <v>g__unclassified_f__Lachnospiraceae</v>
          </cell>
          <cell r="I19553" t="str">
            <v>s__unclassified_f__Lachnospiraceae</v>
          </cell>
        </row>
        <row r="19554">
          <cell r="G19554" t="str">
            <v>ASV10108</v>
          </cell>
          <cell r="H19554" t="str">
            <v>g__unclassified_f__Peptostreptococcaceae</v>
          </cell>
          <cell r="I19554" t="str">
            <v>s__unclassified_f__Peptostreptococcaceae</v>
          </cell>
        </row>
        <row r="19555">
          <cell r="G19555" t="str">
            <v>ASV19925</v>
          </cell>
          <cell r="H19555" t="str">
            <v>g__Christensenellaceae_R-7_group</v>
          </cell>
          <cell r="I19555" t="str">
            <v>s__unclassified_g__Christensenellaceae_R-7_group</v>
          </cell>
        </row>
        <row r="19556">
          <cell r="G19556" t="str">
            <v>ASV4296</v>
          </cell>
          <cell r="H19556" t="str">
            <v>g__unclassified_c__Clostridia</v>
          </cell>
          <cell r="I19556" t="str">
            <v>s__unclassified_c__Clostridia</v>
          </cell>
        </row>
        <row r="19557">
          <cell r="G19557" t="str">
            <v>ASV6467</v>
          </cell>
          <cell r="H19557" t="str">
            <v>g__Clostridium_sensu_stricto_1</v>
          </cell>
          <cell r="I19557" t="str">
            <v>s__unclassified_g__Clostridium_sensu_stricto_1</v>
          </cell>
        </row>
        <row r="19558">
          <cell r="G19558" t="str">
            <v>ASV18999</v>
          </cell>
          <cell r="H19558" t="str">
            <v>g__UCG-002</v>
          </cell>
          <cell r="I19558" t="str">
            <v>s__uncultured_bacterium_g__UCG-002</v>
          </cell>
        </row>
        <row r="19559">
          <cell r="G19559" t="str">
            <v>ASV17392</v>
          </cell>
          <cell r="H19559" t="str">
            <v>g__norank_f__norank_o__Clostridia_vadinBB60_group</v>
          </cell>
          <cell r="I19559" t="str">
            <v>s__unclassified_g__norank_f__norank_o__Clostridia_vadinBB60_group</v>
          </cell>
        </row>
        <row r="19560">
          <cell r="G19560" t="str">
            <v>ASV16099</v>
          </cell>
          <cell r="H19560" t="str">
            <v>g__unclassified_f__Lachnospiraceae</v>
          </cell>
          <cell r="I19560" t="str">
            <v>s__unclassified_f__Lachnospiraceae</v>
          </cell>
        </row>
        <row r="19561">
          <cell r="G19561" t="str">
            <v>ASV22981</v>
          </cell>
          <cell r="H19561" t="str">
            <v>g__Lachnoclostridium</v>
          </cell>
          <cell r="I19561" t="str">
            <v>s__unclassified_g__Lachnoclostridium</v>
          </cell>
        </row>
        <row r="19562">
          <cell r="G19562" t="str">
            <v>ASV13613</v>
          </cell>
          <cell r="H19562" t="str">
            <v>g__unclassified_c__Bacilli</v>
          </cell>
          <cell r="I19562" t="str">
            <v>s__unclassified_c__Bacilli</v>
          </cell>
        </row>
        <row r="19563">
          <cell r="G19563" t="str">
            <v>ASV23717</v>
          </cell>
          <cell r="H19563" t="str">
            <v>g__Clostridium_sensu_stricto_1</v>
          </cell>
          <cell r="I19563" t="str">
            <v>s__unclassified_g__Clostridium_sensu_stricto_1</v>
          </cell>
        </row>
        <row r="19564">
          <cell r="G19564" t="str">
            <v>ASV16145</v>
          </cell>
          <cell r="H19564" t="str">
            <v>g__Acidaminococcus</v>
          </cell>
          <cell r="I19564" t="str">
            <v>s__unclassified_g__Acidaminococcus</v>
          </cell>
        </row>
        <row r="19565">
          <cell r="G19565" t="str">
            <v>ASV13170</v>
          </cell>
          <cell r="H19565" t="str">
            <v>g__unclassified_c__Clostridia</v>
          </cell>
          <cell r="I19565" t="str">
            <v>s__unclassified_c__Clostridia</v>
          </cell>
        </row>
        <row r="19566">
          <cell r="G19566" t="str">
            <v>ASV21088</v>
          </cell>
          <cell r="H19566" t="str">
            <v>g__Clostridium_sensu_stricto_1</v>
          </cell>
          <cell r="I19566" t="str">
            <v>s__unclassified_g__Clostridium_sensu_stricto_1</v>
          </cell>
        </row>
        <row r="19567">
          <cell r="G19567" t="str">
            <v>ASV9839</v>
          </cell>
          <cell r="H19567" t="str">
            <v>g__Lactobacillus</v>
          </cell>
          <cell r="I19567" t="str">
            <v>s__unclassified_g__Lactobacillus</v>
          </cell>
        </row>
        <row r="19568">
          <cell r="G19568" t="str">
            <v>ASV2466</v>
          </cell>
          <cell r="H19568" t="str">
            <v>g__Staphylococcus</v>
          </cell>
          <cell r="I19568" t="str">
            <v>s__unclassified_g__Staphylococcus</v>
          </cell>
        </row>
        <row r="19569">
          <cell r="G19569" t="str">
            <v>ASV21091</v>
          </cell>
          <cell r="H19569" t="str">
            <v>g__unclassified_c__Clostridia</v>
          </cell>
          <cell r="I19569" t="str">
            <v>s__unclassified_c__Clostridia</v>
          </cell>
        </row>
        <row r="19570">
          <cell r="G19570" t="str">
            <v>ASV23577</v>
          </cell>
          <cell r="H19570" t="str">
            <v>g__Atopobium</v>
          </cell>
          <cell r="I19570" t="str">
            <v>s__unclassified_g__Atopobium</v>
          </cell>
        </row>
        <row r="19571">
          <cell r="G19571" t="str">
            <v>ASV9081</v>
          </cell>
          <cell r="H19571" t="str">
            <v>g__Lachnospiraceae_UCG-004</v>
          </cell>
          <cell r="I19571" t="str">
            <v>s__uncultured_bacterium_g__Lachnospiraceae_UCG-004</v>
          </cell>
        </row>
        <row r="19572">
          <cell r="G19572" t="str">
            <v>ASV21042</v>
          </cell>
          <cell r="H19572" t="str">
            <v>g__unclassified_p__Firmicutes</v>
          </cell>
          <cell r="I19572" t="str">
            <v>s__unclassified_p__Firmicutes</v>
          </cell>
        </row>
        <row r="19573">
          <cell r="G19573" t="str">
            <v>ASV17331</v>
          </cell>
          <cell r="H19573" t="str">
            <v>g__Veillonella</v>
          </cell>
          <cell r="I19573" t="str">
            <v>s__unclassified_g__Veillonella</v>
          </cell>
        </row>
        <row r="19574">
          <cell r="G19574" t="str">
            <v>ASV24016</v>
          </cell>
          <cell r="H19574" t="str">
            <v>g__unclassified_c__Gammaproteobacteria</v>
          </cell>
          <cell r="I19574" t="str">
            <v>s__unclassified_c__Gammaproteobacteria</v>
          </cell>
        </row>
        <row r="19575">
          <cell r="G19575" t="str">
            <v>ASV20076</v>
          </cell>
          <cell r="H19575" t="str">
            <v>g__norank_f__Eubacterium_coprostanoligenes_group</v>
          </cell>
          <cell r="I19575" t="str">
            <v>s__uncultured_bacterium_g__norank_f__Eubacterium_coprostanoligenes_group</v>
          </cell>
        </row>
        <row r="19576">
          <cell r="G19576" t="str">
            <v>ASV13541</v>
          </cell>
          <cell r="H19576" t="str">
            <v>g__norank_f__Eubacterium_coprostanoligenes_group</v>
          </cell>
          <cell r="I19576" t="str">
            <v>s__uncultured_bacterium_g__norank_f__Eubacterium_coprostanoligenes_group</v>
          </cell>
        </row>
        <row r="19577">
          <cell r="G19577" t="str">
            <v>ASV8082</v>
          </cell>
          <cell r="H19577" t="str">
            <v>g__norank_f__UCG-011</v>
          </cell>
          <cell r="I19577" t="str">
            <v>s__uncultured_bacterium_g__norank_f__UCG-011</v>
          </cell>
        </row>
        <row r="19578">
          <cell r="G19578" t="str">
            <v>ASV15597</v>
          </cell>
          <cell r="H19578" t="str">
            <v>g__unclassified_c__Clostridia</v>
          </cell>
          <cell r="I19578" t="str">
            <v>s__unclassified_c__Clostridia</v>
          </cell>
        </row>
        <row r="19579">
          <cell r="G19579" t="str">
            <v>ASV15695</v>
          </cell>
          <cell r="H19579" t="str">
            <v>g__unclassified_f__Lachnospiraceae</v>
          </cell>
          <cell r="I19579" t="str">
            <v>s__unclassified_f__Lachnospiraceae</v>
          </cell>
        </row>
        <row r="19580">
          <cell r="G19580" t="str">
            <v>ASV13174</v>
          </cell>
          <cell r="H19580" t="str">
            <v>g__unclassified_f__Ruminococcaceae</v>
          </cell>
          <cell r="I19580" t="str">
            <v>s__unclassified_f__Ruminococcaceae</v>
          </cell>
        </row>
        <row r="19581">
          <cell r="G19581" t="str">
            <v>ASV9057</v>
          </cell>
          <cell r="H19581" t="str">
            <v>g__Rikenellaceae_RC9_gut_group</v>
          </cell>
          <cell r="I19581" t="str">
            <v>s__uncultured_bacterium_g__Rikenellaceae_RC9_gut_group</v>
          </cell>
        </row>
        <row r="19582">
          <cell r="G19582" t="str">
            <v>ASV15706</v>
          </cell>
          <cell r="H19582" t="str">
            <v>g__unclassified_o__Peptostreptococcales-Tissierellales</v>
          </cell>
          <cell r="I19582" t="str">
            <v>s__unclassified_o__Peptostreptococcales-Tissierellales</v>
          </cell>
        </row>
        <row r="19583">
          <cell r="G19583" t="str">
            <v>ASV3335</v>
          </cell>
          <cell r="H19583" t="str">
            <v>g__Lactobacillus</v>
          </cell>
          <cell r="I19583" t="str">
            <v>s__unclassified_g__Lactobacillus</v>
          </cell>
        </row>
        <row r="19584">
          <cell r="G19584" t="str">
            <v>ASV20017</v>
          </cell>
          <cell r="H19584" t="str">
            <v>g__Enterococcus</v>
          </cell>
          <cell r="I19584" t="str">
            <v>s__unclassified_g__Enterococcus</v>
          </cell>
        </row>
        <row r="19585">
          <cell r="G19585" t="str">
            <v>ASV18270</v>
          </cell>
          <cell r="H19585" t="str">
            <v>g__norank_f__Peptococcaceae</v>
          </cell>
          <cell r="I19585" t="str">
            <v>s__metagenome_g__norank_f__Peptococcaceae</v>
          </cell>
        </row>
        <row r="19586">
          <cell r="G19586" t="str">
            <v>ASV20309</v>
          </cell>
          <cell r="H19586" t="str">
            <v>g__Streptococcus</v>
          </cell>
          <cell r="I19586" t="str">
            <v>s__unclassified_g__Streptococcus</v>
          </cell>
        </row>
        <row r="19587">
          <cell r="G19587" t="str">
            <v>ASV6435</v>
          </cell>
          <cell r="H19587" t="str">
            <v>g__unclassified_f__Lachnospiraceae</v>
          </cell>
          <cell r="I19587" t="str">
            <v>s__unclassified_f__Lachnospiraceae</v>
          </cell>
        </row>
        <row r="19588">
          <cell r="G19588" t="str">
            <v>ASV1278</v>
          </cell>
          <cell r="H19588" t="str">
            <v>g__unclassified_f__Oscillospiraceae</v>
          </cell>
          <cell r="I19588" t="str">
            <v>s__unclassified_f__Oscillospiraceae</v>
          </cell>
        </row>
        <row r="19589">
          <cell r="G19589" t="str">
            <v>ASV18349</v>
          </cell>
          <cell r="H19589" t="str">
            <v>g__unclassified_f__Ruminococcaceae</v>
          </cell>
          <cell r="I19589" t="str">
            <v>s__unclassified_f__Ruminococcaceae</v>
          </cell>
        </row>
        <row r="19590">
          <cell r="G19590" t="str">
            <v>ASV19135</v>
          </cell>
          <cell r="H19590" t="str">
            <v>g__unclassified_c__Clostridia</v>
          </cell>
          <cell r="I19590" t="str">
            <v>s__unclassified_c__Clostridia</v>
          </cell>
        </row>
        <row r="19591">
          <cell r="G19591" t="str">
            <v>ASV21509</v>
          </cell>
          <cell r="H19591" t="str">
            <v>g__unclassified_c__Bacilli</v>
          </cell>
          <cell r="I19591" t="str">
            <v>s__unclassified_c__Bacilli</v>
          </cell>
        </row>
        <row r="19592">
          <cell r="G19592" t="str">
            <v>ASV2455</v>
          </cell>
          <cell r="H19592" t="str">
            <v>g__unclassified_o__Saccharimonadales</v>
          </cell>
          <cell r="I19592" t="str">
            <v>s__unclassified_o__Saccharimonadales</v>
          </cell>
        </row>
        <row r="19593">
          <cell r="G19593" t="str">
            <v>ASV8079</v>
          </cell>
          <cell r="H19593" t="str">
            <v>g__Tonsilliphilus</v>
          </cell>
          <cell r="I19593" t="str">
            <v>s__Tonsilliphilus_suis</v>
          </cell>
        </row>
        <row r="19594">
          <cell r="G19594" t="str">
            <v>ASV24368</v>
          </cell>
          <cell r="H19594" t="str">
            <v>g__norank_f__norank_o__Clostridia_vadinBB60_group</v>
          </cell>
          <cell r="I19594" t="str">
            <v>s__unclassified_g__norank_f__norank_o__Clostridia_vadinBB60_group</v>
          </cell>
        </row>
        <row r="19595">
          <cell r="G19595" t="str">
            <v>ASV22708</v>
          </cell>
          <cell r="H19595" t="str">
            <v>g__norank_f__Muribaculaceae</v>
          </cell>
          <cell r="I19595" t="str">
            <v>s__uncultured_bacterium_g__norank_f__Muribaculaceae</v>
          </cell>
        </row>
        <row r="19596">
          <cell r="G19596" t="str">
            <v>ASV21683</v>
          </cell>
          <cell r="H19596" t="str">
            <v>g__unclassified_c__Clostridia</v>
          </cell>
          <cell r="I19596" t="str">
            <v>s__unclassified_c__Clostridia</v>
          </cell>
        </row>
        <row r="19597">
          <cell r="G19597" t="str">
            <v>ASV21043</v>
          </cell>
          <cell r="H19597" t="str">
            <v>g__unclassified_c__Clostridia</v>
          </cell>
          <cell r="I19597" t="str">
            <v>s__unclassified_c__Clostridia</v>
          </cell>
        </row>
        <row r="19598">
          <cell r="G19598" t="str">
            <v>ASV21314</v>
          </cell>
          <cell r="H19598" t="str">
            <v>g__unclassified_f__Lachnospiraceae</v>
          </cell>
          <cell r="I19598" t="str">
            <v>s__unclassified_f__Lachnospiraceae</v>
          </cell>
        </row>
        <row r="19599">
          <cell r="G19599" t="str">
            <v>ASV21532</v>
          </cell>
          <cell r="H19599" t="str">
            <v>g__unclassified_o__Lactobacillales</v>
          </cell>
          <cell r="I19599" t="str">
            <v>s__unclassified_o__Lactobacillales</v>
          </cell>
        </row>
        <row r="19600">
          <cell r="G19600" t="str">
            <v>ASV4240</v>
          </cell>
          <cell r="H19600" t="str">
            <v>g__unclassified_c__Clostridia</v>
          </cell>
          <cell r="I19600" t="str">
            <v>s__unclassified_c__Clostridia</v>
          </cell>
        </row>
        <row r="19601">
          <cell r="G19601" t="str">
            <v>ASV23535</v>
          </cell>
          <cell r="H19601" t="str">
            <v>g__unclassified_c__Bacilli</v>
          </cell>
          <cell r="I19601" t="str">
            <v>s__unclassified_c__Bacilli</v>
          </cell>
        </row>
        <row r="19602">
          <cell r="G19602" t="str">
            <v>ASV18273</v>
          </cell>
          <cell r="H19602" t="str">
            <v>g__unclassified_f__Oscillospiraceae</v>
          </cell>
          <cell r="I19602" t="str">
            <v>s__unclassified_f__Oscillospiraceae</v>
          </cell>
        </row>
        <row r="19603">
          <cell r="G19603" t="str">
            <v>ASV1336</v>
          </cell>
          <cell r="H19603" t="str">
            <v>g__Family_XIII_AD3011_group</v>
          </cell>
          <cell r="I19603" t="str">
            <v>s__uncultured_bacterium_g__Family_XIII_AD3011_group</v>
          </cell>
        </row>
        <row r="19604">
          <cell r="G19604" t="str">
            <v>ASV10950</v>
          </cell>
          <cell r="H19604" t="str">
            <v>g__unclassified_f__Lachnospiraceae</v>
          </cell>
          <cell r="I19604" t="str">
            <v>s__unclassified_f__Lachnospiraceae</v>
          </cell>
        </row>
        <row r="19605">
          <cell r="G19605" t="str">
            <v>ASV15586</v>
          </cell>
          <cell r="H19605" t="str">
            <v>g__unclassified_f__Lachnospiraceae</v>
          </cell>
          <cell r="I19605" t="str">
            <v>s__unclassified_f__Lachnospiraceae</v>
          </cell>
        </row>
        <row r="19606">
          <cell r="G19606" t="str">
            <v>ASV13647</v>
          </cell>
          <cell r="H19606" t="str">
            <v>g__unclassified_c__Clostridia</v>
          </cell>
          <cell r="I19606" t="str">
            <v>s__unclassified_c__Clostridia</v>
          </cell>
        </row>
        <row r="19607">
          <cell r="G19607" t="str">
            <v>ASV12065</v>
          </cell>
          <cell r="H19607" t="str">
            <v>g__unclassified_k__norank_d__Bacteria</v>
          </cell>
          <cell r="I19607" t="str">
            <v>s__unclassified_k__norank_d__Bacteria</v>
          </cell>
        </row>
        <row r="19608">
          <cell r="G19608" t="str">
            <v>ASV5450</v>
          </cell>
          <cell r="H19608" t="str">
            <v>g__unclassified_c__Clostridia</v>
          </cell>
          <cell r="I19608" t="str">
            <v>s__unclassified_c__Clostridia</v>
          </cell>
        </row>
        <row r="19609">
          <cell r="G19609" t="str">
            <v>ASV15693</v>
          </cell>
          <cell r="H19609" t="str">
            <v>g__unclassified_f__Lachnospiraceae</v>
          </cell>
          <cell r="I19609" t="str">
            <v>s__unclassified_f__Lachnospiraceae</v>
          </cell>
        </row>
        <row r="19610">
          <cell r="G19610" t="str">
            <v>ASV8045</v>
          </cell>
          <cell r="H19610" t="str">
            <v>g__norank_f__Selenomonadaceae</v>
          </cell>
          <cell r="I19610" t="str">
            <v>s__Veillonellaceae_bacterium_DJF_CR19</v>
          </cell>
        </row>
        <row r="19611">
          <cell r="G19611" t="str">
            <v>ASV9896</v>
          </cell>
          <cell r="H19611" t="str">
            <v>g__unclassified_o__Lactobacillales</v>
          </cell>
          <cell r="I19611" t="str">
            <v>s__unclassified_o__Lactobacillales</v>
          </cell>
        </row>
        <row r="19612">
          <cell r="G19612" t="str">
            <v>ASV14861</v>
          </cell>
          <cell r="H19612" t="str">
            <v>g__unclassified_f__Anaerovoracaceae</v>
          </cell>
          <cell r="I19612" t="str">
            <v>s__unclassified_f__Anaerovoracaceae</v>
          </cell>
        </row>
        <row r="19613">
          <cell r="G19613" t="str">
            <v>ASV18303</v>
          </cell>
          <cell r="H19613" t="str">
            <v>g__unclassified_c__Clostridia</v>
          </cell>
          <cell r="I19613" t="str">
            <v>s__unclassified_c__Clostridia</v>
          </cell>
        </row>
        <row r="19614">
          <cell r="G19614" t="str">
            <v>ASV14705</v>
          </cell>
          <cell r="H19614" t="str">
            <v>g__unclassified_c__Clostridia</v>
          </cell>
          <cell r="I19614" t="str">
            <v>s__unclassified_c__Clostridia</v>
          </cell>
        </row>
        <row r="19615">
          <cell r="G19615" t="str">
            <v>ASV17113</v>
          </cell>
          <cell r="H19615" t="str">
            <v>g__UCG-005</v>
          </cell>
          <cell r="I19615" t="str">
            <v>s__unclassified_g__UCG-005</v>
          </cell>
        </row>
        <row r="19616">
          <cell r="G19616" t="str">
            <v>ASV15641</v>
          </cell>
          <cell r="H19616" t="str">
            <v>g__unclassified_o__Oscillospirales</v>
          </cell>
          <cell r="I19616" t="str">
            <v>s__unclassified_o__Oscillospirales</v>
          </cell>
        </row>
        <row r="19617">
          <cell r="G19617" t="str">
            <v>ASV13149</v>
          </cell>
          <cell r="H19617" t="str">
            <v>g__unclassified_c__Clostridia</v>
          </cell>
          <cell r="I19617" t="str">
            <v>s__unclassified_c__Clostridia</v>
          </cell>
        </row>
        <row r="19618">
          <cell r="G19618" t="str">
            <v>ASV10133</v>
          </cell>
          <cell r="H19618" t="str">
            <v>g__Escherichia-Shigella</v>
          </cell>
          <cell r="I19618" t="str">
            <v>s__unclassified_g__Escherichia-Shigella</v>
          </cell>
        </row>
        <row r="19619">
          <cell r="G19619" t="str">
            <v>ASV18467</v>
          </cell>
          <cell r="H19619" t="str">
            <v>g__norank_f__Ruminococcaceae</v>
          </cell>
          <cell r="I19619" t="str">
            <v>s__unclassified_g__norank_f__Ruminococcaceae</v>
          </cell>
        </row>
        <row r="19620">
          <cell r="G19620" t="str">
            <v>ASV16770</v>
          </cell>
          <cell r="H19620" t="str">
            <v>g__unclassified_k__norank_d__Bacteria</v>
          </cell>
          <cell r="I19620" t="str">
            <v>s__unclassified_k__norank_d__Bacteria</v>
          </cell>
        </row>
        <row r="19621">
          <cell r="G19621" t="str">
            <v>ASV22552</v>
          </cell>
          <cell r="H19621" t="str">
            <v>g__norank_f__Eubacterium_coprostanoligenes_group</v>
          </cell>
          <cell r="I19621" t="str">
            <v>s__unclassified_g__norank_f__Eubacterium_coprostanoligenes_group</v>
          </cell>
        </row>
        <row r="19622">
          <cell r="G19622" t="str">
            <v>ASV2973</v>
          </cell>
          <cell r="H19622" t="str">
            <v>g__Moraxella</v>
          </cell>
          <cell r="I19622" t="str">
            <v>s__unclassified_g__Moraxella</v>
          </cell>
        </row>
        <row r="19623">
          <cell r="G19623" t="str">
            <v>ASV14803</v>
          </cell>
          <cell r="H19623" t="str">
            <v>g__Christensenellaceae_R-7_group</v>
          </cell>
          <cell r="I19623" t="str">
            <v>s__unclassified_g__Christensenellaceae_R-7_group</v>
          </cell>
        </row>
        <row r="19624">
          <cell r="G19624" t="str">
            <v>ASV2571</v>
          </cell>
          <cell r="H19624" t="str">
            <v>g__Lactobacillus</v>
          </cell>
          <cell r="I19624" t="str">
            <v>s__unclassified_g__Lactobacillus</v>
          </cell>
        </row>
        <row r="19625">
          <cell r="G19625" t="str">
            <v>ASV17679</v>
          </cell>
          <cell r="H19625" t="str">
            <v>g__Lactobacillus</v>
          </cell>
          <cell r="I19625" t="str">
            <v>s__unclassified_g__Lactobacillus</v>
          </cell>
        </row>
        <row r="19626">
          <cell r="G19626" t="str">
            <v>ASV1809</v>
          </cell>
          <cell r="H19626" t="str">
            <v>g__Lactobacillus</v>
          </cell>
          <cell r="I19626" t="str">
            <v>s__unclassified_g__Lactobacillus</v>
          </cell>
        </row>
        <row r="19627">
          <cell r="G19627" t="str">
            <v>ASV8671</v>
          </cell>
          <cell r="H19627" t="str">
            <v>g__Flavobacterium</v>
          </cell>
          <cell r="I19627" t="str">
            <v>s__Flavobacterium_caeni</v>
          </cell>
        </row>
        <row r="19628">
          <cell r="G19628" t="str">
            <v>ASV17385</v>
          </cell>
          <cell r="H19628" t="str">
            <v>g__Campylobacter</v>
          </cell>
          <cell r="I19628" t="str">
            <v>s__unclassified_g__Campylobacter</v>
          </cell>
        </row>
        <row r="19629">
          <cell r="G19629" t="str">
            <v>ASV9086</v>
          </cell>
          <cell r="H19629" t="str">
            <v>g__unclassified_c__Clostridia</v>
          </cell>
          <cell r="I19629" t="str">
            <v>s__unclassified_c__Clostridia</v>
          </cell>
        </row>
        <row r="19630">
          <cell r="G19630" t="str">
            <v>ASV18392</v>
          </cell>
          <cell r="H19630" t="str">
            <v>g__unclassified_f__Lachnospiraceae</v>
          </cell>
          <cell r="I19630" t="str">
            <v>s__unclassified_f__Lachnospiraceae</v>
          </cell>
        </row>
        <row r="19631">
          <cell r="G19631" t="str">
            <v>ASV1109</v>
          </cell>
          <cell r="H19631" t="str">
            <v>g__norank_f__Erysipelotrichaceae</v>
          </cell>
          <cell r="I19631" t="str">
            <v>s__uncultured_bacterium_g__norank_f__Erysipelotrichaceae</v>
          </cell>
        </row>
        <row r="19632">
          <cell r="G19632" t="str">
            <v>ASV12271</v>
          </cell>
          <cell r="H19632" t="str">
            <v>g__Treponema</v>
          </cell>
          <cell r="I19632" t="str">
            <v>s__unclassified_g__Treponema</v>
          </cell>
        </row>
        <row r="19633">
          <cell r="G19633" t="str">
            <v>ASV18441</v>
          </cell>
          <cell r="H19633" t="str">
            <v>g__Christensenellaceae_R-7_group</v>
          </cell>
          <cell r="I19633" t="str">
            <v>s__unclassified_g__Christensenellaceae_R-7_group</v>
          </cell>
        </row>
        <row r="19634">
          <cell r="G19634" t="str">
            <v>ASV13043</v>
          </cell>
          <cell r="H19634" t="str">
            <v>g__unclassified_c__Clostridia</v>
          </cell>
          <cell r="I19634" t="str">
            <v>s__unclassified_c__Clostridia</v>
          </cell>
        </row>
        <row r="19635">
          <cell r="G19635" t="str">
            <v>ASV7390</v>
          </cell>
          <cell r="H19635" t="str">
            <v>g__Escherichia-Shigella</v>
          </cell>
          <cell r="I19635" t="str">
            <v>s__unclassified_g__Escherichia-Shigella</v>
          </cell>
        </row>
        <row r="19636">
          <cell r="G19636" t="str">
            <v>ASV15582</v>
          </cell>
          <cell r="H19636" t="str">
            <v>g__unclassified_o__Oscillospirales</v>
          </cell>
          <cell r="I19636" t="str">
            <v>s__unclassified_o__Oscillospirales</v>
          </cell>
        </row>
        <row r="19637">
          <cell r="G19637" t="str">
            <v>ASV23646</v>
          </cell>
          <cell r="H19637" t="str">
            <v>g__Anaerofilum</v>
          </cell>
          <cell r="I19637" t="str">
            <v>s__unclassified_g__Anaerofilum</v>
          </cell>
        </row>
        <row r="19638">
          <cell r="G19638" t="str">
            <v>ASV8684</v>
          </cell>
          <cell r="H19638" t="str">
            <v>g__unclassified_f__Comamonadaceae</v>
          </cell>
          <cell r="I19638" t="str">
            <v>s__unclassified_f__Comamonadaceae</v>
          </cell>
        </row>
        <row r="19639">
          <cell r="G19639" t="str">
            <v>ASV17577</v>
          </cell>
          <cell r="H19639" t="str">
            <v>g__Sphingobacterium</v>
          </cell>
          <cell r="I19639" t="str">
            <v>s__unclassified_g__Sphingobacterium</v>
          </cell>
        </row>
        <row r="19640">
          <cell r="G19640" t="str">
            <v>ASV23634</v>
          </cell>
          <cell r="H19640" t="str">
            <v>g__unclassified_c__Bacilli</v>
          </cell>
          <cell r="I19640" t="str">
            <v>s__unclassified_c__Bacilli</v>
          </cell>
        </row>
        <row r="19641">
          <cell r="G19641" t="str">
            <v>ASV16763</v>
          </cell>
          <cell r="H19641" t="str">
            <v>g__Bacteroides</v>
          </cell>
          <cell r="I19641" t="str">
            <v>s__uncultured_bacterium_g__Bacteroides</v>
          </cell>
        </row>
        <row r="19642">
          <cell r="G19642" t="str">
            <v>ASV13212</v>
          </cell>
          <cell r="H19642" t="str">
            <v>g__unclassified_c__Clostridia</v>
          </cell>
          <cell r="I19642" t="str">
            <v>s__unclassified_c__Clostridia</v>
          </cell>
        </row>
        <row r="19643">
          <cell r="G19643" t="str">
            <v>ASV1355</v>
          </cell>
          <cell r="H19643" t="str">
            <v>g__unclassified_f__Prevotellaceae</v>
          </cell>
          <cell r="I19643" t="str">
            <v>s__unclassified_f__Prevotellaceae</v>
          </cell>
        </row>
        <row r="19644">
          <cell r="G19644" t="str">
            <v>ASV6189</v>
          </cell>
          <cell r="H19644" t="str">
            <v>g__Candidatus_Soleaferrea</v>
          </cell>
          <cell r="I19644" t="str">
            <v>s__uncultured_Anaerotruncus_sp._g__Candidatus_Soleaferrea</v>
          </cell>
        </row>
        <row r="19645">
          <cell r="G19645" t="str">
            <v>ASV12245</v>
          </cell>
          <cell r="H19645" t="str">
            <v>g__Cloacibacillus</v>
          </cell>
          <cell r="I19645" t="str">
            <v>s__unclassified_g__Cloacibacillus</v>
          </cell>
        </row>
        <row r="19646">
          <cell r="G19646" t="str">
            <v>ASV23528</v>
          </cell>
          <cell r="H19646" t="str">
            <v>g__norank_f__Ruminococcaceae</v>
          </cell>
          <cell r="I19646" t="str">
            <v>s__unclassified_g__norank_f__Ruminococcaceae</v>
          </cell>
        </row>
        <row r="19647">
          <cell r="G19647" t="str">
            <v>ASV13634</v>
          </cell>
          <cell r="H19647" t="str">
            <v>g__unclassified_c__Bacilli</v>
          </cell>
          <cell r="I19647" t="str">
            <v>s__unclassified_c__Bacilli</v>
          </cell>
        </row>
        <row r="19648">
          <cell r="G19648" t="str">
            <v>ASV10350</v>
          </cell>
          <cell r="H19648" t="str">
            <v>g__Colidextribacter</v>
          </cell>
          <cell r="I19648" t="str">
            <v>s__unclassified_g__Colidextribacter</v>
          </cell>
        </row>
        <row r="19649">
          <cell r="G19649" t="str">
            <v>ASV20012</v>
          </cell>
          <cell r="H19649" t="str">
            <v>g__norank_f__Christensenellaceae</v>
          </cell>
          <cell r="I19649" t="str">
            <v>s__uncultured_bacterium_g__norank_f__Christensenellaceae</v>
          </cell>
        </row>
        <row r="19650">
          <cell r="G19650" t="str">
            <v>ASV18285</v>
          </cell>
          <cell r="H19650" t="str">
            <v>g__norank_f__Ruminococcaceae</v>
          </cell>
          <cell r="I19650" t="str">
            <v>s__unclassified_g__norank_f__Ruminococcaceae</v>
          </cell>
        </row>
        <row r="19651">
          <cell r="G19651" t="str">
            <v>ASV13203</v>
          </cell>
          <cell r="H19651" t="str">
            <v>g__unclassified_f__Oscillospiraceae</v>
          </cell>
          <cell r="I19651" t="str">
            <v>s__unclassified_f__Oscillospiraceae</v>
          </cell>
        </row>
        <row r="19652">
          <cell r="G19652" t="str">
            <v>ASV5130</v>
          </cell>
          <cell r="H19652" t="str">
            <v>g__unclassified_k__norank_d__Bacteria</v>
          </cell>
          <cell r="I19652" t="str">
            <v>s__unclassified_k__norank_d__Bacteria</v>
          </cell>
        </row>
        <row r="19653">
          <cell r="G19653" t="str">
            <v>ASV3334</v>
          </cell>
          <cell r="H19653" t="str">
            <v>g__unclassified_f__Lachnospiraceae</v>
          </cell>
          <cell r="I19653" t="str">
            <v>s__unclassified_f__Lachnospiraceae</v>
          </cell>
        </row>
        <row r="19654">
          <cell r="G19654" t="str">
            <v>ASV5194</v>
          </cell>
          <cell r="H19654" t="str">
            <v>g__norank_f__Muribaculaceae</v>
          </cell>
          <cell r="I19654" t="str">
            <v>s__uncultured_bacterium_g__norank_f__Muribaculaceae</v>
          </cell>
        </row>
        <row r="19655">
          <cell r="G19655" t="str">
            <v>ASV18694</v>
          </cell>
          <cell r="H19655" t="str">
            <v>g__Olsenella</v>
          </cell>
          <cell r="I19655" t="str">
            <v>s__unclassified_g__Olsenella</v>
          </cell>
        </row>
        <row r="19656">
          <cell r="G19656" t="str">
            <v>ASV14698</v>
          </cell>
          <cell r="H19656" t="str">
            <v>g__unclassified_p__Firmicutes</v>
          </cell>
          <cell r="I19656" t="str">
            <v>s__unclassified_p__Firmicutes</v>
          </cell>
        </row>
        <row r="19657">
          <cell r="G19657" t="str">
            <v>ASV22529</v>
          </cell>
          <cell r="H19657" t="str">
            <v>g__unclassified_c__Clostridia</v>
          </cell>
          <cell r="I19657" t="str">
            <v>s__unclassified_c__Clostridia</v>
          </cell>
        </row>
        <row r="19658">
          <cell r="G19658" t="str">
            <v>ASV1506</v>
          </cell>
          <cell r="H19658" t="str">
            <v>g__norank_f__Ruminococcaceae</v>
          </cell>
          <cell r="I19658" t="str">
            <v>s__gut_metagenome_g__norank_f__Ruminococcaceae</v>
          </cell>
        </row>
        <row r="19659">
          <cell r="G19659" t="str">
            <v>ASV21117</v>
          </cell>
          <cell r="H19659" t="str">
            <v>g__Candidatus_Soleaferrea</v>
          </cell>
          <cell r="I19659" t="str">
            <v>s__uncultured_bacterium_g__Candidatus_Soleaferrea</v>
          </cell>
        </row>
        <row r="19660">
          <cell r="G19660" t="str">
            <v>ASV18727</v>
          </cell>
          <cell r="H19660" t="str">
            <v>g__Bacteroides</v>
          </cell>
          <cell r="I19660" t="str">
            <v>s__unclassified_g__Bacteroides</v>
          </cell>
        </row>
        <row r="19661">
          <cell r="G19661" t="str">
            <v>ASV5224</v>
          </cell>
          <cell r="H19661" t="str">
            <v>g__Lactobacillus</v>
          </cell>
          <cell r="I19661" t="str">
            <v>s__unclassified_g__Lactobacillus</v>
          </cell>
        </row>
        <row r="19662">
          <cell r="G19662" t="str">
            <v>ASV1394</v>
          </cell>
          <cell r="H19662" t="str">
            <v>g__unclassified_c__Clostridia</v>
          </cell>
          <cell r="I19662" t="str">
            <v>s__unclassified_c__Clostridia</v>
          </cell>
        </row>
        <row r="19663">
          <cell r="G19663" t="str">
            <v>ASV22717</v>
          </cell>
          <cell r="H19663" t="str">
            <v>g__unclassified_o__Oscillospirales</v>
          </cell>
          <cell r="I19663" t="str">
            <v>s__unclassified_o__Oscillospirales</v>
          </cell>
        </row>
        <row r="19664">
          <cell r="G19664" t="str">
            <v>ASV13112</v>
          </cell>
          <cell r="H19664" t="str">
            <v>g__norank_f__norank_o__RF39</v>
          </cell>
          <cell r="I19664" t="str">
            <v>s__uncultured_bacterium_g__norank_f__norank_o__RF39</v>
          </cell>
        </row>
        <row r="19665">
          <cell r="G19665" t="str">
            <v>ASV10244</v>
          </cell>
          <cell r="H19665" t="str">
            <v>g__unclassified_c__Bacilli</v>
          </cell>
          <cell r="I19665" t="str">
            <v>s__unclassified_c__Bacilli</v>
          </cell>
        </row>
        <row r="19666">
          <cell r="G19666" t="str">
            <v>ASV20300</v>
          </cell>
          <cell r="H19666" t="str">
            <v>g__Collinsella</v>
          </cell>
          <cell r="I19666" t="str">
            <v>s__unclassified_g__Collinsella</v>
          </cell>
        </row>
        <row r="19667">
          <cell r="G19667" t="str">
            <v>ASV14741</v>
          </cell>
          <cell r="H19667" t="str">
            <v>g__Clostridium_sensu_stricto_1</v>
          </cell>
          <cell r="I19667" t="str">
            <v>s__unclassified_g__Clostridium_sensu_stricto_1</v>
          </cell>
        </row>
        <row r="19668">
          <cell r="G19668" t="str">
            <v>ASV5171</v>
          </cell>
          <cell r="H19668" t="str">
            <v>g__unclassified_f__Lachnospiraceae</v>
          </cell>
          <cell r="I19668" t="str">
            <v>s__unclassified_f__Lachnospiraceae</v>
          </cell>
        </row>
        <row r="19669">
          <cell r="G19669" t="str">
            <v>ASV10970</v>
          </cell>
          <cell r="H19669" t="str">
            <v>g__unclassified_c__Clostridia</v>
          </cell>
          <cell r="I19669" t="str">
            <v>s__unclassified_c__Clostridia</v>
          </cell>
        </row>
        <row r="19670">
          <cell r="G19670" t="str">
            <v>ASV14855</v>
          </cell>
          <cell r="H19670" t="str">
            <v>g__unclassified_f__Prevotellaceae</v>
          </cell>
          <cell r="I19670" t="str">
            <v>s__unclassified_f__Prevotellaceae</v>
          </cell>
        </row>
        <row r="19671">
          <cell r="G19671" t="str">
            <v>ASV21535</v>
          </cell>
          <cell r="H19671" t="str">
            <v>g__Lachnoclostridium</v>
          </cell>
          <cell r="I19671" t="str">
            <v>s__unclassified_g__Lachnoclostridium</v>
          </cell>
        </row>
        <row r="19672">
          <cell r="G19672" t="str">
            <v>ASV13166</v>
          </cell>
          <cell r="H19672" t="str">
            <v>g__Eubacterium_oxidoreducens_group</v>
          </cell>
          <cell r="I19672" t="str">
            <v>s__uncultured_bacterium_g__Eubacterium_oxidoreducens_group</v>
          </cell>
        </row>
        <row r="19673">
          <cell r="G19673" t="str">
            <v>ASV14923</v>
          </cell>
          <cell r="H19673" t="str">
            <v>g__unclassified_k__norank_d__Bacteria</v>
          </cell>
          <cell r="I19673" t="str">
            <v>s__unclassified_k__norank_d__Bacteria</v>
          </cell>
        </row>
        <row r="19674">
          <cell r="G19674" t="str">
            <v>ASV21524</v>
          </cell>
          <cell r="H19674" t="str">
            <v>g__Megasphaera</v>
          </cell>
          <cell r="I19674" t="str">
            <v>s__unclassified_g__Megasphaera</v>
          </cell>
        </row>
        <row r="19675">
          <cell r="G19675" t="str">
            <v>ASV3325</v>
          </cell>
          <cell r="H19675" t="str">
            <v>g__unclassified_f__Ruminococcaceae</v>
          </cell>
          <cell r="I19675" t="str">
            <v>s__unclassified_f__Ruminococcaceae</v>
          </cell>
        </row>
        <row r="19676">
          <cell r="G19676" t="str">
            <v>ASV23640</v>
          </cell>
          <cell r="H19676" t="str">
            <v>g__norank_f__UCG-010</v>
          </cell>
          <cell r="I19676" t="str">
            <v>s__unclassified_g__norank_f__UCG-010</v>
          </cell>
        </row>
        <row r="19677">
          <cell r="G19677" t="str">
            <v>ASV1093</v>
          </cell>
          <cell r="H19677" t="str">
            <v>g__unclassified_k__norank_d__Bacteria</v>
          </cell>
          <cell r="I19677" t="str">
            <v>s__unclassified_k__norank_d__Bacteria</v>
          </cell>
        </row>
        <row r="19678">
          <cell r="G19678" t="str">
            <v>ASV12178</v>
          </cell>
          <cell r="H19678" t="str">
            <v>g__unclassified_f__Prevotellaceae</v>
          </cell>
          <cell r="I19678" t="str">
            <v>s__unclassified_f__Prevotellaceae</v>
          </cell>
        </row>
        <row r="19679">
          <cell r="G19679" t="str">
            <v>ASV22742</v>
          </cell>
          <cell r="H19679" t="str">
            <v>g__unclassified_c__Clostridia</v>
          </cell>
          <cell r="I19679" t="str">
            <v>s__unclassified_c__Clostridia</v>
          </cell>
        </row>
        <row r="19680">
          <cell r="G19680" t="str">
            <v>ASV10330</v>
          </cell>
          <cell r="H19680" t="str">
            <v>g__Clostridium_sensu_stricto_1</v>
          </cell>
          <cell r="I19680" t="str">
            <v>s__unclassified_g__Clostridium_sensu_stricto_1</v>
          </cell>
        </row>
        <row r="19681">
          <cell r="G19681" t="str">
            <v>ASV7387</v>
          </cell>
          <cell r="H19681" t="str">
            <v>g__Lactobacillus</v>
          </cell>
          <cell r="I19681" t="str">
            <v>s__unclassified_g__Lactobacillus</v>
          </cell>
        </row>
        <row r="19682">
          <cell r="G19682" t="str">
            <v>ASV14860</v>
          </cell>
          <cell r="H19682" t="str">
            <v>g__unclassified_o__Oscillospirales</v>
          </cell>
          <cell r="I19682" t="str">
            <v>s__unclassified_o__Oscillospirales</v>
          </cell>
        </row>
        <row r="19683">
          <cell r="G19683" t="str">
            <v>ASV5387</v>
          </cell>
          <cell r="H19683" t="str">
            <v>g__NK4A214_group</v>
          </cell>
          <cell r="I19683" t="str">
            <v>s__uncultured_bacterium_g__NK4A214_group</v>
          </cell>
        </row>
        <row r="19684">
          <cell r="G19684" t="str">
            <v>ASV21679</v>
          </cell>
          <cell r="H19684" t="str">
            <v>g__Fusobacterium</v>
          </cell>
          <cell r="I19684" t="str">
            <v>s__unclassified_g__Fusobacterium</v>
          </cell>
        </row>
        <row r="19685">
          <cell r="G19685" t="str">
            <v>ASV12092</v>
          </cell>
          <cell r="H19685" t="str">
            <v>g__unclassified_p__Firmicutes</v>
          </cell>
          <cell r="I19685" t="str">
            <v>s__unclassified_p__Firmicutes</v>
          </cell>
        </row>
        <row r="19686">
          <cell r="G19686" t="str">
            <v>ASV9773</v>
          </cell>
          <cell r="H19686" t="str">
            <v>g__unclassified_c__Clostridia</v>
          </cell>
          <cell r="I19686" t="str">
            <v>s__unclassified_c__Clostridia</v>
          </cell>
        </row>
        <row r="19687">
          <cell r="G19687" t="str">
            <v>ASV5169</v>
          </cell>
          <cell r="H19687" t="str">
            <v>g__unclassified_f__Ruminococcaceae</v>
          </cell>
          <cell r="I19687" t="str">
            <v>s__unclassified_f__Ruminococcaceae</v>
          </cell>
        </row>
        <row r="19688">
          <cell r="G19688" t="str">
            <v>ASV8055</v>
          </cell>
          <cell r="H19688" t="str">
            <v>g__Corynebacterium</v>
          </cell>
          <cell r="I19688" t="str">
            <v>s__unclassified_g__Corynebacterium</v>
          </cell>
        </row>
        <row r="19689">
          <cell r="G19689" t="str">
            <v>ASV1144</v>
          </cell>
          <cell r="H19689" t="str">
            <v>g__unclassified_c__Bacilli</v>
          </cell>
          <cell r="I19689" t="str">
            <v>s__unclassified_c__Bacilli</v>
          </cell>
        </row>
        <row r="19690">
          <cell r="G19690" t="str">
            <v>ASV23574</v>
          </cell>
          <cell r="H19690" t="str">
            <v>g__unclassified_f__Lachnospiraceae</v>
          </cell>
          <cell r="I19690" t="str">
            <v>s__unclassified_f__Lachnospiraceae</v>
          </cell>
        </row>
        <row r="19691">
          <cell r="G19691" t="str">
            <v>ASV18296</v>
          </cell>
          <cell r="H19691" t="str">
            <v>g__unclassified_c__Clostridia</v>
          </cell>
          <cell r="I19691" t="str">
            <v>s__unclassified_c__Clostridia</v>
          </cell>
        </row>
        <row r="19692">
          <cell r="G19692" t="str">
            <v>ASV14613</v>
          </cell>
          <cell r="H19692" t="str">
            <v>g__Streptococcus</v>
          </cell>
          <cell r="I19692" t="str">
            <v>s__unclassified_g__Streptococcus</v>
          </cell>
        </row>
        <row r="19693">
          <cell r="G19693" t="str">
            <v>ASV15560</v>
          </cell>
          <cell r="H19693" t="str">
            <v>g__unclassified_f__Lachnospiraceae</v>
          </cell>
          <cell r="I19693" t="str">
            <v>s__unclassified_f__Lachnospiraceae</v>
          </cell>
        </row>
        <row r="19694">
          <cell r="G19694" t="str">
            <v>ASV24393</v>
          </cell>
          <cell r="H19694" t="str">
            <v>g__Bacillus</v>
          </cell>
          <cell r="I19694" t="str">
            <v>s__Lactobacillus_vaginalis_g__Bacillus</v>
          </cell>
        </row>
        <row r="19695">
          <cell r="G19695" t="str">
            <v>ASV8065</v>
          </cell>
          <cell r="H19695" t="str">
            <v>g__Streptococcus</v>
          </cell>
          <cell r="I19695" t="str">
            <v>s__unclassified_g__Streptococcus</v>
          </cell>
        </row>
        <row r="19696">
          <cell r="G19696" t="str">
            <v>ASV19881</v>
          </cell>
          <cell r="H19696" t="str">
            <v>g__Sphingomonas</v>
          </cell>
          <cell r="I19696" t="str">
            <v>s__unclassified_g__Sphingomonas</v>
          </cell>
        </row>
        <row r="19697">
          <cell r="G19697" t="str">
            <v>ASV6392</v>
          </cell>
          <cell r="H19697" t="str">
            <v>g__Bacteroides</v>
          </cell>
          <cell r="I19697" t="str">
            <v>s__unclassified_g__Bacteroides</v>
          </cell>
        </row>
        <row r="19698">
          <cell r="G19698" t="str">
            <v>ASV8862</v>
          </cell>
          <cell r="H19698" t="str">
            <v>g__unclassified_k__norank_d__Bacteria</v>
          </cell>
          <cell r="I19698" t="str">
            <v>s__unclassified_k__norank_d__Bacteria</v>
          </cell>
        </row>
        <row r="19699">
          <cell r="G19699" t="str">
            <v>ASV12191</v>
          </cell>
          <cell r="H19699" t="str">
            <v>g__unclassified_c__Clostridia</v>
          </cell>
          <cell r="I19699" t="str">
            <v>s__unclassified_c__Clostridia</v>
          </cell>
        </row>
        <row r="19700">
          <cell r="G19700" t="str">
            <v>ASV22741</v>
          </cell>
          <cell r="H19700" t="str">
            <v>g__unclassified_f__Lachnospiraceae</v>
          </cell>
          <cell r="I19700" t="str">
            <v>s__unclassified_f__Lachnospiraceae</v>
          </cell>
        </row>
        <row r="19701">
          <cell r="G19701" t="str">
            <v>ASV23538</v>
          </cell>
          <cell r="H19701" t="str">
            <v>g__Anaerorhabdus_furcosa_group</v>
          </cell>
          <cell r="I19701" t="str">
            <v>s__uncultured_bacterium_g__Anaerorhabdus_furcosa_group</v>
          </cell>
        </row>
        <row r="19702">
          <cell r="G19702" t="str">
            <v>ASV18284</v>
          </cell>
          <cell r="H19702" t="str">
            <v>g__Candidatus_Soleaferrea</v>
          </cell>
          <cell r="I19702" t="str">
            <v>s__uncultured_bacterium_g__Candidatus_Soleaferrea</v>
          </cell>
        </row>
        <row r="19703">
          <cell r="G19703" t="str">
            <v>ASV19937</v>
          </cell>
          <cell r="H19703" t="str">
            <v>g__unclassified_f__Peptostreptococcaceae</v>
          </cell>
          <cell r="I19703" t="str">
            <v>s__unclassified_f__Peptostreptococcaceae</v>
          </cell>
        </row>
        <row r="19704">
          <cell r="G19704" t="str">
            <v>ASV6348</v>
          </cell>
          <cell r="H19704" t="str">
            <v>g__Sphaerochaeta</v>
          </cell>
          <cell r="I19704" t="str">
            <v>s__uncultured_bacterium_g__Sphaerochaeta</v>
          </cell>
        </row>
        <row r="19705">
          <cell r="G19705" t="str">
            <v>ASV12089</v>
          </cell>
          <cell r="H19705" t="str">
            <v>g__unclassified_c__Clostridia</v>
          </cell>
          <cell r="I19705" t="str">
            <v>s__unclassified_c__Clostridia</v>
          </cell>
        </row>
        <row r="19706">
          <cell r="G19706" t="str">
            <v>ASV16122</v>
          </cell>
          <cell r="H19706" t="str">
            <v>g__Phascolarctobacterium</v>
          </cell>
          <cell r="I19706" t="str">
            <v>s__uncultured_bacterium_g__Phascolarctobacterium</v>
          </cell>
        </row>
        <row r="19707">
          <cell r="G19707" t="str">
            <v>ASV5245</v>
          </cell>
          <cell r="H19707" t="str">
            <v>g__unclassified_k__norank_d__Bacteria</v>
          </cell>
          <cell r="I19707" t="str">
            <v>s__unclassified_k__norank_d__Bacteria</v>
          </cell>
        </row>
        <row r="19708">
          <cell r="G19708" t="str">
            <v>ASV1147</v>
          </cell>
          <cell r="H19708" t="str">
            <v>g__unclassified_k__norank_d__Bacteria</v>
          </cell>
          <cell r="I19708" t="str">
            <v>s__unclassified_k__norank_d__Bacteria</v>
          </cell>
        </row>
        <row r="19709">
          <cell r="G19709" t="str">
            <v>ASV17337</v>
          </cell>
          <cell r="H19709" t="str">
            <v>g__Lactobacillus</v>
          </cell>
          <cell r="I19709" t="str">
            <v>s__Lactobacillus_coleohominis</v>
          </cell>
        </row>
        <row r="19710">
          <cell r="G19710" t="str">
            <v>ASV10968</v>
          </cell>
          <cell r="H19710" t="str">
            <v>g__Christensenellaceae_R-7_group</v>
          </cell>
          <cell r="I19710" t="str">
            <v>s__uncultured_bacterium_g__Christensenellaceae_R-7_group</v>
          </cell>
        </row>
        <row r="19711">
          <cell r="G19711" t="str">
            <v>ASV18706</v>
          </cell>
          <cell r="H19711" t="str">
            <v>g__unclassified_o__Lactobacillales</v>
          </cell>
          <cell r="I19711" t="str">
            <v>s__unclassified_o__Lactobacillales</v>
          </cell>
        </row>
        <row r="19712">
          <cell r="G19712" t="str">
            <v>ASV4227</v>
          </cell>
          <cell r="H19712" t="str">
            <v>g__unclassified_k__norank_d__Bacteria</v>
          </cell>
          <cell r="I19712" t="str">
            <v>s__unclassified_k__norank_d__Bacteria</v>
          </cell>
        </row>
        <row r="19713">
          <cell r="G19713" t="str">
            <v>ASV10357</v>
          </cell>
          <cell r="H19713" t="str">
            <v>g__Bacteroides</v>
          </cell>
          <cell r="I19713" t="str">
            <v>s__uncultured_bacterium_g__Bacteroides</v>
          </cell>
        </row>
        <row r="19714">
          <cell r="G19714" t="str">
            <v>ASV18982</v>
          </cell>
          <cell r="H19714" t="str">
            <v>g__Bacteroides</v>
          </cell>
          <cell r="I19714" t="str">
            <v>s__Bacteroides_plebeius_DSM_17135</v>
          </cell>
        </row>
        <row r="19715">
          <cell r="G19715" t="str">
            <v>ASV19004</v>
          </cell>
          <cell r="H19715" t="str">
            <v>g__Phascolarctobacterium</v>
          </cell>
          <cell r="I19715" t="str">
            <v>s__uncultured_bacterium_g__Phascolarctobacterium</v>
          </cell>
        </row>
        <row r="19716">
          <cell r="G19716" t="str">
            <v>ASV5359</v>
          </cell>
          <cell r="H19716" t="str">
            <v>g__unclassified_f__Lachnospiraceae</v>
          </cell>
          <cell r="I19716" t="str">
            <v>s__unclassified_f__Lachnospiraceae</v>
          </cell>
        </row>
        <row r="19717">
          <cell r="G19717" t="str">
            <v>ASV17061</v>
          </cell>
          <cell r="H19717" t="str">
            <v>g__unclassified_o__Oscillospirales</v>
          </cell>
          <cell r="I19717" t="str">
            <v>s__unclassified_o__Oscillospirales</v>
          </cell>
        </row>
        <row r="19718">
          <cell r="G19718" t="str">
            <v>ASV16116</v>
          </cell>
          <cell r="H19718" t="str">
            <v>g__unclassified_p__Firmicutes</v>
          </cell>
          <cell r="I19718" t="str">
            <v>s__unclassified_p__Firmicutes</v>
          </cell>
        </row>
        <row r="19719">
          <cell r="G19719" t="str">
            <v>ASV8237</v>
          </cell>
          <cell r="H19719" t="str">
            <v>g__unclassified_o__Clostridiales</v>
          </cell>
          <cell r="I19719" t="str">
            <v>s__unclassified_o__Clostridiales</v>
          </cell>
        </row>
        <row r="19720">
          <cell r="G19720" t="str">
            <v>ASV18722</v>
          </cell>
          <cell r="H19720" t="str">
            <v>g__unclassified_f__Lachnospiraceae</v>
          </cell>
          <cell r="I19720" t="str">
            <v>s__unclassified_f__Lachnospiraceae</v>
          </cell>
        </row>
        <row r="19721">
          <cell r="G19721" t="str">
            <v>ASV18690</v>
          </cell>
          <cell r="H19721" t="str">
            <v>g__Fusobacterium</v>
          </cell>
          <cell r="I19721" t="str">
            <v>s__unclassified_g__Fusobacterium</v>
          </cell>
        </row>
        <row r="19722">
          <cell r="G19722" t="str">
            <v>ASV23587</v>
          </cell>
          <cell r="H19722" t="str">
            <v>g__unclassified_p__Firmicutes</v>
          </cell>
          <cell r="I19722" t="str">
            <v>s__unclassified_p__Firmicutes</v>
          </cell>
        </row>
        <row r="19723">
          <cell r="G19723" t="str">
            <v>ASV20973</v>
          </cell>
          <cell r="H19723" t="str">
            <v>g__Anaerofilum</v>
          </cell>
          <cell r="I19723" t="str">
            <v>s__unclassified_g__Anaerofilum</v>
          </cell>
        </row>
        <row r="19724">
          <cell r="G19724" t="str">
            <v>ASV13018</v>
          </cell>
          <cell r="H19724" t="str">
            <v>g__unclassified_f__Prevotellaceae</v>
          </cell>
          <cell r="I19724" t="str">
            <v>s__unclassified_f__Prevotellaceae</v>
          </cell>
        </row>
        <row r="19725">
          <cell r="G19725" t="str">
            <v>ASV12444</v>
          </cell>
          <cell r="H19725" t="str">
            <v>g__unclassified_f__Anaerovoracaceae</v>
          </cell>
          <cell r="I19725" t="str">
            <v>s__unclassified_f__Anaerovoracaceae</v>
          </cell>
        </row>
        <row r="19726">
          <cell r="G19726" t="str">
            <v>ASV13856</v>
          </cell>
          <cell r="H19726" t="str">
            <v>g__Enterococcus</v>
          </cell>
          <cell r="I19726" t="str">
            <v>s__unclassified_g__Enterococcus</v>
          </cell>
        </row>
        <row r="19727">
          <cell r="G19727" t="str">
            <v>ASV5363</v>
          </cell>
          <cell r="H19727" t="str">
            <v>g__norank_f__Muribaculaceae</v>
          </cell>
          <cell r="I19727" t="str">
            <v>s__uncultured_bacterium_g__norank_f__Muribaculaceae</v>
          </cell>
        </row>
        <row r="19728">
          <cell r="G19728" t="str">
            <v>ASV12261</v>
          </cell>
          <cell r="H19728" t="str">
            <v>g__norank_f__norank_o__Clostridia_UCG-014</v>
          </cell>
          <cell r="I19728" t="str">
            <v>s__unclassified_g__norank_f__norank_o__Clostridia_UCG-014</v>
          </cell>
        </row>
        <row r="19729">
          <cell r="G19729" t="str">
            <v>ASV9713</v>
          </cell>
          <cell r="H19729" t="str">
            <v>g__unclassified_p__Firmicutes</v>
          </cell>
          <cell r="I19729" t="str">
            <v>s__unclassified_p__Firmicutes</v>
          </cell>
        </row>
        <row r="19730">
          <cell r="G19730" t="str">
            <v>ASV17557</v>
          </cell>
          <cell r="H19730" t="str">
            <v>g__Lactobacillus</v>
          </cell>
          <cell r="I19730" t="str">
            <v>s__unclassified_g__Lactobacillus</v>
          </cell>
        </row>
        <row r="19731">
          <cell r="G19731" t="str">
            <v>ASV20149</v>
          </cell>
          <cell r="H19731" t="str">
            <v>g__unclassified_f__Lachnospiraceae</v>
          </cell>
          <cell r="I19731" t="str">
            <v>s__unclassified_f__Lachnospiraceae</v>
          </cell>
        </row>
        <row r="19732">
          <cell r="G19732" t="str">
            <v>ASV22548</v>
          </cell>
          <cell r="H19732" t="str">
            <v>g__unclassified_c__Clostridia</v>
          </cell>
          <cell r="I19732" t="str">
            <v>s__unclassified_c__Clostridia</v>
          </cell>
        </row>
        <row r="19733">
          <cell r="G19733" t="str">
            <v>ASV6865</v>
          </cell>
          <cell r="H19733" t="str">
            <v>g__unclassified_f__Synergistaceae</v>
          </cell>
          <cell r="I19733" t="str">
            <v>s__unclassified_f__Synergistaceae</v>
          </cell>
        </row>
        <row r="19734">
          <cell r="G19734" t="str">
            <v>ASV20119</v>
          </cell>
          <cell r="H19734" t="str">
            <v>g__unclassified_c__Clostridia</v>
          </cell>
          <cell r="I19734" t="str">
            <v>s__unclassified_c__Clostridia</v>
          </cell>
        </row>
        <row r="19735">
          <cell r="G19735" t="str">
            <v>ASV6966</v>
          </cell>
          <cell r="H19735" t="str">
            <v>g__unclassified_p__Firmicutes</v>
          </cell>
          <cell r="I19735" t="str">
            <v>s__unclassified_p__Firmicutes</v>
          </cell>
        </row>
        <row r="19736">
          <cell r="G19736" t="str">
            <v>ASV13855</v>
          </cell>
          <cell r="H19736" t="str">
            <v>g__Enterococcus</v>
          </cell>
          <cell r="I19736" t="str">
            <v>s__unclassified_g__Enterococcus</v>
          </cell>
        </row>
        <row r="19737">
          <cell r="G19737" t="str">
            <v>ASV1193</v>
          </cell>
          <cell r="H19737" t="str">
            <v>g__unclassified_f__Lachnospiraceae</v>
          </cell>
          <cell r="I19737" t="str">
            <v>s__unclassified_f__Lachnospiraceae</v>
          </cell>
        </row>
        <row r="19738">
          <cell r="G19738" t="str">
            <v>ASV12177</v>
          </cell>
          <cell r="H19738" t="str">
            <v>g__unclassified_p__Firmicutes</v>
          </cell>
          <cell r="I19738" t="str">
            <v>s__unclassified_p__Firmicutes</v>
          </cell>
        </row>
        <row r="19739">
          <cell r="G19739" t="str">
            <v>ASV12055</v>
          </cell>
          <cell r="H19739" t="str">
            <v>g__unclassified_k__norank_d__Bacteria</v>
          </cell>
          <cell r="I19739" t="str">
            <v>s__unclassified_k__norank_d__Bacteria</v>
          </cell>
        </row>
        <row r="19740">
          <cell r="G19740" t="str">
            <v>ASV16589</v>
          </cell>
          <cell r="H19740" t="str">
            <v>g__Family_XIII_AD3011_group</v>
          </cell>
          <cell r="I19740" t="str">
            <v>s__unclassified_g__Family_XIII_AD3011_group</v>
          </cell>
        </row>
        <row r="19741">
          <cell r="G19741" t="str">
            <v>ASV9731</v>
          </cell>
          <cell r="H19741" t="str">
            <v>g__unclassified_f__Lachnospiraceae</v>
          </cell>
          <cell r="I19741" t="str">
            <v>s__unclassified_f__Lachnospiraceae</v>
          </cell>
        </row>
        <row r="19742">
          <cell r="G19742" t="str">
            <v>ASV10842</v>
          </cell>
          <cell r="H19742" t="str">
            <v>g__unclassified_c__Clostridia</v>
          </cell>
          <cell r="I19742" t="str">
            <v>s__unclassified_c__Clostridia</v>
          </cell>
        </row>
        <row r="19743">
          <cell r="G19743" t="str">
            <v>ASV14654</v>
          </cell>
          <cell r="H19743" t="str">
            <v>g__unclassified_p__Firmicutes</v>
          </cell>
          <cell r="I19743" t="str">
            <v>s__unclassified_p__Firmicutes</v>
          </cell>
        </row>
        <row r="19744">
          <cell r="G19744" t="str">
            <v>ASV18702</v>
          </cell>
          <cell r="H19744" t="str">
            <v>g__Veillonella</v>
          </cell>
          <cell r="I19744" t="str">
            <v>s__unclassified_g__Veillonella</v>
          </cell>
        </row>
        <row r="19745">
          <cell r="G19745" t="str">
            <v>ASV2548</v>
          </cell>
          <cell r="H19745" t="str">
            <v>g__unclassified_o__Peptostreptococcales-Tissierellales</v>
          </cell>
          <cell r="I19745" t="str">
            <v>s__unclassified_o__Peptostreptococcales-Tissierellales</v>
          </cell>
        </row>
        <row r="19746">
          <cell r="G19746" t="str">
            <v>ASV5421</v>
          </cell>
          <cell r="H19746" t="str">
            <v>g__Prevotella</v>
          </cell>
          <cell r="I19746" t="str">
            <v>s__unclassified_g__Prevotella</v>
          </cell>
        </row>
        <row r="19747">
          <cell r="G19747" t="str">
            <v>ASV22662</v>
          </cell>
          <cell r="H19747" t="str">
            <v>g__Lactobacillus</v>
          </cell>
          <cell r="I19747" t="str">
            <v>s__unclassified_g__Lactobacillus</v>
          </cell>
        </row>
        <row r="19748">
          <cell r="G19748" t="str">
            <v>ASV24392</v>
          </cell>
          <cell r="H19748" t="str">
            <v>g__Lactobacillus</v>
          </cell>
          <cell r="I19748" t="str">
            <v>s__unclassified_g__Lactobacillus</v>
          </cell>
        </row>
        <row r="19749">
          <cell r="G19749" t="str">
            <v>ASV2522</v>
          </cell>
          <cell r="H19749" t="str">
            <v>g__Eubacterium_oxidoreducens_group</v>
          </cell>
          <cell r="I19749" t="str">
            <v>s__uncultured_bacterium_g__Eubacterium_oxidoreducens_group</v>
          </cell>
        </row>
        <row r="19750">
          <cell r="G19750" t="str">
            <v>ASV24272</v>
          </cell>
          <cell r="H19750" t="str">
            <v>g__unclassified_p__Firmicutes</v>
          </cell>
          <cell r="I19750" t="str">
            <v>s__unclassified_p__Firmicutes</v>
          </cell>
        </row>
        <row r="19751">
          <cell r="G19751" t="str">
            <v>ASV9102</v>
          </cell>
          <cell r="H19751" t="str">
            <v>g__unclassified_f__Lachnospiraceae</v>
          </cell>
          <cell r="I19751" t="str">
            <v>s__unclassified_f__Lachnospiraceae</v>
          </cell>
        </row>
        <row r="19752">
          <cell r="G19752" t="str">
            <v>ASV2535</v>
          </cell>
          <cell r="H19752" t="str">
            <v>g__Christensenellaceae_R-7_group</v>
          </cell>
          <cell r="I19752" t="str">
            <v>s__unclassified_g__Christensenellaceae_R-7_group</v>
          </cell>
        </row>
        <row r="19753">
          <cell r="G19753" t="str">
            <v>ASV8370</v>
          </cell>
          <cell r="H19753" t="str">
            <v>g__norank_f__norank_o__Saccharimonadales</v>
          </cell>
          <cell r="I19753" t="str">
            <v>s__unclassified_g__norank_f__norank_o__Saccharimonadales</v>
          </cell>
        </row>
        <row r="19754">
          <cell r="G19754" t="str">
            <v>ASV13575</v>
          </cell>
          <cell r="H19754" t="str">
            <v>g__unclassified_f__Peptostreptococcaceae</v>
          </cell>
          <cell r="I19754" t="str">
            <v>s__unclassified_f__Peptostreptococcaceae</v>
          </cell>
        </row>
        <row r="19755">
          <cell r="G19755" t="str">
            <v>ASV21673</v>
          </cell>
          <cell r="H19755" t="str">
            <v>g__Parabacteroides</v>
          </cell>
          <cell r="I19755" t="str">
            <v>s__unclassified_g__Parabacteroides</v>
          </cell>
        </row>
        <row r="19756">
          <cell r="G19756" t="str">
            <v>ASV18312</v>
          </cell>
          <cell r="H19756" t="str">
            <v>g__norank_f__Ruminococcaceae</v>
          </cell>
          <cell r="I19756" t="str">
            <v>s__unclassified_g__norank_f__Ruminococcaceae</v>
          </cell>
        </row>
        <row r="19757">
          <cell r="G19757" t="str">
            <v>ASV18408</v>
          </cell>
          <cell r="H19757" t="str">
            <v>g__unclassified_o__Oscillospirales</v>
          </cell>
          <cell r="I19757" t="str">
            <v>s__unclassified_o__Oscillospirales</v>
          </cell>
        </row>
        <row r="19758">
          <cell r="G19758" t="str">
            <v>ASV8157</v>
          </cell>
          <cell r="H19758" t="str">
            <v>g__unclassified_c__Clostridia</v>
          </cell>
          <cell r="I19758" t="str">
            <v>s__unclassified_c__Clostridia</v>
          </cell>
        </row>
        <row r="19759">
          <cell r="G19759" t="str">
            <v>ASV1200</v>
          </cell>
          <cell r="H19759" t="str">
            <v>g__unclassified_f__Erysipelotrichaceae</v>
          </cell>
          <cell r="I19759" t="str">
            <v>s__unclassified_f__Erysipelotrichaceae</v>
          </cell>
        </row>
        <row r="19760">
          <cell r="G19760" t="str">
            <v>ASV16101</v>
          </cell>
          <cell r="H19760" t="str">
            <v>g__Peptostreptococcus</v>
          </cell>
          <cell r="I19760" t="str">
            <v>s__unclassified_g__Peptostreptococcus</v>
          </cell>
        </row>
        <row r="19761">
          <cell r="G19761" t="str">
            <v>ASV23632</v>
          </cell>
          <cell r="H19761" t="str">
            <v>g__unclassified_o__Bacteroidales</v>
          </cell>
          <cell r="I19761" t="str">
            <v>s__unclassified_o__Bacteroidales</v>
          </cell>
        </row>
        <row r="19762">
          <cell r="G19762" t="str">
            <v>ASV13838</v>
          </cell>
          <cell r="H19762" t="str">
            <v>g__unclassified_p__Firmicutes</v>
          </cell>
          <cell r="I19762" t="str">
            <v>s__unclassified_p__Firmicutes</v>
          </cell>
        </row>
        <row r="19763">
          <cell r="G19763" t="str">
            <v>ASV1393</v>
          </cell>
          <cell r="H19763" t="str">
            <v>g__unclassified_f__Lachnospiraceae</v>
          </cell>
          <cell r="I19763" t="str">
            <v>s__unclassified_f__Lachnospiraceae</v>
          </cell>
        </row>
        <row r="19764">
          <cell r="G19764" t="str">
            <v>ASV1486</v>
          </cell>
          <cell r="H19764" t="str">
            <v>g__unclassified_f__Lachnospiraceae</v>
          </cell>
          <cell r="I19764" t="str">
            <v>s__unclassified_f__Lachnospiraceae</v>
          </cell>
        </row>
        <row r="19765">
          <cell r="G19765" t="str">
            <v>ASV16682</v>
          </cell>
          <cell r="H19765" t="str">
            <v>g__unclassified_o__Bacteroidales</v>
          </cell>
          <cell r="I19765" t="str">
            <v>s__unclassified_o__Bacteroidales</v>
          </cell>
        </row>
        <row r="19766">
          <cell r="G19766" t="str">
            <v>ASV22811</v>
          </cell>
          <cell r="H19766" t="str">
            <v>g__unclassified_c__Clostridia</v>
          </cell>
          <cell r="I19766" t="str">
            <v>s__unclassified_c__Clostridia</v>
          </cell>
        </row>
        <row r="19767">
          <cell r="G19767" t="str">
            <v>ASV1162</v>
          </cell>
          <cell r="H19767" t="str">
            <v>g__Eubacterium_oxidoreducens_group</v>
          </cell>
          <cell r="I19767" t="str">
            <v>s__uncultured_bacterium_g__Eubacterium_oxidoreducens_group</v>
          </cell>
        </row>
        <row r="19768">
          <cell r="G19768" t="str">
            <v>ASV6954</v>
          </cell>
          <cell r="H19768" t="str">
            <v>g__unclassified_c__Clostridia</v>
          </cell>
          <cell r="I19768" t="str">
            <v>s__unclassified_c__Clostridia</v>
          </cell>
        </row>
        <row r="19769">
          <cell r="G19769" t="str">
            <v>ASV7113</v>
          </cell>
          <cell r="H19769" t="str">
            <v>g__Streptococcus</v>
          </cell>
          <cell r="I19769" t="str">
            <v>s__unclassified_g__Streptococcus</v>
          </cell>
        </row>
        <row r="19770">
          <cell r="G19770" t="str">
            <v>ASV23658</v>
          </cell>
          <cell r="H19770" t="str">
            <v>g__UCG-005</v>
          </cell>
          <cell r="I19770" t="str">
            <v>s__unclassified_g__UCG-005</v>
          </cell>
        </row>
        <row r="19771">
          <cell r="G19771" t="str">
            <v>ASV23796</v>
          </cell>
          <cell r="H19771" t="str">
            <v>g__Sphingobium</v>
          </cell>
          <cell r="I19771" t="str">
            <v>s__unclassified_g__Sphingobium</v>
          </cell>
        </row>
        <row r="19772">
          <cell r="G19772" t="str">
            <v>ASV9863</v>
          </cell>
          <cell r="H19772" t="str">
            <v>g__Bifidobacterium</v>
          </cell>
          <cell r="I19772" t="str">
            <v>s__unclassified_g__Bifidobacterium</v>
          </cell>
        </row>
        <row r="19773">
          <cell r="G19773" t="str">
            <v>ASV7406</v>
          </cell>
          <cell r="H19773" t="str">
            <v>g__unclassified_c__Clostridia</v>
          </cell>
          <cell r="I19773" t="str">
            <v>s__unclassified_c__Clostridia</v>
          </cell>
        </row>
        <row r="19774">
          <cell r="G19774" t="str">
            <v>ASV20998</v>
          </cell>
          <cell r="H19774" t="str">
            <v>g__unclassified_c__Clostridia</v>
          </cell>
          <cell r="I19774" t="str">
            <v>s__unclassified_c__Clostridia</v>
          </cell>
        </row>
        <row r="19775">
          <cell r="G19775" t="str">
            <v>ASV16575</v>
          </cell>
          <cell r="H19775" t="str">
            <v>g__unclassified_c__Clostridia</v>
          </cell>
          <cell r="I19775" t="str">
            <v>s__unclassified_c__Clostridia</v>
          </cell>
        </row>
        <row r="19776">
          <cell r="G19776" t="str">
            <v>ASV23625</v>
          </cell>
          <cell r="H19776" t="str">
            <v>g__Turicibacter</v>
          </cell>
          <cell r="I19776" t="str">
            <v>s__uncultured_bacterium_g__Turicibacter</v>
          </cell>
        </row>
        <row r="19777">
          <cell r="G19777" t="str">
            <v>ASV10979</v>
          </cell>
          <cell r="H19777" t="str">
            <v>g__unclassified_c__Clostridia</v>
          </cell>
          <cell r="I19777" t="str">
            <v>s__unclassified_c__Clostridia</v>
          </cell>
        </row>
        <row r="19778">
          <cell r="G19778" t="str">
            <v>ASV19113</v>
          </cell>
          <cell r="H19778" t="str">
            <v>g__Lactobacillus</v>
          </cell>
          <cell r="I19778" t="str">
            <v>s__unclassified_g__Lactobacillus</v>
          </cell>
        </row>
        <row r="19779">
          <cell r="G19779" t="str">
            <v>ASV3519</v>
          </cell>
          <cell r="H19779" t="str">
            <v>g__Acinetobacter</v>
          </cell>
          <cell r="I19779" t="str">
            <v>s__unclassified_g__Acinetobacter</v>
          </cell>
        </row>
        <row r="19780">
          <cell r="G19780" t="str">
            <v>ASV19897</v>
          </cell>
          <cell r="H19780" t="str">
            <v>g__Lactobacillus</v>
          </cell>
          <cell r="I19780" t="str">
            <v>s__unclassified_g__Lactobacillus</v>
          </cell>
        </row>
        <row r="19781">
          <cell r="G19781" t="str">
            <v>ASV2396</v>
          </cell>
          <cell r="H19781" t="str">
            <v>g__unclassified_f__Ruminococcaceae</v>
          </cell>
          <cell r="I19781" t="str">
            <v>s__unclassified_f__Ruminococcaceae</v>
          </cell>
        </row>
        <row r="19782">
          <cell r="G19782" t="str">
            <v>ASV18972</v>
          </cell>
          <cell r="H19782" t="str">
            <v>g__Streptococcus</v>
          </cell>
          <cell r="I19782" t="str">
            <v>s__unclassified_g__Streptococcus</v>
          </cell>
        </row>
        <row r="19783">
          <cell r="G19783" t="str">
            <v>ASV4339</v>
          </cell>
          <cell r="H19783" t="str">
            <v>g__Eubacterium_oxidoreducens_group</v>
          </cell>
          <cell r="I19783" t="str">
            <v>s__uncultured_bacterium_g__Eubacterium_oxidoreducens_group</v>
          </cell>
        </row>
        <row r="19784">
          <cell r="G19784" t="str">
            <v>ASV6911</v>
          </cell>
          <cell r="H19784" t="str">
            <v>g__unclassified_f__Synergistaceae</v>
          </cell>
          <cell r="I19784" t="str">
            <v>s__unclassified_f__Synergistaceae</v>
          </cell>
        </row>
        <row r="19785">
          <cell r="G19785" t="str">
            <v>ASV8248</v>
          </cell>
          <cell r="H19785" t="str">
            <v>g__unclassified_c__Clostridia</v>
          </cell>
          <cell r="I19785" t="str">
            <v>s__unclassified_c__Clostridia</v>
          </cell>
        </row>
        <row r="19786">
          <cell r="G19786" t="str">
            <v>ASV14690</v>
          </cell>
          <cell r="H19786" t="str">
            <v>g__unclassified_f__Lachnospiraceae</v>
          </cell>
          <cell r="I19786" t="str">
            <v>s__unclassified_f__Lachnospiraceae</v>
          </cell>
        </row>
        <row r="19787">
          <cell r="G19787" t="str">
            <v>ASV5148</v>
          </cell>
          <cell r="H19787" t="str">
            <v>g__norank_f__norank_o__RF39</v>
          </cell>
          <cell r="I19787" t="str">
            <v>s__uncultured_bacterium_g__norank_f__norank_o__RF39</v>
          </cell>
        </row>
        <row r="19788">
          <cell r="G19788" t="str">
            <v>ASV3347</v>
          </cell>
          <cell r="H19788" t="str">
            <v>g__Fusobacterium</v>
          </cell>
          <cell r="I19788" t="str">
            <v>s__unclassified_g__Fusobacterium</v>
          </cell>
        </row>
        <row r="19789">
          <cell r="G19789" t="str">
            <v>ASV18726</v>
          </cell>
          <cell r="H19789" t="str">
            <v>g__unclassified_c__Bacilli</v>
          </cell>
          <cell r="I19789" t="str">
            <v>s__unclassified_c__Bacilli</v>
          </cell>
        </row>
        <row r="19790">
          <cell r="G19790" t="str">
            <v>ASV7210</v>
          </cell>
          <cell r="H19790" t="str">
            <v>g__Enterococcus</v>
          </cell>
          <cell r="I19790" t="str">
            <v>s__unclassified_g__Enterococcus</v>
          </cell>
        </row>
        <row r="19791">
          <cell r="G19791" t="str">
            <v>ASV2435</v>
          </cell>
          <cell r="H19791" t="str">
            <v>g__norank_f__norank_o__RF39</v>
          </cell>
          <cell r="I19791" t="str">
            <v>s__uncultured_bacterium_g__norank_f__norank_o__RF39</v>
          </cell>
        </row>
        <row r="19792">
          <cell r="G19792" t="str">
            <v>ASV9721</v>
          </cell>
          <cell r="H19792" t="str">
            <v>g__unclassified_c__Clostridia</v>
          </cell>
          <cell r="I19792" t="str">
            <v>s__unclassified_c__Clostridia</v>
          </cell>
        </row>
        <row r="19793">
          <cell r="G19793" t="str">
            <v>ASV19941</v>
          </cell>
          <cell r="H19793" t="str">
            <v>g__unclassified_p__Firmicutes</v>
          </cell>
          <cell r="I19793" t="str">
            <v>s__unclassified_p__Firmicutes</v>
          </cell>
        </row>
        <row r="19794">
          <cell r="G19794" t="str">
            <v>ASV15711</v>
          </cell>
          <cell r="H19794" t="str">
            <v>g__unclassified_f__Ruminococcaceae</v>
          </cell>
          <cell r="I19794" t="str">
            <v>s__unclassified_f__Ruminococcaceae</v>
          </cell>
        </row>
        <row r="19795">
          <cell r="G19795" t="str">
            <v>ASV16086</v>
          </cell>
          <cell r="H19795" t="str">
            <v>g__Finegoldia</v>
          </cell>
          <cell r="I19795" t="str">
            <v>s__unclassified_g__Finegoldia</v>
          </cell>
        </row>
        <row r="19796">
          <cell r="G19796" t="str">
            <v>ASV14711</v>
          </cell>
          <cell r="H19796" t="str">
            <v>g__Clostridium_sensu_stricto_1</v>
          </cell>
          <cell r="I19796" t="str">
            <v>s__unclassified_g__Clostridium_sensu_stricto_1</v>
          </cell>
        </row>
        <row r="19797">
          <cell r="G19797" t="str">
            <v>ASV12358</v>
          </cell>
          <cell r="H19797" t="str">
            <v>g__Turicibacter</v>
          </cell>
          <cell r="I19797" t="str">
            <v>s__uncultured_bacterium_g__Turicibacter</v>
          </cell>
        </row>
        <row r="19798">
          <cell r="G19798" t="str">
            <v>ASV2954</v>
          </cell>
          <cell r="H19798" t="str">
            <v>g__unclassified_f__norank_o__Peptostreptococcales-Tissierellales</v>
          </cell>
          <cell r="I19798" t="str">
            <v>s__unclassified_f__norank_o__Peptostreptococcales-Tissierellales</v>
          </cell>
        </row>
        <row r="19799">
          <cell r="G19799" t="str">
            <v>ASV14769</v>
          </cell>
          <cell r="H19799" t="str">
            <v>g__unclassified_c__Clostridia</v>
          </cell>
          <cell r="I19799" t="str">
            <v>s__unclassified_c__Clostridia</v>
          </cell>
        </row>
        <row r="19800">
          <cell r="G19800" t="str">
            <v>ASV23554</v>
          </cell>
          <cell r="H19800" t="str">
            <v>g__unclassified_c__Clostridia</v>
          </cell>
          <cell r="I19800" t="str">
            <v>s__unclassified_c__Clostridia</v>
          </cell>
        </row>
        <row r="19801">
          <cell r="G19801" t="str">
            <v>ASV21000</v>
          </cell>
          <cell r="H19801" t="str">
            <v>g__Bacillus</v>
          </cell>
          <cell r="I19801" t="str">
            <v>s__Lactobacillus_vaginalis_g__Bacillus</v>
          </cell>
        </row>
        <row r="19802">
          <cell r="G19802" t="str">
            <v>ASV4354</v>
          </cell>
          <cell r="H19802" t="str">
            <v>g__unclassified_p__Firmicutes</v>
          </cell>
          <cell r="I19802" t="str">
            <v>s__unclassified_p__Firmicutes</v>
          </cell>
        </row>
        <row r="19803">
          <cell r="G19803" t="str">
            <v>ASV19952</v>
          </cell>
          <cell r="H19803" t="str">
            <v>g__norank_f__UCG-011</v>
          </cell>
          <cell r="I19803" t="str">
            <v>s__uncultured_bacterium_g__norank_f__UCG-011</v>
          </cell>
        </row>
        <row r="19804">
          <cell r="G19804" t="str">
            <v>ASV18342</v>
          </cell>
          <cell r="H19804" t="str">
            <v>g__unclassified_f__Ruminococcaceae</v>
          </cell>
          <cell r="I19804" t="str">
            <v>s__unclassified_f__Ruminococcaceae</v>
          </cell>
        </row>
        <row r="19805">
          <cell r="G19805" t="str">
            <v>ASV15746</v>
          </cell>
          <cell r="H19805" t="str">
            <v>g__unclassified_c__Clostridia</v>
          </cell>
          <cell r="I19805" t="str">
            <v>s__unclassified_c__Clostridia</v>
          </cell>
        </row>
        <row r="19806">
          <cell r="G19806" t="str">
            <v>ASV9611</v>
          </cell>
          <cell r="H19806" t="str">
            <v>g__Bacteroides</v>
          </cell>
          <cell r="I19806" t="str">
            <v>s__unclassified_g__Bacteroides</v>
          </cell>
        </row>
        <row r="19807">
          <cell r="G19807" t="str">
            <v>ASV1822</v>
          </cell>
          <cell r="H19807" t="str">
            <v>g__unclassified_c__Clostridia</v>
          </cell>
          <cell r="I19807" t="str">
            <v>s__unclassified_c__Clostridia</v>
          </cell>
        </row>
        <row r="19808">
          <cell r="G19808" t="str">
            <v>ASV4361</v>
          </cell>
          <cell r="H19808" t="str">
            <v>g__unclassified_k__norank_d__Bacteria</v>
          </cell>
          <cell r="I19808" t="str">
            <v>s__unclassified_k__norank_d__Bacteria</v>
          </cell>
        </row>
        <row r="19809">
          <cell r="G19809" t="str">
            <v>ASV7378</v>
          </cell>
          <cell r="H19809" t="str">
            <v>g__Bacteroides</v>
          </cell>
          <cell r="I19809" t="str">
            <v>s__unclassified_g__Bacteroides</v>
          </cell>
        </row>
        <row r="19810">
          <cell r="G19810" t="str">
            <v>ASV9646</v>
          </cell>
          <cell r="H19810" t="str">
            <v>g__unclassified_o__Oscillospirales</v>
          </cell>
          <cell r="I19810" t="str">
            <v>s__unclassified_o__Oscillospirales</v>
          </cell>
        </row>
        <row r="19811">
          <cell r="G19811" t="str">
            <v>ASV21023</v>
          </cell>
          <cell r="H19811" t="str">
            <v>g__norank_f__Eubacterium_coprostanoligenes_group</v>
          </cell>
          <cell r="I19811" t="str">
            <v>s__unclassified_g__norank_f__Eubacterium_coprostanoligenes_group</v>
          </cell>
        </row>
        <row r="19812">
          <cell r="G19812" t="str">
            <v>ASV18686</v>
          </cell>
          <cell r="H19812" t="str">
            <v>g__Family_XIII_AD3011_group</v>
          </cell>
          <cell r="I19812" t="str">
            <v>s__uncultured_bacterium_g__Family_XIII_AD3011_group</v>
          </cell>
        </row>
        <row r="19813">
          <cell r="G19813" t="str">
            <v>ASV23787</v>
          </cell>
          <cell r="H19813" t="str">
            <v>g__Lactobacillus</v>
          </cell>
          <cell r="I19813" t="str">
            <v>s__unclassified_g__Lactobacillus</v>
          </cell>
        </row>
        <row r="19814">
          <cell r="G19814" t="str">
            <v>ASV19875</v>
          </cell>
          <cell r="H19814" t="str">
            <v>g__unclassified_f__Prevotellaceae</v>
          </cell>
          <cell r="I19814" t="str">
            <v>s__unclassified_f__Prevotellaceae</v>
          </cell>
        </row>
        <row r="19815">
          <cell r="G19815" t="str">
            <v>ASV6934</v>
          </cell>
          <cell r="H19815" t="str">
            <v>g__Streptococcus</v>
          </cell>
          <cell r="I19815" t="str">
            <v>s__unclassified_g__Streptococcus</v>
          </cell>
        </row>
        <row r="19816">
          <cell r="G19816" t="str">
            <v>ASV6306</v>
          </cell>
          <cell r="H19816" t="str">
            <v>g__unclassified_f__Lachnospiraceae</v>
          </cell>
          <cell r="I19816" t="str">
            <v>s__unclassified_f__Lachnospiraceae</v>
          </cell>
        </row>
        <row r="19817">
          <cell r="G19817" t="str">
            <v>ASV6457</v>
          </cell>
          <cell r="H19817" t="str">
            <v>g__unclassified_o__Oscillospirales</v>
          </cell>
          <cell r="I19817" t="str">
            <v>s__unclassified_o__Oscillospirales</v>
          </cell>
        </row>
        <row r="19818">
          <cell r="G19818" t="str">
            <v>ASV20177</v>
          </cell>
          <cell r="H19818" t="str">
            <v>g__Escherichia-Shigella</v>
          </cell>
          <cell r="I19818" t="str">
            <v>s__unclassified_g__Escherichia-Shigella</v>
          </cell>
        </row>
        <row r="19819">
          <cell r="G19819" t="str">
            <v>ASV16795</v>
          </cell>
          <cell r="H19819" t="str">
            <v>g__unclassified_f__Lachnospiraceae</v>
          </cell>
          <cell r="I19819" t="str">
            <v>s__unclassified_f__Lachnospiraceae</v>
          </cell>
        </row>
        <row r="19820">
          <cell r="G19820" t="str">
            <v>ASV14661</v>
          </cell>
          <cell r="H19820" t="str">
            <v>g__norank_f__norank_o__Clostridia_UCG-014</v>
          </cell>
          <cell r="I19820" t="str">
            <v>s__unclassified_g__norank_f__norank_o__Clostridia_UCG-014</v>
          </cell>
        </row>
        <row r="19821">
          <cell r="G19821" t="str">
            <v>ASV12181</v>
          </cell>
          <cell r="H19821" t="str">
            <v>g__Holdemanella</v>
          </cell>
          <cell r="I19821" t="str">
            <v>s__unclassified_g__Holdemanella</v>
          </cell>
        </row>
        <row r="19822">
          <cell r="G19822" t="str">
            <v>ASV1335</v>
          </cell>
          <cell r="H19822" t="str">
            <v>g__norank_f__UCG-010</v>
          </cell>
          <cell r="I19822" t="str">
            <v>s__uncultured_bacterium_g__norank_f__UCG-010</v>
          </cell>
        </row>
        <row r="19823">
          <cell r="G19823" t="str">
            <v>ASV18274</v>
          </cell>
          <cell r="H19823" t="str">
            <v>g__unclassified_c__Clostridia</v>
          </cell>
          <cell r="I19823" t="str">
            <v>s__unclassified_c__Clostridia</v>
          </cell>
        </row>
        <row r="19824">
          <cell r="G19824" t="str">
            <v>ASV21114</v>
          </cell>
          <cell r="H19824" t="str">
            <v>g__unclassified_f__Peptostreptococcaceae</v>
          </cell>
          <cell r="I19824" t="str">
            <v>s__unclassified_f__Peptostreptococcaceae</v>
          </cell>
        </row>
        <row r="19825">
          <cell r="G19825" t="str">
            <v>ASV13576</v>
          </cell>
          <cell r="H19825" t="str">
            <v>g__Eubacterium_oxidoreducens_group</v>
          </cell>
          <cell r="I19825" t="str">
            <v>s__uncultured_bacterium_g__Eubacterium_oxidoreducens_group</v>
          </cell>
        </row>
        <row r="19826">
          <cell r="G19826" t="str">
            <v>ASV17012</v>
          </cell>
          <cell r="H19826" t="str">
            <v>g__Alloprevotella</v>
          </cell>
          <cell r="I19826" t="str">
            <v>s__uncultured_bacterium_g__Alloprevotella</v>
          </cell>
        </row>
        <row r="19827">
          <cell r="G19827" t="str">
            <v>ASV8558</v>
          </cell>
          <cell r="H19827" t="str">
            <v>g__unclassified_c__Bacilli</v>
          </cell>
          <cell r="I19827" t="str">
            <v>s__unclassified_c__Bacilli</v>
          </cell>
        </row>
        <row r="19828">
          <cell r="G19828" t="str">
            <v>ASV16078</v>
          </cell>
          <cell r="H19828" t="str">
            <v>g__UCG-004</v>
          </cell>
          <cell r="I19828" t="str">
            <v>s__unidentified_rumen_bacterium_RFN74</v>
          </cell>
        </row>
        <row r="19829">
          <cell r="G19829" t="str">
            <v>ASV8020</v>
          </cell>
          <cell r="H19829" t="str">
            <v>g__Anaerorhabdus_furcosa_group</v>
          </cell>
          <cell r="I19829" t="str">
            <v>s__uncultured_bacterium_g__Anaerorhabdus_furcosa_group</v>
          </cell>
        </row>
        <row r="19830">
          <cell r="G19830" t="str">
            <v>ASV21541</v>
          </cell>
          <cell r="H19830" t="str">
            <v>g__unclassified_p__Firmicutes</v>
          </cell>
          <cell r="I19830" t="str">
            <v>s__unclassified_p__Firmicutes</v>
          </cell>
        </row>
        <row r="19831">
          <cell r="G19831" t="str">
            <v>ASV18338</v>
          </cell>
          <cell r="H19831" t="str">
            <v>g__unclassified_c__Clostridia</v>
          </cell>
          <cell r="I19831" t="str">
            <v>s__unclassified_c__Clostridia</v>
          </cell>
        </row>
        <row r="19832">
          <cell r="G19832" t="str">
            <v>ASV8014</v>
          </cell>
          <cell r="H19832" t="str">
            <v>g__Enterorhabdus</v>
          </cell>
          <cell r="I19832" t="str">
            <v>s__uncultured_bacterium_g__Enterorhabdus</v>
          </cell>
        </row>
        <row r="19833">
          <cell r="G19833" t="str">
            <v>ASV15579</v>
          </cell>
          <cell r="H19833" t="str">
            <v>g__unclassified_f__Peptostreptococcaceae</v>
          </cell>
          <cell r="I19833" t="str">
            <v>s__unclassified_f__Peptostreptococcaceae</v>
          </cell>
        </row>
        <row r="19834">
          <cell r="G19834" t="str">
            <v>ASV1414</v>
          </cell>
          <cell r="H19834" t="str">
            <v>g__norank_f__Muribaculaceae</v>
          </cell>
          <cell r="I19834" t="str">
            <v>s__uncultured_bacterium_g__norank_f__Muribaculaceae</v>
          </cell>
        </row>
        <row r="19835">
          <cell r="G19835" t="str">
            <v>ASV12275</v>
          </cell>
          <cell r="H19835" t="str">
            <v>g__unclassified_c__Clostridia</v>
          </cell>
          <cell r="I19835" t="str">
            <v>s__unclassified_c__Clostridia</v>
          </cell>
        </row>
        <row r="19836">
          <cell r="G19836" t="str">
            <v>ASV18456</v>
          </cell>
          <cell r="H19836" t="str">
            <v>g__unclassified_o__Oscillospirales</v>
          </cell>
          <cell r="I19836" t="str">
            <v>s__unclassified_o__Oscillospirales</v>
          </cell>
        </row>
        <row r="19837">
          <cell r="G19837" t="str">
            <v>ASV17554</v>
          </cell>
          <cell r="H19837" t="str">
            <v>g__Lactobacillus</v>
          </cell>
          <cell r="I19837" t="str">
            <v>s__unclassified_g__Lactobacillus</v>
          </cell>
        </row>
        <row r="19838">
          <cell r="G19838" t="str">
            <v>ASV15603</v>
          </cell>
          <cell r="H19838" t="str">
            <v>g__unclassified_c__Clostridia</v>
          </cell>
          <cell r="I19838" t="str">
            <v>s__unclassified_c__Clostridia</v>
          </cell>
        </row>
        <row r="19839">
          <cell r="G19839" t="str">
            <v>ASV17033</v>
          </cell>
          <cell r="H19839" t="str">
            <v>g__Eubacterium_hallii_group</v>
          </cell>
          <cell r="I19839" t="str">
            <v>s__unclassified_g__Eubacterium_hallii_group</v>
          </cell>
        </row>
        <row r="19840">
          <cell r="G19840" t="str">
            <v>ASV21079</v>
          </cell>
          <cell r="H19840" t="str">
            <v>g__norank_f__UCG-010</v>
          </cell>
          <cell r="I19840" t="str">
            <v>s__uncultured_bacterium_g__norank_f__UCG-010</v>
          </cell>
        </row>
        <row r="19841">
          <cell r="G19841" t="str">
            <v>ASV12054</v>
          </cell>
          <cell r="H19841" t="str">
            <v>g__unclassified_f__Lachnospiraceae</v>
          </cell>
          <cell r="I19841" t="str">
            <v>s__unclassified_f__Lachnospiraceae</v>
          </cell>
        </row>
        <row r="19842">
          <cell r="G19842" t="str">
            <v>ASV24347</v>
          </cell>
          <cell r="H19842" t="str">
            <v>g__Eubacterium</v>
          </cell>
          <cell r="I19842" t="str">
            <v>s__unclassified_g__Eubacterium</v>
          </cell>
        </row>
        <row r="19843">
          <cell r="G19843" t="str">
            <v>ASV21554</v>
          </cell>
          <cell r="H19843" t="str">
            <v>g__unclassified_f__Lachnospiraceae</v>
          </cell>
          <cell r="I19843" t="str">
            <v>s__unclassified_f__Lachnospiraceae</v>
          </cell>
        </row>
        <row r="19844">
          <cell r="G19844" t="str">
            <v>ASV13204</v>
          </cell>
          <cell r="H19844" t="str">
            <v>g__unclassified_p__Firmicutes</v>
          </cell>
          <cell r="I19844" t="str">
            <v>s__unclassified_p__Firmicutes</v>
          </cell>
        </row>
        <row r="19845">
          <cell r="G19845" t="str">
            <v>ASV4301</v>
          </cell>
          <cell r="H19845" t="str">
            <v>g__Bacteroides</v>
          </cell>
          <cell r="I19845" t="str">
            <v>s__unclassified_g__Bacteroides</v>
          </cell>
        </row>
        <row r="19846">
          <cell r="G19846" t="str">
            <v>ASV22616</v>
          </cell>
          <cell r="H19846" t="str">
            <v>g__unclassified_p__Firmicutes</v>
          </cell>
          <cell r="I19846" t="str">
            <v>s__unclassified_p__Firmicutes</v>
          </cell>
        </row>
        <row r="19847">
          <cell r="G19847" t="str">
            <v>ASV3345</v>
          </cell>
          <cell r="H19847" t="str">
            <v>g__Holdemanella</v>
          </cell>
          <cell r="I19847" t="str">
            <v>s__uncultured_bacterium_g__Holdemanella</v>
          </cell>
        </row>
        <row r="19848">
          <cell r="G19848" t="str">
            <v>ASV22521</v>
          </cell>
          <cell r="H19848" t="str">
            <v>g__norank_f__F082</v>
          </cell>
          <cell r="I19848" t="str">
            <v>s__uncultured_bacterium_g__norank_f__F082</v>
          </cell>
        </row>
        <row r="19849">
          <cell r="G19849" t="str">
            <v>ASV1409</v>
          </cell>
          <cell r="H19849" t="str">
            <v>g__unclassified_f__Lachnospiraceae</v>
          </cell>
          <cell r="I19849" t="str">
            <v>s__unclassified_f__Lachnospiraceae</v>
          </cell>
        </row>
        <row r="19850">
          <cell r="G19850" t="str">
            <v>ASV20021</v>
          </cell>
          <cell r="H19850" t="str">
            <v>g__unclassified_k__norank_d__Bacteria</v>
          </cell>
          <cell r="I19850" t="str">
            <v>s__unclassified_k__norank_d__Bacteria</v>
          </cell>
        </row>
        <row r="19851">
          <cell r="G19851" t="str">
            <v>ASV24048</v>
          </cell>
          <cell r="H19851" t="str">
            <v>g__Escherichia-Shigella</v>
          </cell>
          <cell r="I19851" t="str">
            <v>s__unclassified_g__Escherichia-Shigella</v>
          </cell>
        </row>
        <row r="19852">
          <cell r="G19852" t="str">
            <v>ASV6484</v>
          </cell>
          <cell r="H19852" t="str">
            <v>g__Terrisporobacter</v>
          </cell>
          <cell r="I19852" t="str">
            <v>s__unclassified_g__Terrisporobacter</v>
          </cell>
        </row>
        <row r="19853">
          <cell r="G19853" t="str">
            <v>ASV9733</v>
          </cell>
          <cell r="H19853" t="str">
            <v>g__unclassified_f__Pasteurellaceae</v>
          </cell>
          <cell r="I19853" t="str">
            <v>s__unclassified_f__Pasteurellaceae</v>
          </cell>
        </row>
        <row r="19854">
          <cell r="G19854" t="str">
            <v>ASV15856</v>
          </cell>
          <cell r="H19854" t="str">
            <v>g__unclassified_o__Lactobacillales</v>
          </cell>
          <cell r="I19854" t="str">
            <v>s__unclassified_o__Lactobacillales</v>
          </cell>
        </row>
        <row r="19855">
          <cell r="G19855" t="str">
            <v>ASV15098</v>
          </cell>
          <cell r="H19855" t="str">
            <v>g__unclassified_k__norank_d__Bacteria</v>
          </cell>
          <cell r="I19855" t="str">
            <v>s__unclassified_k__norank_d__Bacteria</v>
          </cell>
        </row>
        <row r="19856">
          <cell r="G19856" t="str">
            <v>ASV3391</v>
          </cell>
          <cell r="H19856" t="str">
            <v>g__Oscillibacter</v>
          </cell>
          <cell r="I19856" t="str">
            <v>s__unclassified_g__Oscillibacter</v>
          </cell>
        </row>
        <row r="19857">
          <cell r="G19857" t="str">
            <v>ASV20093</v>
          </cell>
          <cell r="H19857" t="str">
            <v>g__unclassified_c__Clostridia</v>
          </cell>
          <cell r="I19857" t="str">
            <v>s__unclassified_c__Clostridia</v>
          </cell>
        </row>
        <row r="19858">
          <cell r="G19858" t="str">
            <v>ASV3711</v>
          </cell>
          <cell r="H19858" t="str">
            <v>g__Massilia</v>
          </cell>
          <cell r="I19858" t="str">
            <v>s__unclassified_g__Massilia</v>
          </cell>
        </row>
        <row r="19859">
          <cell r="G19859" t="str">
            <v>ASV16161</v>
          </cell>
          <cell r="H19859" t="str">
            <v>g__Fusobacterium</v>
          </cell>
          <cell r="I19859" t="str">
            <v>s__unclassified_g__Fusobacterium</v>
          </cell>
        </row>
        <row r="19860">
          <cell r="G19860" t="str">
            <v>ASV16794</v>
          </cell>
          <cell r="H19860" t="str">
            <v>g__Actinomyces</v>
          </cell>
          <cell r="I19860" t="str">
            <v>s__Schaalia_hyovaginalis</v>
          </cell>
        </row>
        <row r="19861">
          <cell r="G19861" t="str">
            <v>ASV4266</v>
          </cell>
          <cell r="H19861" t="str">
            <v>g__Parabacteroides</v>
          </cell>
          <cell r="I19861" t="str">
            <v>s__unclassified_g__Parabacteroides</v>
          </cell>
        </row>
        <row r="19862">
          <cell r="G19862" t="str">
            <v>ASV20181</v>
          </cell>
          <cell r="H19862" t="str">
            <v>g__norank_f__Eubacterium_coprostanoligenes_group</v>
          </cell>
          <cell r="I19862" t="str">
            <v>s__uncultured_bacterium_g__norank_f__Eubacterium_coprostanoligenes_group</v>
          </cell>
        </row>
        <row r="19863">
          <cell r="G19863" t="str">
            <v>ASV6361</v>
          </cell>
          <cell r="H19863" t="str">
            <v>g__Bacteroides</v>
          </cell>
          <cell r="I19863" t="str">
            <v>s__unclassified_g__Bacteroides</v>
          </cell>
        </row>
        <row r="19864">
          <cell r="G19864" t="str">
            <v>ASV21531</v>
          </cell>
          <cell r="H19864" t="str">
            <v>g__unclassified_p__Firmicutes</v>
          </cell>
          <cell r="I19864" t="str">
            <v>s__unclassified_p__Firmicutes</v>
          </cell>
        </row>
        <row r="19865">
          <cell r="G19865" t="str">
            <v>ASV1212</v>
          </cell>
          <cell r="H19865" t="str">
            <v>g__unclassified_c__Clostridia</v>
          </cell>
          <cell r="I19865" t="str">
            <v>s__unclassified_c__Clostridia</v>
          </cell>
        </row>
        <row r="19866">
          <cell r="G19866" t="str">
            <v>ASV20162</v>
          </cell>
          <cell r="H19866" t="str">
            <v>g__unclassified_f__Lachnospiraceae</v>
          </cell>
          <cell r="I19866" t="str">
            <v>s__unclassified_f__Lachnospiraceae</v>
          </cell>
        </row>
        <row r="19867">
          <cell r="G19867" t="str">
            <v>ASV7991</v>
          </cell>
          <cell r="H19867" t="str">
            <v>g__norank_f__norank_o__Bradymonadales</v>
          </cell>
          <cell r="I19867" t="str">
            <v>s__uncultured_rumen_bacterium_g__norank_f__norank_o__Bradymonadales</v>
          </cell>
        </row>
        <row r="19868">
          <cell r="G19868" t="str">
            <v>ASV13847</v>
          </cell>
          <cell r="H19868" t="str">
            <v>g__Enterococcus</v>
          </cell>
          <cell r="I19868" t="str">
            <v>s__unclassified_g__Enterococcus</v>
          </cell>
        </row>
        <row r="19869">
          <cell r="G19869" t="str">
            <v>ASV19954</v>
          </cell>
          <cell r="H19869" t="str">
            <v>g__Faecalibacterium</v>
          </cell>
          <cell r="I19869" t="str">
            <v>s__uncultured_bacterium_g__Faecalibacterium</v>
          </cell>
        </row>
        <row r="19870">
          <cell r="G19870" t="str">
            <v>ASV14612</v>
          </cell>
          <cell r="H19870" t="str">
            <v>g__unclassified_k__norank_d__Bacteria</v>
          </cell>
          <cell r="I19870" t="str">
            <v>s__unclassified_k__norank_d__Bacteria</v>
          </cell>
        </row>
        <row r="19871">
          <cell r="G19871" t="str">
            <v>ASV5385</v>
          </cell>
          <cell r="H19871" t="str">
            <v>g__unclassified_c__Clostridia</v>
          </cell>
          <cell r="I19871" t="str">
            <v>s__unclassified_c__Clostridia</v>
          </cell>
        </row>
        <row r="19872">
          <cell r="G19872" t="str">
            <v>ASV21370</v>
          </cell>
          <cell r="H19872" t="str">
            <v>g__Faecalibacterium</v>
          </cell>
          <cell r="I19872" t="str">
            <v>s__uncultured_bacterium_g__Faecalibacterium</v>
          </cell>
        </row>
        <row r="19873">
          <cell r="G19873" t="str">
            <v>ASV12303</v>
          </cell>
          <cell r="H19873" t="str">
            <v>g__unclassified_f__Oscillospiraceae</v>
          </cell>
          <cell r="I19873" t="str">
            <v>s__unclassified_f__Oscillospiraceae</v>
          </cell>
        </row>
        <row r="19874">
          <cell r="G19874" t="str">
            <v>ASV3342</v>
          </cell>
          <cell r="H19874" t="str">
            <v>g__Lactobacillus</v>
          </cell>
          <cell r="I19874" t="str">
            <v>s__unclassified_g__Lactobacillus</v>
          </cell>
        </row>
        <row r="19875">
          <cell r="G19875" t="str">
            <v>ASV14804</v>
          </cell>
          <cell r="H19875" t="str">
            <v>g__unclassified_f__Lachnospiraceae</v>
          </cell>
          <cell r="I19875" t="str">
            <v>s__unclassified_f__Lachnospiraceae</v>
          </cell>
        </row>
        <row r="19876">
          <cell r="G19876" t="str">
            <v>ASV22641</v>
          </cell>
          <cell r="H19876" t="str">
            <v>g__unclassified_f__Lachnospiraceae</v>
          </cell>
          <cell r="I19876" t="str">
            <v>s__unclassified_f__Lachnospiraceae</v>
          </cell>
        </row>
        <row r="19877">
          <cell r="G19877" t="str">
            <v>ASV19141</v>
          </cell>
          <cell r="H19877" t="str">
            <v>g__unclassified_p__Firmicutes</v>
          </cell>
          <cell r="I19877" t="str">
            <v>s__unclassified_p__Firmicutes</v>
          </cell>
        </row>
        <row r="19878">
          <cell r="G19878" t="str">
            <v>ASV18687</v>
          </cell>
          <cell r="H19878" t="str">
            <v>g__Streptococcus</v>
          </cell>
          <cell r="I19878" t="str">
            <v>s__unclassified_g__Streptococcus</v>
          </cell>
        </row>
        <row r="19879">
          <cell r="G19879" t="str">
            <v>ASV10247</v>
          </cell>
          <cell r="H19879" t="str">
            <v>g__Bacteroides</v>
          </cell>
          <cell r="I19879" t="str">
            <v>s__unclassified_g__Bacteroides</v>
          </cell>
        </row>
        <row r="19880">
          <cell r="G19880" t="str">
            <v>ASV16708</v>
          </cell>
          <cell r="H19880" t="str">
            <v>g__unclassified_k__norank_d__Bacteria</v>
          </cell>
          <cell r="I19880" t="str">
            <v>s__unclassified_k__norank_d__Bacteria</v>
          </cell>
        </row>
        <row r="19881">
          <cell r="G19881" t="str">
            <v>ASV12259</v>
          </cell>
          <cell r="H19881" t="str">
            <v>g__Treponema</v>
          </cell>
          <cell r="I19881" t="str">
            <v>s__uncultured_bacterium_g__Treponema</v>
          </cell>
        </row>
        <row r="19882">
          <cell r="G19882" t="str">
            <v>ASV13143</v>
          </cell>
          <cell r="H19882" t="str">
            <v>g__Christensenellaceae_R-7_group</v>
          </cell>
          <cell r="I19882" t="str">
            <v>s__unclassified_g__Christensenellaceae_R-7_group</v>
          </cell>
        </row>
        <row r="19883">
          <cell r="G19883" t="str">
            <v>ASV23496</v>
          </cell>
          <cell r="H19883" t="str">
            <v>g__Actinomyces</v>
          </cell>
          <cell r="I19883" t="str">
            <v>s__unclassified_g__Actinomyces</v>
          </cell>
        </row>
        <row r="19884">
          <cell r="G19884" t="str">
            <v>ASV12237</v>
          </cell>
          <cell r="H19884" t="str">
            <v>g__unclassified_c__Clostridia</v>
          </cell>
          <cell r="I19884" t="str">
            <v>s__unclassified_c__Clostridia</v>
          </cell>
        </row>
        <row r="19885">
          <cell r="G19885" t="str">
            <v>ASV22625</v>
          </cell>
          <cell r="H19885" t="str">
            <v>g__unclassified_f__Lachnospiraceae</v>
          </cell>
          <cell r="I19885" t="str">
            <v>s__unclassified_f__Lachnospiraceae</v>
          </cell>
        </row>
        <row r="19886">
          <cell r="G19886" t="str">
            <v>ASV13168</v>
          </cell>
          <cell r="H19886" t="str">
            <v>g__unclassified_c__Clostridia</v>
          </cell>
          <cell r="I19886" t="str">
            <v>s__unclassified_c__Clostridia</v>
          </cell>
        </row>
        <row r="19887">
          <cell r="G19887" t="str">
            <v>ASV13082</v>
          </cell>
          <cell r="H19887" t="str">
            <v>g__Monoglobus</v>
          </cell>
          <cell r="I19887" t="str">
            <v>s__unclassified_g__Monoglobus</v>
          </cell>
        </row>
        <row r="19888">
          <cell r="G19888" t="str">
            <v>ASV10906</v>
          </cell>
          <cell r="H19888" t="str">
            <v>g__unclassified_o__Lactobacillales</v>
          </cell>
          <cell r="I19888" t="str">
            <v>s__unclassified_o__Lactobacillales</v>
          </cell>
        </row>
        <row r="19889">
          <cell r="G19889" t="str">
            <v>ASV22705</v>
          </cell>
          <cell r="H19889" t="str">
            <v>g__unclassified_o__Oscillospirales</v>
          </cell>
          <cell r="I19889" t="str">
            <v>s__unclassified_o__Oscillospirales</v>
          </cell>
        </row>
        <row r="19890">
          <cell r="G19890" t="str">
            <v>ASV12037</v>
          </cell>
          <cell r="H19890" t="str">
            <v>g__Bacteroides</v>
          </cell>
          <cell r="I19890" t="str">
            <v>s__unclassified_g__Bacteroides</v>
          </cell>
        </row>
        <row r="19891">
          <cell r="G19891" t="str">
            <v>ASV1106</v>
          </cell>
          <cell r="H19891" t="str">
            <v>g__Streptococcus</v>
          </cell>
          <cell r="I19891" t="str">
            <v>s__unclassified_g__Streptococcus</v>
          </cell>
        </row>
        <row r="19892">
          <cell r="G19892" t="str">
            <v>ASV13042</v>
          </cell>
          <cell r="H19892" t="str">
            <v>g__unclassified_f__Lachnospiraceae</v>
          </cell>
          <cell r="I19892" t="str">
            <v>s__unclassified_f__Lachnospiraceae</v>
          </cell>
        </row>
        <row r="19893">
          <cell r="G19893" t="str">
            <v>ASV22675</v>
          </cell>
          <cell r="H19893" t="str">
            <v>g__unclassified_o__Oscillospirales</v>
          </cell>
          <cell r="I19893" t="str">
            <v>s__unclassified_o__Oscillospirales</v>
          </cell>
        </row>
        <row r="19894">
          <cell r="G19894" t="str">
            <v>ASV1339</v>
          </cell>
          <cell r="H19894" t="str">
            <v>g__unclassified_c__Clostridia</v>
          </cell>
          <cell r="I19894" t="str">
            <v>s__unclassified_c__Clostridia</v>
          </cell>
        </row>
        <row r="19895">
          <cell r="G19895" t="str">
            <v>ASV16991</v>
          </cell>
          <cell r="H19895" t="str">
            <v>g__norank_f__norank_o__Gastranaerophilales</v>
          </cell>
          <cell r="I19895" t="str">
            <v>s__unclassified_g__norank_f__norank_o__Gastranaerophilales</v>
          </cell>
        </row>
        <row r="19896">
          <cell r="G19896" t="str">
            <v>ASV1209</v>
          </cell>
          <cell r="H19896" t="str">
            <v>g__unclassified_f__Lachnospiraceae</v>
          </cell>
          <cell r="I19896" t="str">
            <v>s__unclassified_f__Lachnospiraceae</v>
          </cell>
        </row>
        <row r="19897">
          <cell r="G19897" t="str">
            <v>ASV20184</v>
          </cell>
          <cell r="H19897" t="str">
            <v>g__Lachnospiraceae_NC2004_group</v>
          </cell>
          <cell r="I19897" t="str">
            <v>s__unclassified_g__Lachnospiraceae_NC2004_group</v>
          </cell>
        </row>
        <row r="19898">
          <cell r="G19898" t="str">
            <v>ASV17684</v>
          </cell>
          <cell r="H19898" t="str">
            <v>g__Lactobacillus</v>
          </cell>
          <cell r="I19898" t="str">
            <v>s__unclassified_g__Lactobacillus</v>
          </cell>
        </row>
        <row r="19899">
          <cell r="G19899" t="str">
            <v>ASV13163</v>
          </cell>
          <cell r="H19899" t="str">
            <v>g__UCG-005</v>
          </cell>
          <cell r="I19899" t="str">
            <v>s__unclassified_g__UCG-005</v>
          </cell>
        </row>
        <row r="19900">
          <cell r="G19900" t="str">
            <v>ASV19127</v>
          </cell>
          <cell r="H19900" t="str">
            <v>g__unclassified_f__Anaerovoracaceae</v>
          </cell>
          <cell r="I19900" t="str">
            <v>s__unclassified_f__Anaerovoracaceae</v>
          </cell>
        </row>
        <row r="19901">
          <cell r="G19901" t="str">
            <v>ASV12284</v>
          </cell>
          <cell r="H19901" t="str">
            <v>g__norank_f__Ruminococcaceae</v>
          </cell>
          <cell r="I19901" t="str">
            <v>s__uncultured_bacterium_g__norank_f__Ruminococcaceae</v>
          </cell>
        </row>
        <row r="19902">
          <cell r="G19902" t="str">
            <v>ASV6453</v>
          </cell>
          <cell r="H19902" t="str">
            <v>g__Escherichia-Shigella</v>
          </cell>
          <cell r="I19902" t="str">
            <v>s__unclassified_g__Escherichia-Shigella</v>
          </cell>
        </row>
        <row r="19903">
          <cell r="G19903" t="str">
            <v>ASV9658</v>
          </cell>
          <cell r="H19903" t="str">
            <v>g__unclassified_o__Oscillospirales</v>
          </cell>
          <cell r="I19903" t="str">
            <v>s__unclassified_o__Oscillospirales</v>
          </cell>
        </row>
        <row r="19904">
          <cell r="G19904" t="str">
            <v>ASV15577</v>
          </cell>
          <cell r="H19904" t="str">
            <v>g__unclassified_k__norank_d__Bacteria</v>
          </cell>
          <cell r="I19904" t="str">
            <v>s__unclassified_k__norank_d__Bacteria</v>
          </cell>
        </row>
        <row r="19905">
          <cell r="G19905" t="str">
            <v>ASV9049</v>
          </cell>
          <cell r="H19905" t="str">
            <v>g__Asteroleplasma</v>
          </cell>
          <cell r="I19905" t="str">
            <v>s__Asteroleplasma_anaerobium</v>
          </cell>
        </row>
        <row r="19906">
          <cell r="G19906" t="str">
            <v>ASV24364</v>
          </cell>
          <cell r="H19906" t="str">
            <v>g__unclassified_f__Lachnospiraceae</v>
          </cell>
          <cell r="I19906" t="str">
            <v>s__unclassified_f__Lachnospiraceae</v>
          </cell>
        </row>
        <row r="19907">
          <cell r="G19907" t="str">
            <v>ASV14662</v>
          </cell>
          <cell r="H19907" t="str">
            <v>g__Streptococcus</v>
          </cell>
          <cell r="I19907" t="str">
            <v>s__unclassified_g__Streptococcus</v>
          </cell>
        </row>
        <row r="19908">
          <cell r="G19908" t="str">
            <v>ASV1423</v>
          </cell>
          <cell r="H19908" t="str">
            <v>g__unclassified_f__Lachnospiraceae</v>
          </cell>
          <cell r="I19908" t="str">
            <v>s__unclassified_f__Lachnospiraceae</v>
          </cell>
        </row>
        <row r="19909">
          <cell r="G19909" t="str">
            <v>ASV17014</v>
          </cell>
          <cell r="H19909" t="str">
            <v>g__unclassified_o__Oscillospirales</v>
          </cell>
          <cell r="I19909" t="str">
            <v>s__unclassified_o__Oscillospirales</v>
          </cell>
        </row>
        <row r="19910">
          <cell r="G19910" t="str">
            <v>ASV1319</v>
          </cell>
          <cell r="H19910" t="str">
            <v>g__dgA-11_gut_group</v>
          </cell>
          <cell r="I19910" t="str">
            <v>s__uncultured_Bacteroidales_bacterium_g__dgA-11_gut_group</v>
          </cell>
        </row>
        <row r="19911">
          <cell r="G19911" t="str">
            <v>ASV4344</v>
          </cell>
          <cell r="H19911" t="str">
            <v>g__unclassified_k__norank_d__Bacteria</v>
          </cell>
          <cell r="I19911" t="str">
            <v>s__unclassified_k__norank_d__Bacteria</v>
          </cell>
        </row>
        <row r="19912">
          <cell r="G19912" t="str">
            <v>ASV1329</v>
          </cell>
          <cell r="H19912" t="str">
            <v>g__Rikenellaceae_RC9_gut_group</v>
          </cell>
          <cell r="I19912" t="str">
            <v>s__uncultured_Rikenella_sp._g__Rikenellaceae_RC9_gut_group</v>
          </cell>
        </row>
        <row r="19913">
          <cell r="G19913" t="str">
            <v>ASV21097</v>
          </cell>
          <cell r="H19913" t="str">
            <v>g__unclassified_c__Clostridia</v>
          </cell>
          <cell r="I19913" t="str">
            <v>s__unclassified_c__Clostridia</v>
          </cell>
        </row>
        <row r="19914">
          <cell r="G19914" t="str">
            <v>ASV1230</v>
          </cell>
          <cell r="H19914" t="str">
            <v>g__unclassified_p__Firmicutes</v>
          </cell>
          <cell r="I19914" t="str">
            <v>s__unclassified_p__Firmicutes</v>
          </cell>
        </row>
        <row r="19915">
          <cell r="G19915" t="str">
            <v>ASV6985</v>
          </cell>
          <cell r="H19915" t="str">
            <v>g__unclassified_f__Lachnospiraceae</v>
          </cell>
          <cell r="I19915" t="str">
            <v>s__unclassified_f__Lachnospiraceae</v>
          </cell>
        </row>
        <row r="19916">
          <cell r="G19916" t="str">
            <v>ASV1386</v>
          </cell>
          <cell r="H19916" t="str">
            <v>g__Prevotella</v>
          </cell>
          <cell r="I19916" t="str">
            <v>s__unclassified_g__Prevotella</v>
          </cell>
        </row>
        <row r="19917">
          <cell r="G19917" t="str">
            <v>ASV24260</v>
          </cell>
          <cell r="H19917" t="str">
            <v>g__norank_f__vadinBE97</v>
          </cell>
          <cell r="I19917" t="str">
            <v>s__unclassified_g__norank_f__vadinBE97</v>
          </cell>
        </row>
        <row r="19918">
          <cell r="G19918" t="str">
            <v>ASV14798</v>
          </cell>
          <cell r="H19918" t="str">
            <v>g__Phascolarctobacterium</v>
          </cell>
          <cell r="I19918" t="str">
            <v>s__unclassified_g__Phascolarctobacterium</v>
          </cell>
        </row>
        <row r="19919">
          <cell r="G19919" t="str">
            <v>ASV23629</v>
          </cell>
          <cell r="H19919" t="str">
            <v>g__unclassified_f__Lachnospiraceae</v>
          </cell>
          <cell r="I19919" t="str">
            <v>s__unclassified_f__Lachnospiraceae</v>
          </cell>
        </row>
        <row r="19920">
          <cell r="G19920" t="str">
            <v>ASV22844</v>
          </cell>
          <cell r="H19920" t="str">
            <v>g__unclassified_c__Clostridia</v>
          </cell>
          <cell r="I19920" t="str">
            <v>s__unclassified_c__Clostridia</v>
          </cell>
        </row>
        <row r="19921">
          <cell r="G19921" t="str">
            <v>ASV20125</v>
          </cell>
          <cell r="H19921" t="str">
            <v>g__unclassified_f__Lachnospiraceae</v>
          </cell>
          <cell r="I19921" t="str">
            <v>s__unclassified_f__Lachnospiraceae</v>
          </cell>
        </row>
        <row r="19922">
          <cell r="G19922" t="str">
            <v>ASV14875</v>
          </cell>
          <cell r="H19922" t="str">
            <v>g__unclassified_c__Bacilli</v>
          </cell>
          <cell r="I19922" t="str">
            <v>s__unclassified_c__Bacilli</v>
          </cell>
        </row>
        <row r="19923">
          <cell r="G19923" t="str">
            <v>ASV12396</v>
          </cell>
          <cell r="H19923" t="str">
            <v>g__unclassified_f__Lachnospiraceae</v>
          </cell>
          <cell r="I19923" t="str">
            <v>s__unclassified_f__Lachnospiraceae</v>
          </cell>
        </row>
        <row r="19924">
          <cell r="G19924" t="str">
            <v>ASV12458</v>
          </cell>
          <cell r="H19924" t="str">
            <v>g__unclassified_k__norank_d__Bacteria</v>
          </cell>
          <cell r="I19924" t="str">
            <v>s__unclassified_k__norank_d__Bacteria</v>
          </cell>
        </row>
        <row r="19925">
          <cell r="G19925" t="str">
            <v>ASV6308</v>
          </cell>
          <cell r="H19925" t="str">
            <v>g__unclassified_f__Christensenellaceae</v>
          </cell>
          <cell r="I19925" t="str">
            <v>s__unclassified_f__Christensenellaceae</v>
          </cell>
        </row>
        <row r="19926">
          <cell r="G19926" t="str">
            <v>ASV2502</v>
          </cell>
          <cell r="H19926" t="str">
            <v>g__norank_f__Eubacterium_coprostanoligenes_group</v>
          </cell>
          <cell r="I19926" t="str">
            <v>s__unclassified_g__norank_f__Eubacterium_coprostanoligenes_group</v>
          </cell>
        </row>
        <row r="19927">
          <cell r="G19927" t="str">
            <v>ASV12097</v>
          </cell>
          <cell r="H19927" t="str">
            <v>g__Escherichia-Shigella</v>
          </cell>
          <cell r="I19927" t="str">
            <v>s__unclassified_g__Escherichia-Shigella</v>
          </cell>
        </row>
        <row r="19928">
          <cell r="G19928" t="str">
            <v>ASV23696</v>
          </cell>
          <cell r="H19928" t="str">
            <v>g__unclassified_c__Clostridia</v>
          </cell>
          <cell r="I19928" t="str">
            <v>s__unclassified_c__Clostridia</v>
          </cell>
        </row>
        <row r="19929">
          <cell r="G19929" t="str">
            <v>ASV15748</v>
          </cell>
          <cell r="H19929" t="str">
            <v>g__unclassified_c__Clostridia</v>
          </cell>
          <cell r="I19929" t="str">
            <v>s__unclassified_c__Clostridia</v>
          </cell>
        </row>
        <row r="19930">
          <cell r="G19930" t="str">
            <v>ASV14892</v>
          </cell>
          <cell r="H19930" t="str">
            <v>g__unclassified_c__Clostridia</v>
          </cell>
          <cell r="I19930" t="str">
            <v>s__unclassified_c__Clostridia</v>
          </cell>
        </row>
        <row r="19931">
          <cell r="G19931" t="str">
            <v>ASV17324</v>
          </cell>
          <cell r="H19931" t="str">
            <v>g__unclassified_f__Lachnospiraceae</v>
          </cell>
          <cell r="I19931" t="str">
            <v>s__unclassified_f__Lachnospiraceae</v>
          </cell>
        </row>
        <row r="19932">
          <cell r="G19932" t="str">
            <v>ASV23595</v>
          </cell>
          <cell r="H19932" t="str">
            <v>g__unclassified_c__Clostridia</v>
          </cell>
          <cell r="I19932" t="str">
            <v>s__unclassified_c__Clostridia</v>
          </cell>
        </row>
        <row r="19933">
          <cell r="G19933" t="str">
            <v>ASV21666</v>
          </cell>
          <cell r="H19933" t="str">
            <v>g__unclassified_f__Ruminococcaceae</v>
          </cell>
          <cell r="I19933" t="str">
            <v>s__unclassified_f__Ruminococcaceae</v>
          </cell>
        </row>
        <row r="19934">
          <cell r="G19934" t="str">
            <v>ASV24056</v>
          </cell>
          <cell r="H19934" t="str">
            <v>g__Lactobacillus</v>
          </cell>
          <cell r="I19934" t="str">
            <v>s__unclassified_g__Lactobacillus</v>
          </cell>
        </row>
        <row r="19935">
          <cell r="G19935" t="str">
            <v>ASV8380</v>
          </cell>
          <cell r="H19935" t="str">
            <v>g__Lactobacillus</v>
          </cell>
          <cell r="I19935" t="str">
            <v>s__unclassified_g__Lactobacillus</v>
          </cell>
        </row>
        <row r="19936">
          <cell r="G19936" t="str">
            <v>ASV3559</v>
          </cell>
          <cell r="H19936" t="str">
            <v>g__Lactobacillus</v>
          </cell>
          <cell r="I19936" t="str">
            <v>s__unclassified_g__Lactobacillus</v>
          </cell>
        </row>
        <row r="19937">
          <cell r="G19937" t="str">
            <v>ASV16165</v>
          </cell>
          <cell r="H19937" t="str">
            <v>g__Prevotella</v>
          </cell>
          <cell r="I19937" t="str">
            <v>s__unclassified_g__Prevotella</v>
          </cell>
        </row>
        <row r="19938">
          <cell r="G19938" t="str">
            <v>ASV20313</v>
          </cell>
          <cell r="H19938" t="str">
            <v>g__Bacteroides</v>
          </cell>
          <cell r="I19938" t="str">
            <v>s__unclassified_g__Bacteroides</v>
          </cell>
        </row>
        <row r="19939">
          <cell r="G19939" t="str">
            <v>ASV6421</v>
          </cell>
          <cell r="H19939" t="str">
            <v>g__Holdemanella</v>
          </cell>
          <cell r="I19939" t="str">
            <v>s__uncultured_bacterium_g__Holdemanella</v>
          </cell>
        </row>
        <row r="19940">
          <cell r="G19940" t="str">
            <v>ASV12380</v>
          </cell>
          <cell r="H19940" t="str">
            <v>g__unclassified_o__Peptostreptococcales-Tissierellales</v>
          </cell>
          <cell r="I19940" t="str">
            <v>s__unclassified_o__Peptostreptococcales-Tissierellales</v>
          </cell>
        </row>
        <row r="19941">
          <cell r="G19941" t="str">
            <v>ASV12263</v>
          </cell>
          <cell r="H19941" t="str">
            <v>g__unclassified_c__Clostridia</v>
          </cell>
          <cell r="I19941" t="str">
            <v>s__unclassified_c__Clostridia</v>
          </cell>
        </row>
        <row r="19942">
          <cell r="G19942" t="str">
            <v>ASV16761</v>
          </cell>
          <cell r="H19942" t="str">
            <v>g__Bacteroides</v>
          </cell>
          <cell r="I19942" t="str">
            <v>s__unclassified_g__Bacteroides</v>
          </cell>
        </row>
        <row r="19943">
          <cell r="G19943" t="str">
            <v>ASV15588</v>
          </cell>
          <cell r="H19943" t="str">
            <v>g__Christensenellaceae_R-7_group</v>
          </cell>
          <cell r="I19943" t="str">
            <v>s__unclassified_g__Christensenellaceae_R-7_group</v>
          </cell>
        </row>
        <row r="19944">
          <cell r="G19944" t="str">
            <v>ASV1270</v>
          </cell>
          <cell r="H19944" t="str">
            <v>g__Lactobacillus</v>
          </cell>
          <cell r="I19944" t="str">
            <v>s__unclassified_g__Lactobacillus</v>
          </cell>
        </row>
        <row r="19945">
          <cell r="G19945" t="str">
            <v>ASV20984</v>
          </cell>
          <cell r="H19945" t="str">
            <v>g__unclassified_c__Clostridia</v>
          </cell>
          <cell r="I19945" t="str">
            <v>s__unclassified_c__Clostridia</v>
          </cell>
        </row>
        <row r="19946">
          <cell r="G19946" t="str">
            <v>ASV1752</v>
          </cell>
          <cell r="H19946" t="str">
            <v>g__unclassified_k__norank_d__Bacteria</v>
          </cell>
          <cell r="I19946" t="str">
            <v>s__unclassified_k__norank_d__Bacteria</v>
          </cell>
        </row>
        <row r="19947">
          <cell r="G19947" t="str">
            <v>ASV1808</v>
          </cell>
          <cell r="H19947" t="str">
            <v>g__norank_f__Ruminococcaceae</v>
          </cell>
          <cell r="I19947" t="str">
            <v>s__unclassified_g__norank_f__Ruminococcaceae</v>
          </cell>
        </row>
        <row r="19948">
          <cell r="G19948" t="str">
            <v>ASV17102</v>
          </cell>
          <cell r="H19948" t="str">
            <v>g__unclassified_f__Lachnospiraceae</v>
          </cell>
          <cell r="I19948" t="str">
            <v>s__unclassified_f__Lachnospiraceae</v>
          </cell>
        </row>
        <row r="19949">
          <cell r="G19949" t="str">
            <v>ASV20978</v>
          </cell>
          <cell r="H19949" t="str">
            <v>g__norank_f__norank_o__Clostridia_UCG-014</v>
          </cell>
          <cell r="I19949" t="str">
            <v>s__uncultured_bacterium_g__norank_f__norank_o__Clostridia_UCG-014</v>
          </cell>
        </row>
        <row r="19950">
          <cell r="G19950" t="str">
            <v>ASV22597</v>
          </cell>
          <cell r="H19950" t="str">
            <v>g__Megasphaera</v>
          </cell>
          <cell r="I19950" t="str">
            <v>s__unclassified_g__Megasphaera</v>
          </cell>
        </row>
        <row r="19951">
          <cell r="G19951" t="str">
            <v>ASV18695</v>
          </cell>
          <cell r="H19951" t="str">
            <v>g__unclassified_c__Bacilli</v>
          </cell>
          <cell r="I19951" t="str">
            <v>s__unclassified_c__Bacilli</v>
          </cell>
        </row>
        <row r="19952">
          <cell r="G19952" t="str">
            <v>ASV22882</v>
          </cell>
          <cell r="H19952" t="str">
            <v>g__unclassified_f__Peptostreptococcaceae</v>
          </cell>
          <cell r="I19952" t="str">
            <v>s__unclassified_f__Peptostreptococcaceae</v>
          </cell>
        </row>
        <row r="19953">
          <cell r="G19953" t="str">
            <v>ASV15757</v>
          </cell>
          <cell r="H19953" t="str">
            <v>g__Eubacterium_nodatum_group</v>
          </cell>
          <cell r="I19953" t="str">
            <v>s__uncultured_bacterium_g__Eubacterium_nodatum_group</v>
          </cell>
        </row>
        <row r="19954">
          <cell r="G19954" t="str">
            <v>ASV9693</v>
          </cell>
          <cell r="H19954" t="str">
            <v>g__unclassified_o__Oscillospirales</v>
          </cell>
          <cell r="I19954" t="str">
            <v>s__unclassified_o__Oscillospirales</v>
          </cell>
        </row>
        <row r="19955">
          <cell r="G19955" t="str">
            <v>ASV6940</v>
          </cell>
          <cell r="H19955" t="str">
            <v>g__unclassified_p__Firmicutes</v>
          </cell>
          <cell r="I19955" t="str">
            <v>s__unclassified_p__Firmicutes</v>
          </cell>
        </row>
        <row r="19956">
          <cell r="G19956" t="str">
            <v>ASV20489</v>
          </cell>
          <cell r="H19956" t="str">
            <v>g__Bdellovibrio</v>
          </cell>
          <cell r="I19956" t="str">
            <v>s__uncultured_bacterium_g__Bdellovibrio</v>
          </cell>
        </row>
        <row r="19957">
          <cell r="G19957" t="str">
            <v>ASV23537</v>
          </cell>
          <cell r="H19957" t="str">
            <v>g__norank_f__p-2534-18B5_gut_group</v>
          </cell>
          <cell r="I19957" t="str">
            <v>s__uncultured_bacterium_g__norank_f__p-2534-18B5_gut_group</v>
          </cell>
        </row>
        <row r="19958">
          <cell r="G19958" t="str">
            <v>ASV13637</v>
          </cell>
          <cell r="H19958" t="str">
            <v>g__unclassified_o__Oscillospirales</v>
          </cell>
          <cell r="I19958" t="str">
            <v>s__unclassified_o__Oscillospirales</v>
          </cell>
        </row>
        <row r="19959">
          <cell r="G19959" t="str">
            <v>ASV24366</v>
          </cell>
          <cell r="H19959" t="str">
            <v>g__Rothia</v>
          </cell>
          <cell r="I19959" t="str">
            <v>s__unclassified_g__Rothia</v>
          </cell>
        </row>
        <row r="19960">
          <cell r="G19960" t="str">
            <v>ASV22642</v>
          </cell>
          <cell r="H19960" t="str">
            <v>g__unclassified_c__Clostridia</v>
          </cell>
          <cell r="I19960" t="str">
            <v>s__unclassified_c__Clostridia</v>
          </cell>
        </row>
        <row r="19961">
          <cell r="G19961" t="str">
            <v>ASV8131</v>
          </cell>
          <cell r="H19961" t="str">
            <v>g__unclassified_f__Lachnospiraceae</v>
          </cell>
          <cell r="I19961" t="str">
            <v>s__unclassified_f__Lachnospiraceae</v>
          </cell>
        </row>
        <row r="19962">
          <cell r="G19962" t="str">
            <v>ASV8106</v>
          </cell>
          <cell r="H19962" t="str">
            <v>g__unclassified_f__Ruminococcaceae</v>
          </cell>
          <cell r="I19962" t="str">
            <v>s__unclassified_f__Ruminococcaceae</v>
          </cell>
        </row>
        <row r="19963">
          <cell r="G19963" t="str">
            <v>ASV23870</v>
          </cell>
          <cell r="H19963" t="str">
            <v>g__unclassified_k__norank_d__Bacteria</v>
          </cell>
          <cell r="I19963" t="str">
            <v>s__unclassified_k__norank_d__Bacteria</v>
          </cell>
        </row>
        <row r="19964">
          <cell r="G19964" t="str">
            <v>ASV5295</v>
          </cell>
          <cell r="H19964" t="str">
            <v>g__unclassified_p__Firmicutes</v>
          </cell>
          <cell r="I19964" t="str">
            <v>s__unclassified_p__Firmicutes</v>
          </cell>
        </row>
        <row r="19965">
          <cell r="G19965" t="str">
            <v>ASV20317</v>
          </cell>
          <cell r="H19965" t="str">
            <v>g__Bacteroides</v>
          </cell>
          <cell r="I19965" t="str">
            <v>s__unclassified_g__Bacteroides</v>
          </cell>
        </row>
        <row r="19966">
          <cell r="G19966" t="str">
            <v>ASV5136</v>
          </cell>
          <cell r="H19966" t="str">
            <v>g__Lachnospiraceae_UCG-004</v>
          </cell>
          <cell r="I19966" t="str">
            <v>s__uncultured_bacterium_g__Lachnospiraceae_UCG-004</v>
          </cell>
        </row>
        <row r="19967">
          <cell r="G19967" t="str">
            <v>ASV18300</v>
          </cell>
          <cell r="H19967" t="str">
            <v>g__unclassified_f__Lachnospiraceae</v>
          </cell>
          <cell r="I19967" t="str">
            <v>s__unclassified_f__Lachnospiraceae</v>
          </cell>
        </row>
        <row r="19968">
          <cell r="G19968" t="str">
            <v>ASV21369</v>
          </cell>
          <cell r="H19968" t="str">
            <v>g__unclassified_f__Lachnospiraceae</v>
          </cell>
          <cell r="I19968" t="str">
            <v>s__unclassified_f__Lachnospiraceae</v>
          </cell>
        </row>
        <row r="19969">
          <cell r="G19969" t="str">
            <v>ASV20011</v>
          </cell>
          <cell r="H19969" t="str">
            <v>g__unclassified_f__Lachnospiraceae</v>
          </cell>
          <cell r="I19969" t="str">
            <v>s__unclassified_f__Lachnospiraceae</v>
          </cell>
        </row>
        <row r="19970">
          <cell r="G19970" t="str">
            <v>ASV13114</v>
          </cell>
          <cell r="H19970" t="str">
            <v>g__Lactobacillus</v>
          </cell>
          <cell r="I19970" t="str">
            <v>s__unclassified_g__Lactobacillus</v>
          </cell>
        </row>
        <row r="19971">
          <cell r="G19971" t="str">
            <v>ASV12197</v>
          </cell>
          <cell r="H19971" t="str">
            <v>g__unclassified_c__Clostridia</v>
          </cell>
          <cell r="I19971" t="str">
            <v>s__unclassified_c__Clostridia</v>
          </cell>
        </row>
        <row r="19972">
          <cell r="G19972" t="str">
            <v>ASV5168</v>
          </cell>
          <cell r="H19972" t="str">
            <v>g__norank_f__p-2534-18B5_gut_group</v>
          </cell>
          <cell r="I19972" t="str">
            <v>s__uncultured_bacterium_g__norank_f__p-2534-18B5_gut_group</v>
          </cell>
        </row>
        <row r="19973">
          <cell r="G19973" t="str">
            <v>ASV15580</v>
          </cell>
          <cell r="H19973" t="str">
            <v>g__unclassified_f__Micrococcaceae</v>
          </cell>
          <cell r="I19973" t="str">
            <v>s__unclassified_f__Micrococcaceae</v>
          </cell>
        </row>
        <row r="19974">
          <cell r="G19974" t="str">
            <v>ASV24281</v>
          </cell>
          <cell r="H19974" t="str">
            <v>g__norank_f__Christensenellaceae</v>
          </cell>
          <cell r="I19974" t="str">
            <v>s__unclassified_g__norank_f__Christensenellaceae</v>
          </cell>
        </row>
        <row r="19975">
          <cell r="G19975" t="str">
            <v>ASV8201</v>
          </cell>
          <cell r="H19975" t="str">
            <v>g__unclassified_o__Lactobacillales</v>
          </cell>
          <cell r="I19975" t="str">
            <v>s__unclassified_o__Lactobacillales</v>
          </cell>
        </row>
        <row r="19976">
          <cell r="G19976" t="str">
            <v>ASV10945</v>
          </cell>
          <cell r="H19976" t="str">
            <v>g__unclassified_f__Lachnospiraceae</v>
          </cell>
          <cell r="I19976" t="str">
            <v>s__unclassified_f__Lachnospiraceae</v>
          </cell>
        </row>
        <row r="19977">
          <cell r="G19977" t="str">
            <v>ASV12425</v>
          </cell>
          <cell r="H19977" t="str">
            <v>g__unclassified_f__Lachnospiraceae</v>
          </cell>
          <cell r="I19977" t="str">
            <v>s__unclassified_f__Lachnospiraceae</v>
          </cell>
        </row>
        <row r="19978">
          <cell r="G19978" t="str">
            <v>ASV22847</v>
          </cell>
          <cell r="H19978" t="str">
            <v>g__norank_f__Muribaculaceae</v>
          </cell>
          <cell r="I19978" t="str">
            <v>s__uncultured_bacterium_g__norank_f__Muribaculaceae</v>
          </cell>
        </row>
        <row r="19979">
          <cell r="G19979" t="str">
            <v>ASV12225</v>
          </cell>
          <cell r="H19979" t="str">
            <v>g__unclassified_c__Clostridia</v>
          </cell>
          <cell r="I19979" t="str">
            <v>s__unclassified_c__Clostridia</v>
          </cell>
        </row>
        <row r="19980">
          <cell r="G19980" t="str">
            <v>ASV6992</v>
          </cell>
          <cell r="H19980" t="str">
            <v>g__Enterococcus</v>
          </cell>
          <cell r="I19980" t="str">
            <v>s__unclassified_g__Enterococcus</v>
          </cell>
        </row>
        <row r="19981">
          <cell r="G19981" t="str">
            <v>ASV21680</v>
          </cell>
          <cell r="H19981" t="str">
            <v>g__Butyricicoccus</v>
          </cell>
          <cell r="I19981" t="str">
            <v>s__unclassified_g__Butyricicoccus</v>
          </cell>
        </row>
        <row r="19982">
          <cell r="G19982" t="str">
            <v>ASV14642</v>
          </cell>
          <cell r="H19982" t="str">
            <v>g__unclassified_c__Bacilli</v>
          </cell>
          <cell r="I19982" t="str">
            <v>s__unclassified_c__Bacilli</v>
          </cell>
        </row>
        <row r="19983">
          <cell r="G19983" t="str">
            <v>ASV13064</v>
          </cell>
          <cell r="H19983" t="str">
            <v>g__Subdoligranulum</v>
          </cell>
          <cell r="I19983" t="str">
            <v>s__unclassified_g__Subdoligranulum</v>
          </cell>
        </row>
        <row r="19984">
          <cell r="G19984" t="str">
            <v>ASV21030</v>
          </cell>
          <cell r="H19984" t="str">
            <v>g__unclassified_c__Clostridia</v>
          </cell>
          <cell r="I19984" t="str">
            <v>s__unclassified_c__Clostridia</v>
          </cell>
        </row>
        <row r="19985">
          <cell r="G19985" t="str">
            <v>ASV9065</v>
          </cell>
          <cell r="H19985" t="str">
            <v>g__Lactobacillus</v>
          </cell>
          <cell r="I19985" t="str">
            <v>s__unclassified_g__Lactobacillus</v>
          </cell>
        </row>
        <row r="19986">
          <cell r="G19986" t="str">
            <v>ASV3307</v>
          </cell>
          <cell r="H19986" t="str">
            <v>g__Bacteroides</v>
          </cell>
          <cell r="I19986" t="str">
            <v>s__unclassified_g__Bacteroides</v>
          </cell>
        </row>
        <row r="19987">
          <cell r="G19987" t="str">
            <v>ASV23603</v>
          </cell>
          <cell r="H19987" t="str">
            <v>g__unclassified_f__Ruminococcaceae</v>
          </cell>
          <cell r="I19987" t="str">
            <v>s__unclassified_f__Ruminococcaceae</v>
          </cell>
        </row>
        <row r="19988">
          <cell r="G19988" t="str">
            <v>ASV2487</v>
          </cell>
          <cell r="H19988" t="str">
            <v>g__unclassified_f__Lachnospiraceae</v>
          </cell>
          <cell r="I19988" t="str">
            <v>s__unclassified_f__Lachnospiraceae</v>
          </cell>
        </row>
        <row r="19989">
          <cell r="G19989" t="str">
            <v>ASV5349</v>
          </cell>
          <cell r="H19989" t="str">
            <v>g__Corynebacterium</v>
          </cell>
          <cell r="I19989" t="str">
            <v>s__unclassified_g__Corynebacterium</v>
          </cell>
        </row>
        <row r="19990">
          <cell r="G19990" t="str">
            <v>ASV17082</v>
          </cell>
          <cell r="H19990" t="str">
            <v>g__unclassified_c__Clostridia</v>
          </cell>
          <cell r="I19990" t="str">
            <v>s__unclassified_c__Clostridia</v>
          </cell>
        </row>
        <row r="19991">
          <cell r="G19991" t="str">
            <v>ASV3548</v>
          </cell>
          <cell r="H19991" t="str">
            <v>g__Mitsuokella</v>
          </cell>
          <cell r="I19991" t="str">
            <v>s__human_gut_metagenome_g__Mitsuokella</v>
          </cell>
        </row>
        <row r="19992">
          <cell r="G19992" t="str">
            <v>ASV6915</v>
          </cell>
          <cell r="H19992" t="str">
            <v>g__unclassified_c__Clostridia</v>
          </cell>
          <cell r="I19992" t="str">
            <v>s__unclassified_c__Clostridia</v>
          </cell>
        </row>
        <row r="19993">
          <cell r="G19993" t="str">
            <v>ASV20194</v>
          </cell>
          <cell r="H19993" t="str">
            <v>g__Lachnoclostridium</v>
          </cell>
          <cell r="I19993" t="str">
            <v>s__unclassified_g__Lachnoclostridium</v>
          </cell>
        </row>
        <row r="19994">
          <cell r="G19994" t="str">
            <v>ASV17088</v>
          </cell>
          <cell r="H19994" t="str">
            <v>g__Lactobacillus</v>
          </cell>
          <cell r="I19994" t="str">
            <v>s__unclassified_g__Lactobacillus</v>
          </cell>
        </row>
        <row r="19995">
          <cell r="G19995" t="str">
            <v>ASV22725</v>
          </cell>
          <cell r="H19995" t="str">
            <v>g__unclassified_f__Lachnospiraceae</v>
          </cell>
          <cell r="I19995" t="str">
            <v>s__unclassified_f__Lachnospiraceae</v>
          </cell>
        </row>
        <row r="19996">
          <cell r="G19996" t="str">
            <v>ASV6896</v>
          </cell>
          <cell r="H19996" t="str">
            <v>g__unclassified_p__Firmicutes</v>
          </cell>
          <cell r="I19996" t="str">
            <v>s__unclassified_p__Firmicutes</v>
          </cell>
        </row>
        <row r="19997">
          <cell r="G19997" t="str">
            <v>ASV15864</v>
          </cell>
          <cell r="H19997" t="str">
            <v>g__unclassified_c__Clostridia</v>
          </cell>
          <cell r="I19997" t="str">
            <v>s__unclassified_c__Clostridia</v>
          </cell>
        </row>
        <row r="19998">
          <cell r="G19998" t="str">
            <v>ASV23670</v>
          </cell>
          <cell r="H19998" t="str">
            <v>g__unclassified_c__Clostridia</v>
          </cell>
          <cell r="I19998" t="str">
            <v>s__unclassified_c__Clostridia</v>
          </cell>
        </row>
        <row r="19999">
          <cell r="G19999" t="str">
            <v>ASV6879</v>
          </cell>
          <cell r="H19999" t="str">
            <v>g__unclassified_p__Firmicutes</v>
          </cell>
          <cell r="I19999" t="str">
            <v>s__unclassified_p__Firmicutes</v>
          </cell>
        </row>
        <row r="20000">
          <cell r="G20000" t="str">
            <v>ASV23673</v>
          </cell>
          <cell r="H20000" t="str">
            <v>g__unclassified_c__Clostridia</v>
          </cell>
          <cell r="I20000" t="str">
            <v>s__unclassified_c__Clostridia</v>
          </cell>
        </row>
        <row r="20001">
          <cell r="G20001" t="str">
            <v>ASV18449</v>
          </cell>
          <cell r="H20001" t="str">
            <v>g__UCG-002</v>
          </cell>
          <cell r="I20001" t="str">
            <v>s__uncultured_bacterium_g__UCG-002</v>
          </cell>
        </row>
        <row r="20002">
          <cell r="G20002" t="str">
            <v>ASV1150</v>
          </cell>
          <cell r="H20002" t="str">
            <v>g__Gemella</v>
          </cell>
          <cell r="I20002" t="str">
            <v>s__unclassified_g__Gemella</v>
          </cell>
        </row>
        <row r="20003">
          <cell r="G20003" t="str">
            <v>ASV20312</v>
          </cell>
          <cell r="H20003" t="str">
            <v>g__unclassified_k__norank_d__Bacteria</v>
          </cell>
          <cell r="I20003" t="str">
            <v>s__unclassified_k__norank_d__Bacteria</v>
          </cell>
        </row>
        <row r="20004">
          <cell r="G20004" t="str">
            <v>ASV22633</v>
          </cell>
          <cell r="H20004" t="str">
            <v>g__unclassified_c__Clostridia</v>
          </cell>
          <cell r="I20004" t="str">
            <v>s__unclassified_c__Clostridia</v>
          </cell>
        </row>
        <row r="20005">
          <cell r="G20005" t="str">
            <v>ASV1290</v>
          </cell>
          <cell r="H20005" t="str">
            <v>g__unclassified_c__Bacilli</v>
          </cell>
          <cell r="I20005" t="str">
            <v>s__unclassified_c__Bacilli</v>
          </cell>
        </row>
        <row r="20006">
          <cell r="G20006" t="str">
            <v>ASV1366</v>
          </cell>
          <cell r="H20006" t="str">
            <v>g__UCG-002</v>
          </cell>
          <cell r="I20006" t="str">
            <v>s__unclassified_g__UCG-002</v>
          </cell>
        </row>
        <row r="20007">
          <cell r="G20007" t="str">
            <v>ASV16699</v>
          </cell>
          <cell r="H20007" t="str">
            <v>g__norank_f__UCG-010</v>
          </cell>
          <cell r="I20007" t="str">
            <v>s__uncultured_bacterium_g__norank_f__UCG-010</v>
          </cell>
        </row>
        <row r="20008">
          <cell r="G20008" t="str">
            <v>ASV10863</v>
          </cell>
          <cell r="H20008" t="str">
            <v>g__unclassified_c__Clostridia</v>
          </cell>
          <cell r="I20008" t="str">
            <v>s__unclassified_c__Clostridia</v>
          </cell>
        </row>
        <row r="20009">
          <cell r="G20009" t="str">
            <v>ASV17325</v>
          </cell>
          <cell r="H20009" t="str">
            <v>g__unclassified_f__Peptostreptococcaceae</v>
          </cell>
          <cell r="I20009" t="str">
            <v>s__unclassified_f__Peptostreptococcaceae</v>
          </cell>
        </row>
        <row r="20010">
          <cell r="G20010" t="str">
            <v>ASV22698</v>
          </cell>
          <cell r="H20010" t="str">
            <v>g__unclassified_k__norank_d__Bacteria</v>
          </cell>
          <cell r="I20010" t="str">
            <v>s__unclassified_k__norank_d__Bacteria</v>
          </cell>
        </row>
        <row r="20011">
          <cell r="G20011" t="str">
            <v>ASV9742</v>
          </cell>
          <cell r="H20011" t="str">
            <v>g__unclassified_p__Firmicutes</v>
          </cell>
          <cell r="I20011" t="str">
            <v>s__unclassified_p__Firmicutes</v>
          </cell>
        </row>
        <row r="20012">
          <cell r="G20012" t="str">
            <v>ASV6463</v>
          </cell>
          <cell r="H20012" t="str">
            <v>g__norank_f__UCG-010</v>
          </cell>
          <cell r="I20012" t="str">
            <v>s__unclassified_g__norank_f__UCG-010</v>
          </cell>
        </row>
        <row r="20013">
          <cell r="G20013" t="str">
            <v>ASV24400</v>
          </cell>
          <cell r="H20013" t="str">
            <v>g__norank_f__Selenomonadaceae</v>
          </cell>
          <cell r="I20013" t="str">
            <v>s__unclassified_g__norank_f__Selenomonadaceae</v>
          </cell>
        </row>
        <row r="20014">
          <cell r="G20014" t="str">
            <v>ASV13666</v>
          </cell>
          <cell r="H20014" t="str">
            <v>g__unclassified_p__Firmicutes</v>
          </cell>
          <cell r="I20014" t="str">
            <v>s__unclassified_p__Firmicutes</v>
          </cell>
        </row>
        <row r="20015">
          <cell r="G20015" t="str">
            <v>ASV9758</v>
          </cell>
          <cell r="H20015" t="str">
            <v>g__unclassified_f__Oscillospiraceae</v>
          </cell>
          <cell r="I20015" t="str">
            <v>s__unclassified_f__Oscillospiraceae</v>
          </cell>
        </row>
        <row r="20016">
          <cell r="G20016" t="str">
            <v>ASV21545</v>
          </cell>
          <cell r="H20016" t="str">
            <v>g__Escherichia-Shigella</v>
          </cell>
          <cell r="I20016" t="str">
            <v>s__unclassified_g__Escherichia-Shigella</v>
          </cell>
        </row>
        <row r="20017">
          <cell r="G20017" t="str">
            <v>ASV15670</v>
          </cell>
          <cell r="H20017" t="str">
            <v>g__unclassified_f__Lachnospiraceae</v>
          </cell>
          <cell r="I20017" t="str">
            <v>s__unclassified_f__Lachnospiraceae</v>
          </cell>
        </row>
        <row r="20018">
          <cell r="G20018" t="str">
            <v>ASV4250</v>
          </cell>
          <cell r="H20018" t="str">
            <v>g__unclassified_o__Bacteroidales</v>
          </cell>
          <cell r="I20018" t="str">
            <v>s__unclassified_o__Bacteroidales</v>
          </cell>
        </row>
        <row r="20019">
          <cell r="G20019" t="str">
            <v>ASV8116</v>
          </cell>
          <cell r="H20019" t="str">
            <v>g__unclassified_c__Clostridia</v>
          </cell>
          <cell r="I20019" t="str">
            <v>s__unclassified_c__Clostridia</v>
          </cell>
        </row>
        <row r="20020">
          <cell r="G20020" t="str">
            <v>ASV14714</v>
          </cell>
          <cell r="H20020" t="str">
            <v>g__unclassified_f__Lachnospiraceae</v>
          </cell>
          <cell r="I20020" t="str">
            <v>s__unclassified_f__Lachnospiraceae</v>
          </cell>
        </row>
        <row r="20021">
          <cell r="G20021" t="str">
            <v>ASV13600</v>
          </cell>
          <cell r="H20021" t="str">
            <v>g__unclassified_f__Lachnospiraceae</v>
          </cell>
          <cell r="I20021" t="str">
            <v>s__unclassified_f__Lachnospiraceae</v>
          </cell>
        </row>
        <row r="20022">
          <cell r="G20022" t="str">
            <v>ASV17334</v>
          </cell>
          <cell r="H20022" t="str">
            <v>g__Lactobacillus</v>
          </cell>
          <cell r="I20022" t="str">
            <v>s__unclassified_g__Lactobacillus</v>
          </cell>
        </row>
        <row r="20023">
          <cell r="G20023" t="str">
            <v>ASV22532</v>
          </cell>
          <cell r="H20023" t="str">
            <v>g__norank_f__UCG-010</v>
          </cell>
          <cell r="I20023" t="str">
            <v>s__uncultured_bacterium_g__norank_f__UCG-010</v>
          </cell>
        </row>
        <row r="20024">
          <cell r="G20024" t="str">
            <v>ASV16718</v>
          </cell>
          <cell r="H20024" t="str">
            <v>g__unclassified_o__Bacteroidales</v>
          </cell>
          <cell r="I20024" t="str">
            <v>s__unclassified_o__Bacteroidales</v>
          </cell>
        </row>
        <row r="20025">
          <cell r="G20025" t="str">
            <v>ASV14668</v>
          </cell>
          <cell r="H20025" t="str">
            <v>g__Parabacteroides</v>
          </cell>
          <cell r="I20025" t="str">
            <v>s__Porphyromonadaceae_bacterium_DJF_B175</v>
          </cell>
        </row>
        <row r="20026">
          <cell r="G20026" t="str">
            <v>ASV2441</v>
          </cell>
          <cell r="H20026" t="str">
            <v>g__norank_f__UCG-010</v>
          </cell>
          <cell r="I20026" t="str">
            <v>s__unclassified_g__norank_f__UCG-010</v>
          </cell>
        </row>
        <row r="20027">
          <cell r="G20027" t="str">
            <v>ASV13648</v>
          </cell>
          <cell r="H20027" t="str">
            <v>g__Lachnoclostridium</v>
          </cell>
          <cell r="I20027" t="str">
            <v>s__unclassified_g__Lachnoclostridium</v>
          </cell>
        </row>
        <row r="20028">
          <cell r="G20028" t="str">
            <v>ASV12367</v>
          </cell>
          <cell r="H20028" t="str">
            <v>g__unclassified_c__Bacteroidia</v>
          </cell>
          <cell r="I20028" t="str">
            <v>s__unclassified_c__Bacteroidia</v>
          </cell>
        </row>
        <row r="20029">
          <cell r="G20029" t="str">
            <v>ASV18301</v>
          </cell>
          <cell r="H20029" t="str">
            <v>g__unclassified_c__Clostridia</v>
          </cell>
          <cell r="I20029" t="str">
            <v>s__unclassified_c__Clostridia</v>
          </cell>
        </row>
        <row r="20030">
          <cell r="G20030" t="str">
            <v>ASV18314</v>
          </cell>
          <cell r="H20030" t="str">
            <v>g__Treponema</v>
          </cell>
          <cell r="I20030" t="str">
            <v>s__uncultured_bacterium_g__Treponema</v>
          </cell>
        </row>
        <row r="20031">
          <cell r="G20031" t="str">
            <v>ASV6925</v>
          </cell>
          <cell r="H20031" t="str">
            <v>g__Streptococcus</v>
          </cell>
          <cell r="I20031" t="str">
            <v>s__unclassified_g__Streptococcus</v>
          </cell>
        </row>
        <row r="20032">
          <cell r="G20032" t="str">
            <v>ASV12483</v>
          </cell>
          <cell r="H20032" t="str">
            <v>g__Succiniclasticum</v>
          </cell>
          <cell r="I20032" t="str">
            <v>s__uncultured_rumen_bacterium_4C28d-16</v>
          </cell>
        </row>
        <row r="20033">
          <cell r="G20033" t="str">
            <v>ASV1469</v>
          </cell>
          <cell r="H20033" t="str">
            <v>g__unclassified_o__Oscillospirales</v>
          </cell>
          <cell r="I20033" t="str">
            <v>s__unclassified_o__Oscillospirales</v>
          </cell>
        </row>
        <row r="20034">
          <cell r="G20034" t="str">
            <v>ASV18249</v>
          </cell>
          <cell r="H20034" t="str">
            <v>g__norank_f__norank_o__Clostridia_vadinBB60_group</v>
          </cell>
          <cell r="I20034" t="str">
            <v>s__uncultured_bacterium_g__norank_f__norank_o__Clostridia_vadinBB60_group</v>
          </cell>
        </row>
        <row r="20035">
          <cell r="G20035" t="str">
            <v>ASV18770</v>
          </cell>
          <cell r="H20035" t="str">
            <v>g__Trichococcus</v>
          </cell>
          <cell r="I20035" t="str">
            <v>s__unclassified_g__Trichococcus</v>
          </cell>
        </row>
        <row r="20036">
          <cell r="G20036" t="str">
            <v>ASV5386</v>
          </cell>
          <cell r="H20036" t="str">
            <v>g__norank_f__Eubacterium_coprostanoligenes_group</v>
          </cell>
          <cell r="I20036" t="str">
            <v>s__unclassified_g__norank_f__Eubacterium_coprostanoligenes_group</v>
          </cell>
        </row>
        <row r="20037">
          <cell r="G20037" t="str">
            <v>ASV14867</v>
          </cell>
          <cell r="H20037" t="str">
            <v>g__unclassified_c__Clostridia</v>
          </cell>
          <cell r="I20037" t="str">
            <v>s__unclassified_c__Clostridia</v>
          </cell>
        </row>
        <row r="20038">
          <cell r="G20038" t="str">
            <v>ASV9864</v>
          </cell>
          <cell r="H20038" t="str">
            <v>g__Desulfobulbus</v>
          </cell>
          <cell r="I20038" t="str">
            <v>s__unclassified_g__Desulfobulbus</v>
          </cell>
        </row>
        <row r="20039">
          <cell r="G20039" t="str">
            <v>ASV8871</v>
          </cell>
          <cell r="H20039" t="str">
            <v>g__Lactobacillus</v>
          </cell>
          <cell r="I20039" t="str">
            <v>s__unclassified_g__Lactobacillus</v>
          </cell>
        </row>
        <row r="20040">
          <cell r="G20040" t="str">
            <v>ASV20158</v>
          </cell>
          <cell r="H20040" t="str">
            <v>g__unclassified_f__Lachnospiraceae</v>
          </cell>
          <cell r="I20040" t="str">
            <v>s__unclassified_f__Lachnospiraceae</v>
          </cell>
        </row>
        <row r="20041">
          <cell r="G20041" t="str">
            <v>ASV12427</v>
          </cell>
          <cell r="H20041" t="str">
            <v>g__unclassified_f__Oscillospiraceae</v>
          </cell>
          <cell r="I20041" t="str">
            <v>s__unclassified_f__Oscillospiraceae</v>
          </cell>
        </row>
        <row r="20042">
          <cell r="G20042" t="str">
            <v>ASV9623</v>
          </cell>
          <cell r="H20042" t="str">
            <v>g__Rikenellaceae_RC9_gut_group</v>
          </cell>
          <cell r="I20042" t="str">
            <v>s__uncultured_bacterium_g__Rikenellaceae_RC9_gut_group</v>
          </cell>
        </row>
        <row r="20043">
          <cell r="G20043" t="str">
            <v>ASV8309</v>
          </cell>
          <cell r="H20043" t="str">
            <v>g__Pediococcus</v>
          </cell>
          <cell r="I20043" t="str">
            <v>s__unclassified_g__Pediococcus</v>
          </cell>
        </row>
        <row r="20044">
          <cell r="G20044" t="str">
            <v>ASV21027</v>
          </cell>
          <cell r="H20044" t="str">
            <v>g__unclassified_f__Lachnospiraceae</v>
          </cell>
          <cell r="I20044" t="str">
            <v>s__unclassified_f__Lachnospiraceae</v>
          </cell>
        </row>
        <row r="20045">
          <cell r="G20045" t="str">
            <v>ASV20186</v>
          </cell>
          <cell r="H20045" t="str">
            <v>g__unclassified_c__Clostridia</v>
          </cell>
          <cell r="I20045" t="str">
            <v>s__unclassified_c__Clostridia</v>
          </cell>
        </row>
        <row r="20046">
          <cell r="G20046" t="str">
            <v>ASV20088</v>
          </cell>
          <cell r="H20046" t="str">
            <v>g__unclassified_c__Clostridia</v>
          </cell>
          <cell r="I20046" t="str">
            <v>s__unclassified_c__Clostridia</v>
          </cell>
        </row>
        <row r="20047">
          <cell r="G20047" t="str">
            <v>ASV17024</v>
          </cell>
          <cell r="H20047" t="str">
            <v>g__unclassified_k__norank_d__Bacteria</v>
          </cell>
          <cell r="I20047" t="str">
            <v>s__unclassified_k__norank_d__Bacteria</v>
          </cell>
        </row>
        <row r="20048">
          <cell r="G20048" t="str">
            <v>ASV8097</v>
          </cell>
          <cell r="H20048" t="str">
            <v>g__unclassified_p__Firmicutes</v>
          </cell>
          <cell r="I20048" t="str">
            <v>s__unclassified_p__Firmicutes</v>
          </cell>
        </row>
        <row r="20049">
          <cell r="G20049" t="str">
            <v>ASV16729</v>
          </cell>
          <cell r="H20049" t="str">
            <v>g__unclassified_f__Lachnospiraceae</v>
          </cell>
          <cell r="I20049" t="str">
            <v>s__unclassified_f__Lachnospiraceae</v>
          </cell>
        </row>
        <row r="20050">
          <cell r="G20050" t="str">
            <v>ASV1186</v>
          </cell>
          <cell r="H20050" t="str">
            <v>g__unclassified_c__Clostridia</v>
          </cell>
          <cell r="I20050" t="str">
            <v>s__unclassified_c__Clostridia</v>
          </cell>
        </row>
        <row r="20051">
          <cell r="G20051" t="str">
            <v>ASV12311</v>
          </cell>
          <cell r="H20051" t="str">
            <v>g__Prevotella</v>
          </cell>
          <cell r="I20051" t="str">
            <v>s__uncultured_bacterium_g__Prevotella</v>
          </cell>
        </row>
        <row r="20052">
          <cell r="G20052" t="str">
            <v>ASV24342</v>
          </cell>
          <cell r="H20052" t="str">
            <v>g__unclassified_f__Peptostreptococcaceae</v>
          </cell>
          <cell r="I20052" t="str">
            <v>s__unclassified_f__Peptostreptococcaceae</v>
          </cell>
        </row>
        <row r="20053">
          <cell r="G20053" t="str">
            <v>ASV18692</v>
          </cell>
          <cell r="H20053" t="str">
            <v>g__unclassified_k__norank_d__Bacteria</v>
          </cell>
          <cell r="I20053" t="str">
            <v>s__unclassified_k__norank_d__Bacteria</v>
          </cell>
        </row>
        <row r="20054">
          <cell r="G20054" t="str">
            <v>ASV5296</v>
          </cell>
          <cell r="H20054" t="str">
            <v>g__unclassified_c__Clostridia</v>
          </cell>
          <cell r="I20054" t="str">
            <v>s__unclassified_c__Clostridia</v>
          </cell>
        </row>
        <row r="20055">
          <cell r="G20055" t="str">
            <v>ASV3280</v>
          </cell>
          <cell r="H20055" t="str">
            <v>g__Lactobacillus</v>
          </cell>
          <cell r="I20055" t="str">
            <v>s__unclassified_g__Lactobacillus</v>
          </cell>
        </row>
        <row r="20056">
          <cell r="G20056" t="str">
            <v>ASV13026</v>
          </cell>
          <cell r="H20056" t="str">
            <v>g__unclassified_f__Erysipelotrichaceae</v>
          </cell>
          <cell r="I20056" t="str">
            <v>s__unclassified_f__Erysipelotrichaceae</v>
          </cell>
        </row>
        <row r="20057">
          <cell r="G20057" t="str">
            <v>ASV12101</v>
          </cell>
          <cell r="H20057" t="str">
            <v>g__norank_f__Eubacterium_coprostanoligenes_group</v>
          </cell>
          <cell r="I20057" t="str">
            <v>s__uncultured_bacterium_g__norank_f__Eubacterium_coprostanoligenes_group</v>
          </cell>
        </row>
        <row r="20058">
          <cell r="G20058" t="str">
            <v>ASV22781</v>
          </cell>
          <cell r="H20058" t="str">
            <v>g__unclassified_f__Anaerovoracaceae</v>
          </cell>
          <cell r="I20058" t="str">
            <v>s__unclassified_f__Anaerovoracaceae</v>
          </cell>
        </row>
        <row r="20059">
          <cell r="G20059" t="str">
            <v>ASV3326</v>
          </cell>
          <cell r="H20059" t="str">
            <v>g__unclassified_f__Anaerovoracaceae</v>
          </cell>
          <cell r="I20059" t="str">
            <v>s__unclassified_f__Anaerovoracaceae</v>
          </cell>
        </row>
        <row r="20060">
          <cell r="G20060" t="str">
            <v>ASV20967</v>
          </cell>
          <cell r="H20060" t="str">
            <v>g__unclassified_o__Peptostreptococcales-Tissierellales</v>
          </cell>
          <cell r="I20060" t="str">
            <v>s__unclassified_o__Peptostreptococcales-Tissierellales</v>
          </cell>
        </row>
        <row r="20061">
          <cell r="G20061" t="str">
            <v>ASV6338</v>
          </cell>
          <cell r="H20061" t="str">
            <v>g__unclassified_c__Clostridia</v>
          </cell>
          <cell r="I20061" t="str">
            <v>s__unclassified_c__Clostridia</v>
          </cell>
        </row>
        <row r="20062">
          <cell r="G20062" t="str">
            <v>ASV6981</v>
          </cell>
          <cell r="H20062" t="str">
            <v>g__unclassified_p__Firmicutes</v>
          </cell>
          <cell r="I20062" t="str">
            <v>s__unclassified_p__Firmicutes</v>
          </cell>
        </row>
        <row r="20063">
          <cell r="G20063" t="str">
            <v>ASV23578</v>
          </cell>
          <cell r="H20063" t="str">
            <v>g__unclassified_c__Clostridia</v>
          </cell>
          <cell r="I20063" t="str">
            <v>s__unclassified_c__Clostridia</v>
          </cell>
        </row>
        <row r="20064">
          <cell r="G20064" t="str">
            <v>ASV21343</v>
          </cell>
          <cell r="H20064" t="str">
            <v>g__Clostridium_sensu_stricto_1</v>
          </cell>
          <cell r="I20064" t="str">
            <v>s__uncultured_bacterium_g__Clostridium_sensu_stricto_1</v>
          </cell>
        </row>
        <row r="20065">
          <cell r="G20065" t="str">
            <v>ASV15686</v>
          </cell>
          <cell r="H20065" t="str">
            <v>g__Lachnospiraceae_NC2004_group</v>
          </cell>
          <cell r="I20065" t="str">
            <v>s__uncultured_bacterium_g__Lachnospiraceae_NC2004_group</v>
          </cell>
        </row>
        <row r="20066">
          <cell r="G20066" t="str">
            <v>ASV2518</v>
          </cell>
          <cell r="H20066" t="str">
            <v>g__Peptococcus</v>
          </cell>
          <cell r="I20066" t="str">
            <v>s__unclassified_g__Peptococcus</v>
          </cell>
        </row>
        <row r="20067">
          <cell r="G20067" t="str">
            <v>ASV23688</v>
          </cell>
          <cell r="H20067" t="str">
            <v>g__norank_f__Peptococcaceae</v>
          </cell>
          <cell r="I20067" t="str">
            <v>s__unclassified_g__norank_f__Peptococcaceae</v>
          </cell>
        </row>
        <row r="20068">
          <cell r="G20068" t="str">
            <v>ASV8024</v>
          </cell>
          <cell r="H20068" t="str">
            <v>g__Bacillus</v>
          </cell>
          <cell r="I20068" t="str">
            <v>s__unclassified_g__Bacillus</v>
          </cell>
        </row>
        <row r="20069">
          <cell r="G20069" t="str">
            <v>ASV22525</v>
          </cell>
          <cell r="H20069" t="str">
            <v>g__unclassified_c__Clostridia</v>
          </cell>
          <cell r="I20069" t="str">
            <v>s__unclassified_c__Clostridia</v>
          </cell>
        </row>
        <row r="20070">
          <cell r="G20070" t="str">
            <v>ASV24302</v>
          </cell>
          <cell r="H20070" t="str">
            <v>g__unclassified_o__Bacteroidales</v>
          </cell>
          <cell r="I20070" t="str">
            <v>s__unclassified_o__Bacteroidales</v>
          </cell>
        </row>
        <row r="20071">
          <cell r="G20071" t="str">
            <v>ASV13209</v>
          </cell>
          <cell r="H20071" t="str">
            <v>g__unclassified_f__Clostridiaceae</v>
          </cell>
          <cell r="I20071" t="str">
            <v>s__unclassified_f__Clostridiaceae</v>
          </cell>
        </row>
        <row r="20072">
          <cell r="G20072" t="str">
            <v>ASV5297</v>
          </cell>
          <cell r="H20072" t="str">
            <v>g__Bacteroides</v>
          </cell>
          <cell r="I20072" t="str">
            <v>s__unclassified_g__Bacteroides</v>
          </cell>
        </row>
        <row r="20073">
          <cell r="G20073" t="str">
            <v>ASV2969</v>
          </cell>
          <cell r="H20073" t="str">
            <v>g__Aureimonas</v>
          </cell>
          <cell r="I20073" t="str">
            <v>s__unclassified_g__Aureimonas</v>
          </cell>
        </row>
        <row r="20074">
          <cell r="G20074" t="str">
            <v>ASV13627</v>
          </cell>
          <cell r="H20074" t="str">
            <v>g__Streptococcus</v>
          </cell>
          <cell r="I20074" t="str">
            <v>s__unclassified_g__Streptococcus</v>
          </cell>
        </row>
        <row r="20075">
          <cell r="G20075" t="str">
            <v>ASV13063</v>
          </cell>
          <cell r="H20075" t="str">
            <v>g__Collinsella</v>
          </cell>
          <cell r="I20075" t="str">
            <v>s__Collinsella_provencensis</v>
          </cell>
        </row>
        <row r="20076">
          <cell r="G20076" t="str">
            <v>ASV19919</v>
          </cell>
          <cell r="H20076" t="str">
            <v>g__unclassified_c__Clostridia</v>
          </cell>
          <cell r="I20076" t="str">
            <v>s__unclassified_c__Clostridia</v>
          </cell>
        </row>
        <row r="20077">
          <cell r="G20077" t="str">
            <v>ASV9771</v>
          </cell>
          <cell r="H20077" t="str">
            <v>g__Lactobacillus</v>
          </cell>
          <cell r="I20077" t="str">
            <v>s__unclassified_g__Lactobacillus</v>
          </cell>
        </row>
        <row r="20078">
          <cell r="G20078" t="str">
            <v>ASV2614</v>
          </cell>
          <cell r="H20078" t="str">
            <v>g__Clostridium_sensu_stricto_1</v>
          </cell>
          <cell r="I20078" t="str">
            <v>s__unclassified_g__Clostridium_sensu_stricto_1</v>
          </cell>
        </row>
        <row r="20079">
          <cell r="G20079" t="str">
            <v>ASV18701</v>
          </cell>
          <cell r="H20079" t="str">
            <v>g__Veillonella</v>
          </cell>
          <cell r="I20079" t="str">
            <v>s__unclassified_g__Veillonella</v>
          </cell>
        </row>
        <row r="20080">
          <cell r="G20080" t="str">
            <v>ASV13665</v>
          </cell>
          <cell r="H20080" t="str">
            <v>g__unclassified_c__Clostridia</v>
          </cell>
          <cell r="I20080" t="str">
            <v>s__unclassified_c__Clostridia</v>
          </cell>
        </row>
        <row r="20081">
          <cell r="G20081" t="str">
            <v>ASV4267</v>
          </cell>
          <cell r="H20081" t="str">
            <v>g__unclassified_f__Lachnospiraceae</v>
          </cell>
          <cell r="I20081" t="str">
            <v>s__unclassified_f__Lachnospiraceae</v>
          </cell>
        </row>
        <row r="20082">
          <cell r="G20082" t="str">
            <v>ASV8174</v>
          </cell>
          <cell r="H20082" t="str">
            <v>g__Lactobacillus</v>
          </cell>
          <cell r="I20082" t="str">
            <v>s__unclassified_g__Lactobacillus</v>
          </cell>
        </row>
        <row r="20083">
          <cell r="G20083" t="str">
            <v>ASV15637</v>
          </cell>
          <cell r="H20083" t="str">
            <v>g__unclassified_o__Oscillospirales</v>
          </cell>
          <cell r="I20083" t="str">
            <v>s__unclassified_o__Oscillospirales</v>
          </cell>
        </row>
        <row r="20084">
          <cell r="G20084" t="str">
            <v>ASV6903</v>
          </cell>
          <cell r="H20084" t="str">
            <v>g__unclassified_f__Lachnospiraceae</v>
          </cell>
          <cell r="I20084" t="str">
            <v>s__unclassified_f__Lachnospiraceae</v>
          </cell>
        </row>
        <row r="20085">
          <cell r="G20085" t="str">
            <v>ASV18265</v>
          </cell>
          <cell r="H20085" t="str">
            <v>g__unclassified_c__Clostridia</v>
          </cell>
          <cell r="I20085" t="str">
            <v>s__unclassified_c__Clostridia</v>
          </cell>
        </row>
        <row r="20086">
          <cell r="G20086" t="str">
            <v>ASV16733</v>
          </cell>
          <cell r="H20086" t="str">
            <v>g__norank_f__norank_o__Clostridia_vadinBB60_group</v>
          </cell>
          <cell r="I20086" t="str">
            <v>s__uncultured_bacterium_g__norank_f__norank_o__Clostridia_vadinBB60_group</v>
          </cell>
        </row>
        <row r="20087">
          <cell r="G20087" t="str">
            <v>ASV8042</v>
          </cell>
          <cell r="H20087" t="str">
            <v>g__Streptococcus</v>
          </cell>
          <cell r="I20087" t="str">
            <v>s__unclassified_g__Streptococcus</v>
          </cell>
        </row>
        <row r="20088">
          <cell r="G20088" t="str">
            <v>ASV16168</v>
          </cell>
          <cell r="H20088" t="str">
            <v>g__unclassified_o__Lactobacillales</v>
          </cell>
          <cell r="I20088" t="str">
            <v>s__unclassified_o__Lactobacillales</v>
          </cell>
        </row>
        <row r="20089">
          <cell r="G20089" t="str">
            <v>ASV12110</v>
          </cell>
          <cell r="H20089" t="str">
            <v>g__unclassified_p__Firmicutes</v>
          </cell>
          <cell r="I20089" t="str">
            <v>s__unclassified_p__Firmicutes</v>
          </cell>
        </row>
        <row r="20090">
          <cell r="G20090" t="str">
            <v>ASV10849</v>
          </cell>
          <cell r="H20090" t="str">
            <v>g__unclassified_f__Peptostreptococcaceae</v>
          </cell>
          <cell r="I20090" t="str">
            <v>s__unclassified_f__Peptostreptococcaceae</v>
          </cell>
        </row>
        <row r="20091">
          <cell r="G20091" t="str">
            <v>ASV9765</v>
          </cell>
          <cell r="H20091" t="str">
            <v>g__norank_f__Muribaculaceae</v>
          </cell>
          <cell r="I20091" t="str">
            <v>s__unclassified_g__norank_f__Muribaculaceae</v>
          </cell>
        </row>
        <row r="20092">
          <cell r="G20092" t="str">
            <v>ASV1266</v>
          </cell>
          <cell r="H20092" t="str">
            <v>g__unclassified_c__Bacilli</v>
          </cell>
          <cell r="I20092" t="str">
            <v>s__unclassified_c__Bacilli</v>
          </cell>
        </row>
        <row r="20093">
          <cell r="G20093" t="str">
            <v>ASV14810</v>
          </cell>
          <cell r="H20093" t="str">
            <v>g__Lachnospira</v>
          </cell>
          <cell r="I20093" t="str">
            <v>s__unclassified_g__Lachnospira</v>
          </cell>
        </row>
        <row r="20094">
          <cell r="G20094" t="str">
            <v>ASV1401</v>
          </cell>
          <cell r="H20094" t="str">
            <v>g__unclassified_f__Rikenellaceae</v>
          </cell>
          <cell r="I20094" t="str">
            <v>s__unclassified_f__Rikenellaceae</v>
          </cell>
        </row>
        <row r="20095">
          <cell r="G20095" t="str">
            <v>ASV12322</v>
          </cell>
          <cell r="H20095" t="str">
            <v>g__unclassified_c__Clostridia</v>
          </cell>
          <cell r="I20095" t="str">
            <v>s__unclassified_c__Clostridia</v>
          </cell>
        </row>
        <row r="20096">
          <cell r="G20096" t="str">
            <v>ASV17549</v>
          </cell>
          <cell r="H20096" t="str">
            <v>g__Streptococcus</v>
          </cell>
          <cell r="I20096" t="str">
            <v>s__unclassified_g__Streptococcus</v>
          </cell>
        </row>
        <row r="20097">
          <cell r="G20097" t="str">
            <v>ASV12081</v>
          </cell>
          <cell r="H20097" t="str">
            <v>g__unclassified_c__Clostridia</v>
          </cell>
          <cell r="I20097" t="str">
            <v>s__unclassified_c__Clostridia</v>
          </cell>
        </row>
        <row r="20098">
          <cell r="G20098" t="str">
            <v>ASV18660</v>
          </cell>
          <cell r="H20098" t="str">
            <v>g__Catenisphaera</v>
          </cell>
          <cell r="I20098" t="str">
            <v>s__uncultured_rumen_bacterium_g__Catenisphaera</v>
          </cell>
        </row>
        <row r="20099">
          <cell r="G20099" t="str">
            <v>ASV8585</v>
          </cell>
          <cell r="H20099" t="str">
            <v>g__unclassified_p__Firmicutes</v>
          </cell>
          <cell r="I20099" t="str">
            <v>s__unclassified_p__Firmicutes</v>
          </cell>
        </row>
        <row r="20100">
          <cell r="G20100" t="str">
            <v>ASV18700</v>
          </cell>
          <cell r="H20100" t="str">
            <v>g__Megasphaera</v>
          </cell>
          <cell r="I20100" t="str">
            <v>s__unclassified_g__Megasphaera</v>
          </cell>
        </row>
        <row r="20101">
          <cell r="G20101" t="str">
            <v>ASV2550</v>
          </cell>
          <cell r="H20101" t="str">
            <v>g__unclassified_o__Clostridiales</v>
          </cell>
          <cell r="I20101" t="str">
            <v>s__unclassified_o__Clostridiales</v>
          </cell>
        </row>
        <row r="20102">
          <cell r="G20102" t="str">
            <v>ASV8228</v>
          </cell>
          <cell r="H20102" t="str">
            <v>g__Lactobacillus</v>
          </cell>
          <cell r="I20102" t="str">
            <v>s__Lactobacillus_sp._AB5262</v>
          </cell>
        </row>
        <row r="20103">
          <cell r="G20103" t="str">
            <v>ASV13083</v>
          </cell>
          <cell r="H20103" t="str">
            <v>g__Cloacibacillus</v>
          </cell>
          <cell r="I20103" t="str">
            <v>s__unclassified_g__Cloacibacillus</v>
          </cell>
        </row>
        <row r="20104">
          <cell r="G20104" t="str">
            <v>ASV15717</v>
          </cell>
          <cell r="H20104" t="str">
            <v>g__unclassified_f__Lachnospiraceae</v>
          </cell>
          <cell r="I20104" t="str">
            <v>s__unclassified_f__Lachnospiraceae</v>
          </cell>
        </row>
        <row r="20105">
          <cell r="G20105" t="str">
            <v>ASV14658</v>
          </cell>
          <cell r="H20105" t="str">
            <v>g__Lactobacillus</v>
          </cell>
          <cell r="I20105" t="str">
            <v>s__unclassified_g__Lactobacillus</v>
          </cell>
        </row>
        <row r="20106">
          <cell r="G20106" t="str">
            <v>ASV18246</v>
          </cell>
          <cell r="H20106" t="str">
            <v>g__unclassified_p__Firmicutes</v>
          </cell>
          <cell r="I20106" t="str">
            <v>s__unclassified_p__Firmicutes</v>
          </cell>
        </row>
        <row r="20107">
          <cell r="G20107" t="str">
            <v>ASV16765</v>
          </cell>
          <cell r="H20107" t="str">
            <v>g__unclassified_k__norank_d__Bacteria</v>
          </cell>
          <cell r="I20107" t="str">
            <v>s__unclassified_k__norank_d__Bacteria</v>
          </cell>
        </row>
        <row r="20108">
          <cell r="G20108" t="str">
            <v>ASV19186</v>
          </cell>
          <cell r="H20108" t="str">
            <v>g__unclassified_k__norank_d__Bacteria</v>
          </cell>
          <cell r="I20108" t="str">
            <v>s__unclassified_k__norank_d__Bacteria</v>
          </cell>
        </row>
        <row r="20109">
          <cell r="G20109" t="str">
            <v>ASV15639</v>
          </cell>
          <cell r="H20109" t="str">
            <v>g__unclassified_f__Lachnospiraceae</v>
          </cell>
          <cell r="I20109" t="str">
            <v>s__unclassified_f__Lachnospiraceae</v>
          </cell>
        </row>
        <row r="20110">
          <cell r="G20110" t="str">
            <v>ASV6459</v>
          </cell>
          <cell r="H20110" t="str">
            <v>g__unclassified_o__Oscillospirales</v>
          </cell>
          <cell r="I20110" t="str">
            <v>s__unclassified_o__Oscillospirales</v>
          </cell>
        </row>
        <row r="20111">
          <cell r="G20111" t="str">
            <v>ASV6426</v>
          </cell>
          <cell r="H20111" t="str">
            <v>g__unclassified_c__Clostridia</v>
          </cell>
          <cell r="I20111" t="str">
            <v>s__unclassified_c__Clostridia</v>
          </cell>
        </row>
        <row r="20112">
          <cell r="G20112" t="str">
            <v>ASV12102</v>
          </cell>
          <cell r="H20112" t="str">
            <v>g__unclassified_k__norank_d__Bacteria</v>
          </cell>
          <cell r="I20112" t="str">
            <v>s__unclassified_k__norank_d__Bacteria</v>
          </cell>
        </row>
        <row r="20113">
          <cell r="G20113" t="str">
            <v>ASV17021</v>
          </cell>
          <cell r="H20113" t="str">
            <v>g__Lactobacillus</v>
          </cell>
          <cell r="I20113" t="str">
            <v>s__unclassified_g__Lactobacillus</v>
          </cell>
        </row>
        <row r="20114">
          <cell r="G20114" t="str">
            <v>ASV20079</v>
          </cell>
          <cell r="H20114" t="str">
            <v>g__unclassified_c__Clostridia</v>
          </cell>
          <cell r="I20114" t="str">
            <v>s__unclassified_c__Clostridia</v>
          </cell>
        </row>
        <row r="20115">
          <cell r="G20115" t="str">
            <v>ASV24298</v>
          </cell>
          <cell r="H20115" t="str">
            <v>g__unclassified_f__Lachnospiraceae</v>
          </cell>
          <cell r="I20115" t="str">
            <v>s__unclassified_f__Lachnospiraceae</v>
          </cell>
        </row>
        <row r="20116">
          <cell r="G20116" t="str">
            <v>ASV12091</v>
          </cell>
          <cell r="H20116" t="str">
            <v>g__unclassified_k__norank_d__Bacteria</v>
          </cell>
          <cell r="I20116" t="str">
            <v>s__unclassified_k__norank_d__Bacteria</v>
          </cell>
        </row>
        <row r="20117">
          <cell r="G20117" t="str">
            <v>ASV22808</v>
          </cell>
          <cell r="H20117" t="str">
            <v>g__norank_f__Eubacterium_coprostanoligenes_group</v>
          </cell>
          <cell r="I20117" t="str">
            <v>s__unclassified_g__norank_f__Eubacterium_coprostanoligenes_group</v>
          </cell>
        </row>
        <row r="20118">
          <cell r="G20118" t="str">
            <v>ASV6240</v>
          </cell>
          <cell r="H20118" t="str">
            <v>g__Clostridium_sensu_stricto_1</v>
          </cell>
          <cell r="I20118" t="str">
            <v>s__unclassified_g__Clostridium_sensu_stricto_1</v>
          </cell>
        </row>
        <row r="20119">
          <cell r="G20119" t="str">
            <v>ASV4295</v>
          </cell>
          <cell r="H20119" t="str">
            <v>g__unclassified_k__norank_d__Bacteria</v>
          </cell>
          <cell r="I20119" t="str">
            <v>s__unclassified_k__norank_d__Bacteria</v>
          </cell>
        </row>
        <row r="20120">
          <cell r="G20120" t="str">
            <v>ASV22638</v>
          </cell>
          <cell r="H20120" t="str">
            <v>g__Megasphaera</v>
          </cell>
          <cell r="I20120" t="str">
            <v>s__unclassified_g__Megasphaera</v>
          </cell>
        </row>
        <row r="20121">
          <cell r="G20121" t="str">
            <v>ASV22903</v>
          </cell>
          <cell r="H20121" t="str">
            <v>g__Peptoniphilus</v>
          </cell>
          <cell r="I20121" t="str">
            <v>s__Peptoniphilus_sp._oral_taxon_375</v>
          </cell>
        </row>
        <row r="20122">
          <cell r="G20122" t="str">
            <v>ASV16585</v>
          </cell>
          <cell r="H20122" t="str">
            <v>g__unclassified_k__norank_d__Bacteria</v>
          </cell>
          <cell r="I20122" t="str">
            <v>s__unclassified_k__norank_d__Bacteria</v>
          </cell>
        </row>
        <row r="20123">
          <cell r="G20123" t="str">
            <v>ASV23490</v>
          </cell>
          <cell r="H20123" t="str">
            <v>g__unclassified_c__Clostridia</v>
          </cell>
          <cell r="I20123" t="str">
            <v>s__unclassified_c__Clostridia</v>
          </cell>
        </row>
        <row r="20124">
          <cell r="G20124" t="str">
            <v>ASV13218</v>
          </cell>
          <cell r="H20124" t="str">
            <v>g__norank_f__UCG-011</v>
          </cell>
          <cell r="I20124" t="str">
            <v>s__uncultured_bacterium_g__norank_f__UCG-011</v>
          </cell>
        </row>
        <row r="20125">
          <cell r="G20125" t="str">
            <v>ASV16726</v>
          </cell>
          <cell r="H20125" t="str">
            <v>g__Treponema</v>
          </cell>
          <cell r="I20125" t="str">
            <v>s__uncultured_bacterium_g__Treponema</v>
          </cell>
        </row>
        <row r="20126">
          <cell r="G20126" t="str">
            <v>ASV22825</v>
          </cell>
          <cell r="H20126" t="str">
            <v>g__Terrisporobacter</v>
          </cell>
          <cell r="I20126" t="str">
            <v>s__unclassified_g__Terrisporobacter</v>
          </cell>
        </row>
        <row r="20127">
          <cell r="G20127" t="str">
            <v>ASV1753</v>
          </cell>
          <cell r="H20127" t="str">
            <v>g__Lactobacillus</v>
          </cell>
          <cell r="I20127" t="str">
            <v>s__unclassified_g__Lactobacillus</v>
          </cell>
        </row>
        <row r="20128">
          <cell r="G20128" t="str">
            <v>ASV14611</v>
          </cell>
          <cell r="H20128" t="str">
            <v>g__unclassified_p__Firmicutes</v>
          </cell>
          <cell r="I20128" t="str">
            <v>s__unclassified_p__Firmicutes</v>
          </cell>
        </row>
        <row r="20129">
          <cell r="G20129" t="str">
            <v>ASV17117</v>
          </cell>
          <cell r="H20129" t="str">
            <v>g__unclassified_o__Oscillospirales</v>
          </cell>
          <cell r="I20129" t="str">
            <v>s__unclassified_o__Oscillospirales</v>
          </cell>
        </row>
        <row r="20130">
          <cell r="G20130" t="str">
            <v>ASV9649</v>
          </cell>
          <cell r="H20130" t="str">
            <v>g__unclassified_p__Firmicutes</v>
          </cell>
          <cell r="I20130" t="str">
            <v>s__unclassified_p__Firmicutes</v>
          </cell>
        </row>
        <row r="20131">
          <cell r="G20131" t="str">
            <v>ASV9125</v>
          </cell>
          <cell r="H20131" t="str">
            <v>g__unclassified_k__norank_d__Bacteria</v>
          </cell>
          <cell r="I20131" t="str">
            <v>s__unclassified_k__norank_d__Bacteria</v>
          </cell>
        </row>
        <row r="20132">
          <cell r="G20132" t="str">
            <v>ASV20974</v>
          </cell>
          <cell r="H20132" t="str">
            <v>g__unclassified_c__Clostridia</v>
          </cell>
          <cell r="I20132" t="str">
            <v>s__unclassified_c__Clostridia</v>
          </cell>
        </row>
        <row r="20133">
          <cell r="G20133" t="str">
            <v>ASV20114</v>
          </cell>
          <cell r="H20133" t="str">
            <v>g__norank_f__Eubacterium_coprostanoligenes_group</v>
          </cell>
          <cell r="I20133" t="str">
            <v>s__uncultured_bacterium_g__norank_f__Eubacterium_coprostanoligenes_group</v>
          </cell>
        </row>
        <row r="20134">
          <cell r="G20134" t="str">
            <v>ASV10908</v>
          </cell>
          <cell r="H20134" t="str">
            <v>g__unclassified_c__Clostridia</v>
          </cell>
          <cell r="I20134" t="str">
            <v>s__unclassified_c__Clostridia</v>
          </cell>
        </row>
        <row r="20135">
          <cell r="G20135" t="str">
            <v>ASV18366</v>
          </cell>
          <cell r="H20135" t="str">
            <v>g__unclassified_o__Oscillospirales</v>
          </cell>
          <cell r="I20135" t="str">
            <v>s__unclassified_o__Oscillospirales</v>
          </cell>
        </row>
        <row r="20136">
          <cell r="G20136" t="str">
            <v>ASV10117</v>
          </cell>
          <cell r="H20136" t="str">
            <v>g__Lactobacillus</v>
          </cell>
          <cell r="I20136" t="str">
            <v>s__unclassified_g__Lactobacillus</v>
          </cell>
        </row>
        <row r="20137">
          <cell r="G20137" t="str">
            <v>ASV17050</v>
          </cell>
          <cell r="H20137" t="str">
            <v>g__unclassified_p__Firmicutes</v>
          </cell>
          <cell r="I20137" t="str">
            <v>s__unclassified_p__Firmicutes</v>
          </cell>
        </row>
        <row r="20138">
          <cell r="G20138" t="str">
            <v>ASV22620</v>
          </cell>
          <cell r="H20138" t="str">
            <v>g__norank_f__Eubacterium_coprostanoligenes_group</v>
          </cell>
          <cell r="I20138" t="str">
            <v>s__uncultured_bacterium_g__norank_f__Eubacterium_coprostanoligenes_group</v>
          </cell>
        </row>
        <row r="20139">
          <cell r="G20139" t="str">
            <v>ASV14773</v>
          </cell>
          <cell r="H20139" t="str">
            <v>g__unclassified_c__Clostridia</v>
          </cell>
          <cell r="I20139" t="str">
            <v>s__unclassified_c__Clostridia</v>
          </cell>
        </row>
        <row r="20140">
          <cell r="G20140" t="str">
            <v>ASV2486</v>
          </cell>
          <cell r="H20140" t="str">
            <v>g__unclassified_o__Oscillospirales</v>
          </cell>
          <cell r="I20140" t="str">
            <v>s__unclassified_o__Oscillospirales</v>
          </cell>
        </row>
        <row r="20141">
          <cell r="G20141" t="str">
            <v>ASV16788</v>
          </cell>
          <cell r="H20141" t="str">
            <v>g__Christensenellaceae_R-7_group</v>
          </cell>
          <cell r="I20141" t="str">
            <v>s__unclassified_g__Christensenellaceae_R-7_group</v>
          </cell>
        </row>
        <row r="20142">
          <cell r="G20142" t="str">
            <v>ASV20178</v>
          </cell>
          <cell r="H20142" t="str">
            <v>g__unclassified_p__Firmicutes</v>
          </cell>
          <cell r="I20142" t="str">
            <v>s__unclassified_p__Firmicutes</v>
          </cell>
        </row>
        <row r="20143">
          <cell r="G20143" t="str">
            <v>ASV20174</v>
          </cell>
          <cell r="H20143" t="str">
            <v>g__unclassified_c__Clostridia</v>
          </cell>
          <cell r="I20143" t="str">
            <v>s__unclassified_c__Clostridia</v>
          </cell>
        </row>
        <row r="20144">
          <cell r="G20144" t="str">
            <v>ASV10887</v>
          </cell>
          <cell r="H20144" t="str">
            <v>g__unclassified_p__Firmicutes</v>
          </cell>
          <cell r="I20144" t="str">
            <v>s__unclassified_p__Firmicutes</v>
          </cell>
        </row>
        <row r="20145">
          <cell r="G20145" t="str">
            <v>ASV22647</v>
          </cell>
          <cell r="H20145" t="str">
            <v>g__unclassified_f__Anaerovoracaceae</v>
          </cell>
          <cell r="I20145" t="str">
            <v>s__unclassified_f__Anaerovoracaceae</v>
          </cell>
        </row>
        <row r="20146">
          <cell r="G20146" t="str">
            <v>ASV10942</v>
          </cell>
          <cell r="H20146" t="str">
            <v>g__unclassified_f__Lachnospiraceae</v>
          </cell>
          <cell r="I20146" t="str">
            <v>s__unclassified_f__Lachnospiraceae</v>
          </cell>
        </row>
        <row r="20147">
          <cell r="G20147" t="str">
            <v>ASV15675</v>
          </cell>
          <cell r="H20147" t="str">
            <v>g__unclassified_f__Oscillospiraceae</v>
          </cell>
          <cell r="I20147" t="str">
            <v>s__unclassified_f__Oscillospiraceae</v>
          </cell>
        </row>
        <row r="20148">
          <cell r="G20148" t="str">
            <v>ASV6868</v>
          </cell>
          <cell r="H20148" t="str">
            <v>g__unclassified_f__Pasteurellaceae</v>
          </cell>
          <cell r="I20148" t="str">
            <v>s__unclassified_f__Pasteurellaceae</v>
          </cell>
        </row>
        <row r="20149">
          <cell r="G20149" t="str">
            <v>ASV7111</v>
          </cell>
          <cell r="H20149" t="str">
            <v>g__Collinsella</v>
          </cell>
          <cell r="I20149" t="str">
            <v>s__unclassified_g__Collinsella</v>
          </cell>
        </row>
        <row r="20150">
          <cell r="G20150" t="str">
            <v>ASV17678</v>
          </cell>
          <cell r="H20150" t="str">
            <v>g__unclassified_c__Bacilli</v>
          </cell>
          <cell r="I20150" t="str">
            <v>s__unclassified_c__Bacilli</v>
          </cell>
        </row>
        <row r="20151">
          <cell r="G20151" t="str">
            <v>ASV21332</v>
          </cell>
          <cell r="H20151" t="str">
            <v>g__Bacteroides</v>
          </cell>
          <cell r="I20151" t="str">
            <v>s__uncultured_bacterium_g__Bacteroides</v>
          </cell>
        </row>
        <row r="20152">
          <cell r="G20152" t="str">
            <v>ASV5156</v>
          </cell>
          <cell r="H20152" t="str">
            <v>g__norank_f__Muribaculaceae</v>
          </cell>
          <cell r="I20152" t="str">
            <v>s__uncultured_bacterium_g__norank_f__Muribaculaceae</v>
          </cell>
        </row>
        <row r="20153">
          <cell r="G20153" t="str">
            <v>ASV15584</v>
          </cell>
          <cell r="H20153" t="str">
            <v>g__Lachnospiraceae_UCG-004</v>
          </cell>
          <cell r="I20153" t="str">
            <v>s__uncultured_bacterium_g__Lachnospiraceae_UCG-004</v>
          </cell>
        </row>
        <row r="20154">
          <cell r="G20154" t="str">
            <v>ASV4283</v>
          </cell>
          <cell r="H20154" t="str">
            <v>g__Phascolarctobacterium</v>
          </cell>
          <cell r="I20154" t="str">
            <v>s__Ruminococcus_sp._N15.MGS-57_g__Phascolarctobacterium</v>
          </cell>
        </row>
        <row r="20155">
          <cell r="G20155" t="str">
            <v>ASV2412</v>
          </cell>
          <cell r="H20155" t="str">
            <v>g__S5-A14a</v>
          </cell>
          <cell r="I20155" t="str">
            <v>s__uncultured_Anaerovorax_sp._g__S5-A14a</v>
          </cell>
        </row>
        <row r="20156">
          <cell r="G20156" t="str">
            <v>ASV5427</v>
          </cell>
          <cell r="H20156" t="str">
            <v>g__Streptococcus</v>
          </cell>
          <cell r="I20156" t="str">
            <v>s__unclassified_g__Streptococcus</v>
          </cell>
        </row>
        <row r="20157">
          <cell r="G20157" t="str">
            <v>ASV5187</v>
          </cell>
          <cell r="H20157" t="str">
            <v>g__Alloprevotella</v>
          </cell>
          <cell r="I20157" t="str">
            <v>s__uncultured_bacterium_g__Alloprevotella</v>
          </cell>
        </row>
        <row r="20158">
          <cell r="G20158" t="str">
            <v>ASV12442</v>
          </cell>
          <cell r="H20158" t="str">
            <v>g__unclassified_o__Bacteroidales</v>
          </cell>
          <cell r="I20158" t="str">
            <v>s__unclassified_o__Bacteroidales</v>
          </cell>
        </row>
        <row r="20159">
          <cell r="G20159" t="str">
            <v>ASV17250</v>
          </cell>
          <cell r="H20159" t="str">
            <v>g__Streptococcus</v>
          </cell>
          <cell r="I20159" t="str">
            <v>s__unclassified_g__Streptococcus</v>
          </cell>
        </row>
        <row r="20160">
          <cell r="G20160" t="str">
            <v>ASV14583</v>
          </cell>
          <cell r="H20160" t="str">
            <v>g__unclassified_p__Firmicutes</v>
          </cell>
          <cell r="I20160" t="str">
            <v>s__unclassified_p__Firmicutes</v>
          </cell>
        </row>
        <row r="20161">
          <cell r="G20161" t="str">
            <v>ASV12296</v>
          </cell>
          <cell r="H20161" t="str">
            <v>g__unclassified_f__Ruminococcaceae</v>
          </cell>
          <cell r="I20161" t="str">
            <v>s__unclassified_f__Ruminococcaceae</v>
          </cell>
        </row>
        <row r="20162">
          <cell r="G20162" t="str">
            <v>ASV1157</v>
          </cell>
          <cell r="H20162" t="str">
            <v>g__unclassified_p__Firmicutes</v>
          </cell>
          <cell r="I20162" t="str">
            <v>s__unclassified_p__Firmicutes</v>
          </cell>
        </row>
        <row r="20163">
          <cell r="G20163" t="str">
            <v>ASV8238</v>
          </cell>
          <cell r="H20163" t="str">
            <v>g__Christensenellaceae_R-7_group</v>
          </cell>
          <cell r="I20163" t="str">
            <v>s__unclassified_g__Christensenellaceae_R-7_group</v>
          </cell>
        </row>
        <row r="20164">
          <cell r="G20164" t="str">
            <v>ASV22539</v>
          </cell>
          <cell r="H20164" t="str">
            <v>g__unclassified_k__norank_d__Bacteria</v>
          </cell>
          <cell r="I20164" t="str">
            <v>s__unclassified_k__norank_d__Bacteria</v>
          </cell>
        </row>
        <row r="20165">
          <cell r="G20165" t="str">
            <v>ASV6907</v>
          </cell>
          <cell r="H20165" t="str">
            <v>g__Lactobacillus</v>
          </cell>
          <cell r="I20165" t="str">
            <v>s__unclassified_g__Lactobacillus</v>
          </cell>
        </row>
        <row r="20166">
          <cell r="G20166" t="str">
            <v>ASV8739</v>
          </cell>
          <cell r="H20166" t="str">
            <v>g__Lactobacillus</v>
          </cell>
          <cell r="I20166" t="str">
            <v>s__unclassified_g__Lactobacillus</v>
          </cell>
        </row>
        <row r="20167">
          <cell r="G20167" t="str">
            <v>ASV23791</v>
          </cell>
          <cell r="H20167" t="str">
            <v>g__unclassified_f__Anaerovoracaceae</v>
          </cell>
          <cell r="I20167" t="str">
            <v>s__unclassified_f__Anaerovoracaceae</v>
          </cell>
        </row>
        <row r="20168">
          <cell r="G20168" t="str">
            <v>ASV1105</v>
          </cell>
          <cell r="H20168" t="str">
            <v>g__Anaerococcus</v>
          </cell>
          <cell r="I20168" t="str">
            <v>s__unclassified_g__Anaerococcus</v>
          </cell>
        </row>
        <row r="20169">
          <cell r="G20169" t="str">
            <v>ASV4363</v>
          </cell>
          <cell r="H20169" t="str">
            <v>g__Cloacibacillus</v>
          </cell>
          <cell r="I20169" t="str">
            <v>s__unclassified_g__Cloacibacillus</v>
          </cell>
        </row>
        <row r="20170">
          <cell r="G20170" t="str">
            <v>ASV9779</v>
          </cell>
          <cell r="H20170" t="str">
            <v>g__Holdemanella</v>
          </cell>
          <cell r="I20170" t="str">
            <v>s__uncultured_bacterium_g__Holdemanella</v>
          </cell>
        </row>
        <row r="20171">
          <cell r="G20171" t="str">
            <v>ASV6248</v>
          </cell>
          <cell r="H20171" t="str">
            <v>g__Parabacteroides</v>
          </cell>
          <cell r="I20171" t="str">
            <v>s__Porphyromonadaceae_bacterium_DJF_B175</v>
          </cell>
        </row>
        <row r="20172">
          <cell r="G20172" t="str">
            <v>ASV6993</v>
          </cell>
          <cell r="H20172" t="str">
            <v>g__Christensenellaceae_R-7_group</v>
          </cell>
          <cell r="I20172" t="str">
            <v>s__unclassified_g__Christensenellaceae_R-7_group</v>
          </cell>
        </row>
        <row r="20173">
          <cell r="G20173" t="str">
            <v>ASV20482</v>
          </cell>
          <cell r="H20173" t="str">
            <v>g__norank_f__Caldilineaceae</v>
          </cell>
          <cell r="I20173" t="str">
            <v>s__uncultured_bacterium_g__norank_f__Caldilineaceae</v>
          </cell>
        </row>
        <row r="20174">
          <cell r="G20174" t="str">
            <v>ASV1140</v>
          </cell>
          <cell r="H20174" t="str">
            <v>g__Rikenellaceae_RC9_gut_group</v>
          </cell>
          <cell r="I20174" t="str">
            <v>s__unclassified_g__Rikenellaceae_RC9_gut_group</v>
          </cell>
        </row>
        <row r="20175">
          <cell r="G20175" t="str">
            <v>ASV12125</v>
          </cell>
          <cell r="H20175" t="str">
            <v>g__unclassified_p__Firmicutes</v>
          </cell>
          <cell r="I20175" t="str">
            <v>s__unclassified_p__Firmicutes</v>
          </cell>
        </row>
        <row r="20176">
          <cell r="G20176" t="str">
            <v>ASV24013</v>
          </cell>
          <cell r="H20176" t="str">
            <v>g__unclassified_c__Clostridia</v>
          </cell>
          <cell r="I20176" t="str">
            <v>s__unclassified_c__Clostridia</v>
          </cell>
        </row>
        <row r="20177">
          <cell r="G20177" t="str">
            <v>ASV10891</v>
          </cell>
          <cell r="H20177" t="str">
            <v>g__Anaerorhabdus_furcosa_group</v>
          </cell>
          <cell r="I20177" t="str">
            <v>s__uncultured_bacterium_g__Anaerorhabdus_furcosa_group</v>
          </cell>
        </row>
        <row r="20178">
          <cell r="G20178" t="str">
            <v>ASV12253</v>
          </cell>
          <cell r="H20178" t="str">
            <v>g__Phascolarctobacterium</v>
          </cell>
          <cell r="I20178" t="str">
            <v>s__uncultured_bacterium_g__Phascolarctobacterium</v>
          </cell>
        </row>
        <row r="20179">
          <cell r="G20179" t="str">
            <v>ASV24280</v>
          </cell>
          <cell r="H20179" t="str">
            <v>g__unclassified_f__Lachnospiraceae</v>
          </cell>
          <cell r="I20179" t="str">
            <v>s__unclassified_f__Lachnospiraceae</v>
          </cell>
        </row>
        <row r="20180">
          <cell r="G20180" t="str">
            <v>ASV20128</v>
          </cell>
          <cell r="H20180" t="str">
            <v>g__norank_f__norank_o__Clostridia_UCG-014</v>
          </cell>
          <cell r="I20180" t="str">
            <v>s__uncultured_bacterium_g__norank_f__norank_o__Clostridia_UCG-014</v>
          </cell>
        </row>
        <row r="20181">
          <cell r="G20181" t="str">
            <v>ASV17548</v>
          </cell>
          <cell r="H20181" t="str">
            <v>g__Colidextribacter</v>
          </cell>
          <cell r="I20181" t="str">
            <v>s__unclassified_g__Colidextribacter</v>
          </cell>
        </row>
        <row r="20182">
          <cell r="G20182" t="str">
            <v>ASV14632</v>
          </cell>
          <cell r="H20182" t="str">
            <v>g__Streptococcus</v>
          </cell>
          <cell r="I20182" t="str">
            <v>s__unclassified_g__Streptococcus</v>
          </cell>
        </row>
        <row r="20183">
          <cell r="G20183" t="str">
            <v>ASV12090</v>
          </cell>
          <cell r="H20183" t="str">
            <v>g__unclassified_k__norank_d__Bacteria</v>
          </cell>
          <cell r="I20183" t="str">
            <v>s__unclassified_k__norank_d__Bacteria</v>
          </cell>
        </row>
        <row r="20184">
          <cell r="G20184" t="str">
            <v>ASV8076</v>
          </cell>
          <cell r="H20184" t="str">
            <v>g__Streptococcus</v>
          </cell>
          <cell r="I20184" t="str">
            <v>s__unclassified_g__Streptococcus</v>
          </cell>
        </row>
        <row r="20185">
          <cell r="G20185" t="str">
            <v>ASV9088</v>
          </cell>
          <cell r="H20185" t="str">
            <v>g__Terrisporobacter</v>
          </cell>
          <cell r="I20185" t="str">
            <v>s__unclassified_g__Terrisporobacter</v>
          </cell>
        </row>
        <row r="20186">
          <cell r="G20186" t="str">
            <v>ASV21053</v>
          </cell>
          <cell r="H20186" t="str">
            <v>g__Butyricicoccus</v>
          </cell>
          <cell r="I20186" t="str">
            <v>s__unclassified_g__Butyricicoccus</v>
          </cell>
        </row>
        <row r="20187">
          <cell r="G20187" t="str">
            <v>ASV4375</v>
          </cell>
          <cell r="H20187" t="str">
            <v>g__unclassified_f__Peptostreptococcaceae</v>
          </cell>
          <cell r="I20187" t="str">
            <v>s__unclassified_f__Peptostreptococcaceae</v>
          </cell>
        </row>
        <row r="20188">
          <cell r="G20188" t="str">
            <v>ASV19963</v>
          </cell>
          <cell r="H20188" t="str">
            <v>g__Anaerovibrio</v>
          </cell>
          <cell r="I20188" t="str">
            <v>s__Anaerovibrio_sp._765</v>
          </cell>
        </row>
        <row r="20189">
          <cell r="G20189" t="str">
            <v>ASV12481</v>
          </cell>
          <cell r="H20189" t="str">
            <v>g__Oscillospira</v>
          </cell>
          <cell r="I20189" t="str">
            <v>s__uncultured_bacterium_g__Oscillospira</v>
          </cell>
        </row>
        <row r="20190">
          <cell r="G20190" t="str">
            <v>ASV17642</v>
          </cell>
          <cell r="H20190" t="str">
            <v>g__Faecalibacterium</v>
          </cell>
          <cell r="I20190" t="str">
            <v>s__unclassified_g__Faecalibacterium</v>
          </cell>
        </row>
        <row r="20191">
          <cell r="G20191" t="str">
            <v>ASV23858</v>
          </cell>
          <cell r="H20191" t="str">
            <v>g__unclassified_k__norank_d__Bacteria</v>
          </cell>
          <cell r="I20191" t="str">
            <v>s__unclassified_k__norank_d__Bacteria</v>
          </cell>
        </row>
        <row r="20192">
          <cell r="G20192" t="str">
            <v>ASV13192</v>
          </cell>
          <cell r="H20192" t="str">
            <v>g__unclassified_f__Oscillospiraceae</v>
          </cell>
          <cell r="I20192" t="str">
            <v>s__unclassified_f__Oscillospiraceae</v>
          </cell>
        </row>
        <row r="20193">
          <cell r="G20193" t="str">
            <v>ASV18399</v>
          </cell>
          <cell r="H20193" t="str">
            <v>g__unclassified_f__Peptostreptococcaceae</v>
          </cell>
          <cell r="I20193" t="str">
            <v>s__unclassified_f__Peptostreptococcaceae</v>
          </cell>
        </row>
        <row r="20194">
          <cell r="G20194" t="str">
            <v>ASV24046</v>
          </cell>
          <cell r="H20194" t="str">
            <v>g__Escherichia-Shigella</v>
          </cell>
          <cell r="I20194" t="str">
            <v>s__unclassified_g__Escherichia-Shigella</v>
          </cell>
        </row>
        <row r="20195">
          <cell r="G20195" t="str">
            <v>ASV20000</v>
          </cell>
          <cell r="H20195" t="str">
            <v>g__unclassified_f__Lachnospiraceae</v>
          </cell>
          <cell r="I20195" t="str">
            <v>s__unclassified_f__Lachnospiraceae</v>
          </cell>
        </row>
        <row r="20196">
          <cell r="G20196" t="str">
            <v>ASV13544</v>
          </cell>
          <cell r="H20196" t="str">
            <v>g__unclassified_k__norank_d__Bacteria</v>
          </cell>
          <cell r="I20196" t="str">
            <v>s__unclassified_k__norank_d__Bacteria</v>
          </cell>
        </row>
        <row r="20197">
          <cell r="G20197" t="str">
            <v>ASV8881</v>
          </cell>
          <cell r="H20197" t="str">
            <v>g__norank_f__Erysipelotrichaceae</v>
          </cell>
          <cell r="I20197" t="str">
            <v>s__uncultured_bacterium_g__norank_f__Erysipelotrichaceae</v>
          </cell>
        </row>
        <row r="20198">
          <cell r="G20198" t="str">
            <v>ASV12394</v>
          </cell>
          <cell r="H20198" t="str">
            <v>g__unclassified_c__Clostridia</v>
          </cell>
          <cell r="I20198" t="str">
            <v>s__unclassified_c__Clostridia</v>
          </cell>
        </row>
        <row r="20199">
          <cell r="G20199" t="str">
            <v>ASV18257</v>
          </cell>
          <cell r="H20199" t="str">
            <v>g__norank_f__UCG-010</v>
          </cell>
          <cell r="I20199" t="str">
            <v>s__uncultured_bacterium_g__norank_f__UCG-010</v>
          </cell>
        </row>
        <row r="20200">
          <cell r="G20200" t="str">
            <v>ASV13022</v>
          </cell>
          <cell r="H20200" t="str">
            <v>g__unclassified_c__Clostridia</v>
          </cell>
          <cell r="I20200" t="str">
            <v>s__unclassified_c__Clostridia</v>
          </cell>
        </row>
        <row r="20201">
          <cell r="G20201" t="str">
            <v>ASV20061</v>
          </cell>
          <cell r="H20201" t="str">
            <v>g__unclassified_p__Firmicutes</v>
          </cell>
          <cell r="I20201" t="str">
            <v>s__unclassified_p__Firmicutes</v>
          </cell>
        </row>
        <row r="20202">
          <cell r="G20202" t="str">
            <v>ASV8670</v>
          </cell>
          <cell r="H20202" t="str">
            <v>g__Flavobacterium</v>
          </cell>
          <cell r="I20202" t="str">
            <v>s__Flavobacterium_sp._B202</v>
          </cell>
        </row>
        <row r="20203">
          <cell r="G20203" t="str">
            <v>ASV22943</v>
          </cell>
          <cell r="H20203" t="str">
            <v>g__Veillonella</v>
          </cell>
          <cell r="I20203" t="str">
            <v>s__unclassified_g__Veillonella</v>
          </cell>
        </row>
        <row r="20204">
          <cell r="G20204" t="str">
            <v>ASV20970</v>
          </cell>
          <cell r="H20204" t="str">
            <v>g__unclassified_f__Peptostreptococcaceae</v>
          </cell>
          <cell r="I20204" t="str">
            <v>s__unclassified_f__Peptostreptococcaceae</v>
          </cell>
        </row>
        <row r="20205">
          <cell r="G20205" t="str">
            <v>ASV18435</v>
          </cell>
          <cell r="H20205" t="str">
            <v>g__unclassified_c__Clostridia</v>
          </cell>
          <cell r="I20205" t="str">
            <v>s__unclassified_c__Clostridia</v>
          </cell>
        </row>
        <row r="20206">
          <cell r="G20206" t="str">
            <v>ASV18369</v>
          </cell>
          <cell r="H20206" t="str">
            <v>g__unclassified_f__Ruminococcaceae</v>
          </cell>
          <cell r="I20206" t="str">
            <v>s__unclassified_f__Ruminococcaceae</v>
          </cell>
        </row>
        <row r="20207">
          <cell r="G20207" t="str">
            <v>ASV12109</v>
          </cell>
          <cell r="H20207" t="str">
            <v>g__norank_f__Muribaculaceae</v>
          </cell>
          <cell r="I20207" t="str">
            <v>s__uncultured_bacterium_g__norank_f__Muribaculaceae</v>
          </cell>
        </row>
        <row r="20208">
          <cell r="G20208" t="str">
            <v>ASV11072</v>
          </cell>
          <cell r="H20208" t="str">
            <v>g__unclassified_f__Lachnospiraceae</v>
          </cell>
          <cell r="I20208" t="str">
            <v>s__unclassified_f__Lachnospiraceae</v>
          </cell>
        </row>
        <row r="20209">
          <cell r="G20209" t="str">
            <v>ASV17544</v>
          </cell>
          <cell r="H20209" t="str">
            <v>g__Holdemanella</v>
          </cell>
          <cell r="I20209" t="str">
            <v>s__unclassified_g__Holdemanella</v>
          </cell>
        </row>
        <row r="20210">
          <cell r="G20210" t="str">
            <v>ASV9798</v>
          </cell>
          <cell r="H20210" t="str">
            <v>g__unclassified_f__Oscillospiraceae</v>
          </cell>
          <cell r="I20210" t="str">
            <v>s__unclassified_f__Oscillospiraceae</v>
          </cell>
        </row>
        <row r="20211">
          <cell r="G20211" t="str">
            <v>ASV14604</v>
          </cell>
          <cell r="H20211" t="str">
            <v>g__Escherichia-Shigella</v>
          </cell>
          <cell r="I20211" t="str">
            <v>s__unclassified_g__Escherichia-Shigella</v>
          </cell>
        </row>
        <row r="20212">
          <cell r="G20212" t="str">
            <v>ASV12424</v>
          </cell>
          <cell r="H20212" t="str">
            <v>g__Anaerovibrio</v>
          </cell>
          <cell r="I20212" t="str">
            <v>s__Anaerovibrio_sp._765</v>
          </cell>
        </row>
        <row r="20213">
          <cell r="G20213" t="str">
            <v>ASV15738</v>
          </cell>
          <cell r="H20213" t="str">
            <v>g__unclassified_c__Clostridia</v>
          </cell>
          <cell r="I20213" t="str">
            <v>s__unclassified_c__Clostridia</v>
          </cell>
        </row>
        <row r="20214">
          <cell r="G20214" t="str">
            <v>ASV21667</v>
          </cell>
          <cell r="H20214" t="str">
            <v>g__Lactobacillus</v>
          </cell>
          <cell r="I20214" t="str">
            <v>s__unclassified_g__Lactobacillus</v>
          </cell>
        </row>
        <row r="20215">
          <cell r="G20215" t="str">
            <v>ASV21677</v>
          </cell>
          <cell r="H20215" t="str">
            <v>g__Prevotella</v>
          </cell>
          <cell r="I20215" t="str">
            <v>s__unclassified_g__Prevotella</v>
          </cell>
        </row>
        <row r="20216">
          <cell r="G20216" t="str">
            <v>ASV14828</v>
          </cell>
          <cell r="H20216" t="str">
            <v>g__unclassified_c__Clostridia</v>
          </cell>
          <cell r="I20216" t="str">
            <v>s__unclassified_c__Clostridia</v>
          </cell>
        </row>
        <row r="20217">
          <cell r="G20217" t="str">
            <v>ASV12327</v>
          </cell>
          <cell r="H20217" t="str">
            <v>g__unclassified_o__Peptostreptococcales-Tissierellales</v>
          </cell>
          <cell r="I20217" t="str">
            <v>s__unclassified_o__Peptostreptococcales-Tissierellales</v>
          </cell>
        </row>
        <row r="20218">
          <cell r="G20218" t="str">
            <v>ASV19942</v>
          </cell>
          <cell r="H20218" t="str">
            <v>g__unclassified_c__Clostridia</v>
          </cell>
          <cell r="I20218" t="str">
            <v>s__unclassified_c__Clostridia</v>
          </cell>
        </row>
        <row r="20219">
          <cell r="G20219" t="str">
            <v>ASV5423</v>
          </cell>
          <cell r="H20219" t="str">
            <v>g__Collinsella</v>
          </cell>
          <cell r="I20219" t="str">
            <v>s__unclassified_g__Collinsella</v>
          </cell>
        </row>
        <row r="20220">
          <cell r="G20220" t="str">
            <v>ASV6294</v>
          </cell>
          <cell r="H20220" t="str">
            <v>g__unclassified_p__Firmicutes</v>
          </cell>
          <cell r="I20220" t="str">
            <v>s__unclassified_p__Firmicutes</v>
          </cell>
        </row>
        <row r="20221">
          <cell r="G20221" t="str">
            <v>ASV24012</v>
          </cell>
          <cell r="H20221" t="str">
            <v>g__Fusobacterium</v>
          </cell>
          <cell r="I20221" t="str">
            <v>s__unclassified_g__Fusobacterium</v>
          </cell>
        </row>
        <row r="20222">
          <cell r="G20222" t="str">
            <v>ASV12203</v>
          </cell>
          <cell r="H20222" t="str">
            <v>g__unclassified_o__Oscillospirales</v>
          </cell>
          <cell r="I20222" t="str">
            <v>s__unclassified_o__Oscillospirales</v>
          </cell>
        </row>
        <row r="20223">
          <cell r="G20223" t="str">
            <v>ASV13126</v>
          </cell>
          <cell r="H20223" t="str">
            <v>g__unclassified_k__norank_d__Bacteria</v>
          </cell>
          <cell r="I20223" t="str">
            <v>s__unclassified_k__norank_d__Bacteria</v>
          </cell>
        </row>
        <row r="20224">
          <cell r="G20224" t="str">
            <v>ASV12443</v>
          </cell>
          <cell r="H20224" t="str">
            <v>g__Lachnospiraceae_NC2004_group</v>
          </cell>
          <cell r="I20224" t="str">
            <v>s__unclassified_g__Lachnospiraceae_NC2004_group</v>
          </cell>
        </row>
        <row r="20225">
          <cell r="G20225" t="str">
            <v>ASV13115</v>
          </cell>
          <cell r="H20225" t="str">
            <v>g__unclassified_f__Lachnospiraceae</v>
          </cell>
          <cell r="I20225" t="str">
            <v>s__unclassified_f__Lachnospiraceae</v>
          </cell>
        </row>
        <row r="20226">
          <cell r="G20226" t="str">
            <v>ASV21135</v>
          </cell>
          <cell r="H20226" t="str">
            <v>g__unclassified_f__Lachnospiraceae</v>
          </cell>
          <cell r="I20226" t="str">
            <v>s__unclassified_f__Lachnospiraceae</v>
          </cell>
        </row>
        <row r="20227">
          <cell r="G20227" t="str">
            <v>ASV13073</v>
          </cell>
          <cell r="H20227" t="str">
            <v>g__unclassified_c__Bacilli</v>
          </cell>
          <cell r="I20227" t="str">
            <v>s__unclassified_c__Bacilli</v>
          </cell>
        </row>
        <row r="20228">
          <cell r="G20228" t="str">
            <v>ASV17390</v>
          </cell>
          <cell r="H20228" t="str">
            <v>g__norank_f__norank_o__Clostridia_UCG-014</v>
          </cell>
          <cell r="I20228" t="str">
            <v>s__unclassified_g__norank_f__norank_o__Clostridia_UCG-014</v>
          </cell>
        </row>
        <row r="20229">
          <cell r="G20229" t="str">
            <v>ASV9064</v>
          </cell>
          <cell r="H20229" t="str">
            <v>g__unclassified_f__Pasteurellaceae</v>
          </cell>
          <cell r="I20229" t="str">
            <v>s__unclassified_f__Pasteurellaceae</v>
          </cell>
        </row>
        <row r="20230">
          <cell r="G20230" t="str">
            <v>ASV20026</v>
          </cell>
          <cell r="H20230" t="str">
            <v>g__unclassified_k__norank_d__Bacteria</v>
          </cell>
          <cell r="I20230" t="str">
            <v>s__unclassified_k__norank_d__Bacteria</v>
          </cell>
        </row>
        <row r="20231">
          <cell r="G20231" t="str">
            <v>ASV17246</v>
          </cell>
          <cell r="H20231" t="str">
            <v>g__unclassified_o__Lactobacillales</v>
          </cell>
          <cell r="I20231" t="str">
            <v>s__unclassified_o__Lactobacillales</v>
          </cell>
        </row>
        <row r="20232">
          <cell r="G20232" t="str">
            <v>ASV2511</v>
          </cell>
          <cell r="H20232" t="str">
            <v>g__Eubacterium_oxidoreducens_group</v>
          </cell>
          <cell r="I20232" t="str">
            <v>s__uncultured_bacterium_g__Eubacterium_oxidoreducens_group</v>
          </cell>
        </row>
        <row r="20233">
          <cell r="G20233" t="str">
            <v>ASV5288</v>
          </cell>
          <cell r="H20233" t="str">
            <v>g__norank_f__UCG-011</v>
          </cell>
          <cell r="I20233" t="str">
            <v>s__uncultured_bacterium_g__norank_f__UCG-011</v>
          </cell>
        </row>
        <row r="20234">
          <cell r="G20234" t="str">
            <v>ASV20142</v>
          </cell>
          <cell r="H20234" t="str">
            <v>g__unclassified_c__Clostridia</v>
          </cell>
          <cell r="I20234" t="str">
            <v>s__unclassified_c__Clostridia</v>
          </cell>
        </row>
        <row r="20235">
          <cell r="G20235" t="str">
            <v>ASV23598</v>
          </cell>
          <cell r="H20235" t="str">
            <v>g__unclassified_c__Clostridia</v>
          </cell>
          <cell r="I20235" t="str">
            <v>s__unclassified_c__Clostridia</v>
          </cell>
        </row>
        <row r="20236">
          <cell r="G20236" t="str">
            <v>ASV8103</v>
          </cell>
          <cell r="H20236" t="str">
            <v>g__Clostridium_sensu_stricto_1</v>
          </cell>
          <cell r="I20236" t="str">
            <v>s__unclassified_g__Clostridium_sensu_stricto_1</v>
          </cell>
        </row>
        <row r="20237">
          <cell r="G20237" t="str">
            <v>ASV12034</v>
          </cell>
          <cell r="H20237" t="str">
            <v>g__unclassified_p__Firmicutes</v>
          </cell>
          <cell r="I20237" t="str">
            <v>s__unclassified_p__Firmicutes</v>
          </cell>
        </row>
        <row r="20238">
          <cell r="G20238" t="str">
            <v>ASV9801</v>
          </cell>
          <cell r="H20238" t="str">
            <v>g__unclassified_c__Clostridia</v>
          </cell>
          <cell r="I20238" t="str">
            <v>s__unclassified_c__Clostridia</v>
          </cell>
        </row>
        <row r="20239">
          <cell r="G20239" t="str">
            <v>ASV19172</v>
          </cell>
          <cell r="H20239" t="str">
            <v>g__unclassified_k__norank_d__Bacteria</v>
          </cell>
          <cell r="I20239" t="str">
            <v>s__unclassified_k__norank_d__Bacteria</v>
          </cell>
        </row>
        <row r="20240">
          <cell r="G20240" t="str">
            <v>ASV12228</v>
          </cell>
          <cell r="H20240" t="str">
            <v>g__unclassified_f__Lachnospiraceae</v>
          </cell>
          <cell r="I20240" t="str">
            <v>s__unclassified_f__Lachnospiraceae</v>
          </cell>
        </row>
        <row r="20241">
          <cell r="G20241" t="str">
            <v>ASV22575</v>
          </cell>
          <cell r="H20241" t="str">
            <v>g__Escherichia-Shigella</v>
          </cell>
          <cell r="I20241" t="str">
            <v>s__unclassified_g__Escherichia-Shigella</v>
          </cell>
        </row>
        <row r="20242">
          <cell r="G20242" t="str">
            <v>ASV11004</v>
          </cell>
          <cell r="H20242" t="str">
            <v>g__Eubacterium_oxidoreducens_group</v>
          </cell>
          <cell r="I20242" t="str">
            <v>s__uncultured_bacterium_g__Eubacterium_oxidoreducens_group</v>
          </cell>
        </row>
        <row r="20243">
          <cell r="G20243" t="str">
            <v>ASV22559</v>
          </cell>
          <cell r="H20243" t="str">
            <v>g__norank_f__UCG-010</v>
          </cell>
          <cell r="I20243" t="str">
            <v>s__uncultured_bacterium_g__norank_f__UCG-010</v>
          </cell>
        </row>
        <row r="20244">
          <cell r="G20244" t="str">
            <v>ASV14719</v>
          </cell>
          <cell r="H20244" t="str">
            <v>g__unclassified_f__Lachnospiraceae</v>
          </cell>
          <cell r="I20244" t="str">
            <v>s__unclassified_f__Lachnospiraceae</v>
          </cell>
        </row>
        <row r="20245">
          <cell r="G20245" t="str">
            <v>ASV6333</v>
          </cell>
          <cell r="H20245" t="str">
            <v>g__unclassified_f__Oscillospiraceae</v>
          </cell>
          <cell r="I20245" t="str">
            <v>s__unclassified_f__Oscillospiraceae</v>
          </cell>
        </row>
        <row r="20246">
          <cell r="G20246" t="str">
            <v>ASV21108</v>
          </cell>
          <cell r="H20246" t="str">
            <v>g__unclassified_c__Clostridia</v>
          </cell>
          <cell r="I20246" t="str">
            <v>s__unclassified_c__Clostridia</v>
          </cell>
        </row>
        <row r="20247">
          <cell r="G20247" t="str">
            <v>ASV5251</v>
          </cell>
          <cell r="H20247" t="str">
            <v>g__norank_f__F082</v>
          </cell>
          <cell r="I20247" t="str">
            <v>s__uncultured_bacterium_g__norank_f__F082</v>
          </cell>
        </row>
        <row r="20248">
          <cell r="G20248" t="str">
            <v>ASV2508</v>
          </cell>
          <cell r="H20248" t="str">
            <v>g__unclassified_c__Clostridia</v>
          </cell>
          <cell r="I20248" t="str">
            <v>s__unclassified_c__Clostridia</v>
          </cell>
        </row>
        <row r="20249">
          <cell r="G20249" t="str">
            <v>ASV4349</v>
          </cell>
          <cell r="H20249" t="str">
            <v>g__unclassified_f__Oscillospiraceae</v>
          </cell>
          <cell r="I20249" t="str">
            <v>s__unclassified_f__Oscillospiraceae</v>
          </cell>
        </row>
        <row r="20250">
          <cell r="G20250" t="str">
            <v>ASV18416</v>
          </cell>
          <cell r="H20250" t="str">
            <v>g__unclassified_f__Ruminococcaceae</v>
          </cell>
          <cell r="I20250" t="str">
            <v>s__unclassified_f__Ruminococcaceae</v>
          </cell>
        </row>
        <row r="20251">
          <cell r="G20251" t="str">
            <v>ASV3304</v>
          </cell>
          <cell r="H20251" t="str">
            <v>g__Escherichia-Shigella</v>
          </cell>
          <cell r="I20251" t="str">
            <v>s__unclassified_g__Escherichia-Shigella</v>
          </cell>
        </row>
        <row r="20252">
          <cell r="G20252" t="str">
            <v>ASV6342</v>
          </cell>
          <cell r="H20252" t="str">
            <v>g__unclassified_c__Clostridia</v>
          </cell>
          <cell r="I20252" t="str">
            <v>s__unclassified_c__Clostridia</v>
          </cell>
        </row>
        <row r="20253">
          <cell r="G20253" t="str">
            <v>ASV5377</v>
          </cell>
          <cell r="H20253" t="str">
            <v>g__unclassified_c__Clostridia</v>
          </cell>
          <cell r="I20253" t="str">
            <v>s__unclassified_c__Clostridia</v>
          </cell>
        </row>
        <row r="20254">
          <cell r="G20254" t="str">
            <v>ASV3718</v>
          </cell>
          <cell r="H20254" t="str">
            <v>g__Moraxella</v>
          </cell>
          <cell r="I20254" t="str">
            <v>s__unclassified_g__Moraxella</v>
          </cell>
        </row>
        <row r="20255">
          <cell r="G20255" t="str">
            <v>ASV23639</v>
          </cell>
          <cell r="H20255" t="str">
            <v>g__unclassified_k__norank_d__Bacteria</v>
          </cell>
          <cell r="I20255" t="str">
            <v>s__unclassified_k__norank_d__Bacteria</v>
          </cell>
        </row>
        <row r="20256">
          <cell r="G20256" t="str">
            <v>ASV20004</v>
          </cell>
          <cell r="H20256" t="str">
            <v>g__norank_f__Eubacterium_coprostanoligenes_group</v>
          </cell>
          <cell r="I20256" t="str">
            <v>s__uncultured_bacterium_g__norank_f__Eubacterium_coprostanoligenes_group</v>
          </cell>
        </row>
        <row r="20257">
          <cell r="G20257" t="str">
            <v>ASV2529</v>
          </cell>
          <cell r="H20257" t="str">
            <v>g__unclassified_c__Clostridia</v>
          </cell>
          <cell r="I20257" t="str">
            <v>s__unclassified_c__Clostridia</v>
          </cell>
        </row>
        <row r="20258">
          <cell r="G20258" t="str">
            <v>ASV18341</v>
          </cell>
          <cell r="H20258" t="str">
            <v>g__unclassified_f__Ruminococcaceae</v>
          </cell>
          <cell r="I20258" t="str">
            <v>s__unclassified_f__Ruminococcaceae</v>
          </cell>
        </row>
        <row r="20259">
          <cell r="G20259" t="str">
            <v>ASV6898</v>
          </cell>
          <cell r="H20259" t="str">
            <v>g__unclassified_c__Clostridia</v>
          </cell>
          <cell r="I20259" t="str">
            <v>s__unclassified_c__Clostridia</v>
          </cell>
        </row>
        <row r="20260">
          <cell r="G20260" t="str">
            <v>ASV7103</v>
          </cell>
          <cell r="H20260" t="str">
            <v>g__unclassified_f__Lachnospiraceae</v>
          </cell>
          <cell r="I20260" t="str">
            <v>s__unclassified_f__Lachnospiraceae</v>
          </cell>
        </row>
        <row r="20261">
          <cell r="G20261" t="str">
            <v>ASV23725</v>
          </cell>
          <cell r="H20261" t="str">
            <v>g__unclassified_c__Clostridia</v>
          </cell>
          <cell r="I20261" t="str">
            <v>s__unclassified_c__Clostridia</v>
          </cell>
        </row>
        <row r="20262">
          <cell r="G20262" t="str">
            <v>ASV1476</v>
          </cell>
          <cell r="H20262" t="str">
            <v>g__Staphylococcus</v>
          </cell>
          <cell r="I20262" t="str">
            <v>s__unclassified_g__Staphylococcus</v>
          </cell>
        </row>
        <row r="20263">
          <cell r="G20263" t="str">
            <v>ASV21348</v>
          </cell>
          <cell r="H20263" t="str">
            <v>g__Fusobacterium</v>
          </cell>
          <cell r="I20263" t="str">
            <v>s__unclassified_g__Fusobacterium</v>
          </cell>
        </row>
        <row r="20264">
          <cell r="G20264" t="str">
            <v>ASV23875</v>
          </cell>
          <cell r="H20264" t="str">
            <v>g__Bacteroides</v>
          </cell>
          <cell r="I20264" t="str">
            <v>s__unclassified_g__Bacteroides</v>
          </cell>
        </row>
        <row r="20265">
          <cell r="G20265" t="str">
            <v>ASV15866</v>
          </cell>
          <cell r="H20265" t="str">
            <v>g__unclassified_p__Firmicutes</v>
          </cell>
          <cell r="I20265" t="str">
            <v>s__unclassified_p__Firmicutes</v>
          </cell>
        </row>
        <row r="20266">
          <cell r="G20266" t="str">
            <v>ASV22618</v>
          </cell>
          <cell r="H20266" t="str">
            <v>g__unclassified_c__Clostridia</v>
          </cell>
          <cell r="I20266" t="str">
            <v>s__unclassified_c__Clostridia</v>
          </cell>
        </row>
        <row r="20267">
          <cell r="G20267" t="str">
            <v>ASV22729</v>
          </cell>
          <cell r="H20267" t="str">
            <v>g__Lactobacillus</v>
          </cell>
          <cell r="I20267" t="str">
            <v>s__unclassified_g__Lactobacillus</v>
          </cell>
        </row>
        <row r="20268">
          <cell r="G20268" t="str">
            <v>ASV5390</v>
          </cell>
          <cell r="H20268" t="str">
            <v>g__unclassified_f__Oscillospiraceae</v>
          </cell>
          <cell r="I20268" t="str">
            <v>s__unclassified_f__Oscillospiraceae</v>
          </cell>
        </row>
        <row r="20269">
          <cell r="G20269" t="str">
            <v>ASV5361</v>
          </cell>
          <cell r="H20269" t="str">
            <v>g__unclassified_o__Oscillospirales</v>
          </cell>
          <cell r="I20269" t="str">
            <v>s__unclassified_o__Oscillospirales</v>
          </cell>
        </row>
        <row r="20270">
          <cell r="G20270" t="str">
            <v>ASV17020</v>
          </cell>
          <cell r="H20270" t="str">
            <v>g__Anaerotruncus</v>
          </cell>
          <cell r="I20270" t="str">
            <v>s__unclassified_g__Anaerotruncus</v>
          </cell>
        </row>
        <row r="20271">
          <cell r="G20271" t="str">
            <v>ASV23880</v>
          </cell>
          <cell r="H20271" t="str">
            <v>g__unclassified_f__Lachnospiraceae</v>
          </cell>
          <cell r="I20271" t="str">
            <v>s__unclassified_f__Lachnospiraceae</v>
          </cell>
        </row>
        <row r="20272">
          <cell r="G20272" t="str">
            <v>ASV13857</v>
          </cell>
          <cell r="H20272" t="str">
            <v>g__Terrisporobacter</v>
          </cell>
          <cell r="I20272" t="str">
            <v>s__unclassified_g__Terrisporobacter</v>
          </cell>
        </row>
        <row r="20273">
          <cell r="G20273" t="str">
            <v>ASV14571</v>
          </cell>
          <cell r="H20273" t="str">
            <v>g__unclassified_p__Firmicutes</v>
          </cell>
          <cell r="I20273" t="str">
            <v>s__unclassified_p__Firmicutes</v>
          </cell>
        </row>
        <row r="20274">
          <cell r="G20274" t="str">
            <v>ASV10954</v>
          </cell>
          <cell r="H20274" t="str">
            <v>g__Lactobacillus</v>
          </cell>
          <cell r="I20274" t="str">
            <v>s__unclassified_g__Lactobacillus</v>
          </cell>
        </row>
        <row r="20275">
          <cell r="G20275" t="str">
            <v>ASV9625</v>
          </cell>
          <cell r="H20275" t="str">
            <v>g__unclassified_f__Lachnospiraceae</v>
          </cell>
          <cell r="I20275" t="str">
            <v>s__unclassified_f__Lachnospiraceae</v>
          </cell>
        </row>
        <row r="20276">
          <cell r="G20276" t="str">
            <v>ASV15561</v>
          </cell>
          <cell r="H20276" t="str">
            <v>g__unclassified_f__Lachnospiraceae</v>
          </cell>
          <cell r="I20276" t="str">
            <v>s__unclassified_f__Lachnospiraceae</v>
          </cell>
        </row>
        <row r="20277">
          <cell r="G20277" t="str">
            <v>ASV19949</v>
          </cell>
          <cell r="H20277" t="str">
            <v>g__unclassified_k__norank_d__Bacteria</v>
          </cell>
          <cell r="I20277" t="str">
            <v>s__unclassified_k__norank_d__Bacteria</v>
          </cell>
        </row>
        <row r="20278">
          <cell r="G20278" t="str">
            <v>ASV18311</v>
          </cell>
          <cell r="H20278" t="str">
            <v>g__unclassified_p__Firmicutes</v>
          </cell>
          <cell r="I20278" t="str">
            <v>s__unclassified_p__Firmicutes</v>
          </cell>
        </row>
        <row r="20279">
          <cell r="G20279" t="str">
            <v>ASV4340</v>
          </cell>
          <cell r="H20279" t="str">
            <v>g__unclassified_o__Oscillospirales</v>
          </cell>
          <cell r="I20279" t="str">
            <v>s__unclassified_o__Oscillospirales</v>
          </cell>
        </row>
        <row r="20280">
          <cell r="G20280" t="str">
            <v>ASV13554</v>
          </cell>
          <cell r="H20280" t="str">
            <v>g__unclassified_c__Clostridia</v>
          </cell>
          <cell r="I20280" t="str">
            <v>s__unclassified_c__Clostridia</v>
          </cell>
        </row>
        <row r="20281">
          <cell r="G20281" t="str">
            <v>ASV10926</v>
          </cell>
          <cell r="H20281" t="str">
            <v>g__unclassified_p__Firmicutes</v>
          </cell>
          <cell r="I20281" t="str">
            <v>s__unclassified_p__Firmicutes</v>
          </cell>
        </row>
        <row r="20282">
          <cell r="G20282" t="str">
            <v>ASV1505</v>
          </cell>
          <cell r="H20282" t="str">
            <v>g__norank_f__Muribaculaceae</v>
          </cell>
          <cell r="I20282" t="str">
            <v>s__unclassified_g__norank_f__Muribaculaceae</v>
          </cell>
        </row>
        <row r="20283">
          <cell r="G20283" t="str">
            <v>ASV6181</v>
          </cell>
          <cell r="H20283" t="str">
            <v>g__unclassified_o__Bacteroidales</v>
          </cell>
          <cell r="I20283" t="str">
            <v>s__unclassified_o__Bacteroidales</v>
          </cell>
        </row>
        <row r="20284">
          <cell r="G20284" t="str">
            <v>ASV8235</v>
          </cell>
          <cell r="H20284" t="str">
            <v>g__unclassified_k__norank_d__Bacteria</v>
          </cell>
          <cell r="I20284" t="str">
            <v>s__unclassified_k__norank_d__Bacteria</v>
          </cell>
        </row>
        <row r="20285">
          <cell r="G20285" t="str">
            <v>ASV9828</v>
          </cell>
          <cell r="H20285" t="str">
            <v>g__unclassified_c__Clostridia</v>
          </cell>
          <cell r="I20285" t="str">
            <v>s__unclassified_c__Clostridia</v>
          </cell>
        </row>
        <row r="20286">
          <cell r="G20286" t="str">
            <v>ASV2406</v>
          </cell>
          <cell r="H20286" t="str">
            <v>g__norank_f__UCG-010</v>
          </cell>
          <cell r="I20286" t="str">
            <v>s__unclassified_g__norank_f__UCG-010</v>
          </cell>
        </row>
        <row r="20287">
          <cell r="G20287" t="str">
            <v>ASV22778</v>
          </cell>
          <cell r="H20287" t="str">
            <v>g__unclassified_o__Oscillospirales</v>
          </cell>
          <cell r="I20287" t="str">
            <v>s__unclassified_o__Oscillospirales</v>
          </cell>
        </row>
        <row r="20288">
          <cell r="G20288" t="str">
            <v>ASV10261</v>
          </cell>
          <cell r="H20288" t="str">
            <v>g__unclassified_f__Lachnospiraceae</v>
          </cell>
          <cell r="I20288" t="str">
            <v>s__unclassified_f__Lachnospiraceae</v>
          </cell>
        </row>
        <row r="20289">
          <cell r="G20289" t="str">
            <v>ASV10123</v>
          </cell>
          <cell r="H20289" t="str">
            <v>g__Peptostreptococcus</v>
          </cell>
          <cell r="I20289" t="str">
            <v>s__unclassified_g__Peptostreptococcus</v>
          </cell>
        </row>
        <row r="20290">
          <cell r="G20290" t="str">
            <v>ASV14873</v>
          </cell>
          <cell r="H20290" t="str">
            <v>g__unclassified_f__Lachnospiraceae</v>
          </cell>
          <cell r="I20290" t="str">
            <v>s__unclassified_f__Lachnospiraceae</v>
          </cell>
        </row>
        <row r="20291">
          <cell r="G20291" t="str">
            <v>ASV6193</v>
          </cell>
          <cell r="H20291" t="str">
            <v>g__Bacteroides</v>
          </cell>
          <cell r="I20291" t="str">
            <v>s__unclassified_g__Bacteroides</v>
          </cell>
        </row>
        <row r="20292">
          <cell r="G20292" t="str">
            <v>ASV24043</v>
          </cell>
          <cell r="H20292" t="str">
            <v>g__Lactobacillus</v>
          </cell>
          <cell r="I20292" t="str">
            <v>s__unclassified_g__Lactobacillus</v>
          </cell>
        </row>
        <row r="20293">
          <cell r="G20293" t="str">
            <v>ASV12070</v>
          </cell>
          <cell r="H20293" t="str">
            <v>g__norank_f__Muribaculaceae</v>
          </cell>
          <cell r="I20293" t="str">
            <v>s__uncultured_bacterium_g__norank_f__Muribaculaceae</v>
          </cell>
        </row>
        <row r="20294">
          <cell r="G20294" t="str">
            <v>ASV13578</v>
          </cell>
          <cell r="H20294" t="str">
            <v>g__unclassified_c__Clostridia</v>
          </cell>
          <cell r="I20294" t="str">
            <v>s__unclassified_c__Clostridia</v>
          </cell>
        </row>
        <row r="20295">
          <cell r="G20295" t="str">
            <v>ASV12067</v>
          </cell>
          <cell r="H20295" t="str">
            <v>g__unclassified_o__Bacteroidales</v>
          </cell>
          <cell r="I20295" t="str">
            <v>s__unclassified_o__Bacteroidales</v>
          </cell>
        </row>
        <row r="20296">
          <cell r="G20296" t="str">
            <v>ASV12252</v>
          </cell>
          <cell r="H20296" t="str">
            <v>g__norank_f__UCG-010</v>
          </cell>
          <cell r="I20296" t="str">
            <v>s__unclassified_g__norank_f__UCG-010</v>
          </cell>
        </row>
        <row r="20297">
          <cell r="G20297" t="str">
            <v>ASV24021</v>
          </cell>
          <cell r="H20297" t="str">
            <v>g__unclassified_p__Firmicutes</v>
          </cell>
          <cell r="I20297" t="str">
            <v>s__unclassified_p__Firmicutes</v>
          </cell>
        </row>
        <row r="20298">
          <cell r="G20298" t="str">
            <v>ASV18711</v>
          </cell>
          <cell r="H20298" t="str">
            <v>g__Escherichia-Shigella</v>
          </cell>
          <cell r="I20298" t="str">
            <v>s__unclassified_g__Escherichia-Shigella</v>
          </cell>
        </row>
        <row r="20299">
          <cell r="G20299" t="str">
            <v>ASV8733</v>
          </cell>
          <cell r="H20299" t="str">
            <v>g__Acinetobacter</v>
          </cell>
          <cell r="I20299" t="str">
            <v>s__unclassified_g__Acinetobacter</v>
          </cell>
        </row>
        <row r="20300">
          <cell r="G20300" t="str">
            <v>ASV9757</v>
          </cell>
          <cell r="H20300" t="str">
            <v>g__unclassified_f__Oscillospiraceae</v>
          </cell>
          <cell r="I20300" t="str">
            <v>s__unclassified_f__Oscillospiraceae</v>
          </cell>
        </row>
        <row r="20301">
          <cell r="G20301" t="str">
            <v>ASV6417</v>
          </cell>
          <cell r="H20301" t="str">
            <v>g__Synergistes</v>
          </cell>
          <cell r="I20301" t="str">
            <v>s__Synergistes_jonesii</v>
          </cell>
        </row>
        <row r="20302">
          <cell r="G20302" t="str">
            <v>ASV14950</v>
          </cell>
          <cell r="H20302" t="str">
            <v>g__Phascolarctobacterium</v>
          </cell>
          <cell r="I20302" t="str">
            <v>s__unclassified_g__Phascolarctobacterium</v>
          </cell>
        </row>
        <row r="20303">
          <cell r="G20303" t="str">
            <v>ASV17634</v>
          </cell>
          <cell r="H20303" t="str">
            <v>g__unclassified_c__Gammaproteobacteria</v>
          </cell>
          <cell r="I20303" t="str">
            <v>s__unclassified_c__Gammaproteobacteria</v>
          </cell>
        </row>
        <row r="20304">
          <cell r="G20304" t="str">
            <v>ASV9076</v>
          </cell>
          <cell r="H20304" t="str">
            <v>g__unclassified_o__Bacteroidales</v>
          </cell>
          <cell r="I20304" t="str">
            <v>s__unclassified_o__Bacteroidales</v>
          </cell>
        </row>
        <row r="20305">
          <cell r="G20305" t="str">
            <v>ASV18380</v>
          </cell>
          <cell r="H20305" t="str">
            <v>g__unclassified_f__Lachnospiraceae</v>
          </cell>
          <cell r="I20305" t="str">
            <v>s__unclassified_f__Lachnospiraceae</v>
          </cell>
        </row>
        <row r="20306">
          <cell r="G20306" t="str">
            <v>ASV6156</v>
          </cell>
          <cell r="H20306" t="str">
            <v>g__Prevotellaceae_NK3B31_group</v>
          </cell>
          <cell r="I20306" t="str">
            <v>s__metagenome_g__Prevotellaceae_NK3B31_group</v>
          </cell>
        </row>
        <row r="20307">
          <cell r="G20307" t="str">
            <v>ASV6873</v>
          </cell>
          <cell r="H20307" t="str">
            <v>g__unclassified_c__Clostridia</v>
          </cell>
          <cell r="I20307" t="str">
            <v>s__unclassified_c__Clostridia</v>
          </cell>
        </row>
        <row r="20308">
          <cell r="G20308" t="str">
            <v>ASV1175</v>
          </cell>
          <cell r="H20308" t="str">
            <v>g__unclassified_f__Lachnospiraceae</v>
          </cell>
          <cell r="I20308" t="str">
            <v>s__unclassified_f__Lachnospiraceae</v>
          </cell>
        </row>
        <row r="20309">
          <cell r="G20309" t="str">
            <v>ASV15741</v>
          </cell>
          <cell r="H20309" t="str">
            <v>g__unclassified_c__Clostridia</v>
          </cell>
          <cell r="I20309" t="str">
            <v>s__unclassified_c__Clostridia</v>
          </cell>
        </row>
        <row r="20310">
          <cell r="G20310" t="str">
            <v>ASV18321</v>
          </cell>
          <cell r="H20310" t="str">
            <v>g__unclassified_f__Lachnospiraceae</v>
          </cell>
          <cell r="I20310" t="str">
            <v>s__unclassified_f__Lachnospiraceae</v>
          </cell>
        </row>
        <row r="20311">
          <cell r="G20311" t="str">
            <v>ASV17058</v>
          </cell>
          <cell r="H20311" t="str">
            <v>g__unclassified_c__Clostridia</v>
          </cell>
          <cell r="I20311" t="str">
            <v>s__unclassified_c__Clostridia</v>
          </cell>
        </row>
        <row r="20312">
          <cell r="G20312" t="str">
            <v>ASV15611</v>
          </cell>
          <cell r="H20312" t="str">
            <v>g__unclassified_c__Clostridia</v>
          </cell>
          <cell r="I20312" t="str">
            <v>s__unclassified_c__Clostridia</v>
          </cell>
        </row>
        <row r="20313">
          <cell r="G20313" t="str">
            <v>ASV16730</v>
          </cell>
          <cell r="H20313" t="str">
            <v>g__Eubacterium</v>
          </cell>
          <cell r="I20313" t="str">
            <v>s__unclassified_g__Eubacterium</v>
          </cell>
        </row>
        <row r="20314">
          <cell r="G20314" t="str">
            <v>ASV23591</v>
          </cell>
          <cell r="H20314" t="str">
            <v>g__Clostridium_sensu_stricto_1</v>
          </cell>
          <cell r="I20314" t="str">
            <v>s__unclassified_g__Clostridium_sensu_stricto_1</v>
          </cell>
        </row>
        <row r="20315">
          <cell r="G20315" t="str">
            <v>ASV13071</v>
          </cell>
          <cell r="H20315" t="str">
            <v>g__unclassified_f__Ruminococcaceae</v>
          </cell>
          <cell r="I20315" t="str">
            <v>s__unclassified_f__Ruminococcaceae</v>
          </cell>
        </row>
        <row r="20316">
          <cell r="G20316" t="str">
            <v>ASV19976</v>
          </cell>
          <cell r="H20316" t="str">
            <v>g__norank_f__UCG-011</v>
          </cell>
          <cell r="I20316" t="str">
            <v>s__uncultured_bacterium_g__norank_f__UCG-011</v>
          </cell>
        </row>
        <row r="20317">
          <cell r="G20317" t="str">
            <v>ASV22792</v>
          </cell>
          <cell r="H20317" t="str">
            <v>g__unclassified_c__Clostridia</v>
          </cell>
          <cell r="I20317" t="str">
            <v>s__unclassified_c__Clostridia</v>
          </cell>
        </row>
        <row r="20318">
          <cell r="G20318" t="str">
            <v>ASV5214</v>
          </cell>
          <cell r="H20318" t="str">
            <v>g__Ruminococcus</v>
          </cell>
          <cell r="I20318" t="str">
            <v>s__unclassified_g__Ruminococcus</v>
          </cell>
        </row>
        <row r="20319">
          <cell r="G20319" t="str">
            <v>ASV12132</v>
          </cell>
          <cell r="H20319" t="str">
            <v>g__Treponema</v>
          </cell>
          <cell r="I20319" t="str">
            <v>s__uncultured_bacterium_g__Treponema</v>
          </cell>
        </row>
        <row r="20320">
          <cell r="G20320" t="str">
            <v>ASV15684</v>
          </cell>
          <cell r="H20320" t="str">
            <v>g__unclassified_p__Firmicutes</v>
          </cell>
          <cell r="I20320" t="str">
            <v>s__unclassified_p__Firmicutes</v>
          </cell>
        </row>
        <row r="20321">
          <cell r="G20321" t="str">
            <v>ASV2397</v>
          </cell>
          <cell r="H20321" t="str">
            <v>g__unclassified_f__Peptostreptococcaceae</v>
          </cell>
          <cell r="I20321" t="str">
            <v>s__unclassified_f__Peptostreptococcaceae</v>
          </cell>
        </row>
        <row r="20322">
          <cell r="G20322" t="str">
            <v>ASV1441</v>
          </cell>
          <cell r="H20322" t="str">
            <v>g__norank_f__UCG-010</v>
          </cell>
          <cell r="I20322" t="str">
            <v>s__uncultured_bacterium_g__norank_f__UCG-010</v>
          </cell>
        </row>
        <row r="20323">
          <cell r="G20323" t="str">
            <v>ASV4360</v>
          </cell>
          <cell r="H20323" t="str">
            <v>g__Fusobacterium</v>
          </cell>
          <cell r="I20323" t="str">
            <v>s__unclassified_g__Fusobacterium</v>
          </cell>
        </row>
        <row r="20324">
          <cell r="G20324" t="str">
            <v>ASV9795</v>
          </cell>
          <cell r="H20324" t="str">
            <v>g__unclassified_f__Lachnospiraceae</v>
          </cell>
          <cell r="I20324" t="str">
            <v>s__unclassified_f__Lachnospiraceae</v>
          </cell>
        </row>
        <row r="20325">
          <cell r="G20325" t="str">
            <v>ASV8568</v>
          </cell>
          <cell r="H20325" t="str">
            <v>g__unclassified_p__Firmicutes</v>
          </cell>
          <cell r="I20325" t="str">
            <v>s__unclassified_p__Firmicutes</v>
          </cell>
        </row>
        <row r="20326">
          <cell r="G20326" t="str">
            <v>ASV5322</v>
          </cell>
          <cell r="H20326" t="str">
            <v>g__Prevotellaceae_UCG-003</v>
          </cell>
          <cell r="I20326" t="str">
            <v>s__uncultured_bacterium_g__Prevotellaceae_UCG-003</v>
          </cell>
        </row>
        <row r="20327">
          <cell r="G20327" t="str">
            <v>ASV4268</v>
          </cell>
          <cell r="H20327" t="str">
            <v>g__unclassified_c__Clostridia</v>
          </cell>
          <cell r="I20327" t="str">
            <v>s__unclassified_c__Clostridia</v>
          </cell>
        </row>
        <row r="20328">
          <cell r="G20328" t="str">
            <v>ASV21321</v>
          </cell>
          <cell r="H20328" t="str">
            <v>g__unclassified_k__norank_d__Bacteria</v>
          </cell>
          <cell r="I20328" t="str">
            <v>s__unclassified_k__norank_d__Bacteria</v>
          </cell>
        </row>
        <row r="20329">
          <cell r="G20329" t="str">
            <v>ASV2438</v>
          </cell>
          <cell r="H20329" t="str">
            <v>g__norank_f__Muribaculaceae</v>
          </cell>
          <cell r="I20329" t="str">
            <v>s__uncultured_bacterium_g__norank_f__Muribaculaceae</v>
          </cell>
        </row>
        <row r="20330">
          <cell r="G20330" t="str">
            <v>ASV18720</v>
          </cell>
          <cell r="H20330" t="str">
            <v>g__unclassified_f__Lachnospiraceae</v>
          </cell>
          <cell r="I20330" t="str">
            <v>s__unclassified_f__Lachnospiraceae</v>
          </cell>
        </row>
        <row r="20331">
          <cell r="G20331" t="str">
            <v>ASV8083</v>
          </cell>
          <cell r="H20331" t="str">
            <v>g__unclassified_f__Christensenellaceae</v>
          </cell>
          <cell r="I20331" t="str">
            <v>s__unclassified_f__Christensenellaceae</v>
          </cell>
        </row>
        <row r="20332">
          <cell r="G20332" t="str">
            <v>ASV1321</v>
          </cell>
          <cell r="H20332" t="str">
            <v>g__Phascolarctobacterium</v>
          </cell>
          <cell r="I20332" t="str">
            <v>s__uncultured_bacterium_g__Phascolarctobacterium</v>
          </cell>
        </row>
        <row r="20333">
          <cell r="G20333" t="str">
            <v>ASV8895</v>
          </cell>
          <cell r="H20333" t="str">
            <v>g__Corynebacterium</v>
          </cell>
          <cell r="I20333" t="str">
            <v>s__Corynebacterium_stationis</v>
          </cell>
        </row>
        <row r="20334">
          <cell r="G20334" t="str">
            <v>ASV12268</v>
          </cell>
          <cell r="H20334" t="str">
            <v>g__unclassified_p__Firmicutes</v>
          </cell>
          <cell r="I20334" t="str">
            <v>s__unclassified_p__Firmicutes</v>
          </cell>
        </row>
        <row r="20335">
          <cell r="G20335" t="str">
            <v>ASV14736</v>
          </cell>
          <cell r="H20335" t="str">
            <v>g__unclassified_f__Lachnospiraceae</v>
          </cell>
          <cell r="I20335" t="str">
            <v>s__unclassified_f__Lachnospiraceae</v>
          </cell>
        </row>
        <row r="20336">
          <cell r="G20336" t="str">
            <v>ASV23550</v>
          </cell>
          <cell r="H20336" t="str">
            <v>g__unclassified_c__Clostridia</v>
          </cell>
          <cell r="I20336" t="str">
            <v>s__unclassified_c__Clostridia</v>
          </cell>
        </row>
        <row r="20337">
          <cell r="G20337" t="str">
            <v>ASV19950</v>
          </cell>
          <cell r="H20337" t="str">
            <v>g__unclassified_f__Oscillospiraceae</v>
          </cell>
          <cell r="I20337" t="str">
            <v>s__unclassified_f__Oscillospiraceae</v>
          </cell>
        </row>
        <row r="20338">
          <cell r="G20338" t="str">
            <v>ASV12218</v>
          </cell>
          <cell r="H20338" t="str">
            <v>g__unclassified_c__Clostridia</v>
          </cell>
          <cell r="I20338" t="str">
            <v>s__unclassified_c__Clostridia</v>
          </cell>
        </row>
        <row r="20339">
          <cell r="G20339" t="str">
            <v>ASV13561</v>
          </cell>
          <cell r="H20339" t="str">
            <v>g__unclassified_f__Lachnospiraceae</v>
          </cell>
          <cell r="I20339" t="str">
            <v>s__unclassified_f__Lachnospiraceae</v>
          </cell>
        </row>
        <row r="20340">
          <cell r="G20340" t="str">
            <v>ASV17643</v>
          </cell>
          <cell r="H20340" t="str">
            <v>g__Lactobacillus</v>
          </cell>
          <cell r="I20340" t="str">
            <v>s__unclassified_g__Lactobacillus</v>
          </cell>
        </row>
        <row r="20341">
          <cell r="G20341" t="str">
            <v>ASV23722</v>
          </cell>
          <cell r="H20341" t="str">
            <v>g__unclassified_c__Clostridia</v>
          </cell>
          <cell r="I20341" t="str">
            <v>s__unclassified_c__Clostridia</v>
          </cell>
        </row>
        <row r="20342">
          <cell r="G20342" t="str">
            <v>ASV21534</v>
          </cell>
          <cell r="H20342" t="str">
            <v>g__Lactobacillus</v>
          </cell>
          <cell r="I20342" t="str">
            <v>s__unclassified_g__Lactobacillus</v>
          </cell>
        </row>
        <row r="20343">
          <cell r="G20343" t="str">
            <v>ASV8015</v>
          </cell>
          <cell r="H20343" t="str">
            <v>g__unclassified_f__Lachnospiraceae</v>
          </cell>
          <cell r="I20343" t="str">
            <v>s__unclassified_f__Lachnospiraceae</v>
          </cell>
        </row>
        <row r="20344">
          <cell r="G20344" t="str">
            <v>ASV21363</v>
          </cell>
          <cell r="H20344" t="str">
            <v>g__Streptococcus</v>
          </cell>
          <cell r="I20344" t="str">
            <v>s__unclassified_g__Streptococcus</v>
          </cell>
        </row>
        <row r="20345">
          <cell r="G20345" t="str">
            <v>ASV13555</v>
          </cell>
          <cell r="H20345" t="str">
            <v>g__Clostridium_sensu_stricto_1</v>
          </cell>
          <cell r="I20345" t="str">
            <v>s__unclassified_g__Clostridium_sensu_stricto_1</v>
          </cell>
        </row>
        <row r="20346">
          <cell r="G20346" t="str">
            <v>ASV14876</v>
          </cell>
          <cell r="H20346" t="str">
            <v>g__Phascolarctobacterium</v>
          </cell>
          <cell r="I20346" t="str">
            <v>s__uncultured_bacterium_g__Phascolarctobacterium</v>
          </cell>
        </row>
        <row r="20347">
          <cell r="G20347" t="str">
            <v>ASV22748</v>
          </cell>
          <cell r="H20347" t="str">
            <v>g__unclassified_c__Clostridia</v>
          </cell>
          <cell r="I20347" t="str">
            <v>s__unclassified_c__Clostridia</v>
          </cell>
        </row>
        <row r="20348">
          <cell r="G20348" t="str">
            <v>ASV23512</v>
          </cell>
          <cell r="H20348" t="str">
            <v>g__Escherichia-Shigella</v>
          </cell>
          <cell r="I20348" t="str">
            <v>s__unclassified_g__Escherichia-Shigella</v>
          </cell>
        </row>
        <row r="20349">
          <cell r="G20349" t="str">
            <v>ASV1168</v>
          </cell>
          <cell r="H20349" t="str">
            <v>g__norank_f__Peptococcaceae</v>
          </cell>
          <cell r="I20349" t="str">
            <v>s__unclassified_g__norank_f__Peptococcaceae</v>
          </cell>
        </row>
        <row r="20350">
          <cell r="G20350" t="str">
            <v>ASV6468</v>
          </cell>
          <cell r="H20350" t="str">
            <v>g__unclassified_p__Firmicutes</v>
          </cell>
          <cell r="I20350" t="str">
            <v>s__unclassified_p__Firmicutes</v>
          </cell>
        </row>
        <row r="20351">
          <cell r="G20351" t="str">
            <v>ASV10948</v>
          </cell>
          <cell r="H20351" t="str">
            <v>g__unclassified_p__Firmicutes</v>
          </cell>
          <cell r="I20351" t="str">
            <v>s__unclassified_p__Firmicutes</v>
          </cell>
        </row>
        <row r="20352">
          <cell r="G20352" t="str">
            <v>ASV19931</v>
          </cell>
          <cell r="H20352" t="str">
            <v>g__norank_f__Ruminococcaceae</v>
          </cell>
          <cell r="I20352" t="str">
            <v>s__uncultured_bacterium_g__norank_f__Ruminococcaceae</v>
          </cell>
        </row>
        <row r="20353">
          <cell r="G20353" t="str">
            <v>ASV23557</v>
          </cell>
          <cell r="H20353" t="str">
            <v>g__Lactobacillus</v>
          </cell>
          <cell r="I20353" t="str">
            <v>s__unclassified_g__Lactobacillus</v>
          </cell>
        </row>
        <row r="20354">
          <cell r="G20354" t="str">
            <v>ASV5392</v>
          </cell>
          <cell r="H20354" t="str">
            <v>g__unclassified_o__Oscillospirales</v>
          </cell>
          <cell r="I20354" t="str">
            <v>s__unclassified_o__Oscillospirales</v>
          </cell>
        </row>
        <row r="20355">
          <cell r="G20355" t="str">
            <v>ASV12195</v>
          </cell>
          <cell r="H20355" t="str">
            <v>g__unclassified_c__Clostridia</v>
          </cell>
          <cell r="I20355" t="str">
            <v>s__unclassified_c__Clostridia</v>
          </cell>
        </row>
        <row r="20356">
          <cell r="G20356" t="str">
            <v>ASV21107</v>
          </cell>
          <cell r="H20356" t="str">
            <v>g__unclassified_f__Lachnospiraceae</v>
          </cell>
          <cell r="I20356" t="str">
            <v>s__unclassified_f__Lachnospiraceae</v>
          </cell>
        </row>
        <row r="20357">
          <cell r="G20357" t="str">
            <v>ASV15600</v>
          </cell>
          <cell r="H20357" t="str">
            <v>g__unclassified_o__Bacteroidales</v>
          </cell>
          <cell r="I20357" t="str">
            <v>s__unclassified_o__Bacteroidales</v>
          </cell>
        </row>
        <row r="20358">
          <cell r="G20358" t="str">
            <v>ASV8149</v>
          </cell>
          <cell r="H20358" t="str">
            <v>g__norank_f__Eubacterium_coprostanoligenes_group</v>
          </cell>
          <cell r="I20358" t="str">
            <v>s__uncultured_bacterium_g__norank_f__Eubacterium_coprostanoligenes_group</v>
          </cell>
        </row>
        <row r="20359">
          <cell r="G20359" t="str">
            <v>ASV6894</v>
          </cell>
          <cell r="H20359" t="str">
            <v>g__unclassified_c__Gammaproteobacteria</v>
          </cell>
          <cell r="I20359" t="str">
            <v>s__unclassified_c__Gammaproteobacteria</v>
          </cell>
        </row>
        <row r="20360">
          <cell r="G20360" t="str">
            <v>ASV19003</v>
          </cell>
          <cell r="H20360" t="str">
            <v>g__unclassified_f__Pasteurellaceae</v>
          </cell>
          <cell r="I20360" t="str">
            <v>s__unclassified_f__Pasteurellaceae</v>
          </cell>
        </row>
        <row r="20361">
          <cell r="G20361" t="str">
            <v>ASV12114</v>
          </cell>
          <cell r="H20361" t="str">
            <v>g__unclassified_k__norank_d__Bacteria</v>
          </cell>
          <cell r="I20361" t="str">
            <v>s__unclassified_k__norank_d__Bacteria</v>
          </cell>
        </row>
        <row r="20362">
          <cell r="G20362" t="str">
            <v>ASV17062</v>
          </cell>
          <cell r="H20362" t="str">
            <v>g__unclassified_f__Clostridiaceae</v>
          </cell>
          <cell r="I20362" t="str">
            <v>s__unclassified_f__Clostridiaceae</v>
          </cell>
        </row>
        <row r="20363">
          <cell r="G20363" t="str">
            <v>ASV22766</v>
          </cell>
          <cell r="H20363" t="str">
            <v>g__Ruminococcus</v>
          </cell>
          <cell r="I20363" t="str">
            <v>s__unclassified_g__Ruminococcus</v>
          </cell>
        </row>
        <row r="20364">
          <cell r="G20364" t="str">
            <v>ASV1236</v>
          </cell>
          <cell r="H20364" t="str">
            <v>g__unclassified_f__Oscillospiraceae</v>
          </cell>
          <cell r="I20364" t="str">
            <v>s__unclassified_f__Oscillospiraceae</v>
          </cell>
        </row>
        <row r="20365">
          <cell r="G20365" t="str">
            <v>ASV14856</v>
          </cell>
          <cell r="H20365" t="str">
            <v>g__Escherichia-Shigella</v>
          </cell>
          <cell r="I20365" t="str">
            <v>s__unclassified_g__Escherichia-Shigella</v>
          </cell>
        </row>
        <row r="20366">
          <cell r="G20366" t="str">
            <v>ASV13053</v>
          </cell>
          <cell r="H20366" t="str">
            <v>g__norank_f__Bacteroidales_RF16_group</v>
          </cell>
          <cell r="I20366" t="str">
            <v>s__uncultured_bacterium_g__norank_f__Bacteroidales_RF16_group</v>
          </cell>
        </row>
        <row r="20367">
          <cell r="G20367" t="str">
            <v>ASV6273</v>
          </cell>
          <cell r="H20367" t="str">
            <v>g__unclassified_c__Clostridia</v>
          </cell>
          <cell r="I20367" t="str">
            <v>s__unclassified_c__Clostridia</v>
          </cell>
        </row>
        <row r="20368">
          <cell r="G20368" t="str">
            <v>ASV21017</v>
          </cell>
          <cell r="H20368" t="str">
            <v>g__unclassified_c__Clostridia</v>
          </cell>
          <cell r="I20368" t="str">
            <v>s__unclassified_c__Clostridia</v>
          </cell>
        </row>
        <row r="20369">
          <cell r="G20369" t="str">
            <v>ASV21076</v>
          </cell>
          <cell r="H20369" t="str">
            <v>g__unclassified_c__Clostridia</v>
          </cell>
          <cell r="I20369" t="str">
            <v>s__unclassified_c__Clostridia</v>
          </cell>
        </row>
        <row r="20370">
          <cell r="G20370" t="str">
            <v>ASV14868</v>
          </cell>
          <cell r="H20370" t="str">
            <v>g__unclassified_p__Firmicutes</v>
          </cell>
          <cell r="I20370" t="str">
            <v>s__unclassified_p__Firmicutes</v>
          </cell>
        </row>
        <row r="20371">
          <cell r="G20371" t="str">
            <v>ASV14791</v>
          </cell>
          <cell r="H20371" t="str">
            <v>g__norank_f__Ruminococcaceae</v>
          </cell>
          <cell r="I20371" t="str">
            <v>s__unclassified_g__norank_f__Ruminococcaceae</v>
          </cell>
        </row>
        <row r="20372">
          <cell r="G20372" t="str">
            <v>ASV8664</v>
          </cell>
          <cell r="H20372" t="str">
            <v>g__unclassified_k__norank_d__Bacteria</v>
          </cell>
          <cell r="I20372" t="str">
            <v>s__unclassified_k__norank_d__Bacteria</v>
          </cell>
        </row>
        <row r="20373">
          <cell r="G20373" t="str">
            <v>ASV10930</v>
          </cell>
          <cell r="H20373" t="str">
            <v>g__Lactobacillus</v>
          </cell>
          <cell r="I20373" t="str">
            <v>s__unclassified_g__Lactobacillus</v>
          </cell>
        </row>
        <row r="20374">
          <cell r="G20374" t="str">
            <v>ASV6971</v>
          </cell>
          <cell r="H20374" t="str">
            <v>g__unclassified_f__Lachnospiraceae</v>
          </cell>
          <cell r="I20374" t="str">
            <v>s__unclassified_f__Lachnospiraceae</v>
          </cell>
        </row>
        <row r="20375">
          <cell r="G20375" t="str">
            <v>ASV14572</v>
          </cell>
          <cell r="H20375" t="str">
            <v>g__unclassified_c__Clostridia</v>
          </cell>
          <cell r="I20375" t="str">
            <v>s__unclassified_c__Clostridia</v>
          </cell>
        </row>
        <row r="20376">
          <cell r="G20376" t="str">
            <v>ASV22797</v>
          </cell>
          <cell r="H20376" t="str">
            <v>g__unclassified_c__Clostridia</v>
          </cell>
          <cell r="I20376" t="str">
            <v>s__unclassified_c__Clostridia</v>
          </cell>
        </row>
        <row r="20377">
          <cell r="G20377" t="str">
            <v>ASV1246</v>
          </cell>
          <cell r="H20377" t="str">
            <v>g__unclassified_f__Peptostreptococcaceae</v>
          </cell>
          <cell r="I20377" t="str">
            <v>s__unclassified_f__Peptostreptococcaceae</v>
          </cell>
        </row>
        <row r="20378">
          <cell r="G20378" t="str">
            <v>ASV5145</v>
          </cell>
          <cell r="H20378" t="str">
            <v>g__Clostridium_sensu_stricto_1</v>
          </cell>
          <cell r="I20378" t="str">
            <v>s__unclassified_g__Clostridium_sensu_stricto_1</v>
          </cell>
        </row>
        <row r="20379">
          <cell r="G20379" t="str">
            <v>ASV1782</v>
          </cell>
          <cell r="H20379" t="str">
            <v>g__unclassified_f__Lachnospiraceae</v>
          </cell>
          <cell r="I20379" t="str">
            <v>s__unclassified_f__Lachnospiraceae</v>
          </cell>
        </row>
        <row r="20380">
          <cell r="G20380" t="str">
            <v>ASV13044</v>
          </cell>
          <cell r="H20380" t="str">
            <v>g__unclassified_o__Oscillospirales</v>
          </cell>
          <cell r="I20380" t="str">
            <v>s__unclassified_o__Oscillospirales</v>
          </cell>
        </row>
        <row r="20381">
          <cell r="G20381" t="str">
            <v>ASV10112</v>
          </cell>
          <cell r="H20381" t="str">
            <v>g__norank_f__Atopobiaceae</v>
          </cell>
          <cell r="I20381" t="str">
            <v>s__uncultured_bacterium_g__norank_f__Atopobiaceae</v>
          </cell>
        </row>
        <row r="20382">
          <cell r="G20382" t="str">
            <v>ASV19879</v>
          </cell>
          <cell r="H20382" t="str">
            <v>g__unclassified_f__Prevotellaceae</v>
          </cell>
          <cell r="I20382" t="str">
            <v>s__unclassified_f__Prevotellaceae</v>
          </cell>
        </row>
        <row r="20383">
          <cell r="G20383" t="str">
            <v>ASV17093</v>
          </cell>
          <cell r="H20383" t="str">
            <v>g__norank_f__Oscillospiraceae</v>
          </cell>
          <cell r="I20383" t="str">
            <v>s__unclassified_g__norank_f__Oscillospiraceae</v>
          </cell>
        </row>
        <row r="20384">
          <cell r="G20384" t="str">
            <v>ASV12184</v>
          </cell>
          <cell r="H20384" t="str">
            <v>g__Turicibacter</v>
          </cell>
          <cell r="I20384" t="str">
            <v>s__unclassified_g__Turicibacter</v>
          </cell>
        </row>
        <row r="20385">
          <cell r="G20385" t="str">
            <v>ASV1496</v>
          </cell>
          <cell r="H20385" t="str">
            <v>g__Candidatus_Soleaferrea</v>
          </cell>
          <cell r="I20385" t="str">
            <v>s__uncultured_bacterium_g__Candidatus_Soleaferrea</v>
          </cell>
        </row>
        <row r="20386">
          <cell r="G20386" t="str">
            <v>ASV1395</v>
          </cell>
          <cell r="H20386" t="str">
            <v>g__unclassified_c__Clostridia</v>
          </cell>
          <cell r="I20386" t="str">
            <v>s__unclassified_c__Clostridia</v>
          </cell>
        </row>
        <row r="20387">
          <cell r="G20387" t="str">
            <v>ASV18323</v>
          </cell>
          <cell r="H20387" t="str">
            <v>g__unclassified_c__Clostridia</v>
          </cell>
          <cell r="I20387" t="str">
            <v>s__unclassified_c__Clostridia</v>
          </cell>
        </row>
        <row r="20388">
          <cell r="G20388" t="str">
            <v>ASV12329</v>
          </cell>
          <cell r="H20388" t="str">
            <v>g__unclassified_f__Prevotellaceae</v>
          </cell>
          <cell r="I20388" t="str">
            <v>s__unclassified_f__Prevotellaceae</v>
          </cell>
        </row>
        <row r="20389">
          <cell r="G20389" t="str">
            <v>ASV12423</v>
          </cell>
          <cell r="H20389" t="str">
            <v>g__unclassified_o__Bacteroidales</v>
          </cell>
          <cell r="I20389" t="str">
            <v>s__unclassified_o__Bacteroidales</v>
          </cell>
        </row>
        <row r="20390">
          <cell r="G20390" t="str">
            <v>ASV5138</v>
          </cell>
          <cell r="H20390" t="str">
            <v>g__norank_f__norank_o__RF39</v>
          </cell>
          <cell r="I20390" t="str">
            <v>s__uncultured_bacterium_g__norank_f__norank_o__RF39</v>
          </cell>
        </row>
        <row r="20391">
          <cell r="G20391" t="str">
            <v>ASV15629</v>
          </cell>
          <cell r="H20391" t="str">
            <v>g__unclassified_c__Clostridia</v>
          </cell>
          <cell r="I20391" t="str">
            <v>s__unclassified_c__Clostridia</v>
          </cell>
        </row>
        <row r="20392">
          <cell r="G20392" t="str">
            <v>ASV21516</v>
          </cell>
          <cell r="H20392" t="str">
            <v>g__unclassified_c__Bacilli</v>
          </cell>
          <cell r="I20392" t="str">
            <v>s__unclassified_c__Bacilli</v>
          </cell>
        </row>
        <row r="20393">
          <cell r="G20393" t="str">
            <v>ASV13636</v>
          </cell>
          <cell r="H20393" t="str">
            <v>g__unclassified_f__Peptostreptococcaceae</v>
          </cell>
          <cell r="I20393" t="str">
            <v>s__unclassified_f__Peptostreptococcaceae</v>
          </cell>
        </row>
        <row r="20394">
          <cell r="G20394" t="str">
            <v>ASV18310</v>
          </cell>
          <cell r="H20394" t="str">
            <v>g__unclassified_f__Oxalobacteraceae</v>
          </cell>
          <cell r="I20394" t="str">
            <v>s__unclassified_f__Oxalobacteraceae</v>
          </cell>
        </row>
        <row r="20395">
          <cell r="G20395" t="str">
            <v>ASV23540</v>
          </cell>
          <cell r="H20395" t="str">
            <v>g__unclassified_f__Ruminococcaceae</v>
          </cell>
          <cell r="I20395" t="str">
            <v>s__unclassified_f__Ruminococcaceae</v>
          </cell>
        </row>
        <row r="20396">
          <cell r="G20396" t="str">
            <v>ASV13006</v>
          </cell>
          <cell r="H20396" t="str">
            <v>g__norank_f__norank_o__WCHB1-41</v>
          </cell>
          <cell r="I20396" t="str">
            <v>s__uncultured_bacterium_g__norank_f__norank_o__WCHB1-41</v>
          </cell>
        </row>
        <row r="20397">
          <cell r="G20397" t="str">
            <v>ASV8853</v>
          </cell>
          <cell r="H20397" t="str">
            <v>g__Flavobacterium</v>
          </cell>
          <cell r="I20397" t="str">
            <v>s__Flavobacterium_phocarum</v>
          </cell>
        </row>
        <row r="20398">
          <cell r="G20398" t="str">
            <v>ASV6297</v>
          </cell>
          <cell r="H20398" t="str">
            <v>g__UCG-004</v>
          </cell>
          <cell r="I20398" t="str">
            <v>s__uncultured_bacterium_g__UCG-004</v>
          </cell>
        </row>
        <row r="20399">
          <cell r="G20399" t="str">
            <v>ASV17629</v>
          </cell>
          <cell r="H20399" t="str">
            <v>g__Prevotella</v>
          </cell>
          <cell r="I20399" t="str">
            <v>s__Prevotella_sp._RS2</v>
          </cell>
        </row>
        <row r="20400">
          <cell r="G20400" t="str">
            <v>ASV12392</v>
          </cell>
          <cell r="H20400" t="str">
            <v>g__unclassified_c__Clostridia</v>
          </cell>
          <cell r="I20400" t="str">
            <v>s__unclassified_c__Clostridia</v>
          </cell>
        </row>
        <row r="20401">
          <cell r="G20401" t="str">
            <v>ASV8210</v>
          </cell>
          <cell r="H20401" t="str">
            <v>g__unclassified_c__Clostridia</v>
          </cell>
          <cell r="I20401" t="str">
            <v>s__unclassified_c__Clostridia</v>
          </cell>
        </row>
        <row r="20402">
          <cell r="G20402" t="str">
            <v>ASV24371</v>
          </cell>
          <cell r="H20402" t="str">
            <v>g__unclassified_p__Firmicutes</v>
          </cell>
          <cell r="I20402" t="str">
            <v>s__unclassified_p__Firmicutes</v>
          </cell>
        </row>
        <row r="20403">
          <cell r="G20403" t="str">
            <v>ASV24374</v>
          </cell>
          <cell r="H20403" t="str">
            <v>g__unclassified_o__Peptostreptococcales-Tissierellales</v>
          </cell>
          <cell r="I20403" t="str">
            <v>s__unclassified_o__Peptostreptococcales-Tissierellales</v>
          </cell>
        </row>
        <row r="20404">
          <cell r="G20404" t="str">
            <v>ASV23720</v>
          </cell>
          <cell r="H20404" t="str">
            <v>g__Treponema</v>
          </cell>
          <cell r="I20404" t="str">
            <v>s__gut_metagenome_g__Treponema</v>
          </cell>
        </row>
        <row r="20405">
          <cell r="G20405" t="str">
            <v>ASV20050</v>
          </cell>
          <cell r="H20405" t="str">
            <v>g__Enterococcus</v>
          </cell>
          <cell r="I20405" t="str">
            <v>s__unclassified_g__Enterococcus</v>
          </cell>
        </row>
        <row r="20406">
          <cell r="G20406" t="str">
            <v>ASV14820</v>
          </cell>
          <cell r="H20406" t="str">
            <v>g__Ruminococcus</v>
          </cell>
          <cell r="I20406" t="str">
            <v>s__unclassified_g__Ruminococcus</v>
          </cell>
        </row>
        <row r="20407">
          <cell r="G20407" t="str">
            <v>ASV1802</v>
          </cell>
          <cell r="H20407" t="str">
            <v>g__norank_f__Ruminococcaceae</v>
          </cell>
          <cell r="I20407" t="str">
            <v>s__unclassified_g__norank_f__Ruminococcaceae</v>
          </cell>
        </row>
        <row r="20408">
          <cell r="G20408" t="str">
            <v>ASV23492</v>
          </cell>
          <cell r="H20408" t="str">
            <v>g__Lachnospiraceae_UCG-004</v>
          </cell>
          <cell r="I20408" t="str">
            <v>s__uncultured_bacterium_g__Lachnospiraceae_UCG-004</v>
          </cell>
        </row>
        <row r="20409">
          <cell r="G20409" t="str">
            <v>ASV1371</v>
          </cell>
          <cell r="H20409" t="str">
            <v>g__unclassified_c__Clostridia</v>
          </cell>
          <cell r="I20409" t="str">
            <v>s__unclassified_c__Clostridia</v>
          </cell>
        </row>
        <row r="20410">
          <cell r="G20410" t="str">
            <v>ASV1749</v>
          </cell>
          <cell r="H20410" t="str">
            <v>g__Bradyrhizobium</v>
          </cell>
          <cell r="I20410" t="str">
            <v>s__unclassified_g__Bradyrhizobium</v>
          </cell>
        </row>
        <row r="20411">
          <cell r="G20411" t="str">
            <v>ASV24318</v>
          </cell>
          <cell r="H20411" t="str">
            <v>g__Streptococcus</v>
          </cell>
          <cell r="I20411" t="str">
            <v>s__Streptococcus_ferus_DSM_20646</v>
          </cell>
        </row>
        <row r="20412">
          <cell r="G20412" t="str">
            <v>ASV2556</v>
          </cell>
          <cell r="H20412" t="str">
            <v>g__Subdoligranulum</v>
          </cell>
          <cell r="I20412" t="str">
            <v>s__unclassified_g__Subdoligranulum</v>
          </cell>
        </row>
        <row r="20413">
          <cell r="G20413" t="str">
            <v>ASV21689</v>
          </cell>
          <cell r="H20413" t="str">
            <v>g__Desulfovibrio</v>
          </cell>
          <cell r="I20413" t="str">
            <v>s__Desulfovibrio_sp._enrichment_culture_clone_Jdgsrb034</v>
          </cell>
        </row>
        <row r="20414">
          <cell r="G20414" t="str">
            <v>ASV13105</v>
          </cell>
          <cell r="H20414" t="str">
            <v>g__unclassified_f__Lachnospiraceae</v>
          </cell>
          <cell r="I20414" t="str">
            <v>s__unclassified_f__Lachnospiraceae</v>
          </cell>
        </row>
        <row r="20415">
          <cell r="G20415" t="str">
            <v>ASV14849</v>
          </cell>
          <cell r="H20415" t="str">
            <v>g__Eubacterium_oxidoreducens_group</v>
          </cell>
          <cell r="I20415" t="str">
            <v>s__uncultured_bacterium_g__Eubacterium_oxidoreducens_group</v>
          </cell>
        </row>
        <row r="20416">
          <cell r="G20416" t="str">
            <v>ASV17006</v>
          </cell>
          <cell r="H20416" t="str">
            <v>g__unclassified_k__norank_d__Bacteria</v>
          </cell>
          <cell r="I20416" t="str">
            <v>s__unclassified_k__norank_d__Bacteria</v>
          </cell>
        </row>
        <row r="20417">
          <cell r="G20417" t="str">
            <v>ASV12410</v>
          </cell>
          <cell r="H20417" t="str">
            <v>g__unclassified_f__Lachnospiraceae</v>
          </cell>
          <cell r="I20417" t="str">
            <v>s__unclassified_f__Lachnospiraceae</v>
          </cell>
        </row>
        <row r="20418">
          <cell r="G20418" t="str">
            <v>ASV8146</v>
          </cell>
          <cell r="H20418" t="str">
            <v>g__unclassified_f__Clostridiaceae</v>
          </cell>
          <cell r="I20418" t="str">
            <v>s__unclassified_f__Clostridiaceae</v>
          </cell>
        </row>
        <row r="20419">
          <cell r="G20419" t="str">
            <v>ASV21055</v>
          </cell>
          <cell r="H20419" t="str">
            <v>g__unclassified_c__Clostridia</v>
          </cell>
          <cell r="I20419" t="str">
            <v>s__unclassified_c__Clostridia</v>
          </cell>
        </row>
        <row r="20420">
          <cell r="G20420" t="str">
            <v>ASV5337</v>
          </cell>
          <cell r="H20420" t="str">
            <v>g__unclassified_f__Lachnospiraceae</v>
          </cell>
          <cell r="I20420" t="str">
            <v>s__unclassified_f__Lachnospiraceae</v>
          </cell>
        </row>
        <row r="20421">
          <cell r="G20421" t="str">
            <v>ASV2532</v>
          </cell>
          <cell r="H20421" t="str">
            <v>g__unclassified_c__Bacilli</v>
          </cell>
          <cell r="I20421" t="str">
            <v>s__unclassified_c__Bacilli</v>
          </cell>
        </row>
        <row r="20422">
          <cell r="G20422" t="str">
            <v>ASV9650</v>
          </cell>
          <cell r="H20422" t="str">
            <v>g__unclassified_k__norank_d__Bacteria</v>
          </cell>
          <cell r="I20422" t="str">
            <v>s__unclassified_k__norank_d__Bacteria</v>
          </cell>
        </row>
        <row r="20423">
          <cell r="G20423" t="str">
            <v>ASV16187</v>
          </cell>
          <cell r="H20423" t="str">
            <v>g__unclassified_f__Eggerthellaceae</v>
          </cell>
          <cell r="I20423" t="str">
            <v>s__unclassified_f__Eggerthellaceae</v>
          </cell>
        </row>
        <row r="20424">
          <cell r="G20424" t="str">
            <v>ASV12088</v>
          </cell>
          <cell r="H20424" t="str">
            <v>g__unclassified_f__Rikenellaceae</v>
          </cell>
          <cell r="I20424" t="str">
            <v>s__unclassified_f__Rikenellaceae</v>
          </cell>
        </row>
        <row r="20425">
          <cell r="G20425" t="str">
            <v>ASV13108</v>
          </cell>
          <cell r="H20425" t="str">
            <v>g__norank_f__UCG-010</v>
          </cell>
          <cell r="I20425" t="str">
            <v>s__uncultured_bacterium_g__norank_f__UCG-010</v>
          </cell>
        </row>
        <row r="20426">
          <cell r="G20426" t="str">
            <v>ASV1425</v>
          </cell>
          <cell r="H20426" t="str">
            <v>g__unclassified_f__Oscillospiraceae</v>
          </cell>
          <cell r="I20426" t="str">
            <v>s__unclassified_f__Oscillospiraceae</v>
          </cell>
        </row>
        <row r="20427">
          <cell r="G20427" t="str">
            <v>ASV14866</v>
          </cell>
          <cell r="H20427" t="str">
            <v>g__unclassified_f__Lachnospiraceae</v>
          </cell>
          <cell r="I20427" t="str">
            <v>s__unclassified_f__Lachnospiraceae</v>
          </cell>
        </row>
        <row r="20428">
          <cell r="G20428" t="str">
            <v>ASV12479</v>
          </cell>
          <cell r="H20428" t="str">
            <v>g__unclassified_c__Clostridia</v>
          </cell>
          <cell r="I20428" t="str">
            <v>s__unclassified_c__Clostridia</v>
          </cell>
        </row>
        <row r="20429">
          <cell r="G20429" t="str">
            <v>ASV9750</v>
          </cell>
          <cell r="H20429" t="str">
            <v>g__unclassified_c__Clostridia</v>
          </cell>
          <cell r="I20429" t="str">
            <v>s__unclassified_c__Clostridia</v>
          </cell>
        </row>
        <row r="20430">
          <cell r="G20430" t="str">
            <v>ASV1422</v>
          </cell>
          <cell r="H20430" t="str">
            <v>g__unclassified_p__Firmicutes</v>
          </cell>
          <cell r="I20430" t="str">
            <v>s__unclassified_p__Firmicutes</v>
          </cell>
        </row>
        <row r="20431">
          <cell r="G20431" t="str">
            <v>ASV22636</v>
          </cell>
          <cell r="H20431" t="str">
            <v>g__unclassified_o__Oscillospirales</v>
          </cell>
          <cell r="I20431" t="str">
            <v>s__unclassified_o__Oscillospirales</v>
          </cell>
        </row>
        <row r="20432">
          <cell r="G20432" t="str">
            <v>ASV9631</v>
          </cell>
          <cell r="H20432" t="str">
            <v>g__Alistipes</v>
          </cell>
          <cell r="I20432" t="str">
            <v>s__unclassified_g__Alistipes</v>
          </cell>
        </row>
        <row r="20433">
          <cell r="G20433" t="str">
            <v>ASV22682</v>
          </cell>
          <cell r="H20433" t="str">
            <v>g__unclassified_f__Lachnospiraceae</v>
          </cell>
          <cell r="I20433" t="str">
            <v>s__unclassified_f__Lachnospiraceae</v>
          </cell>
        </row>
        <row r="20434">
          <cell r="G20434" t="str">
            <v>ASV13155</v>
          </cell>
          <cell r="H20434" t="str">
            <v>g__unclassified_f__Lachnospiraceae</v>
          </cell>
          <cell r="I20434" t="str">
            <v>s__unclassified_f__Lachnospiraceae</v>
          </cell>
        </row>
        <row r="20435">
          <cell r="G20435" t="str">
            <v>ASV9620</v>
          </cell>
          <cell r="H20435" t="str">
            <v>g__Bacteroides</v>
          </cell>
          <cell r="I20435" t="str">
            <v>s__unclassified_g__Bacteroides</v>
          </cell>
        </row>
        <row r="20436">
          <cell r="G20436" t="str">
            <v>ASV12436</v>
          </cell>
          <cell r="H20436" t="str">
            <v>g__unclassified_f__Lachnospiraceae</v>
          </cell>
          <cell r="I20436" t="str">
            <v>s__unclassified_f__Lachnospiraceae</v>
          </cell>
        </row>
        <row r="20437">
          <cell r="G20437" t="str">
            <v>ASV12093</v>
          </cell>
          <cell r="H20437" t="str">
            <v>g__unclassified_k__norank_d__Bacteria</v>
          </cell>
          <cell r="I20437" t="str">
            <v>s__unclassified_k__norank_d__Bacteria</v>
          </cell>
        </row>
        <row r="20438">
          <cell r="G20438" t="str">
            <v>ASV17243</v>
          </cell>
          <cell r="H20438" t="str">
            <v>g__unclassified_f__Peptostreptococcaceae</v>
          </cell>
          <cell r="I20438" t="str">
            <v>s__unclassified_f__Peptostreptococcaceae</v>
          </cell>
        </row>
        <row r="20439">
          <cell r="G20439" t="str">
            <v>ASV1364</v>
          </cell>
          <cell r="H20439" t="str">
            <v>g__unclassified_f__Lachnospiraceae</v>
          </cell>
          <cell r="I20439" t="str">
            <v>s__unclassified_f__Lachnospiraceae</v>
          </cell>
        </row>
        <row r="20440">
          <cell r="G20440" t="str">
            <v>ASV14680</v>
          </cell>
          <cell r="H20440" t="str">
            <v>g__Howardella</v>
          </cell>
          <cell r="I20440" t="str">
            <v>s__unclassified_g__Howardella</v>
          </cell>
        </row>
        <row r="20441">
          <cell r="G20441" t="str">
            <v>ASV7395</v>
          </cell>
          <cell r="H20441" t="str">
            <v>g__Veillonella</v>
          </cell>
          <cell r="I20441" t="str">
            <v>s__unclassified_g__Veillonella</v>
          </cell>
        </row>
        <row r="20442">
          <cell r="G20442" t="str">
            <v>ASV17107</v>
          </cell>
          <cell r="H20442" t="str">
            <v>g__Pygmaiobacter</v>
          </cell>
          <cell r="I20442" t="str">
            <v>s__uncultured_bacterium_g__Pygmaiobacter</v>
          </cell>
        </row>
        <row r="20443">
          <cell r="G20443" t="str">
            <v>ASV12153</v>
          </cell>
          <cell r="H20443" t="str">
            <v>g__Lactobacillus</v>
          </cell>
          <cell r="I20443" t="str">
            <v>s__unclassified_g__Lactobacillus</v>
          </cell>
        </row>
        <row r="20444">
          <cell r="G20444" t="str">
            <v>ASV13553</v>
          </cell>
          <cell r="H20444" t="str">
            <v>g__unclassified_c__Bacilli</v>
          </cell>
          <cell r="I20444" t="str">
            <v>s__unclassified_c__Bacilli</v>
          </cell>
        </row>
        <row r="20445">
          <cell r="G20445" t="str">
            <v>ASV12366</v>
          </cell>
          <cell r="H20445" t="str">
            <v>g__unclassified_c__Clostridia</v>
          </cell>
          <cell r="I20445" t="str">
            <v>s__unclassified_c__Clostridia</v>
          </cell>
        </row>
        <row r="20446">
          <cell r="G20446" t="str">
            <v>ASV12474</v>
          </cell>
          <cell r="H20446" t="str">
            <v>g__unclassified_f__Prevotellaceae</v>
          </cell>
          <cell r="I20446" t="str">
            <v>s__unclassified_f__Prevotellaceae</v>
          </cell>
        </row>
        <row r="20447">
          <cell r="G20447" t="str">
            <v>ASV13133</v>
          </cell>
          <cell r="H20447" t="str">
            <v>g__unclassified_f__Ruminococcaceae</v>
          </cell>
          <cell r="I20447" t="str">
            <v>s__unclassified_f__Ruminococcaceae</v>
          </cell>
        </row>
        <row r="20448">
          <cell r="G20448" t="str">
            <v>ASV8550</v>
          </cell>
          <cell r="H20448" t="str">
            <v>g__Prevotella</v>
          </cell>
          <cell r="I20448" t="str">
            <v>s__unclassified_g__Prevotella</v>
          </cell>
        </row>
        <row r="20449">
          <cell r="G20449" t="str">
            <v>ASV1776</v>
          </cell>
          <cell r="H20449" t="str">
            <v>g__Lactobacillus</v>
          </cell>
          <cell r="I20449" t="str">
            <v>s__unclassified_g__Lactobacillus</v>
          </cell>
        </row>
        <row r="20450">
          <cell r="G20450" t="str">
            <v>ASV20016</v>
          </cell>
          <cell r="H20450" t="str">
            <v>g__Ruminococcus</v>
          </cell>
          <cell r="I20450" t="str">
            <v>s__uncultured_bacterium_g__Ruminococcus</v>
          </cell>
        </row>
        <row r="20451">
          <cell r="G20451" t="str">
            <v>ASV19878</v>
          </cell>
          <cell r="H20451" t="str">
            <v>g__norank_f__Saccharimonadaceae</v>
          </cell>
          <cell r="I20451" t="str">
            <v>s__unclassified_g__norank_f__Saccharimonadaceae</v>
          </cell>
        </row>
        <row r="20452">
          <cell r="G20452" t="str">
            <v>ASV9823</v>
          </cell>
          <cell r="H20452" t="str">
            <v>g__unclassified_c__Clostridia</v>
          </cell>
          <cell r="I20452" t="str">
            <v>s__unclassified_c__Clostridia</v>
          </cell>
        </row>
        <row r="20453">
          <cell r="G20453" t="str">
            <v>ASV6950</v>
          </cell>
          <cell r="H20453" t="str">
            <v>g__unclassified_p__Firmicutes</v>
          </cell>
          <cell r="I20453" t="str">
            <v>s__unclassified_p__Firmicutes</v>
          </cell>
        </row>
        <row r="20454">
          <cell r="G20454" t="str">
            <v>ASV8577</v>
          </cell>
          <cell r="H20454" t="str">
            <v>g__unclassified_p__Firmicutes</v>
          </cell>
          <cell r="I20454" t="str">
            <v>s__unclassified_p__Firmicutes</v>
          </cell>
        </row>
        <row r="20455">
          <cell r="G20455" t="str">
            <v>ASV5274</v>
          </cell>
          <cell r="H20455" t="str">
            <v>g__unclassified_c__Bacteroidia</v>
          </cell>
          <cell r="I20455" t="str">
            <v>s__unclassified_c__Bacteroidia</v>
          </cell>
        </row>
        <row r="20456">
          <cell r="G20456" t="str">
            <v>ASV8307</v>
          </cell>
          <cell r="H20456" t="str">
            <v>g__Peptostreptococcus</v>
          </cell>
          <cell r="I20456" t="str">
            <v>s__unclassified_g__Peptostreptococcus</v>
          </cell>
        </row>
        <row r="20457">
          <cell r="G20457" t="str">
            <v>ASV19114</v>
          </cell>
          <cell r="H20457" t="str">
            <v>g__unclassified_c__Clostridia</v>
          </cell>
          <cell r="I20457" t="str">
            <v>s__unclassified_c__Clostridia</v>
          </cell>
        </row>
        <row r="20458">
          <cell r="G20458" t="str">
            <v>ASV2531</v>
          </cell>
          <cell r="H20458" t="str">
            <v>g__unclassified_c__Bacilli</v>
          </cell>
          <cell r="I20458" t="str">
            <v>s__unclassified_c__Bacilli</v>
          </cell>
        </row>
        <row r="20459">
          <cell r="G20459" t="str">
            <v>ASV9836</v>
          </cell>
          <cell r="H20459" t="str">
            <v>g__unclassified_f__Oscillospiraceae</v>
          </cell>
          <cell r="I20459" t="str">
            <v>s__unclassified_f__Oscillospiraceae</v>
          </cell>
        </row>
        <row r="20460">
          <cell r="G20460" t="str">
            <v>ASV22813</v>
          </cell>
          <cell r="H20460" t="str">
            <v>g__unclassified_f__Lachnospiraceae</v>
          </cell>
          <cell r="I20460" t="str">
            <v>s__unclassified_f__Lachnospiraceae</v>
          </cell>
        </row>
        <row r="20461">
          <cell r="G20461" t="str">
            <v>ASV13641</v>
          </cell>
          <cell r="H20461" t="str">
            <v>g__Turicibacter</v>
          </cell>
          <cell r="I20461" t="str">
            <v>s__uncultured_bacterium_g__Turicibacter</v>
          </cell>
        </row>
        <row r="20462">
          <cell r="G20462" t="str">
            <v>ASV20018</v>
          </cell>
          <cell r="H20462" t="str">
            <v>g__Lactobacillus</v>
          </cell>
          <cell r="I20462" t="str">
            <v>s__unclassified_g__Lactobacillus</v>
          </cell>
        </row>
        <row r="20463">
          <cell r="G20463" t="str">
            <v>ASV6217</v>
          </cell>
          <cell r="H20463" t="str">
            <v>g__unclassified_p__Firmicutes</v>
          </cell>
          <cell r="I20463" t="str">
            <v>s__unclassified_p__Firmicutes</v>
          </cell>
        </row>
        <row r="20464">
          <cell r="G20464" t="str">
            <v>ASV13201</v>
          </cell>
          <cell r="H20464" t="str">
            <v>g__unclassified_f__Oscillospiraceae</v>
          </cell>
          <cell r="I20464" t="str">
            <v>s__unclassified_f__Oscillospiraceae</v>
          </cell>
        </row>
        <row r="20465">
          <cell r="G20465" t="str">
            <v>ASV20095</v>
          </cell>
          <cell r="H20465" t="str">
            <v>g__Bacteroides</v>
          </cell>
          <cell r="I20465" t="str">
            <v>s__unclassified_g__Bacteroides</v>
          </cell>
        </row>
        <row r="20466">
          <cell r="G20466" t="str">
            <v>ASV6857</v>
          </cell>
          <cell r="H20466" t="str">
            <v>g__unclassified_f__Lachnospiraceae</v>
          </cell>
          <cell r="I20466" t="str">
            <v>s__unclassified_f__Lachnospiraceae</v>
          </cell>
        </row>
        <row r="20467">
          <cell r="G20467" t="str">
            <v>ASV22646</v>
          </cell>
          <cell r="H20467" t="str">
            <v>g__norank_f__UCG-010</v>
          </cell>
          <cell r="I20467" t="str">
            <v>s__unclassified_g__norank_f__UCG-010</v>
          </cell>
        </row>
        <row r="20468">
          <cell r="G20468" t="str">
            <v>ASV5232</v>
          </cell>
          <cell r="H20468" t="str">
            <v>g__unclassified_c__Clostridia</v>
          </cell>
          <cell r="I20468" t="str">
            <v>s__unclassified_c__Clostridia</v>
          </cell>
        </row>
        <row r="20469">
          <cell r="G20469" t="str">
            <v>ASV14839</v>
          </cell>
          <cell r="H20469" t="str">
            <v>g__Colidextribacter</v>
          </cell>
          <cell r="I20469" t="str">
            <v>s__uncultured_Clostridia_bacterium_g__Colidextribacter</v>
          </cell>
        </row>
        <row r="20470">
          <cell r="G20470" t="str">
            <v>ASV23780</v>
          </cell>
          <cell r="H20470" t="str">
            <v>g__Alloprevotella</v>
          </cell>
          <cell r="I20470" t="str">
            <v>s__Prevotella_sp._canine_oral_taxon_372</v>
          </cell>
        </row>
        <row r="20471">
          <cell r="G20471" t="str">
            <v>ASV20013</v>
          </cell>
          <cell r="H20471" t="str">
            <v>g__unclassified_f__Lachnospiraceae</v>
          </cell>
          <cell r="I20471" t="str">
            <v>s__unclassified_f__Lachnospiraceae</v>
          </cell>
        </row>
        <row r="20472">
          <cell r="G20472" t="str">
            <v>ASV15725</v>
          </cell>
          <cell r="H20472" t="str">
            <v>g__norank_f__Eubacterium_coprostanoligenes_group</v>
          </cell>
          <cell r="I20472" t="str">
            <v>s__uncultured_bacterium_g__norank_f__Eubacterium_coprostanoligenes_group</v>
          </cell>
        </row>
        <row r="20473">
          <cell r="G20473" t="str">
            <v>ASV10910</v>
          </cell>
          <cell r="H20473" t="str">
            <v>g__unclassified_c__Bacilli</v>
          </cell>
          <cell r="I20473" t="str">
            <v>s__unclassified_c__Bacilli</v>
          </cell>
        </row>
        <row r="20474">
          <cell r="G20474" t="str">
            <v>ASV24005</v>
          </cell>
          <cell r="H20474" t="str">
            <v>g__unclassified_k__norank_d__Bacteria</v>
          </cell>
          <cell r="I20474" t="str">
            <v>s__unclassified_k__norank_d__Bacteria</v>
          </cell>
        </row>
        <row r="20475">
          <cell r="G20475" t="str">
            <v>ASV21078</v>
          </cell>
          <cell r="H20475" t="str">
            <v>g__Ruminococcus</v>
          </cell>
          <cell r="I20475" t="str">
            <v>s__unclassified_g__Ruminococcus</v>
          </cell>
        </row>
        <row r="20476">
          <cell r="G20476" t="str">
            <v>ASV17054</v>
          </cell>
          <cell r="H20476" t="str">
            <v>g__unclassified_c__Clostridia</v>
          </cell>
          <cell r="I20476" t="str">
            <v>s__unclassified_c__Clostridia</v>
          </cell>
        </row>
        <row r="20477">
          <cell r="G20477" t="str">
            <v>ASV9619</v>
          </cell>
          <cell r="H20477" t="str">
            <v>g__unclassified_o__Oscillospirales</v>
          </cell>
          <cell r="I20477" t="str">
            <v>s__unclassified_o__Oscillospirales</v>
          </cell>
        </row>
        <row r="20478">
          <cell r="G20478" t="str">
            <v>ASV12267</v>
          </cell>
          <cell r="H20478" t="str">
            <v>g__unclassified_f__Lachnospiraceae</v>
          </cell>
          <cell r="I20478" t="str">
            <v>s__unclassified_f__Lachnospiraceae</v>
          </cell>
        </row>
        <row r="20479">
          <cell r="G20479" t="str">
            <v>ASV1381</v>
          </cell>
          <cell r="H20479" t="str">
            <v>g__Lactobacillus</v>
          </cell>
          <cell r="I20479" t="str">
            <v>s__unclassified_g__Lactobacillus</v>
          </cell>
        </row>
        <row r="20480">
          <cell r="G20480" t="str">
            <v>ASV1348</v>
          </cell>
          <cell r="H20480" t="str">
            <v>g__norank_f__Muribaculaceae</v>
          </cell>
          <cell r="I20480" t="str">
            <v>s__uncultured_bacterium_g__norank_f__Muribaculaceae</v>
          </cell>
        </row>
        <row r="20481">
          <cell r="G20481" t="str">
            <v>ASV17072</v>
          </cell>
          <cell r="H20481" t="str">
            <v>g__Lactobacillus</v>
          </cell>
          <cell r="I20481" t="str">
            <v>s__unclassified_g__Lactobacillus</v>
          </cell>
        </row>
        <row r="20482">
          <cell r="G20482" t="str">
            <v>ASV17579</v>
          </cell>
          <cell r="H20482" t="str">
            <v>g__Luteimonas</v>
          </cell>
          <cell r="I20482" t="str">
            <v>s__Xanthomonas_sp._NBRC_14591</v>
          </cell>
        </row>
        <row r="20483">
          <cell r="G20483" t="str">
            <v>ASV12369</v>
          </cell>
          <cell r="H20483" t="str">
            <v>g__Eubacterium_oxidoreducens_group</v>
          </cell>
          <cell r="I20483" t="str">
            <v>s__uncultured_bacterium_g__Eubacterium_oxidoreducens_group</v>
          </cell>
        </row>
        <row r="20484">
          <cell r="G20484" t="str">
            <v>ASV12337</v>
          </cell>
          <cell r="H20484" t="str">
            <v>g__unclassified_c__Clostridia</v>
          </cell>
          <cell r="I20484" t="str">
            <v>s__unclassified_c__Clostridia</v>
          </cell>
        </row>
        <row r="20485">
          <cell r="G20485" t="str">
            <v>ASV12274</v>
          </cell>
          <cell r="H20485" t="str">
            <v>g__unclassified_c__Clostridia</v>
          </cell>
          <cell r="I20485" t="str">
            <v>s__unclassified_c__Clostridia</v>
          </cell>
        </row>
        <row r="20486">
          <cell r="G20486" t="str">
            <v>ASV6397</v>
          </cell>
          <cell r="H20486" t="str">
            <v>g__unclassified_f__Oscillospiraceae</v>
          </cell>
          <cell r="I20486" t="str">
            <v>s__unclassified_f__Oscillospiraceae</v>
          </cell>
        </row>
        <row r="20487">
          <cell r="G20487" t="str">
            <v>ASV10922</v>
          </cell>
          <cell r="H20487" t="str">
            <v>g__Rikenellaceae_RC9_gut_group</v>
          </cell>
          <cell r="I20487" t="str">
            <v>s__uncultured_bacterium_g__Rikenellaceae_RC9_gut_group</v>
          </cell>
        </row>
        <row r="20488">
          <cell r="G20488" t="str">
            <v>ASV16110</v>
          </cell>
          <cell r="H20488" t="str">
            <v>g__Subdoligranulum</v>
          </cell>
          <cell r="I20488" t="str">
            <v>s__uncultured_bacterium_g__Subdoligranulum</v>
          </cell>
        </row>
        <row r="20489">
          <cell r="G20489" t="str">
            <v>ASV6476</v>
          </cell>
          <cell r="H20489" t="str">
            <v>g__unclassified_c__Clostridia</v>
          </cell>
          <cell r="I20489" t="str">
            <v>s__unclassified_c__Clostridia</v>
          </cell>
        </row>
        <row r="20490">
          <cell r="G20490" t="str">
            <v>ASV17083</v>
          </cell>
          <cell r="H20490" t="str">
            <v>g__Prevotella</v>
          </cell>
          <cell r="I20490" t="str">
            <v>s__unclassified_g__Prevotella</v>
          </cell>
        </row>
        <row r="20491">
          <cell r="G20491" t="str">
            <v>ASV17535</v>
          </cell>
          <cell r="H20491" t="str">
            <v>g__Paraeggerthella</v>
          </cell>
          <cell r="I20491" t="str">
            <v>s__unclassified_g__Paraeggerthella</v>
          </cell>
        </row>
        <row r="20492">
          <cell r="G20492" t="str">
            <v>ASV20183</v>
          </cell>
          <cell r="H20492" t="str">
            <v>g__norank_f__Muribaculaceae</v>
          </cell>
          <cell r="I20492" t="str">
            <v>s__uncultured_bacterium_g__norank_f__Muribaculaceae</v>
          </cell>
        </row>
        <row r="20493">
          <cell r="G20493" t="str">
            <v>ASV19109</v>
          </cell>
          <cell r="H20493" t="str">
            <v>g__unclassified_k__norank_d__Bacteria</v>
          </cell>
          <cell r="I20493" t="str">
            <v>s__unclassified_k__norank_d__Bacteria</v>
          </cell>
        </row>
        <row r="20494">
          <cell r="G20494" t="str">
            <v>ASV6383</v>
          </cell>
          <cell r="H20494" t="str">
            <v>g__unclassified_c__Clostridia</v>
          </cell>
          <cell r="I20494" t="str">
            <v>s__unclassified_c__Clostridia</v>
          </cell>
        </row>
        <row r="20495">
          <cell r="G20495" t="str">
            <v>ASV8028</v>
          </cell>
          <cell r="H20495" t="str">
            <v>g__norank_f__Ruminococcaceae</v>
          </cell>
          <cell r="I20495" t="str">
            <v>s__unclassified_g__norank_f__Ruminococcaceae</v>
          </cell>
        </row>
        <row r="20496">
          <cell r="G20496" t="str">
            <v>ASV18415</v>
          </cell>
          <cell r="H20496" t="str">
            <v>g__unclassified_c__Clostridia</v>
          </cell>
          <cell r="I20496" t="str">
            <v>s__unclassified_c__Clostridia</v>
          </cell>
        </row>
        <row r="20497">
          <cell r="G20497" t="str">
            <v>ASV23521</v>
          </cell>
          <cell r="H20497" t="str">
            <v>g__unclassified_c__Clostridia</v>
          </cell>
          <cell r="I20497" t="str">
            <v>s__unclassified_c__Clostridia</v>
          </cell>
        </row>
        <row r="20498">
          <cell r="G20498" t="str">
            <v>ASV8680</v>
          </cell>
          <cell r="H20498" t="str">
            <v>g__Anaerococcus</v>
          </cell>
          <cell r="I20498" t="str">
            <v>s__unclassified_g__Anaerococcus</v>
          </cell>
        </row>
        <row r="20499">
          <cell r="G20499" t="str">
            <v>ASV12414</v>
          </cell>
          <cell r="H20499" t="str">
            <v>g__unclassified_f__Prevotellaceae</v>
          </cell>
          <cell r="I20499" t="str">
            <v>s__unclassified_f__Prevotellaceae</v>
          </cell>
        </row>
        <row r="20500">
          <cell r="G20500" t="str">
            <v>ASV16629</v>
          </cell>
          <cell r="H20500" t="str">
            <v>g__Treponema</v>
          </cell>
          <cell r="I20500" t="str">
            <v>s__uncultured_bacterium_g__Treponema</v>
          </cell>
        </row>
        <row r="20501">
          <cell r="G20501" t="str">
            <v>ASV2489</v>
          </cell>
          <cell r="H20501" t="str">
            <v>g__Sharpea</v>
          </cell>
          <cell r="I20501" t="str">
            <v>s__unclassified_g__Sharpea</v>
          </cell>
        </row>
        <row r="20502">
          <cell r="G20502" t="str">
            <v>ASV9626</v>
          </cell>
          <cell r="H20502" t="str">
            <v>g__Bacteroides</v>
          </cell>
          <cell r="I20502" t="str">
            <v>s__unclassified_g__Bacteroides</v>
          </cell>
        </row>
        <row r="20503">
          <cell r="G20503" t="str">
            <v>ASV10120</v>
          </cell>
          <cell r="H20503" t="str">
            <v>g__unclassified_p__Firmicutes</v>
          </cell>
          <cell r="I20503" t="str">
            <v>s__unclassified_p__Firmicutes</v>
          </cell>
        </row>
        <row r="20504">
          <cell r="G20504" t="str">
            <v>ASV9780</v>
          </cell>
          <cell r="H20504" t="str">
            <v>g__unclassified_f__Oscillospiraceae</v>
          </cell>
          <cell r="I20504" t="str">
            <v>s__unclassified_f__Oscillospiraceae</v>
          </cell>
        </row>
        <row r="20505">
          <cell r="G20505" t="str">
            <v>ASV2521</v>
          </cell>
          <cell r="H20505" t="str">
            <v>g__unclassified_f__Lachnospiraceae</v>
          </cell>
          <cell r="I20505" t="str">
            <v>s__unclassified_f__Lachnospiraceae</v>
          </cell>
        </row>
        <row r="20506">
          <cell r="G20506" t="str">
            <v>ASV9754</v>
          </cell>
          <cell r="H20506" t="str">
            <v>g__unclassified_f__Selenomonadaceae</v>
          </cell>
          <cell r="I20506" t="str">
            <v>s__unclassified_f__Selenomonadaceae</v>
          </cell>
        </row>
        <row r="20507">
          <cell r="G20507" t="str">
            <v>ASV22689</v>
          </cell>
          <cell r="H20507" t="str">
            <v>g__unclassified_f__Lachnospiraceae</v>
          </cell>
          <cell r="I20507" t="str">
            <v>s__unclassified_f__Lachnospiraceae</v>
          </cell>
        </row>
        <row r="20508">
          <cell r="G20508" t="str">
            <v>ASV16621</v>
          </cell>
          <cell r="H20508" t="str">
            <v>g__UCG-005</v>
          </cell>
          <cell r="I20508" t="str">
            <v>s__unclassified_g__UCG-005</v>
          </cell>
        </row>
        <row r="20509">
          <cell r="G20509" t="str">
            <v>ASV16128</v>
          </cell>
          <cell r="H20509" t="str">
            <v>g__Fusobacterium</v>
          </cell>
          <cell r="I20509" t="str">
            <v>s__unclassified_g__Fusobacterium</v>
          </cell>
        </row>
        <row r="20510">
          <cell r="G20510" t="str">
            <v>ASV14575</v>
          </cell>
          <cell r="H20510" t="str">
            <v>g__unclassified_k__norank_d__Bacteria</v>
          </cell>
          <cell r="I20510" t="str">
            <v>s__unclassified_k__norank_d__Bacteria</v>
          </cell>
        </row>
        <row r="20511">
          <cell r="G20511" t="str">
            <v>ASV5308</v>
          </cell>
          <cell r="H20511" t="str">
            <v>g__unclassified_c__Clostridia</v>
          </cell>
          <cell r="I20511" t="str">
            <v>s__unclassified_c__Clostridia</v>
          </cell>
        </row>
        <row r="20512">
          <cell r="G20512" t="str">
            <v>ASV19016</v>
          </cell>
          <cell r="H20512" t="str">
            <v>g__Fusobacterium</v>
          </cell>
          <cell r="I20512" t="str">
            <v>s__unclassified_g__Fusobacterium</v>
          </cell>
        </row>
        <row r="20513">
          <cell r="G20513" t="str">
            <v>ASV1370</v>
          </cell>
          <cell r="H20513" t="str">
            <v>g__UCG-002</v>
          </cell>
          <cell r="I20513" t="str">
            <v>s__unclassified_g__UCG-002</v>
          </cell>
        </row>
        <row r="20514">
          <cell r="G20514" t="str">
            <v>ASV8084</v>
          </cell>
          <cell r="H20514" t="str">
            <v>g__Christensenellaceae_R-7_group</v>
          </cell>
          <cell r="I20514" t="str">
            <v>s__unclassified_g__Christensenellaceae_R-7_group</v>
          </cell>
        </row>
        <row r="20515">
          <cell r="G20515" t="str">
            <v>ASV6982</v>
          </cell>
          <cell r="H20515" t="str">
            <v>g__unclassified_c__Clostridia</v>
          </cell>
          <cell r="I20515" t="str">
            <v>s__unclassified_c__Clostridia</v>
          </cell>
        </row>
        <row r="20516">
          <cell r="G20516" t="str">
            <v>ASV18272</v>
          </cell>
          <cell r="H20516" t="str">
            <v>g__unclassified_k__norank_d__Bacteria</v>
          </cell>
          <cell r="I20516" t="str">
            <v>s__unclassified_k__norank_d__Bacteria</v>
          </cell>
        </row>
        <row r="20517">
          <cell r="G20517" t="str">
            <v>ASV6257</v>
          </cell>
          <cell r="H20517" t="str">
            <v>g__Clostridium_sensu_stricto_1</v>
          </cell>
          <cell r="I20517" t="str">
            <v>s__uncultured_bacterium_g__Clostridium_sensu_stricto_1</v>
          </cell>
        </row>
        <row r="20518">
          <cell r="G20518" t="str">
            <v>ASV9683</v>
          </cell>
          <cell r="H20518" t="str">
            <v>g__unclassified_f__Lachnospiraceae</v>
          </cell>
          <cell r="I20518" t="str">
            <v>s__unclassified_f__Lachnospiraceae</v>
          </cell>
        </row>
        <row r="20519">
          <cell r="G20519" t="str">
            <v>ASV10341</v>
          </cell>
          <cell r="H20519" t="str">
            <v>g__Lactobacillus</v>
          </cell>
          <cell r="I20519" t="str">
            <v>s__unclassified_g__Lactobacillus</v>
          </cell>
        </row>
        <row r="20520">
          <cell r="G20520" t="str">
            <v>ASV1116</v>
          </cell>
          <cell r="H20520" t="str">
            <v>g__unclassified_p__Firmicutes</v>
          </cell>
          <cell r="I20520" t="str">
            <v>s__unclassified_p__Firmicutes</v>
          </cell>
        </row>
        <row r="20521">
          <cell r="G20521" t="str">
            <v>ASV9073</v>
          </cell>
          <cell r="H20521" t="str">
            <v>g__Peptococcus</v>
          </cell>
          <cell r="I20521" t="str">
            <v>s__unclassified_g__Peptococcus</v>
          </cell>
        </row>
        <row r="20522">
          <cell r="G20522" t="str">
            <v>ASV7105</v>
          </cell>
          <cell r="H20522" t="str">
            <v>g__Fusobacterium</v>
          </cell>
          <cell r="I20522" t="str">
            <v>s__unclassified_g__Fusobacterium</v>
          </cell>
        </row>
        <row r="20523">
          <cell r="G20523" t="str">
            <v>ASV18397</v>
          </cell>
          <cell r="H20523" t="str">
            <v>g__Christensenellaceae_R-7_group</v>
          </cell>
          <cell r="I20523" t="str">
            <v>s__unclassified_g__Christensenellaceae_R-7_group</v>
          </cell>
        </row>
        <row r="20524">
          <cell r="G20524" t="str">
            <v>ASV2552</v>
          </cell>
          <cell r="H20524" t="str">
            <v>g__Clostridium_sensu_stricto_1</v>
          </cell>
          <cell r="I20524" t="str">
            <v>s__unclassified_g__Clostridium_sensu_stricto_1</v>
          </cell>
        </row>
        <row r="20525">
          <cell r="G20525" t="str">
            <v>ASV1241</v>
          </cell>
          <cell r="H20525" t="str">
            <v>g__Lactobacillus</v>
          </cell>
          <cell r="I20525" t="str">
            <v>s__unclassified_g__Lactobacillus</v>
          </cell>
        </row>
        <row r="20526">
          <cell r="G20526" t="str">
            <v>ASV12041</v>
          </cell>
          <cell r="H20526" t="str">
            <v>g__Alloprevotella</v>
          </cell>
          <cell r="I20526" t="str">
            <v>s__uncultured_bacterium_g__Alloprevotella</v>
          </cell>
        </row>
        <row r="20527">
          <cell r="G20527" t="str">
            <v>ASV6166</v>
          </cell>
          <cell r="H20527" t="str">
            <v>g__Eubacterium</v>
          </cell>
          <cell r="I20527" t="str">
            <v>s__unclassified_g__Eubacterium</v>
          </cell>
        </row>
        <row r="20528">
          <cell r="G20528" t="str">
            <v>ASV8570</v>
          </cell>
          <cell r="H20528" t="str">
            <v>g__Lactobacillus</v>
          </cell>
          <cell r="I20528" t="str">
            <v>s__unclassified_g__Lactobacillus</v>
          </cell>
        </row>
        <row r="20529">
          <cell r="G20529" t="str">
            <v>ASV3294</v>
          </cell>
          <cell r="H20529" t="str">
            <v>g__Megasphaera</v>
          </cell>
          <cell r="I20529" t="str">
            <v>s__unclassified_g__Megasphaera</v>
          </cell>
        </row>
        <row r="20530">
          <cell r="G20530" t="str">
            <v>ASV4310</v>
          </cell>
          <cell r="H20530" t="str">
            <v>g__unclassified_c__Clostridia</v>
          </cell>
          <cell r="I20530" t="str">
            <v>s__unclassified_c__Clostridia</v>
          </cell>
        </row>
        <row r="20531">
          <cell r="G20531" t="str">
            <v>ASV1258</v>
          </cell>
          <cell r="H20531" t="str">
            <v>g__unclassified_f__Muribaculaceae</v>
          </cell>
          <cell r="I20531" t="str">
            <v>s__unclassified_f__Muribaculaceae</v>
          </cell>
        </row>
        <row r="20532">
          <cell r="G20532" t="str">
            <v>ASV5213</v>
          </cell>
          <cell r="H20532" t="str">
            <v>g__unclassified_c__Clostridia</v>
          </cell>
          <cell r="I20532" t="str">
            <v>s__unclassified_c__Clostridia</v>
          </cell>
        </row>
        <row r="20533">
          <cell r="G20533" t="str">
            <v>ASV24340</v>
          </cell>
          <cell r="H20533" t="str">
            <v>g__unclassified_f__Peptostreptococcaceae</v>
          </cell>
          <cell r="I20533" t="str">
            <v>s__unclassified_f__Peptostreptococcaceae</v>
          </cell>
        </row>
        <row r="20534">
          <cell r="G20534" t="str">
            <v>ASV6944</v>
          </cell>
          <cell r="H20534" t="str">
            <v>g__Escherichia-Shigella</v>
          </cell>
          <cell r="I20534" t="str">
            <v>s__unclassified_g__Escherichia-Shigella</v>
          </cell>
        </row>
        <row r="20535">
          <cell r="G20535" t="str">
            <v>ASV24003</v>
          </cell>
          <cell r="H20535" t="str">
            <v>g__unclassified_o__Bacteroidales</v>
          </cell>
          <cell r="I20535" t="str">
            <v>s__unclassified_o__Bacteroidales</v>
          </cell>
        </row>
        <row r="20536">
          <cell r="G20536" t="str">
            <v>ASV10900</v>
          </cell>
          <cell r="H20536" t="str">
            <v>g__unclassified_f__Lachnospiraceae</v>
          </cell>
          <cell r="I20536" t="str">
            <v>s__unclassified_f__Lachnospiraceae</v>
          </cell>
        </row>
        <row r="20537">
          <cell r="G20537" t="str">
            <v>ASV22863</v>
          </cell>
          <cell r="H20537" t="str">
            <v>g__unclassified_c__Clostridia</v>
          </cell>
          <cell r="I20537" t="str">
            <v>s__unclassified_c__Clostridia</v>
          </cell>
        </row>
        <row r="20538">
          <cell r="G20538" t="str">
            <v>ASV18255</v>
          </cell>
          <cell r="H20538" t="str">
            <v>g__unclassified_f__Peptostreptococcaceae</v>
          </cell>
          <cell r="I20538" t="str">
            <v>s__unclassified_f__Peptostreptococcaceae</v>
          </cell>
        </row>
        <row r="20539">
          <cell r="G20539" t="str">
            <v>ASV20117</v>
          </cell>
          <cell r="H20539" t="str">
            <v>g__unclassified_c__Clostridia</v>
          </cell>
          <cell r="I20539" t="str">
            <v>s__unclassified_c__Clostridia</v>
          </cell>
        </row>
        <row r="20540">
          <cell r="G20540" t="str">
            <v>ASV21057</v>
          </cell>
          <cell r="H20540" t="str">
            <v>g__Ruminococcus</v>
          </cell>
          <cell r="I20540" t="str">
            <v>s__unclassified_g__Ruminococcus</v>
          </cell>
        </row>
        <row r="20541">
          <cell r="G20541" t="str">
            <v>ASV10111</v>
          </cell>
          <cell r="H20541" t="str">
            <v>g__unclassified_p__Firmicutes</v>
          </cell>
          <cell r="I20541" t="str">
            <v>s__unclassified_p__Firmicutes</v>
          </cell>
        </row>
        <row r="20542">
          <cell r="G20542" t="str">
            <v>ASV5195</v>
          </cell>
          <cell r="H20542" t="str">
            <v>g__norank_f__Erysipelotrichaceae</v>
          </cell>
          <cell r="I20542" t="str">
            <v>s__uncultured_bacterium_g__norank_f__Erysipelotrichaceae</v>
          </cell>
        </row>
        <row r="20543">
          <cell r="G20543" t="str">
            <v>ASV18668</v>
          </cell>
          <cell r="H20543" t="str">
            <v>g__Streptococcus</v>
          </cell>
          <cell r="I20543" t="str">
            <v>s__unclassified_g__Streptococcus</v>
          </cell>
        </row>
        <row r="20544">
          <cell r="G20544" t="str">
            <v>ASV1444</v>
          </cell>
          <cell r="H20544" t="str">
            <v>g__Lactobacillus</v>
          </cell>
          <cell r="I20544" t="str">
            <v>s__unclassified_g__Lactobacillus</v>
          </cell>
        </row>
        <row r="20545">
          <cell r="G20545" t="str">
            <v>ASV23879</v>
          </cell>
          <cell r="H20545" t="str">
            <v>g__unclassified_f__Lachnospiraceae</v>
          </cell>
          <cell r="I20545" t="str">
            <v>s__unclassified_f__Lachnospiraceae</v>
          </cell>
        </row>
        <row r="20546">
          <cell r="G20546" t="str">
            <v>ASV15740</v>
          </cell>
          <cell r="H20546" t="str">
            <v>g__unclassified_f__Ruminococcaceae</v>
          </cell>
          <cell r="I20546" t="str">
            <v>s__unclassified_f__Ruminococcaceae</v>
          </cell>
        </row>
        <row r="20547">
          <cell r="G20547" t="str">
            <v>ASV2461</v>
          </cell>
          <cell r="H20547" t="str">
            <v>g__unclassified_f__Lachnospiraceae</v>
          </cell>
          <cell r="I20547" t="str">
            <v>s__unclassified_f__Lachnospiraceae</v>
          </cell>
        </row>
        <row r="20548">
          <cell r="G20548" t="str">
            <v>ASV8681</v>
          </cell>
          <cell r="H20548" t="str">
            <v>g__Luteimonas</v>
          </cell>
          <cell r="I20548" t="str">
            <v>s__unclassified_g__Luteimonas</v>
          </cell>
        </row>
        <row r="20549">
          <cell r="G20549" t="str">
            <v>ASV16734</v>
          </cell>
          <cell r="H20549" t="str">
            <v>g__Bacteroides</v>
          </cell>
          <cell r="I20549" t="str">
            <v>s__unclassified_g__Bacteroides</v>
          </cell>
        </row>
        <row r="20550">
          <cell r="G20550" t="str">
            <v>ASV22753</v>
          </cell>
          <cell r="H20550" t="str">
            <v>g__unclassified_c__Clostridia</v>
          </cell>
          <cell r="I20550" t="str">
            <v>s__unclassified_c__Clostridia</v>
          </cell>
        </row>
        <row r="20551">
          <cell r="G20551" t="str">
            <v>ASV17257</v>
          </cell>
          <cell r="H20551" t="str">
            <v>g__Lactobacillus</v>
          </cell>
          <cell r="I20551" t="str">
            <v>s__unclassified_g__Lactobacillus</v>
          </cell>
        </row>
        <row r="20552">
          <cell r="G20552" t="str">
            <v>ASV21016</v>
          </cell>
          <cell r="H20552" t="str">
            <v>g__Christensenella</v>
          </cell>
          <cell r="I20552" t="str">
            <v>s__Christensenella_sp._g__Christensenella</v>
          </cell>
        </row>
        <row r="20553">
          <cell r="G20553" t="str">
            <v>ASV10835</v>
          </cell>
          <cell r="H20553" t="str">
            <v>g__Bifidobacterium</v>
          </cell>
          <cell r="I20553" t="str">
            <v>s__unclassified_g__Bifidobacterium</v>
          </cell>
        </row>
        <row r="20554">
          <cell r="G20554" t="str">
            <v>ASV1397</v>
          </cell>
          <cell r="H20554" t="str">
            <v>g__unclassified_o__Oscillospirales</v>
          </cell>
          <cell r="I20554" t="str">
            <v>s__unclassified_o__Oscillospirales</v>
          </cell>
        </row>
        <row r="20555">
          <cell r="G20555" t="str">
            <v>ASV5419</v>
          </cell>
          <cell r="H20555" t="str">
            <v>g__norank_f__Ruminococcaceae</v>
          </cell>
          <cell r="I20555" t="str">
            <v>s__unclassified_g__norank_f__Ruminococcaceae</v>
          </cell>
        </row>
        <row r="20556">
          <cell r="G20556" t="str">
            <v>ASV14877</v>
          </cell>
          <cell r="H20556" t="str">
            <v>g__norank_f__Muribaculaceae</v>
          </cell>
          <cell r="I20556" t="str">
            <v>s__uncultured_bacterium_g__norank_f__Muribaculaceae</v>
          </cell>
        </row>
        <row r="20557">
          <cell r="G20557" t="str">
            <v>ASV9747</v>
          </cell>
          <cell r="H20557" t="str">
            <v>g__Lactobacillus</v>
          </cell>
          <cell r="I20557" t="str">
            <v>s__unclassified_g__Lactobacillus</v>
          </cell>
        </row>
        <row r="20558">
          <cell r="G20558" t="str">
            <v>ASV6254</v>
          </cell>
          <cell r="H20558" t="str">
            <v>g__Veillonella</v>
          </cell>
          <cell r="I20558" t="str">
            <v>s__Veillonella_sp._R-32</v>
          </cell>
        </row>
        <row r="20559">
          <cell r="G20559" t="str">
            <v>ASV20126</v>
          </cell>
          <cell r="H20559" t="str">
            <v>g__unclassified_o__Oscillospirales</v>
          </cell>
          <cell r="I20559" t="str">
            <v>s__unclassified_o__Oscillospirales</v>
          </cell>
        </row>
        <row r="20560">
          <cell r="G20560" t="str">
            <v>ASV12105</v>
          </cell>
          <cell r="H20560" t="str">
            <v>g__unclassified_c__Clostridia</v>
          </cell>
          <cell r="I20560" t="str">
            <v>s__unclassified_c__Clostridia</v>
          </cell>
        </row>
        <row r="20561">
          <cell r="G20561" t="str">
            <v>ASV20339</v>
          </cell>
          <cell r="H20561" t="str">
            <v>g__Bacteroides</v>
          </cell>
          <cell r="I20561" t="str">
            <v>s__unclassified_g__Bacteroides</v>
          </cell>
        </row>
        <row r="20562">
          <cell r="G20562" t="str">
            <v>ASV15627</v>
          </cell>
          <cell r="H20562" t="str">
            <v>g__Atopobium</v>
          </cell>
          <cell r="I20562" t="str">
            <v>s__unclassified_g__Atopobium</v>
          </cell>
        </row>
        <row r="20563">
          <cell r="G20563" t="str">
            <v>ASV18713</v>
          </cell>
          <cell r="H20563" t="str">
            <v>g__Lactobacillus</v>
          </cell>
          <cell r="I20563" t="str">
            <v>s__unclassified_g__Lactobacillus</v>
          </cell>
        </row>
        <row r="20564">
          <cell r="G20564" t="str">
            <v>ASV13037</v>
          </cell>
          <cell r="H20564" t="str">
            <v>g__unclassified_p__Firmicutes</v>
          </cell>
          <cell r="I20564" t="str">
            <v>s__unclassified_p__Firmicutes</v>
          </cell>
        </row>
        <row r="20565">
          <cell r="G20565" t="str">
            <v>ASV7114</v>
          </cell>
          <cell r="H20565" t="str">
            <v>g__Ruminococcus_torques_group</v>
          </cell>
          <cell r="I20565" t="str">
            <v>s__unclassified_g__Ruminococcus_torques_group</v>
          </cell>
        </row>
        <row r="20566">
          <cell r="G20566" t="str">
            <v>ASV13106</v>
          </cell>
          <cell r="H20566" t="str">
            <v>g__unclassified_f__Lachnospiraceae</v>
          </cell>
          <cell r="I20566" t="str">
            <v>s__unclassified_f__Lachnospiraceae</v>
          </cell>
        </row>
        <row r="20567">
          <cell r="G20567" t="str">
            <v>ASV9708</v>
          </cell>
          <cell r="H20567" t="str">
            <v>g__norank_f__Erysipelotrichaceae</v>
          </cell>
          <cell r="I20567" t="str">
            <v>s__uncultured_bacterium_g__norank_f__Erysipelotrichaceae</v>
          </cell>
        </row>
        <row r="20568">
          <cell r="G20568" t="str">
            <v>ASV23734</v>
          </cell>
          <cell r="H20568" t="str">
            <v>g__Streptococcus</v>
          </cell>
          <cell r="I20568" t="str">
            <v>s__unclassified_g__Streptococcus</v>
          </cell>
        </row>
        <row r="20569">
          <cell r="G20569" t="str">
            <v>ASV2495</v>
          </cell>
          <cell r="H20569" t="str">
            <v>g__unclassified_o__Oscillospirales</v>
          </cell>
          <cell r="I20569" t="str">
            <v>s__unclassified_o__Oscillospirales</v>
          </cell>
        </row>
        <row r="20570">
          <cell r="G20570" t="str">
            <v>ASV19996</v>
          </cell>
          <cell r="H20570" t="str">
            <v>g__unclassified_c__Bacteroidia</v>
          </cell>
          <cell r="I20570" t="str">
            <v>s__unclassified_c__Bacteroidia</v>
          </cell>
        </row>
        <row r="20571">
          <cell r="G20571" t="str">
            <v>ASV22845</v>
          </cell>
          <cell r="H20571" t="str">
            <v>g__unclassified_c__Clostridia</v>
          </cell>
          <cell r="I20571" t="str">
            <v>s__unclassified_c__Clostridia</v>
          </cell>
        </row>
        <row r="20572">
          <cell r="G20572" t="str">
            <v>ASV15739</v>
          </cell>
          <cell r="H20572" t="str">
            <v>g__unclassified_f__Lachnospiraceae</v>
          </cell>
          <cell r="I20572" t="str">
            <v>s__unclassified_f__Lachnospiraceae</v>
          </cell>
        </row>
        <row r="20573">
          <cell r="G20573" t="str">
            <v>ASV19991</v>
          </cell>
          <cell r="H20573" t="str">
            <v>g__Rikenellaceae_RC9_gut_group</v>
          </cell>
          <cell r="I20573" t="str">
            <v>s__uncultured_bacterium_g__Rikenellaceae_RC9_gut_group</v>
          </cell>
        </row>
        <row r="20574">
          <cell r="G20574" t="str">
            <v>ASV17005</v>
          </cell>
          <cell r="H20574" t="str">
            <v>g__unclassified_f__Peptostreptococcaceae</v>
          </cell>
          <cell r="I20574" t="str">
            <v>s__unclassified_f__Peptostreptococcaceae</v>
          </cell>
        </row>
        <row r="20575">
          <cell r="G20575" t="str">
            <v>ASV4280</v>
          </cell>
          <cell r="H20575" t="str">
            <v>g__Phascolarctobacterium</v>
          </cell>
          <cell r="I20575" t="str">
            <v>s__unclassified_g__Phascolarctobacterium</v>
          </cell>
        </row>
        <row r="20576">
          <cell r="G20576" t="str">
            <v>ASV4293</v>
          </cell>
          <cell r="H20576" t="str">
            <v>g__Cloacibacillus</v>
          </cell>
          <cell r="I20576" t="str">
            <v>s__unclassified_g__Cloacibacillus</v>
          </cell>
        </row>
        <row r="20577">
          <cell r="G20577" t="str">
            <v>ASV9074</v>
          </cell>
          <cell r="H20577" t="str">
            <v>g__unclassified_c__Clostridia</v>
          </cell>
          <cell r="I20577" t="str">
            <v>s__unclassified_c__Clostridia</v>
          </cell>
        </row>
        <row r="20578">
          <cell r="G20578" t="str">
            <v>ASV23548</v>
          </cell>
          <cell r="H20578" t="str">
            <v>g__unclassified_c__Bacilli</v>
          </cell>
          <cell r="I20578" t="str">
            <v>s__unclassified_c__Bacilli</v>
          </cell>
        </row>
        <row r="20579">
          <cell r="G20579" t="str">
            <v>ASV14644</v>
          </cell>
          <cell r="H20579" t="str">
            <v>g__Rikenellaceae_RC9_gut_group</v>
          </cell>
          <cell r="I20579" t="str">
            <v>s__uncultured_bacterium_g__Rikenellaceae_RC9_gut_group</v>
          </cell>
        </row>
        <row r="20580">
          <cell r="G20580" t="str">
            <v>ASV23534</v>
          </cell>
          <cell r="H20580" t="str">
            <v>g__Lactobacillus</v>
          </cell>
          <cell r="I20580" t="str">
            <v>s__unclassified_g__Lactobacillus</v>
          </cell>
        </row>
        <row r="20581">
          <cell r="G20581" t="str">
            <v>ASV9613</v>
          </cell>
          <cell r="H20581" t="str">
            <v>g__unclassified_f__Rikenellaceae</v>
          </cell>
          <cell r="I20581" t="str">
            <v>s__unclassified_f__Rikenellaceae</v>
          </cell>
        </row>
        <row r="20582">
          <cell r="G20582" t="str">
            <v>ASV21525</v>
          </cell>
          <cell r="H20582" t="str">
            <v>g__Lactobacillus</v>
          </cell>
          <cell r="I20582" t="str">
            <v>s__unclassified_g__Lactobacillus</v>
          </cell>
        </row>
        <row r="20583">
          <cell r="G20583" t="str">
            <v>ASV18385</v>
          </cell>
          <cell r="H20583" t="str">
            <v>g__unclassified_c__Clostridia</v>
          </cell>
          <cell r="I20583" t="str">
            <v>s__unclassified_c__Clostridia</v>
          </cell>
        </row>
        <row r="20584">
          <cell r="G20584" t="str">
            <v>ASV6210</v>
          </cell>
          <cell r="H20584" t="str">
            <v>g__unclassified_f__Lachnospiraceae</v>
          </cell>
          <cell r="I20584" t="str">
            <v>s__unclassified_f__Lachnospiraceae</v>
          </cell>
        </row>
        <row r="20585">
          <cell r="G20585" t="str">
            <v>ASV1772</v>
          </cell>
          <cell r="H20585" t="str">
            <v>g__unclassified_k__norank_d__Bacteria</v>
          </cell>
          <cell r="I20585" t="str">
            <v>s__unclassified_k__norank_d__Bacteria</v>
          </cell>
        </row>
        <row r="20586">
          <cell r="G20586" t="str">
            <v>ASV13755</v>
          </cell>
          <cell r="H20586" t="str">
            <v>g__unclassified_f__Veillonellaceae</v>
          </cell>
          <cell r="I20586" t="str">
            <v>s__unclassified_f__Veillonellaceae</v>
          </cell>
        </row>
        <row r="20587">
          <cell r="G20587" t="str">
            <v>ASV5393</v>
          </cell>
          <cell r="H20587" t="str">
            <v>g__Lachnospiraceae_NC2004_group</v>
          </cell>
          <cell r="I20587" t="str">
            <v>s__uncultured_bacterium_g__Lachnospiraceae_NC2004_group</v>
          </cell>
        </row>
        <row r="20588">
          <cell r="G20588" t="str">
            <v>ASV8372</v>
          </cell>
          <cell r="H20588" t="str">
            <v>g__unclassified_f__Selenomonadaceae</v>
          </cell>
          <cell r="I20588" t="str">
            <v>s__unclassified_f__Selenomonadaceae</v>
          </cell>
        </row>
        <row r="20589">
          <cell r="G20589" t="str">
            <v>ASV13551</v>
          </cell>
          <cell r="H20589" t="str">
            <v>g__unclassified_p__Firmicutes</v>
          </cell>
          <cell r="I20589" t="str">
            <v>s__unclassified_p__Firmicutes</v>
          </cell>
        </row>
        <row r="20590">
          <cell r="G20590" t="str">
            <v>ASV13101</v>
          </cell>
          <cell r="H20590" t="str">
            <v>g__Treponema</v>
          </cell>
          <cell r="I20590" t="str">
            <v>s__unclassified_g__Treponema</v>
          </cell>
        </row>
        <row r="20591">
          <cell r="G20591" t="str">
            <v>ASV21028</v>
          </cell>
          <cell r="H20591" t="str">
            <v>g__unclassified_f__Lachnospiraceae</v>
          </cell>
          <cell r="I20591" t="str">
            <v>s__unclassified_f__Lachnospiraceae</v>
          </cell>
        </row>
        <row r="20592">
          <cell r="G20592" t="str">
            <v>ASV20298</v>
          </cell>
          <cell r="H20592" t="str">
            <v>g__Campylobacter</v>
          </cell>
          <cell r="I20592" t="str">
            <v>s__unclassified_g__Campylobacter</v>
          </cell>
        </row>
        <row r="20593">
          <cell r="G20593" t="str">
            <v>ASV23509</v>
          </cell>
          <cell r="H20593" t="str">
            <v>g__Mitsuokella</v>
          </cell>
          <cell r="I20593" t="str">
            <v>s__unclassified_g__Mitsuokella</v>
          </cell>
        </row>
        <row r="20594">
          <cell r="G20594" t="str">
            <v>ASV21364</v>
          </cell>
          <cell r="H20594" t="str">
            <v>g__unclassified_f__Oscillospiraceae</v>
          </cell>
          <cell r="I20594" t="str">
            <v>s__unclassified_f__Oscillospiraceae</v>
          </cell>
        </row>
        <row r="20595">
          <cell r="G20595" t="str">
            <v>ASV1205</v>
          </cell>
          <cell r="H20595" t="str">
            <v>g__unclassified_c__Clostridia</v>
          </cell>
          <cell r="I20595" t="str">
            <v>s__unclassified_c__Clostridia</v>
          </cell>
        </row>
        <row r="20596">
          <cell r="G20596" t="str">
            <v>ASV12364</v>
          </cell>
          <cell r="H20596" t="str">
            <v>g__unclassified_c__Clostridia</v>
          </cell>
          <cell r="I20596" t="str">
            <v>s__unclassified_c__Clostridia</v>
          </cell>
        </row>
        <row r="20597">
          <cell r="G20597" t="str">
            <v>ASV14639</v>
          </cell>
          <cell r="H20597" t="str">
            <v>g__Christensenella</v>
          </cell>
          <cell r="I20597" t="str">
            <v>s__Christensenella_minuta</v>
          </cell>
        </row>
        <row r="20598">
          <cell r="G20598" t="str">
            <v>ASV24361</v>
          </cell>
          <cell r="H20598" t="str">
            <v>g__unclassified_c__Clostridia</v>
          </cell>
          <cell r="I20598" t="str">
            <v>s__unclassified_c__Clostridia</v>
          </cell>
        </row>
        <row r="20599">
          <cell r="G20599" t="str">
            <v>ASV19904</v>
          </cell>
          <cell r="H20599" t="str">
            <v>g__unclassified_f__Lachnospiraceae</v>
          </cell>
          <cell r="I20599" t="str">
            <v>s__unclassified_f__Lachnospiraceae</v>
          </cell>
        </row>
        <row r="20600">
          <cell r="G20600" t="str">
            <v>ASV13049</v>
          </cell>
          <cell r="H20600" t="str">
            <v>g__Rikenellaceae_RC9_gut_group</v>
          </cell>
          <cell r="I20600" t="str">
            <v>s__uncultured_bacterium_g__Rikenellaceae_RC9_gut_group</v>
          </cell>
        </row>
        <row r="20601">
          <cell r="G20601" t="str">
            <v>ASV6371</v>
          </cell>
          <cell r="H20601" t="str">
            <v>g__unclassified_f__Ruminococcaceae</v>
          </cell>
          <cell r="I20601" t="str">
            <v>s__unclassified_f__Ruminococcaceae</v>
          </cell>
        </row>
        <row r="20602">
          <cell r="G20602" t="str">
            <v>ASV18716</v>
          </cell>
          <cell r="H20602" t="str">
            <v>g__norank_f__Muribaculaceae</v>
          </cell>
          <cell r="I20602" t="str">
            <v>s__uncultured_Porphyromonadaceae_bacterium_g__norank_f__Muribaculaceae</v>
          </cell>
        </row>
        <row r="20603">
          <cell r="G20603" t="str">
            <v>ASV5331</v>
          </cell>
          <cell r="H20603" t="str">
            <v>g__unclassified_f__Peptostreptococcaceae</v>
          </cell>
          <cell r="I20603" t="str">
            <v>s__unclassified_f__Peptostreptococcaceae</v>
          </cell>
        </row>
        <row r="20604">
          <cell r="G20604" t="str">
            <v>ASV8205</v>
          </cell>
          <cell r="H20604" t="str">
            <v>g__Lactobacillus</v>
          </cell>
          <cell r="I20604" t="str">
            <v>s__Lactobacillus_sp._KC45b</v>
          </cell>
        </row>
        <row r="20605">
          <cell r="G20605" t="str">
            <v>ASV1440</v>
          </cell>
          <cell r="H20605" t="str">
            <v>g__unclassified_f__Lachnospiraceae</v>
          </cell>
          <cell r="I20605" t="str">
            <v>s__unclassified_f__Lachnospiraceae</v>
          </cell>
        </row>
        <row r="20606">
          <cell r="G20606" t="str">
            <v>ASV15698</v>
          </cell>
          <cell r="H20606" t="str">
            <v>g__unclassified_f__Lachnospiraceae</v>
          </cell>
          <cell r="I20606" t="str">
            <v>s__unclassified_f__Lachnospiraceae</v>
          </cell>
        </row>
        <row r="20607">
          <cell r="G20607" t="str">
            <v>ASV13651</v>
          </cell>
          <cell r="H20607" t="str">
            <v>g__Peptococcus</v>
          </cell>
          <cell r="I20607" t="str">
            <v>s__uncultured_bacterium_g__Peptococcus</v>
          </cell>
        </row>
        <row r="20608">
          <cell r="G20608" t="str">
            <v>ASV7218</v>
          </cell>
          <cell r="H20608" t="str">
            <v>g__unclassified_c__Bacilli</v>
          </cell>
          <cell r="I20608" t="str">
            <v>s__unclassified_c__Bacilli</v>
          </cell>
        </row>
        <row r="20609">
          <cell r="G20609" t="str">
            <v>ASV18442</v>
          </cell>
          <cell r="H20609" t="str">
            <v>g__unclassified_c__Clostridia</v>
          </cell>
          <cell r="I20609" t="str">
            <v>s__unclassified_c__Clostridia</v>
          </cell>
        </row>
        <row r="20610">
          <cell r="G20610" t="str">
            <v>ASV6454</v>
          </cell>
          <cell r="H20610" t="str">
            <v>g__unclassified_o__Bacteroidales</v>
          </cell>
          <cell r="I20610" t="str">
            <v>s__unclassified_o__Bacteroidales</v>
          </cell>
        </row>
        <row r="20611">
          <cell r="G20611" t="str">
            <v>ASV15665</v>
          </cell>
          <cell r="H20611" t="str">
            <v>g__unclassified_o__Oscillospirales</v>
          </cell>
          <cell r="I20611" t="str">
            <v>s__unclassified_o__Oscillospirales</v>
          </cell>
        </row>
        <row r="20612">
          <cell r="G20612" t="str">
            <v>ASV10947</v>
          </cell>
          <cell r="H20612" t="str">
            <v>g__unclassified_c__Clostridia</v>
          </cell>
          <cell r="I20612" t="str">
            <v>s__unclassified_c__Clostridia</v>
          </cell>
        </row>
        <row r="20613">
          <cell r="G20613" t="str">
            <v>ASV8371</v>
          </cell>
          <cell r="H20613" t="str">
            <v>g__Fusobacterium</v>
          </cell>
          <cell r="I20613" t="str">
            <v>s__unclassified_g__Fusobacterium</v>
          </cell>
        </row>
        <row r="20614">
          <cell r="G20614" t="str">
            <v>ASV10127</v>
          </cell>
          <cell r="H20614" t="str">
            <v>g__unclassified_c__Bacilli</v>
          </cell>
          <cell r="I20614" t="str">
            <v>s__unclassified_c__Bacilli</v>
          </cell>
        </row>
        <row r="20615">
          <cell r="G20615" t="str">
            <v>ASV6354</v>
          </cell>
          <cell r="H20615" t="str">
            <v>g__unclassified_c__Clostridia</v>
          </cell>
          <cell r="I20615" t="str">
            <v>s__unclassified_c__Clostridia</v>
          </cell>
        </row>
        <row r="20616">
          <cell r="G20616" t="str">
            <v>ASV22862</v>
          </cell>
          <cell r="H20616" t="str">
            <v>g__norank_f__Eubacterium_coprostanoligenes_group</v>
          </cell>
          <cell r="I20616" t="str">
            <v>s__unclassified_g__norank_f__Eubacterium_coprostanoligenes_group</v>
          </cell>
        </row>
        <row r="20617">
          <cell r="G20617" t="str">
            <v>ASV24057</v>
          </cell>
          <cell r="H20617" t="str">
            <v>g__Lactobacillus</v>
          </cell>
          <cell r="I20617" t="str">
            <v>s__unclassified_g__Lactobacillus</v>
          </cell>
        </row>
        <row r="20618">
          <cell r="G20618" t="str">
            <v>ASV16188</v>
          </cell>
          <cell r="H20618" t="str">
            <v>g__unclassified_p__Firmicutes</v>
          </cell>
          <cell r="I20618" t="str">
            <v>s__unclassified_p__Firmicutes</v>
          </cell>
        </row>
        <row r="20619">
          <cell r="G20619" t="str">
            <v>ASV13642</v>
          </cell>
          <cell r="H20619" t="str">
            <v>g__norank_f__UCG-011</v>
          </cell>
          <cell r="I20619" t="str">
            <v>s__uncultured_bacterium_g__norank_f__UCG-011</v>
          </cell>
        </row>
        <row r="20620">
          <cell r="G20620" t="str">
            <v>ASV13079</v>
          </cell>
          <cell r="H20620" t="str">
            <v>g__unclassified_c__Clostridia</v>
          </cell>
          <cell r="I20620" t="str">
            <v>s__unclassified_c__Clostridia</v>
          </cell>
        </row>
        <row r="20621">
          <cell r="G20621" t="str">
            <v>ASV17035</v>
          </cell>
          <cell r="H20621" t="str">
            <v>g__norank_f__Ruminococcaceae</v>
          </cell>
          <cell r="I20621" t="str">
            <v>s__unclassified_g__norank_f__Ruminococcaceae</v>
          </cell>
        </row>
        <row r="20622">
          <cell r="G20622" t="str">
            <v>ASV6190</v>
          </cell>
          <cell r="H20622" t="str">
            <v>g__unclassified_c__Clostridia</v>
          </cell>
          <cell r="I20622" t="str">
            <v>s__unclassified_c__Clostridia</v>
          </cell>
        </row>
        <row r="20623">
          <cell r="G20623" t="str">
            <v>ASV3341</v>
          </cell>
          <cell r="H20623" t="str">
            <v>g__Bacteroides</v>
          </cell>
          <cell r="I20623" t="str">
            <v>s__unclassified_g__Bacteroides</v>
          </cell>
        </row>
        <row r="20624">
          <cell r="G20624" t="str">
            <v>ASV12217</v>
          </cell>
          <cell r="H20624" t="str">
            <v>g__UCG-005</v>
          </cell>
          <cell r="I20624" t="str">
            <v>s__unclassified_g__UCG-005</v>
          </cell>
        </row>
        <row r="20625">
          <cell r="G20625" t="str">
            <v>ASV6988</v>
          </cell>
          <cell r="H20625" t="str">
            <v>g__unclassified_f__Lachnospiraceae</v>
          </cell>
          <cell r="I20625" t="str">
            <v>s__unclassified_f__Lachnospiraceae</v>
          </cell>
        </row>
        <row r="20626">
          <cell r="G20626" t="str">
            <v>ASV22787</v>
          </cell>
          <cell r="H20626" t="str">
            <v>g__unclassified_c__Clostridia</v>
          </cell>
          <cell r="I20626" t="str">
            <v>s__unclassified_c__Clostridia</v>
          </cell>
        </row>
        <row r="20627">
          <cell r="G20627" t="str">
            <v>ASV8873</v>
          </cell>
          <cell r="H20627" t="str">
            <v>g__Lysobacter</v>
          </cell>
          <cell r="I20627" t="str">
            <v>s__unclassified_g__Lysobacter</v>
          </cell>
        </row>
        <row r="20628">
          <cell r="G20628" t="str">
            <v>ASV13048</v>
          </cell>
          <cell r="H20628" t="str">
            <v>g__norank_f__Eubacterium_coprostanoligenes_group</v>
          </cell>
          <cell r="I20628" t="str">
            <v>s__uncultured_bacterium_g__norank_f__Eubacterium_coprostanoligenes_group</v>
          </cell>
        </row>
        <row r="20629">
          <cell r="G20629" t="str">
            <v>ASV20129</v>
          </cell>
          <cell r="H20629" t="str">
            <v>g__norank_f__UCG-010</v>
          </cell>
          <cell r="I20629" t="str">
            <v>s__unclassified_g__norank_f__UCG-010</v>
          </cell>
        </row>
        <row r="20630">
          <cell r="G20630" t="str">
            <v>ASV6912</v>
          </cell>
          <cell r="H20630" t="str">
            <v>g__unclassified_k__norank_d__Bacteria</v>
          </cell>
          <cell r="I20630" t="str">
            <v>s__unclassified_k__norank_d__Bacteria</v>
          </cell>
        </row>
        <row r="20631">
          <cell r="G20631" t="str">
            <v>ASV15102</v>
          </cell>
          <cell r="H20631" t="str">
            <v>g__unclassified_o__Oscillospirales</v>
          </cell>
          <cell r="I20631" t="str">
            <v>s__unclassified_o__Oscillospirales</v>
          </cell>
        </row>
        <row r="20632">
          <cell r="G20632" t="str">
            <v>ASV12385</v>
          </cell>
          <cell r="H20632" t="str">
            <v>g__unclassified_f__Oscillospiraceae</v>
          </cell>
          <cell r="I20632" t="str">
            <v>s__unclassified_f__Oscillospiraceae</v>
          </cell>
        </row>
        <row r="20633">
          <cell r="G20633" t="str">
            <v>ASV16183</v>
          </cell>
          <cell r="H20633" t="str">
            <v>g__Eubacterium_nodatum_group</v>
          </cell>
          <cell r="I20633" t="str">
            <v>s__Eubacterium_nodatum</v>
          </cell>
        </row>
        <row r="20634">
          <cell r="G20634" t="str">
            <v>ASV6336</v>
          </cell>
          <cell r="H20634" t="str">
            <v>g__unclassified_c__Clostridia</v>
          </cell>
          <cell r="I20634" t="str">
            <v>s__unclassified_c__Clostridia</v>
          </cell>
        </row>
        <row r="20635">
          <cell r="G20635" t="str">
            <v>ASV14832</v>
          </cell>
          <cell r="H20635" t="str">
            <v>g__unclassified_c__Clostridia</v>
          </cell>
          <cell r="I20635" t="str">
            <v>s__unclassified_c__Clostridia</v>
          </cell>
        </row>
        <row r="20636">
          <cell r="G20636" t="str">
            <v>ASV1160</v>
          </cell>
          <cell r="H20636" t="str">
            <v>g__unclassified_o__Bacteroidales</v>
          </cell>
          <cell r="I20636" t="str">
            <v>s__unclassified_o__Bacteroidales</v>
          </cell>
        </row>
        <row r="20637">
          <cell r="G20637" t="str">
            <v>ASV22769</v>
          </cell>
          <cell r="H20637" t="str">
            <v>g__Eubacterium_oxidoreducens_group</v>
          </cell>
          <cell r="I20637" t="str">
            <v>s__uncultured_bacterium_g__Eubacterium_oxidoreducens_group</v>
          </cell>
        </row>
        <row r="20638">
          <cell r="G20638" t="str">
            <v>ASV14750</v>
          </cell>
          <cell r="H20638" t="str">
            <v>g__unclassified_f__Lachnospiraceae</v>
          </cell>
          <cell r="I20638" t="str">
            <v>s__unclassified_f__Lachnospiraceae</v>
          </cell>
        </row>
        <row r="20639">
          <cell r="G20639" t="str">
            <v>ASV2410</v>
          </cell>
          <cell r="H20639" t="str">
            <v>g__Rikenellaceae_RC9_gut_group</v>
          </cell>
          <cell r="I20639" t="str">
            <v>s__uncultured_bacterium_g__Rikenellaceae_RC9_gut_group</v>
          </cell>
        </row>
        <row r="20640">
          <cell r="G20640" t="str">
            <v>ASV18345</v>
          </cell>
          <cell r="H20640" t="str">
            <v>g__unclassified_c__Clostridia</v>
          </cell>
          <cell r="I20640" t="str">
            <v>s__unclassified_c__Clostridia</v>
          </cell>
        </row>
        <row r="20641">
          <cell r="G20641" t="str">
            <v>ASV12075</v>
          </cell>
          <cell r="H20641" t="str">
            <v>g__unclassified_c__Clostridia</v>
          </cell>
          <cell r="I20641" t="str">
            <v>s__unclassified_c__Clostridia</v>
          </cell>
        </row>
        <row r="20642">
          <cell r="G20642" t="str">
            <v>ASV19968</v>
          </cell>
          <cell r="H20642" t="str">
            <v>g__unclassified_f__Oscillospiraceae</v>
          </cell>
          <cell r="I20642" t="str">
            <v>s__unclassified_f__Oscillospiraceae</v>
          </cell>
        </row>
        <row r="20643">
          <cell r="G20643" t="str">
            <v>ASV21064</v>
          </cell>
          <cell r="H20643" t="str">
            <v>g__Ruminococcus</v>
          </cell>
          <cell r="I20643" t="str">
            <v>s__unclassified_g__Ruminococcus</v>
          </cell>
        </row>
        <row r="20644">
          <cell r="G20644" t="str">
            <v>ASV21077</v>
          </cell>
          <cell r="H20644" t="str">
            <v>g__unclassified_f__Lachnospiraceae</v>
          </cell>
          <cell r="I20644" t="str">
            <v>s__unclassified_f__Lachnospiraceae</v>
          </cell>
        </row>
        <row r="20645">
          <cell r="G20645" t="str">
            <v>ASV2505</v>
          </cell>
          <cell r="H20645" t="str">
            <v>g__unclassified_c__Clostridia</v>
          </cell>
          <cell r="I20645" t="str">
            <v>s__unclassified_c__Clostridia</v>
          </cell>
        </row>
        <row r="20646">
          <cell r="G20646" t="str">
            <v>ASV9621</v>
          </cell>
          <cell r="H20646" t="str">
            <v>g__Escherichia-Shigella</v>
          </cell>
          <cell r="I20646" t="str">
            <v>s__unclassified_g__Escherichia-Shigella</v>
          </cell>
        </row>
        <row r="20647">
          <cell r="G20647" t="str">
            <v>ASV18951</v>
          </cell>
          <cell r="H20647" t="str">
            <v>g__unclassified_p__Firmicutes</v>
          </cell>
          <cell r="I20647" t="str">
            <v>s__unclassified_p__Firmicutes</v>
          </cell>
        </row>
        <row r="20648">
          <cell r="G20648" t="str">
            <v>ASV4228</v>
          </cell>
          <cell r="H20648" t="str">
            <v>g__unclassified_c__Clostridia</v>
          </cell>
          <cell r="I20648" t="str">
            <v>s__unclassified_c__Clostridia</v>
          </cell>
        </row>
        <row r="20649">
          <cell r="G20649" t="str">
            <v>ASV22600</v>
          </cell>
          <cell r="H20649" t="str">
            <v>g__Rikenellaceae_RC9_gut_group</v>
          </cell>
          <cell r="I20649" t="str">
            <v>s__uncultured_bacterium_g__Rikenellaceae_RC9_gut_group</v>
          </cell>
        </row>
        <row r="20650">
          <cell r="G20650" t="str">
            <v>ASV6212</v>
          </cell>
          <cell r="H20650" t="str">
            <v>g__unclassified_c__Clostridia</v>
          </cell>
          <cell r="I20650" t="str">
            <v>s__unclassified_c__Clostridia</v>
          </cell>
        </row>
        <row r="20651">
          <cell r="G20651" t="str">
            <v>ASV18956</v>
          </cell>
          <cell r="H20651" t="str">
            <v>g__unclassified_k__norank_d__Bacteria</v>
          </cell>
          <cell r="I20651" t="str">
            <v>s__unclassified_k__norank_d__Bacteria</v>
          </cell>
        </row>
        <row r="20652">
          <cell r="G20652" t="str">
            <v>ASV17060</v>
          </cell>
          <cell r="H20652" t="str">
            <v>g__UCG-002</v>
          </cell>
          <cell r="I20652" t="str">
            <v>s__unclassified_g__UCG-002</v>
          </cell>
        </row>
        <row r="20653">
          <cell r="G20653" t="str">
            <v>ASV8561</v>
          </cell>
          <cell r="H20653" t="str">
            <v>g__Prevotellaceae_UCG-001</v>
          </cell>
          <cell r="I20653" t="str">
            <v>s__unclassified_g__Prevotellaceae_UCG-001</v>
          </cell>
        </row>
        <row r="20654">
          <cell r="G20654" t="str">
            <v>ASV21669</v>
          </cell>
          <cell r="H20654" t="str">
            <v>g__Megasphaera</v>
          </cell>
          <cell r="I20654" t="str">
            <v>s__unclassified_g__Megasphaera</v>
          </cell>
        </row>
        <row r="20655">
          <cell r="G20655" t="str">
            <v>ASV15847</v>
          </cell>
          <cell r="H20655" t="str">
            <v>g__Fusobacterium</v>
          </cell>
          <cell r="I20655" t="str">
            <v>s__unclassified_g__Fusobacterium</v>
          </cell>
        </row>
        <row r="20656">
          <cell r="G20656" t="str">
            <v>ASV19110</v>
          </cell>
          <cell r="H20656" t="str">
            <v>g__unclassified_c__Clostridia</v>
          </cell>
          <cell r="I20656" t="str">
            <v>s__unclassified_c__Clostridia</v>
          </cell>
        </row>
        <row r="20657">
          <cell r="G20657" t="str">
            <v>ASV13638</v>
          </cell>
          <cell r="H20657" t="str">
            <v>g__Christensenellaceae_R-7_group</v>
          </cell>
          <cell r="I20657" t="str">
            <v>s__unclassified_g__Christensenellaceae_R-7_group</v>
          </cell>
        </row>
        <row r="20658">
          <cell r="G20658" t="str">
            <v>ASV11025</v>
          </cell>
          <cell r="H20658" t="str">
            <v>g__unclassified_c__Bacilli</v>
          </cell>
          <cell r="I20658" t="str">
            <v>s__unclassified_c__Bacilli</v>
          </cell>
        </row>
        <row r="20659">
          <cell r="G20659" t="str">
            <v>ASV16623</v>
          </cell>
          <cell r="H20659" t="str">
            <v>g__Eubacterium_oxidoreducens_group</v>
          </cell>
          <cell r="I20659" t="str">
            <v>s__uncultured_bacterium_g__Eubacterium_oxidoreducens_group</v>
          </cell>
        </row>
        <row r="20660">
          <cell r="G20660" t="str">
            <v>ASV6899</v>
          </cell>
          <cell r="H20660" t="str">
            <v>g__unclassified_f__Lachnospiraceae</v>
          </cell>
          <cell r="I20660" t="str">
            <v>s__unclassified_f__Lachnospiraceae</v>
          </cell>
        </row>
        <row r="20661">
          <cell r="G20661" t="str">
            <v>ASV19908</v>
          </cell>
          <cell r="H20661" t="str">
            <v>g__unclassified_p__Firmicutes</v>
          </cell>
          <cell r="I20661" t="str">
            <v>s__unclassified_p__Firmicutes</v>
          </cell>
        </row>
        <row r="20662">
          <cell r="G20662" t="str">
            <v>ASV8874</v>
          </cell>
          <cell r="H20662" t="str">
            <v>g__Actinomyces</v>
          </cell>
          <cell r="I20662" t="str">
            <v>s__unclassified_g__Actinomyces</v>
          </cell>
        </row>
        <row r="20663">
          <cell r="G20663" t="str">
            <v>ASV5347</v>
          </cell>
          <cell r="H20663" t="str">
            <v>g__unclassified_c__Clostridia</v>
          </cell>
          <cell r="I20663" t="str">
            <v>s__unclassified_c__Clostridia</v>
          </cell>
        </row>
        <row r="20664">
          <cell r="G20664" t="str">
            <v>ASV17563</v>
          </cell>
          <cell r="H20664" t="str">
            <v>g__unclassified_f__Lachnospiraceae</v>
          </cell>
          <cell r="I20664" t="str">
            <v>s__unclassified_f__Lachnospiraceae</v>
          </cell>
        </row>
        <row r="20665">
          <cell r="G20665" t="str">
            <v>ASV9761</v>
          </cell>
          <cell r="H20665" t="str">
            <v>g__unclassified_c__Clostridia</v>
          </cell>
          <cell r="I20665" t="str">
            <v>s__unclassified_c__Clostridia</v>
          </cell>
        </row>
        <row r="20666">
          <cell r="G20666" t="str">
            <v>ASV17391</v>
          </cell>
          <cell r="H20666" t="str">
            <v>g__Sharpea</v>
          </cell>
          <cell r="I20666" t="str">
            <v>s__unclassified_g__Sharpea</v>
          </cell>
        </row>
        <row r="20667">
          <cell r="G20667" t="str">
            <v>ASV14625</v>
          </cell>
          <cell r="H20667" t="str">
            <v>g__Megasphaera</v>
          </cell>
          <cell r="I20667" t="str">
            <v>s__unclassified_g__Megasphaera</v>
          </cell>
        </row>
        <row r="20668">
          <cell r="G20668" t="str">
            <v>ASV13757</v>
          </cell>
          <cell r="H20668" t="str">
            <v>g__Veillonella</v>
          </cell>
          <cell r="I20668" t="str">
            <v>s__unclassified_g__Veillonella</v>
          </cell>
        </row>
        <row r="20669">
          <cell r="G20669" t="str">
            <v>ASV5200</v>
          </cell>
          <cell r="H20669" t="str">
            <v>g__Lactobacillus</v>
          </cell>
          <cell r="I20669" t="str">
            <v>s__unclassified_g__Lactobacillus</v>
          </cell>
        </row>
        <row r="20670">
          <cell r="G20670" t="str">
            <v>ASV18978</v>
          </cell>
          <cell r="H20670" t="str">
            <v>g__unclassified_c__Clostridia</v>
          </cell>
          <cell r="I20670" t="str">
            <v>s__unclassified_c__Clostridia</v>
          </cell>
        </row>
        <row r="20671">
          <cell r="G20671" t="str">
            <v>ASV6353</v>
          </cell>
          <cell r="H20671" t="str">
            <v>g__unclassified_o__Oscillospirales</v>
          </cell>
          <cell r="I20671" t="str">
            <v>s__unclassified_o__Oscillospirales</v>
          </cell>
        </row>
        <row r="20672">
          <cell r="G20672" t="str">
            <v>ASV23742</v>
          </cell>
          <cell r="H20672" t="str">
            <v>g__Corynebacterium</v>
          </cell>
          <cell r="I20672" t="str">
            <v>s__unclassified_g__Corynebacterium</v>
          </cell>
        </row>
        <row r="20673">
          <cell r="G20673" t="str">
            <v>ASV20487</v>
          </cell>
          <cell r="H20673" t="str">
            <v>g__Dyadobacter</v>
          </cell>
          <cell r="I20673" t="str">
            <v>s__unclassified_g__Dyadobacter</v>
          </cell>
        </row>
        <row r="20674">
          <cell r="G20674" t="str">
            <v>ASV6299</v>
          </cell>
          <cell r="H20674" t="str">
            <v>g__unclassified_c__Clostridia</v>
          </cell>
          <cell r="I20674" t="str">
            <v>s__unclassified_c__Clostridia</v>
          </cell>
        </row>
        <row r="20675">
          <cell r="G20675" t="str">
            <v>ASV10058</v>
          </cell>
          <cell r="H20675" t="str">
            <v>g__norank_f__norank_o__WCHB1-41</v>
          </cell>
          <cell r="I20675" t="str">
            <v>s__unclassified_g__norank_f__norank_o__WCHB1-41</v>
          </cell>
        </row>
        <row r="20676">
          <cell r="G20676" t="str">
            <v>ASV15563</v>
          </cell>
          <cell r="H20676" t="str">
            <v>g__unclassified_o__Oscillospirales</v>
          </cell>
          <cell r="I20676" t="str">
            <v>s__unclassified_o__Oscillospirales</v>
          </cell>
        </row>
        <row r="20677">
          <cell r="G20677" t="str">
            <v>ASV12053</v>
          </cell>
          <cell r="H20677" t="str">
            <v>g__unclassified_p__Firmicutes</v>
          </cell>
          <cell r="I20677" t="str">
            <v>s__unclassified_p__Firmicutes</v>
          </cell>
        </row>
        <row r="20678">
          <cell r="G20678" t="str">
            <v>ASV5355</v>
          </cell>
          <cell r="H20678" t="str">
            <v>g__unclassified_f__Lachnospiraceae</v>
          </cell>
          <cell r="I20678" t="str">
            <v>s__unclassified_f__Lachnospiraceae</v>
          </cell>
        </row>
        <row r="20679">
          <cell r="G20679" t="str">
            <v>ASV6159</v>
          </cell>
          <cell r="H20679" t="str">
            <v>g__Corynebacterium</v>
          </cell>
          <cell r="I20679" t="str">
            <v>s__unclassified_g__Corynebacterium</v>
          </cell>
        </row>
        <row r="20680">
          <cell r="G20680" t="str">
            <v>ASV9840</v>
          </cell>
          <cell r="H20680" t="str">
            <v>g__unclassified_c__Clostridia</v>
          </cell>
          <cell r="I20680" t="str">
            <v>s__unclassified_c__Clostridia</v>
          </cell>
        </row>
        <row r="20681">
          <cell r="G20681" t="str">
            <v>ASV9762</v>
          </cell>
          <cell r="H20681" t="str">
            <v>g__norank_f__Erysipelotrichaceae</v>
          </cell>
          <cell r="I20681" t="str">
            <v>s__uncultured_bacterium_g__norank_f__Erysipelotrichaceae</v>
          </cell>
        </row>
        <row r="20682">
          <cell r="G20682" t="str">
            <v>ASV17542</v>
          </cell>
          <cell r="H20682" t="str">
            <v>g__Prevotella</v>
          </cell>
          <cell r="I20682" t="str">
            <v>s__unclassified_g__Prevotella</v>
          </cell>
        </row>
        <row r="20683">
          <cell r="G20683" t="str">
            <v>ASV16757</v>
          </cell>
          <cell r="H20683" t="str">
            <v>g__norank_f__UCG-010</v>
          </cell>
          <cell r="I20683" t="str">
            <v>s__uncultured_bacterium_g__norank_f__UCG-010</v>
          </cell>
        </row>
        <row r="20684">
          <cell r="G20684" t="str">
            <v>ASV23687</v>
          </cell>
          <cell r="H20684" t="str">
            <v>g__Lactobacillus</v>
          </cell>
          <cell r="I20684" t="str">
            <v>s__unclassified_g__Lactobacillus</v>
          </cell>
        </row>
        <row r="20685">
          <cell r="G20685" t="str">
            <v>ASV5278</v>
          </cell>
          <cell r="H20685" t="str">
            <v>g__Lachnoclostridium</v>
          </cell>
          <cell r="I20685" t="str">
            <v>s__unclassified_g__Lachnoclostridium</v>
          </cell>
        </row>
        <row r="20686">
          <cell r="G20686" t="str">
            <v>ASV6863</v>
          </cell>
          <cell r="H20686" t="str">
            <v>g__Escherichia-Shigella</v>
          </cell>
          <cell r="I20686" t="str">
            <v>s__unclassified_g__Escherichia-Shigella</v>
          </cell>
        </row>
        <row r="20687">
          <cell r="G20687" t="str">
            <v>ASV13640</v>
          </cell>
          <cell r="H20687" t="str">
            <v>g__unclassified_f__Lachnospiraceae</v>
          </cell>
          <cell r="I20687" t="str">
            <v>s__unclassified_f__Lachnospiraceae</v>
          </cell>
        </row>
        <row r="20688">
          <cell r="G20688" t="str">
            <v>ASV19011</v>
          </cell>
          <cell r="H20688" t="str">
            <v>g__unclassified_f__Lachnospiraceae</v>
          </cell>
          <cell r="I20688" t="str">
            <v>s__unclassified_f__Lachnospiraceae</v>
          </cell>
        </row>
        <row r="20689">
          <cell r="G20689" t="str">
            <v>ASV14898</v>
          </cell>
          <cell r="H20689" t="str">
            <v>g__Lactobacillus</v>
          </cell>
          <cell r="I20689" t="str">
            <v>s__unclassified_g__Lactobacillus</v>
          </cell>
        </row>
        <row r="20690">
          <cell r="G20690" t="str">
            <v>ASV6396</v>
          </cell>
          <cell r="H20690" t="str">
            <v>g__unclassified_c__Clostridia</v>
          </cell>
          <cell r="I20690" t="str">
            <v>s__unclassified_c__Clostridia</v>
          </cell>
        </row>
        <row r="20691">
          <cell r="G20691" t="str">
            <v>ASV5230</v>
          </cell>
          <cell r="H20691" t="str">
            <v>g__Bacteroides</v>
          </cell>
          <cell r="I20691" t="str">
            <v>s__unclassified_g__Bacteroides</v>
          </cell>
        </row>
        <row r="20692">
          <cell r="G20692" t="str">
            <v>ASV2970</v>
          </cell>
          <cell r="H20692" t="str">
            <v>g__Deinococcus</v>
          </cell>
          <cell r="I20692" t="str">
            <v>s__uncultured_bacterium_g__Deinococcus</v>
          </cell>
        </row>
        <row r="20693">
          <cell r="G20693" t="str">
            <v>ASV12446</v>
          </cell>
          <cell r="H20693" t="str">
            <v>g__unclassified_f__Lachnospiraceae</v>
          </cell>
          <cell r="I20693" t="str">
            <v>s__unclassified_f__Lachnospiraceae</v>
          </cell>
        </row>
        <row r="20694">
          <cell r="G20694" t="str">
            <v>ASV18998</v>
          </cell>
          <cell r="H20694" t="str">
            <v>g__Escherichia-Shigella</v>
          </cell>
          <cell r="I20694" t="str">
            <v>s__unclassified_g__Escherichia-Shigella</v>
          </cell>
        </row>
        <row r="20695">
          <cell r="G20695" t="str">
            <v>ASV9769</v>
          </cell>
          <cell r="H20695" t="str">
            <v>g__unclassified_f__Lachnospiraceae</v>
          </cell>
          <cell r="I20695" t="str">
            <v>s__unclassified_f__Lachnospiraceae</v>
          </cell>
        </row>
        <row r="20696">
          <cell r="G20696" t="str">
            <v>ASV5441</v>
          </cell>
          <cell r="H20696" t="str">
            <v>g__Christensenellaceae_R-7_group</v>
          </cell>
          <cell r="I20696" t="str">
            <v>s__unclassified_g__Christensenellaceae_R-7_group</v>
          </cell>
        </row>
        <row r="20697">
          <cell r="G20697" t="str">
            <v>ASV20049</v>
          </cell>
          <cell r="H20697" t="str">
            <v>g__unclassified_f__Lachnospiraceae</v>
          </cell>
          <cell r="I20697" t="str">
            <v>s__unclassified_f__Lachnospiraceae</v>
          </cell>
        </row>
        <row r="20698">
          <cell r="G20698" t="str">
            <v>ASV6155</v>
          </cell>
          <cell r="H20698" t="str">
            <v>g__UCG-004</v>
          </cell>
          <cell r="I20698" t="str">
            <v>s__uncultured_bacterium_g__UCG-004</v>
          </cell>
        </row>
        <row r="20699">
          <cell r="G20699" t="str">
            <v>ASV1331</v>
          </cell>
          <cell r="H20699" t="str">
            <v>g__unclassified_c__Clostridia</v>
          </cell>
          <cell r="I20699" t="str">
            <v>s__unclassified_c__Clostridia</v>
          </cell>
        </row>
        <row r="20700">
          <cell r="G20700" t="str">
            <v>ASV6869</v>
          </cell>
          <cell r="H20700" t="str">
            <v>g__Eubacterium</v>
          </cell>
          <cell r="I20700" t="str">
            <v>s__unclassified_g__Eubacterium</v>
          </cell>
        </row>
        <row r="20701">
          <cell r="G20701" t="str">
            <v>ASV16609</v>
          </cell>
          <cell r="H20701" t="str">
            <v>g__unclassified_o__Bacteroidales</v>
          </cell>
          <cell r="I20701" t="str">
            <v>s__unclassified_o__Bacteroidales</v>
          </cell>
        </row>
        <row r="20702">
          <cell r="G20702" t="str">
            <v>ASV3558</v>
          </cell>
          <cell r="H20702" t="str">
            <v>g__unclassified_c__Bacilli</v>
          </cell>
          <cell r="I20702" t="str">
            <v>s__unclassified_c__Bacilli</v>
          </cell>
        </row>
        <row r="20703">
          <cell r="G20703" t="str">
            <v>ASV17099</v>
          </cell>
          <cell r="H20703" t="str">
            <v>g__Lactobacillus</v>
          </cell>
          <cell r="I20703" t="str">
            <v>s__unclassified_g__Lactobacillus</v>
          </cell>
        </row>
        <row r="20704">
          <cell r="G20704" t="str">
            <v>ASV6866</v>
          </cell>
          <cell r="H20704" t="str">
            <v>g__Fournierella</v>
          </cell>
          <cell r="I20704" t="str">
            <v>s__uncultured_Firmicutes_bacterium_g__Fournierella</v>
          </cell>
        </row>
        <row r="20705">
          <cell r="G20705" t="str">
            <v>ASV19886</v>
          </cell>
          <cell r="H20705" t="str">
            <v>g__unclassified_c__Clostridia</v>
          </cell>
          <cell r="I20705" t="str">
            <v>s__unclassified_c__Clostridia</v>
          </cell>
        </row>
        <row r="20706">
          <cell r="G20706" t="str">
            <v>ASV21031</v>
          </cell>
          <cell r="H20706" t="str">
            <v>g__unclassified_f__Lachnospiraceae</v>
          </cell>
          <cell r="I20706" t="str">
            <v>s__unclassified_f__Lachnospiraceae</v>
          </cell>
        </row>
        <row r="20707">
          <cell r="G20707" t="str">
            <v>ASV1436</v>
          </cell>
          <cell r="H20707" t="str">
            <v>g__norank_f__Paludibacteraceae</v>
          </cell>
          <cell r="I20707" t="str">
            <v>s__uncultured_bacterium_g__norank_f__Paludibacteraceae</v>
          </cell>
        </row>
        <row r="20708">
          <cell r="G20708" t="str">
            <v>ASV22561</v>
          </cell>
          <cell r="H20708" t="str">
            <v>g__unclassified_o__Oscillospirales</v>
          </cell>
          <cell r="I20708" t="str">
            <v>s__unclassified_o__Oscillospirales</v>
          </cell>
        </row>
        <row r="20709">
          <cell r="G20709" t="str">
            <v>ASV15657</v>
          </cell>
          <cell r="H20709" t="str">
            <v>g__unclassified_c__Clostridia</v>
          </cell>
          <cell r="I20709" t="str">
            <v>s__unclassified_c__Clostridia</v>
          </cell>
        </row>
        <row r="20710">
          <cell r="G20710" t="str">
            <v>ASV1153</v>
          </cell>
          <cell r="H20710" t="str">
            <v>g__unclassified_f__Lachnospiraceae</v>
          </cell>
          <cell r="I20710" t="str">
            <v>s__unclassified_f__Lachnospiraceae</v>
          </cell>
        </row>
        <row r="20711">
          <cell r="G20711" t="str">
            <v>ASV14770</v>
          </cell>
          <cell r="H20711" t="str">
            <v>g__Lactobacillus</v>
          </cell>
          <cell r="I20711" t="str">
            <v>s__unclassified_g__Lactobacillus</v>
          </cell>
        </row>
        <row r="20712">
          <cell r="G20712" t="str">
            <v>ASV15704</v>
          </cell>
          <cell r="H20712" t="str">
            <v>g__unclassified_c__Clostridia</v>
          </cell>
          <cell r="I20712" t="str">
            <v>s__unclassified_c__Clostridia</v>
          </cell>
        </row>
        <row r="20713">
          <cell r="G20713" t="str">
            <v>ASV8553</v>
          </cell>
          <cell r="H20713" t="str">
            <v>g__unclassified_k__norank_d__Bacteria</v>
          </cell>
          <cell r="I20713" t="str">
            <v>s__unclassified_k__norank_d__Bacteria</v>
          </cell>
        </row>
        <row r="20714">
          <cell r="G20714" t="str">
            <v>ASV20190</v>
          </cell>
          <cell r="H20714" t="str">
            <v>g__norank_f__Ruminococcaceae</v>
          </cell>
          <cell r="I20714" t="str">
            <v>s__unclassified_g__norank_f__Ruminococcaceae</v>
          </cell>
        </row>
        <row r="20715">
          <cell r="G20715" t="str">
            <v>ASV14891</v>
          </cell>
          <cell r="H20715" t="str">
            <v>g__Lactobacillus</v>
          </cell>
          <cell r="I20715" t="str">
            <v>s__unclassified_g__Lactobacillus</v>
          </cell>
        </row>
        <row r="20716">
          <cell r="G20716" t="str">
            <v>ASV8067</v>
          </cell>
          <cell r="H20716" t="str">
            <v>g__Lactobacillus</v>
          </cell>
          <cell r="I20716" t="str">
            <v>s__unclassified_g__Lactobacillus</v>
          </cell>
        </row>
        <row r="20717">
          <cell r="G20717" t="str">
            <v>ASV8120</v>
          </cell>
          <cell r="H20717" t="str">
            <v>g__unclassified_p__Firmicutes</v>
          </cell>
          <cell r="I20717" t="str">
            <v>s__unclassified_p__Firmicutes</v>
          </cell>
        </row>
        <row r="20718">
          <cell r="G20718" t="str">
            <v>ASV12147</v>
          </cell>
          <cell r="H20718" t="str">
            <v>g__unclassified_c__Clostridia</v>
          </cell>
          <cell r="I20718" t="str">
            <v>s__unclassified_c__Clostridia</v>
          </cell>
        </row>
        <row r="20719">
          <cell r="G20719" t="str">
            <v>ASV4272</v>
          </cell>
          <cell r="H20719" t="str">
            <v>g__unclassified_f__Lachnospiraceae</v>
          </cell>
          <cell r="I20719" t="str">
            <v>s__unclassified_f__Lachnospiraceae</v>
          </cell>
        </row>
        <row r="20720">
          <cell r="G20720" t="str">
            <v>ASV6180</v>
          </cell>
          <cell r="H20720" t="str">
            <v>g__norank_f__norank_o__RF39</v>
          </cell>
          <cell r="I20720" t="str">
            <v>s__uncultured_bacterium_g__norank_f__norank_o__RF39</v>
          </cell>
        </row>
        <row r="20721">
          <cell r="G20721" t="str">
            <v>ASV12357</v>
          </cell>
          <cell r="H20721" t="str">
            <v>g__unclassified_f__Lachnospiraceae</v>
          </cell>
          <cell r="I20721" t="str">
            <v>s__unclassified_f__Lachnospiraceae</v>
          </cell>
        </row>
        <row r="20722">
          <cell r="G20722" t="str">
            <v>ASV2428</v>
          </cell>
          <cell r="H20722" t="str">
            <v>g__unclassified_c__Clostridia</v>
          </cell>
          <cell r="I20722" t="str">
            <v>s__unclassified_c__Clostridia</v>
          </cell>
        </row>
        <row r="20723">
          <cell r="G20723" t="str">
            <v>ASV10335</v>
          </cell>
          <cell r="H20723" t="str">
            <v>g__unclassified_p__Firmicutes</v>
          </cell>
          <cell r="I20723" t="str">
            <v>s__unclassified_p__Firmicutes</v>
          </cell>
        </row>
        <row r="20724">
          <cell r="G20724" t="str">
            <v>ASV19983</v>
          </cell>
          <cell r="H20724" t="str">
            <v>g__unclassified_f__Oscillospiraceae</v>
          </cell>
          <cell r="I20724" t="str">
            <v>s__unclassified_f__Oscillospiraceae</v>
          </cell>
        </row>
        <row r="20725">
          <cell r="G20725" t="str">
            <v>ASV6480</v>
          </cell>
          <cell r="H20725" t="str">
            <v>g__norank_f__Ruminococcaceae</v>
          </cell>
          <cell r="I20725" t="str">
            <v>s__unclassified_g__norank_f__Ruminococcaceae</v>
          </cell>
        </row>
        <row r="20726">
          <cell r="G20726" t="str">
            <v>ASV21111</v>
          </cell>
          <cell r="H20726" t="str">
            <v>g__Faecalicoccus</v>
          </cell>
          <cell r="I20726" t="str">
            <v>s__Faecalicoccus_pleomorphus_DSM_20574</v>
          </cell>
        </row>
        <row r="20727">
          <cell r="G20727" t="str">
            <v>ASV3555</v>
          </cell>
          <cell r="H20727" t="str">
            <v>g__Megasphaera</v>
          </cell>
          <cell r="I20727" t="str">
            <v>s__unclassified_g__Megasphaera</v>
          </cell>
        </row>
        <row r="20728">
          <cell r="G20728" t="str">
            <v>ASV3310</v>
          </cell>
          <cell r="H20728" t="str">
            <v>g__unclassified_f__Lachnospiraceae</v>
          </cell>
          <cell r="I20728" t="str">
            <v>s__unclassified_f__Lachnospiraceae</v>
          </cell>
        </row>
        <row r="20729">
          <cell r="G20729" t="str">
            <v>ASV12334</v>
          </cell>
          <cell r="H20729" t="str">
            <v>g__unclassified_o__Bacteroidales</v>
          </cell>
          <cell r="I20729" t="str">
            <v>s__unclassified_o__Bacteroidales</v>
          </cell>
        </row>
        <row r="20730">
          <cell r="G20730" t="str">
            <v>ASV12406</v>
          </cell>
          <cell r="H20730" t="str">
            <v>g__unclassified_f__Lachnospiraceae</v>
          </cell>
          <cell r="I20730" t="str">
            <v>s__unclassified_f__Lachnospiraceae</v>
          </cell>
        </row>
        <row r="20731">
          <cell r="G20731" t="str">
            <v>ASV5160</v>
          </cell>
          <cell r="H20731" t="str">
            <v>g__unclassified_o__Peptostreptococcales-Tissierellales</v>
          </cell>
          <cell r="I20731" t="str">
            <v>s__unclassified_o__Peptostreptococcales-Tissierellales</v>
          </cell>
        </row>
        <row r="20732">
          <cell r="G20732" t="str">
            <v>ASV8592</v>
          </cell>
          <cell r="H20732" t="str">
            <v>g__unclassified_o__Veillonellales-Selenomonadales</v>
          </cell>
          <cell r="I20732" t="str">
            <v>s__unclassified_o__Veillonellales-Selenomonadales</v>
          </cell>
        </row>
        <row r="20733">
          <cell r="G20733" t="str">
            <v>ASV12292</v>
          </cell>
          <cell r="H20733" t="str">
            <v>g__unclassified_c__Clostridia</v>
          </cell>
          <cell r="I20733" t="str">
            <v>s__unclassified_c__Clostridia</v>
          </cell>
        </row>
        <row r="20734">
          <cell r="G20734" t="str">
            <v>ASV3339</v>
          </cell>
          <cell r="H20734" t="str">
            <v>g__Fusobacterium</v>
          </cell>
          <cell r="I20734" t="str">
            <v>s__unclassified_g__Fusobacterium</v>
          </cell>
        </row>
        <row r="20735">
          <cell r="G20735" t="str">
            <v>ASV16700</v>
          </cell>
          <cell r="H20735" t="str">
            <v>g__unclassified_k__norank_d__Bacteria</v>
          </cell>
          <cell r="I20735" t="str">
            <v>s__unclassified_k__norank_d__Bacteria</v>
          </cell>
        </row>
        <row r="20736">
          <cell r="G20736" t="str">
            <v>ASV9687</v>
          </cell>
          <cell r="H20736" t="str">
            <v>g__Clostridium_sensu_stricto_6</v>
          </cell>
          <cell r="I20736" t="str">
            <v>s__Clostridium_bornimense</v>
          </cell>
        </row>
        <row r="20737">
          <cell r="G20737" t="str">
            <v>ASV14904</v>
          </cell>
          <cell r="H20737" t="str">
            <v>g__Ruminococcus</v>
          </cell>
          <cell r="I20737" t="str">
            <v>s__uncultured_bacterium_g__Ruminococcus</v>
          </cell>
        </row>
        <row r="20738">
          <cell r="G20738" t="str">
            <v>ASV21040</v>
          </cell>
          <cell r="H20738" t="str">
            <v>g__Lactobacillus</v>
          </cell>
          <cell r="I20738" t="str">
            <v>s__Lactobacillus_sp._KC45b</v>
          </cell>
        </row>
        <row r="20739">
          <cell r="G20739" t="str">
            <v>ASV22901</v>
          </cell>
          <cell r="H20739" t="str">
            <v>g__Brevibacterium</v>
          </cell>
          <cell r="I20739" t="str">
            <v>s__unclassified_g__Brevibacterium</v>
          </cell>
        </row>
        <row r="20740">
          <cell r="G20740" t="str">
            <v>ASV23702</v>
          </cell>
          <cell r="H20740" t="str">
            <v>g__Subdoligranulum</v>
          </cell>
          <cell r="I20740" t="str">
            <v>s__unclassified_g__Subdoligranulum</v>
          </cell>
        </row>
        <row r="20741">
          <cell r="G20741" t="str">
            <v>ASV16660</v>
          </cell>
          <cell r="H20741" t="str">
            <v>g__Collinsella</v>
          </cell>
          <cell r="I20741" t="str">
            <v>s__unclassified_g__Collinsella</v>
          </cell>
        </row>
        <row r="20742">
          <cell r="G20742" t="str">
            <v>ASV13070</v>
          </cell>
          <cell r="H20742" t="str">
            <v>g__Prevotella</v>
          </cell>
          <cell r="I20742" t="str">
            <v>s__unclassified_g__Prevotella</v>
          </cell>
        </row>
        <row r="20743">
          <cell r="G20743" t="str">
            <v>ASV13745</v>
          </cell>
          <cell r="H20743" t="str">
            <v>g__unclassified_f__Selenomonadaceae</v>
          </cell>
          <cell r="I20743" t="str">
            <v>s__unclassified_f__Selenomonadaceae</v>
          </cell>
        </row>
        <row r="20744">
          <cell r="G20744" t="str">
            <v>ASV24028</v>
          </cell>
          <cell r="H20744" t="str">
            <v>g__Veillonella</v>
          </cell>
          <cell r="I20744" t="str">
            <v>s__unclassified_g__Veillonella</v>
          </cell>
        </row>
        <row r="20745">
          <cell r="G20745" t="str">
            <v>ASV13842</v>
          </cell>
          <cell r="H20745" t="str">
            <v>g__Enterococcus</v>
          </cell>
          <cell r="I20745" t="str">
            <v>s__unclassified_g__Enterococcus</v>
          </cell>
        </row>
        <row r="20746">
          <cell r="G20746" t="str">
            <v>ASV12099</v>
          </cell>
          <cell r="H20746" t="str">
            <v>g__unclassified_k__norank_d__Bacteria</v>
          </cell>
          <cell r="I20746" t="str">
            <v>s__unclassified_k__norank_d__Bacteria</v>
          </cell>
        </row>
        <row r="20747">
          <cell r="G20747" t="str">
            <v>ASV4271</v>
          </cell>
          <cell r="H20747" t="str">
            <v>g__Bacteroides</v>
          </cell>
          <cell r="I20747" t="str">
            <v>s__unclassified_g__Bacteroides</v>
          </cell>
        </row>
        <row r="20748">
          <cell r="G20748" t="str">
            <v>ASV22665</v>
          </cell>
          <cell r="H20748" t="str">
            <v>g__unclassified_c__Clostridia</v>
          </cell>
          <cell r="I20748" t="str">
            <v>s__unclassified_c__Clostridia</v>
          </cell>
        </row>
        <row r="20749">
          <cell r="G20749" t="str">
            <v>ASV3537</v>
          </cell>
          <cell r="H20749" t="str">
            <v>g__unclassified_f__Caulobacteraceae</v>
          </cell>
          <cell r="I20749" t="str">
            <v>s__unclassified_f__Caulobacteraceae</v>
          </cell>
        </row>
        <row r="20750">
          <cell r="G20750" t="str">
            <v>ASV15720</v>
          </cell>
          <cell r="H20750" t="str">
            <v>g__unclassified_f__Anaerovoracaceae</v>
          </cell>
          <cell r="I20750" t="str">
            <v>s__unclassified_f__Anaerovoracaceae</v>
          </cell>
        </row>
        <row r="20751">
          <cell r="G20751" t="str">
            <v>ASV14759</v>
          </cell>
          <cell r="H20751" t="str">
            <v>g__Christensenellaceae_R-7_group</v>
          </cell>
          <cell r="I20751" t="str">
            <v>s__unclassified_g__Christensenellaceae_R-7_group</v>
          </cell>
        </row>
        <row r="20752">
          <cell r="G20752" t="str">
            <v>ASV14653</v>
          </cell>
          <cell r="H20752" t="str">
            <v>g__unclassified_p__Firmicutes</v>
          </cell>
          <cell r="I20752" t="str">
            <v>s__unclassified_p__Firmicutes</v>
          </cell>
        </row>
        <row r="20753">
          <cell r="G20753" t="str">
            <v>ASV1300</v>
          </cell>
          <cell r="H20753" t="str">
            <v>g__unclassified_c__Clostridia</v>
          </cell>
          <cell r="I20753" t="str">
            <v>s__unclassified_c__Clostridia</v>
          </cell>
        </row>
        <row r="20754">
          <cell r="G20754" t="str">
            <v>ASV23594</v>
          </cell>
          <cell r="H20754" t="str">
            <v>g__Subdoligranulum</v>
          </cell>
          <cell r="I20754" t="str">
            <v>s__unclassified_g__Subdoligranulum</v>
          </cell>
        </row>
        <row r="20755">
          <cell r="G20755" t="str">
            <v>ASV22583</v>
          </cell>
          <cell r="H20755" t="str">
            <v>g__unclassified_f__Lachnospiraceae</v>
          </cell>
          <cell r="I20755" t="str">
            <v>s__unclassified_f__Lachnospiraceae</v>
          </cell>
        </row>
        <row r="20756">
          <cell r="G20756" t="str">
            <v>ASV16100</v>
          </cell>
          <cell r="H20756" t="str">
            <v>g__unclassified_k__norank_d__Bacteria</v>
          </cell>
          <cell r="I20756" t="str">
            <v>s__unclassified_k__norank_d__Bacteria</v>
          </cell>
        </row>
        <row r="20757">
          <cell r="G20757" t="str">
            <v>ASV9048</v>
          </cell>
          <cell r="H20757" t="str">
            <v>g__unclassified_p__Firmicutes</v>
          </cell>
          <cell r="I20757" t="str">
            <v>s__unclassified_p__Firmicutes</v>
          </cell>
        </row>
        <row r="20758">
          <cell r="G20758" t="str">
            <v>ASV10898</v>
          </cell>
          <cell r="H20758" t="str">
            <v>g__unclassified_f__Lachnospiraceae</v>
          </cell>
          <cell r="I20758" t="str">
            <v>s__unclassified_f__Lachnospiraceae</v>
          </cell>
        </row>
        <row r="20759">
          <cell r="G20759" t="str">
            <v>ASV9617</v>
          </cell>
          <cell r="H20759" t="str">
            <v>g__Lactobacillus</v>
          </cell>
          <cell r="I20759" t="str">
            <v>s__unclassified_g__Lactobacillus</v>
          </cell>
        </row>
        <row r="20760">
          <cell r="G20760" t="str">
            <v>ASV20105</v>
          </cell>
          <cell r="H20760" t="str">
            <v>g__unclassified_f__Lachnospiraceae</v>
          </cell>
          <cell r="I20760" t="str">
            <v>s__unclassified_f__Lachnospiraceae</v>
          </cell>
        </row>
        <row r="20761">
          <cell r="G20761" t="str">
            <v>ASV1756</v>
          </cell>
          <cell r="H20761" t="str">
            <v>g__Bifidobacterium</v>
          </cell>
          <cell r="I20761" t="str">
            <v>s__unclassified_g__Bifidobacterium</v>
          </cell>
        </row>
        <row r="20762">
          <cell r="G20762" t="str">
            <v>ASV22873</v>
          </cell>
          <cell r="H20762" t="str">
            <v>g__unclassified_f__Lachnospiraceae</v>
          </cell>
          <cell r="I20762" t="str">
            <v>s__unclassified_f__Lachnospiraceae</v>
          </cell>
        </row>
        <row r="20763">
          <cell r="G20763" t="str">
            <v>ASV12339</v>
          </cell>
          <cell r="H20763" t="str">
            <v>g__UCG-005</v>
          </cell>
          <cell r="I20763" t="str">
            <v>s__unclassified_g__UCG-005</v>
          </cell>
        </row>
        <row r="20764">
          <cell r="G20764" t="str">
            <v>ASV16577</v>
          </cell>
          <cell r="H20764" t="str">
            <v>g__unclassified_c__Clostridia</v>
          </cell>
          <cell r="I20764" t="str">
            <v>s__unclassified_c__Clostridia</v>
          </cell>
        </row>
        <row r="20765">
          <cell r="G20765" t="str">
            <v>ASV14598</v>
          </cell>
          <cell r="H20765" t="str">
            <v>g__unclassified_c__Clostridia</v>
          </cell>
          <cell r="I20765" t="str">
            <v>s__unclassified_c__Clostridia</v>
          </cell>
        </row>
        <row r="20766">
          <cell r="G20766" t="str">
            <v>ASV14956</v>
          </cell>
          <cell r="H20766" t="str">
            <v>g__Veillonella</v>
          </cell>
          <cell r="I20766" t="str">
            <v>s__unclassified_g__Veillonella</v>
          </cell>
        </row>
        <row r="20767">
          <cell r="G20767" t="str">
            <v>ASV19935</v>
          </cell>
          <cell r="H20767" t="str">
            <v>g__unclassified_c__Clostridia</v>
          </cell>
          <cell r="I20767" t="str">
            <v>s__unclassified_c__Clostridia</v>
          </cell>
        </row>
        <row r="20768">
          <cell r="G20768" t="str">
            <v>ASV9718</v>
          </cell>
          <cell r="H20768" t="str">
            <v>g__Lactobacillus</v>
          </cell>
          <cell r="I20768" t="str">
            <v>s__unclassified_g__Lactobacillus</v>
          </cell>
        </row>
        <row r="20769">
          <cell r="G20769" t="str">
            <v>ASV23579</v>
          </cell>
          <cell r="H20769" t="str">
            <v>g__Streptococcus</v>
          </cell>
          <cell r="I20769" t="str">
            <v>s__unclassified_g__Streptococcus</v>
          </cell>
        </row>
        <row r="20770">
          <cell r="G20770" t="str">
            <v>ASV2445</v>
          </cell>
          <cell r="H20770" t="str">
            <v>g__unclassified_f__Erysipelotrichaceae</v>
          </cell>
          <cell r="I20770" t="str">
            <v>s__unclassified_f__Erysipelotrichaceae</v>
          </cell>
        </row>
        <row r="20771">
          <cell r="G20771" t="str">
            <v>ASV2408</v>
          </cell>
          <cell r="H20771" t="str">
            <v>g__unclassified_f__Ruminococcaceae</v>
          </cell>
          <cell r="I20771" t="str">
            <v>s__unclassified_f__Ruminococcaceae</v>
          </cell>
        </row>
        <row r="20772">
          <cell r="G20772" t="str">
            <v>ASV22795</v>
          </cell>
          <cell r="H20772" t="str">
            <v>g__norank_f__UCG-011</v>
          </cell>
          <cell r="I20772" t="str">
            <v>s__uncultured_bacterium_g__norank_f__UCG-011</v>
          </cell>
        </row>
        <row r="20773">
          <cell r="G20773" t="str">
            <v>ASV7117</v>
          </cell>
          <cell r="H20773" t="str">
            <v>g__norank_f__Oscillospiraceae</v>
          </cell>
          <cell r="I20773" t="str">
            <v>s__unclassified_g__norank_f__Oscillospiraceae</v>
          </cell>
        </row>
        <row r="20774">
          <cell r="G20774" t="str">
            <v>ASV8562</v>
          </cell>
          <cell r="H20774" t="str">
            <v>g__Lactobacillus</v>
          </cell>
          <cell r="I20774" t="str">
            <v>s__unclassified_g__Lactobacillus</v>
          </cell>
        </row>
        <row r="20775">
          <cell r="G20775" t="str">
            <v>ASV15754</v>
          </cell>
          <cell r="H20775" t="str">
            <v>g__unclassified_f__Christensenellaceae</v>
          </cell>
          <cell r="I20775" t="str">
            <v>s__unclassified_f__Christensenellaceae</v>
          </cell>
        </row>
        <row r="20776">
          <cell r="G20776" t="str">
            <v>ASV6989</v>
          </cell>
          <cell r="H20776" t="str">
            <v>g__Cloacibacillus</v>
          </cell>
          <cell r="I20776" t="str">
            <v>s__unclassified_g__Cloacibacillus</v>
          </cell>
        </row>
        <row r="20777">
          <cell r="G20777" t="str">
            <v>ASV21681</v>
          </cell>
          <cell r="H20777" t="str">
            <v>g__Prevotella</v>
          </cell>
          <cell r="I20777" t="str">
            <v>s__unclassified_g__Prevotella</v>
          </cell>
        </row>
        <row r="20778">
          <cell r="G20778" t="str">
            <v>ASV16721</v>
          </cell>
          <cell r="H20778" t="str">
            <v>g__Bifidobacterium</v>
          </cell>
          <cell r="I20778" t="str">
            <v>s__unclassified_g__Bifidobacterium</v>
          </cell>
        </row>
        <row r="20779">
          <cell r="G20779" t="str">
            <v>ASV8195</v>
          </cell>
          <cell r="H20779" t="str">
            <v>g__unclassified_f__Lachnospiraceae</v>
          </cell>
          <cell r="I20779" t="str">
            <v>s__unclassified_f__Lachnospiraceae</v>
          </cell>
        </row>
        <row r="20780">
          <cell r="G20780" t="str">
            <v>ASV15667</v>
          </cell>
          <cell r="H20780" t="str">
            <v>g__unclassified_o__Oscillospirales</v>
          </cell>
          <cell r="I20780" t="str">
            <v>s__unclassified_o__Oscillospirales</v>
          </cell>
        </row>
        <row r="20781">
          <cell r="G20781" t="str">
            <v>ASV5272</v>
          </cell>
          <cell r="H20781" t="str">
            <v>g__unclassified_o__Bacteroidales</v>
          </cell>
          <cell r="I20781" t="str">
            <v>s__unclassified_o__Bacteroidales</v>
          </cell>
        </row>
        <row r="20782">
          <cell r="G20782" t="str">
            <v>ASV2423</v>
          </cell>
          <cell r="H20782" t="str">
            <v>g__Ruminococcus</v>
          </cell>
          <cell r="I20782" t="str">
            <v>s__unclassified_g__Ruminococcus</v>
          </cell>
        </row>
        <row r="20783">
          <cell r="G20783" t="str">
            <v>ASV6160</v>
          </cell>
          <cell r="H20783" t="str">
            <v>g__unclassified_o__Bacteroidales</v>
          </cell>
          <cell r="I20783" t="str">
            <v>s__unclassified_o__Bacteroidales</v>
          </cell>
        </row>
        <row r="20784">
          <cell r="G20784" t="str">
            <v>ASV8007</v>
          </cell>
          <cell r="H20784" t="str">
            <v>g__Streptococcus</v>
          </cell>
          <cell r="I20784" t="str">
            <v>s__unclassified_g__Streptococcus</v>
          </cell>
        </row>
        <row r="20785">
          <cell r="G20785" t="str">
            <v>ASV6482</v>
          </cell>
          <cell r="H20785" t="str">
            <v>g__unclassified_c__Clostridia</v>
          </cell>
          <cell r="I20785" t="str">
            <v>s__unclassified_c__Clostridia</v>
          </cell>
        </row>
        <row r="20786">
          <cell r="G20786" t="str">
            <v>ASV8027</v>
          </cell>
          <cell r="H20786" t="str">
            <v>g__Phascolarctobacterium</v>
          </cell>
          <cell r="I20786" t="str">
            <v>s__uncultured_bacterium_g__Phascolarctobacterium</v>
          </cell>
        </row>
        <row r="20787">
          <cell r="G20787" t="str">
            <v>ASV9786</v>
          </cell>
          <cell r="H20787" t="str">
            <v>g__unclassified_c__Bacilli</v>
          </cell>
          <cell r="I20787" t="str">
            <v>s__unclassified_c__Bacilli</v>
          </cell>
        </row>
        <row r="20788">
          <cell r="G20788" t="str">
            <v>ASV9670</v>
          </cell>
          <cell r="H20788" t="str">
            <v>g__Eubacterium_nodatum_group</v>
          </cell>
          <cell r="I20788" t="str">
            <v>s__unclassified_g__Eubacterium_nodatum_group</v>
          </cell>
        </row>
        <row r="20789">
          <cell r="G20789" t="str">
            <v>ASV6191</v>
          </cell>
          <cell r="H20789" t="str">
            <v>g__Rikenellaceae_RC9_gut_group</v>
          </cell>
          <cell r="I20789" t="str">
            <v>s__uncultured_bacterium_g__Rikenellaceae_RC9_gut_group</v>
          </cell>
        </row>
        <row r="20790">
          <cell r="G20790" t="str">
            <v>ASV22715</v>
          </cell>
          <cell r="H20790" t="str">
            <v>g__Lactobacillus</v>
          </cell>
          <cell r="I20790" t="str">
            <v>s__unclassified_g__Lactobacillus</v>
          </cell>
        </row>
        <row r="20791">
          <cell r="G20791" t="str">
            <v>ASV15647</v>
          </cell>
          <cell r="H20791" t="str">
            <v>g__Alloprevotella</v>
          </cell>
          <cell r="I20791" t="str">
            <v>s__uncultured_bacterium_g__Alloprevotella</v>
          </cell>
        </row>
        <row r="20792">
          <cell r="G20792" t="str">
            <v>ASV4215</v>
          </cell>
          <cell r="H20792" t="str">
            <v>g__unclassified_o__Bacteroidales</v>
          </cell>
          <cell r="I20792" t="str">
            <v>s__unclassified_o__Bacteroidales</v>
          </cell>
        </row>
        <row r="20793">
          <cell r="G20793" t="str">
            <v>ASV21004</v>
          </cell>
          <cell r="H20793" t="str">
            <v>g__unclassified_f__Lachnospiraceae</v>
          </cell>
          <cell r="I20793" t="str">
            <v>s__unclassified_f__Lachnospiraceae</v>
          </cell>
        </row>
        <row r="20794">
          <cell r="G20794" t="str">
            <v>ASV5311</v>
          </cell>
          <cell r="H20794" t="str">
            <v>g__unclassified_f__Lachnospiraceae</v>
          </cell>
          <cell r="I20794" t="str">
            <v>s__unclassified_f__Lachnospiraceae</v>
          </cell>
        </row>
        <row r="20795">
          <cell r="G20795" t="str">
            <v>ASV1151</v>
          </cell>
          <cell r="H20795" t="str">
            <v>g__norank_f__Muribaculaceae</v>
          </cell>
          <cell r="I20795" t="str">
            <v>s__uncultured_bacterium_g__norank_f__Muribaculaceae</v>
          </cell>
        </row>
        <row r="20796">
          <cell r="G20796" t="str">
            <v>ASV18962</v>
          </cell>
          <cell r="H20796" t="str">
            <v>g__Bacteroides</v>
          </cell>
          <cell r="I20796" t="str">
            <v>s__unclassified_g__Bacteroides</v>
          </cell>
        </row>
        <row r="20797">
          <cell r="G20797" t="str">
            <v>ASV1303</v>
          </cell>
          <cell r="H20797" t="str">
            <v>g__unclassified_p__Firmicutes</v>
          </cell>
          <cell r="I20797" t="str">
            <v>s__unclassified_p__Firmicutes</v>
          </cell>
        </row>
        <row r="20798">
          <cell r="G20798" t="str">
            <v>ASV17644</v>
          </cell>
          <cell r="H20798" t="str">
            <v>g__Subdoligranulum</v>
          </cell>
          <cell r="I20798" t="str">
            <v>s__uncultured_Faecalibacterium_sp._g__Subdoligranulum</v>
          </cell>
        </row>
        <row r="20799">
          <cell r="G20799" t="str">
            <v>ASV11076</v>
          </cell>
          <cell r="H20799" t="str">
            <v>g__Lactobacillus</v>
          </cell>
          <cell r="I20799" t="str">
            <v>s__unclassified_g__Lactobacillus</v>
          </cell>
        </row>
        <row r="20800">
          <cell r="G20800" t="str">
            <v>ASV22700</v>
          </cell>
          <cell r="H20800" t="str">
            <v>g__unclassified_c__Clostridia</v>
          </cell>
          <cell r="I20800" t="str">
            <v>s__unclassified_c__Clostridia</v>
          </cell>
        </row>
        <row r="20801">
          <cell r="G20801" t="str">
            <v>ASV18723</v>
          </cell>
          <cell r="H20801" t="str">
            <v>g__unclassified_f__Lachnospiraceae</v>
          </cell>
          <cell r="I20801" t="str">
            <v>s__unclassified_f__Lachnospiraceae</v>
          </cell>
        </row>
        <row r="20802">
          <cell r="G20802" t="str">
            <v>ASV22991</v>
          </cell>
          <cell r="H20802" t="str">
            <v>g__Veillonella</v>
          </cell>
          <cell r="I20802" t="str">
            <v>s__unclassified_g__Veillonella</v>
          </cell>
        </row>
        <row r="20803">
          <cell r="G20803" t="str">
            <v>ASV17034</v>
          </cell>
          <cell r="H20803" t="str">
            <v>g__unclassified_c__Clostridia</v>
          </cell>
          <cell r="I20803" t="str">
            <v>s__unclassified_c__Clostridia</v>
          </cell>
        </row>
        <row r="20804">
          <cell r="G20804" t="str">
            <v>ASV1813</v>
          </cell>
          <cell r="H20804" t="str">
            <v>g__Lactobacillus</v>
          </cell>
          <cell r="I20804" t="str">
            <v>s__unclassified_g__Lactobacillus</v>
          </cell>
        </row>
        <row r="20805">
          <cell r="G20805" t="str">
            <v>ASV12418</v>
          </cell>
          <cell r="H20805" t="str">
            <v>g__NK4A214_group</v>
          </cell>
          <cell r="I20805" t="str">
            <v>s__unclassified_g__NK4A214_group</v>
          </cell>
        </row>
        <row r="20806">
          <cell r="G20806" t="str">
            <v>ASV1797</v>
          </cell>
          <cell r="H20806" t="str">
            <v>g__UCG-005</v>
          </cell>
          <cell r="I20806" t="str">
            <v>s__uncultured_bacterium_g__UCG-005</v>
          </cell>
        </row>
        <row r="20807">
          <cell r="G20807" t="str">
            <v>ASV4358</v>
          </cell>
          <cell r="H20807" t="str">
            <v>g__Cloacibacillus</v>
          </cell>
          <cell r="I20807" t="str">
            <v>s__unclassified_g__Cloacibacillus</v>
          </cell>
        </row>
        <row r="20808">
          <cell r="G20808" t="str">
            <v>ASV8033</v>
          </cell>
          <cell r="H20808" t="str">
            <v>g__Ruminococcus</v>
          </cell>
          <cell r="I20808" t="str">
            <v>s__unclassified_g__Ruminococcus</v>
          </cell>
        </row>
        <row r="20809">
          <cell r="G20809" t="str">
            <v>ASV8087</v>
          </cell>
          <cell r="H20809" t="str">
            <v>g__unclassified_c__Clostridia</v>
          </cell>
          <cell r="I20809" t="str">
            <v>s__unclassified_c__Clostridia</v>
          </cell>
        </row>
        <row r="20810">
          <cell r="G20810" t="str">
            <v>ASV15683</v>
          </cell>
          <cell r="H20810" t="str">
            <v>g__unclassified_o__Bacteroidales</v>
          </cell>
          <cell r="I20810" t="str">
            <v>s__unclassified_o__Bacteroidales</v>
          </cell>
        </row>
        <row r="20811">
          <cell r="G20811" t="str">
            <v>ASV20096</v>
          </cell>
          <cell r="H20811" t="str">
            <v>g__Eubacterium_oxidoreducens_group</v>
          </cell>
          <cell r="I20811" t="str">
            <v>s__uncultured_bacterium_g__Eubacterium_oxidoreducens_group</v>
          </cell>
        </row>
        <row r="20812">
          <cell r="G20812" t="str">
            <v>ASV9114</v>
          </cell>
          <cell r="H20812" t="str">
            <v>g__Clostridium_sensu_stricto_1</v>
          </cell>
          <cell r="I20812" t="str">
            <v>s__unclassified_g__Clostridium_sensu_stricto_1</v>
          </cell>
        </row>
        <row r="20813">
          <cell r="G20813" t="str">
            <v>ASV5257</v>
          </cell>
          <cell r="H20813" t="str">
            <v>g__unclassified_c__Clostridia</v>
          </cell>
          <cell r="I20813" t="str">
            <v>s__unclassified_c__Clostridia</v>
          </cell>
        </row>
        <row r="20814">
          <cell r="G20814" t="str">
            <v>ASV7404</v>
          </cell>
          <cell r="H20814" t="str">
            <v>g__Lactobacillus</v>
          </cell>
          <cell r="I20814" t="str">
            <v>s__uncultured_bacterium_g__Lactobacillus</v>
          </cell>
        </row>
        <row r="20815">
          <cell r="G20815" t="str">
            <v>ASV7119</v>
          </cell>
          <cell r="H20815" t="str">
            <v>g__unclassified_f__Lachnospiraceae</v>
          </cell>
          <cell r="I20815" t="str">
            <v>s__unclassified_f__Lachnospiraceae</v>
          </cell>
        </row>
        <row r="20816">
          <cell r="G20816" t="str">
            <v>ASV13664</v>
          </cell>
          <cell r="H20816" t="str">
            <v>g__unclassified_f__Lachnospiraceae</v>
          </cell>
          <cell r="I20816" t="str">
            <v>s__unclassified_f__Lachnospiraceae</v>
          </cell>
        </row>
        <row r="20817">
          <cell r="G20817" t="str">
            <v>ASV14744</v>
          </cell>
          <cell r="H20817" t="str">
            <v>g__unclassified_p__Firmicutes</v>
          </cell>
          <cell r="I20817" t="str">
            <v>s__unclassified_p__Firmicutes</v>
          </cell>
        </row>
        <row r="20818">
          <cell r="G20818" t="str">
            <v>ASV23572</v>
          </cell>
          <cell r="H20818" t="str">
            <v>g__unclassified_f__Lachnospiraceae</v>
          </cell>
          <cell r="I20818" t="str">
            <v>s__unclassified_f__Lachnospiraceae</v>
          </cell>
        </row>
        <row r="20819">
          <cell r="G20819" t="str">
            <v>ASV13608</v>
          </cell>
          <cell r="H20819" t="str">
            <v>g__unclassified_p__Firmicutes</v>
          </cell>
          <cell r="I20819" t="str">
            <v>s__unclassified_p__Firmicutes</v>
          </cell>
        </row>
        <row r="20820">
          <cell r="G20820" t="str">
            <v>ASV4218</v>
          </cell>
          <cell r="H20820" t="str">
            <v>g__unclassified_k__norank_d__Bacteria</v>
          </cell>
          <cell r="I20820" t="str">
            <v>s__unclassified_k__norank_d__Bacteria</v>
          </cell>
        </row>
        <row r="20821">
          <cell r="G20821" t="str">
            <v>ASV24262</v>
          </cell>
          <cell r="H20821" t="str">
            <v>g__unclassified_c__Clostridia</v>
          </cell>
          <cell r="I20821" t="str">
            <v>s__unclassified_c__Clostridia</v>
          </cell>
        </row>
        <row r="20822">
          <cell r="G20822" t="str">
            <v>ASV18253</v>
          </cell>
          <cell r="H20822" t="str">
            <v>g__Rikenellaceae_RC9_gut_group</v>
          </cell>
          <cell r="I20822" t="str">
            <v>s__uncultured_bacterium_g__Rikenellaceae_RC9_gut_group</v>
          </cell>
        </row>
        <row r="20823">
          <cell r="G20823" t="str">
            <v>ASV8859</v>
          </cell>
          <cell r="H20823" t="str">
            <v>g__Parabacteroides</v>
          </cell>
          <cell r="I20823" t="str">
            <v>s__unclassified_g__Parabacteroides</v>
          </cell>
        </row>
        <row r="20824">
          <cell r="G20824" t="str">
            <v>ASV4378</v>
          </cell>
          <cell r="H20824" t="str">
            <v>g__unclassified_c__Clostridia</v>
          </cell>
          <cell r="I20824" t="str">
            <v>s__unclassified_c__Clostridia</v>
          </cell>
        </row>
        <row r="20825">
          <cell r="G20825" t="str">
            <v>ASV14907</v>
          </cell>
          <cell r="H20825" t="str">
            <v>g__Ruminococcus</v>
          </cell>
          <cell r="I20825" t="str">
            <v>s__bacterium_ic1277</v>
          </cell>
        </row>
        <row r="20826">
          <cell r="G20826" t="str">
            <v>ASV2416</v>
          </cell>
          <cell r="H20826" t="str">
            <v>g__unclassified_o__Oscillospirales</v>
          </cell>
          <cell r="I20826" t="str">
            <v>s__unclassified_o__Oscillospirales</v>
          </cell>
        </row>
        <row r="20827">
          <cell r="G20827" t="str">
            <v>ASV9797</v>
          </cell>
          <cell r="H20827" t="str">
            <v>g__unclassified_c__Clostridia</v>
          </cell>
          <cell r="I20827" t="str">
            <v>s__unclassified_c__Clostridia</v>
          </cell>
        </row>
        <row r="20828">
          <cell r="G20828" t="str">
            <v>ASV5155</v>
          </cell>
          <cell r="H20828" t="str">
            <v>g__Enterococcus</v>
          </cell>
          <cell r="I20828" t="str">
            <v>s__unclassified_g__Enterococcus</v>
          </cell>
        </row>
        <row r="20829">
          <cell r="G20829" t="str">
            <v>ASV3300</v>
          </cell>
          <cell r="H20829" t="str">
            <v>g__Colidextribacter</v>
          </cell>
          <cell r="I20829" t="str">
            <v>s__unclassified_g__Colidextribacter</v>
          </cell>
        </row>
        <row r="20830">
          <cell r="G20830" t="str">
            <v>ASV12186</v>
          </cell>
          <cell r="H20830" t="str">
            <v>g__Desulfovibrio</v>
          </cell>
          <cell r="I20830" t="str">
            <v>s__unclassified_g__Desulfovibrio</v>
          </cell>
        </row>
        <row r="20831">
          <cell r="G20831" t="str">
            <v>ASV10116</v>
          </cell>
          <cell r="H20831" t="str">
            <v>g__unclassified_p__Firmicutes</v>
          </cell>
          <cell r="I20831" t="str">
            <v>s__unclassified_p__Firmicutes</v>
          </cell>
        </row>
        <row r="20832">
          <cell r="G20832" t="str">
            <v>ASV14733</v>
          </cell>
          <cell r="H20832" t="str">
            <v>g__Escherichia-Shigella</v>
          </cell>
          <cell r="I20832" t="str">
            <v>s__unclassified_g__Escherichia-Shigella</v>
          </cell>
        </row>
        <row r="20833">
          <cell r="G20833" t="str">
            <v>ASV18445</v>
          </cell>
          <cell r="H20833" t="str">
            <v>g__unclassified_p__Firmicutes</v>
          </cell>
          <cell r="I20833" t="str">
            <v>s__unclassified_p__Firmicutes</v>
          </cell>
        </row>
        <row r="20834">
          <cell r="G20834" t="str">
            <v>ASV21128</v>
          </cell>
          <cell r="H20834" t="str">
            <v>g__Christensenellaceae_R-7_group</v>
          </cell>
          <cell r="I20834" t="str">
            <v>s__unclassified_g__Christensenellaceae_R-7_group</v>
          </cell>
        </row>
        <row r="20835">
          <cell r="G20835" t="str">
            <v>ASV11082</v>
          </cell>
          <cell r="H20835" t="str">
            <v>g__Lactobacillus</v>
          </cell>
          <cell r="I20835" t="str">
            <v>s__unclassified_g__Lactobacillus</v>
          </cell>
        </row>
        <row r="20836">
          <cell r="G20836" t="str">
            <v>ASV9804</v>
          </cell>
          <cell r="H20836" t="str">
            <v>g__unclassified_c__Bacilli</v>
          </cell>
          <cell r="I20836" t="str">
            <v>s__unclassified_c__Bacilli</v>
          </cell>
        </row>
        <row r="20837">
          <cell r="G20837" t="str">
            <v>ASV19132</v>
          </cell>
          <cell r="H20837" t="str">
            <v>g__Sharpea</v>
          </cell>
          <cell r="I20837" t="str">
            <v>s__unclassified_g__Sharpea</v>
          </cell>
        </row>
        <row r="20838">
          <cell r="G20838" t="str">
            <v>ASV23529</v>
          </cell>
          <cell r="H20838" t="str">
            <v>g__unclassified_k__norank_d__Bacteria</v>
          </cell>
          <cell r="I20838" t="str">
            <v>s__unclassified_k__norank_d__Bacteria</v>
          </cell>
        </row>
        <row r="20839">
          <cell r="G20839" t="str">
            <v>ASV12419</v>
          </cell>
          <cell r="H20839" t="str">
            <v>g__unclassified_f__Oscillospiraceae</v>
          </cell>
          <cell r="I20839" t="str">
            <v>s__unclassified_f__Oscillospiraceae</v>
          </cell>
        </row>
        <row r="20840">
          <cell r="G20840" t="str">
            <v>ASV23659</v>
          </cell>
          <cell r="H20840" t="str">
            <v>g__unclassified_c__Clostridia</v>
          </cell>
          <cell r="I20840" t="str">
            <v>s__unclassified_c__Clostridia</v>
          </cell>
        </row>
        <row r="20841">
          <cell r="G20841" t="str">
            <v>ASV5174</v>
          </cell>
          <cell r="H20841" t="str">
            <v>g__unclassified_c__Clostridia</v>
          </cell>
          <cell r="I20841" t="str">
            <v>s__unclassified_c__Clostridia</v>
          </cell>
        </row>
        <row r="20842">
          <cell r="G20842" t="str">
            <v>ASV20083</v>
          </cell>
          <cell r="H20842" t="str">
            <v>g__Eubacterium_nodatum_group</v>
          </cell>
          <cell r="I20842" t="str">
            <v>s__uncultured_bacterium_g__Eubacterium_nodatum_group</v>
          </cell>
        </row>
        <row r="20843">
          <cell r="G20843" t="str">
            <v>ASV1324</v>
          </cell>
          <cell r="H20843" t="str">
            <v>g__unclassified_c__Clostridia</v>
          </cell>
          <cell r="I20843" t="str">
            <v>s__unclassified_c__Clostridia</v>
          </cell>
        </row>
        <row r="20844">
          <cell r="G20844" t="str">
            <v>ASV2429</v>
          </cell>
          <cell r="H20844" t="str">
            <v>g__Christensenellaceae_R-7_group</v>
          </cell>
          <cell r="I20844" t="str">
            <v>s__uncultured_bacterium_g__Christensenellaceae_R-7_group</v>
          </cell>
        </row>
        <row r="20845">
          <cell r="G20845" t="str">
            <v>ASV21082</v>
          </cell>
          <cell r="H20845" t="str">
            <v>g__norank_f__UCG-010</v>
          </cell>
          <cell r="I20845" t="str">
            <v>s__unclassified_g__norank_f__UCG-010</v>
          </cell>
        </row>
        <row r="20846">
          <cell r="G20846" t="str">
            <v>ASV14779</v>
          </cell>
          <cell r="H20846" t="str">
            <v>g__unclassified_c__Clostridia</v>
          </cell>
          <cell r="I20846" t="str">
            <v>s__unclassified_c__Clostridia</v>
          </cell>
        </row>
        <row r="20847">
          <cell r="G20847" t="str">
            <v>ASV13081</v>
          </cell>
          <cell r="H20847" t="str">
            <v>g__unclassified_c__Clostridia</v>
          </cell>
          <cell r="I20847" t="str">
            <v>s__unclassified_c__Clostridia</v>
          </cell>
        </row>
        <row r="20848">
          <cell r="G20848" t="str">
            <v>ASV18381</v>
          </cell>
          <cell r="H20848" t="str">
            <v>g__unclassified_p__Firmicutes</v>
          </cell>
          <cell r="I20848" t="str">
            <v>s__unclassified_p__Firmicutes</v>
          </cell>
        </row>
        <row r="20849">
          <cell r="G20849" t="str">
            <v>ASV9777</v>
          </cell>
          <cell r="H20849" t="str">
            <v>g__unclassified_k__norank_d__Bacteria</v>
          </cell>
          <cell r="I20849" t="str">
            <v>s__unclassified_k__norank_d__Bacteria</v>
          </cell>
        </row>
        <row r="20850">
          <cell r="G20850" t="str">
            <v>ASV13552</v>
          </cell>
          <cell r="H20850" t="str">
            <v>g__unclassified_o__Oscillospirales</v>
          </cell>
          <cell r="I20850" t="str">
            <v>s__unclassified_o__Oscillospirales</v>
          </cell>
        </row>
        <row r="20851">
          <cell r="G20851" t="str">
            <v>ASV1484</v>
          </cell>
          <cell r="H20851" t="str">
            <v>g__Ruminococcus</v>
          </cell>
          <cell r="I20851" t="str">
            <v>s__unclassified_g__Ruminococcus</v>
          </cell>
        </row>
        <row r="20852">
          <cell r="G20852" t="str">
            <v>ASV23669</v>
          </cell>
          <cell r="H20852" t="str">
            <v>g__unclassified_c__Clostridia</v>
          </cell>
          <cell r="I20852" t="str">
            <v>s__unclassified_c__Clostridia</v>
          </cell>
        </row>
        <row r="20853">
          <cell r="G20853" t="str">
            <v>ASV22643</v>
          </cell>
          <cell r="H20853" t="str">
            <v>g__Enterococcus</v>
          </cell>
          <cell r="I20853" t="str">
            <v>s__unclassified_g__Enterococcus</v>
          </cell>
        </row>
        <row r="20854">
          <cell r="G20854" t="str">
            <v>ASV1472</v>
          </cell>
          <cell r="H20854" t="str">
            <v>g__unclassified_f__Lachnospiraceae</v>
          </cell>
          <cell r="I20854" t="str">
            <v>s__unclassified_f__Lachnospiraceae</v>
          </cell>
        </row>
        <row r="20855">
          <cell r="G20855" t="str">
            <v>ASV1188</v>
          </cell>
          <cell r="H20855" t="str">
            <v>g__unclassified_c__Clostridia</v>
          </cell>
          <cell r="I20855" t="str">
            <v>s__unclassified_c__Clostridia</v>
          </cell>
        </row>
        <row r="20856">
          <cell r="G20856" t="str">
            <v>ASV1770</v>
          </cell>
          <cell r="H20856" t="str">
            <v>g__Lactobacillus</v>
          </cell>
          <cell r="I20856" t="str">
            <v>s__unclassified_g__Lactobacillus</v>
          </cell>
        </row>
        <row r="20857">
          <cell r="G20857" t="str">
            <v>ASV21104</v>
          </cell>
          <cell r="H20857" t="str">
            <v>g__unclassified_p__Firmicutes</v>
          </cell>
          <cell r="I20857" t="str">
            <v>s__unclassified_p__Firmicutes</v>
          </cell>
        </row>
        <row r="20858">
          <cell r="G20858" t="str">
            <v>ASV21086</v>
          </cell>
          <cell r="H20858" t="str">
            <v>g__unclassified_c__Clostridia</v>
          </cell>
          <cell r="I20858" t="str">
            <v>s__unclassified_c__Clostridia</v>
          </cell>
        </row>
        <row r="20859">
          <cell r="G20859" t="str">
            <v>ASV10961</v>
          </cell>
          <cell r="H20859" t="str">
            <v>g__Terrisporobacter</v>
          </cell>
          <cell r="I20859" t="str">
            <v>s__unclassified_g__Terrisporobacter</v>
          </cell>
        </row>
        <row r="20860">
          <cell r="G20860" t="str">
            <v>ASV10921</v>
          </cell>
          <cell r="H20860" t="str">
            <v>g__Bacteroides</v>
          </cell>
          <cell r="I20860" t="str">
            <v>s__unclassified_g__Bacteroides</v>
          </cell>
        </row>
        <row r="20861">
          <cell r="G20861" t="str">
            <v>ASV2572</v>
          </cell>
          <cell r="H20861" t="str">
            <v>g__Collinsella</v>
          </cell>
          <cell r="I20861" t="str">
            <v>s__uncultured_bacterium_g__Collinsella</v>
          </cell>
        </row>
        <row r="20862">
          <cell r="G20862" t="str">
            <v>ASV6927</v>
          </cell>
          <cell r="H20862" t="str">
            <v>g__Enterococcus</v>
          </cell>
          <cell r="I20862" t="str">
            <v>s__unclassified_g__Enterococcus</v>
          </cell>
        </row>
        <row r="20863">
          <cell r="G20863" t="str">
            <v>ASV20152</v>
          </cell>
          <cell r="H20863" t="str">
            <v>g__unclassified_f__Lachnospiraceae</v>
          </cell>
          <cell r="I20863" t="str">
            <v>s__unclassified_f__Lachnospiraceae</v>
          </cell>
        </row>
        <row r="20864">
          <cell r="G20864" t="str">
            <v>ASV15863</v>
          </cell>
          <cell r="H20864" t="str">
            <v>g__Lactobacillus</v>
          </cell>
          <cell r="I20864" t="str">
            <v>s__unclassified_g__Lactobacillus</v>
          </cell>
        </row>
        <row r="20865">
          <cell r="G20865" t="str">
            <v>ASV17109</v>
          </cell>
          <cell r="H20865" t="str">
            <v>g__unclassified_c__Clostridia</v>
          </cell>
          <cell r="I20865" t="str">
            <v>s__unclassified_c__Clostridia</v>
          </cell>
        </row>
        <row r="20866">
          <cell r="G20866" t="str">
            <v>ASV14918</v>
          </cell>
          <cell r="H20866" t="str">
            <v>g__Colidextribacter</v>
          </cell>
          <cell r="I20866" t="str">
            <v>s__unclassified_g__Colidextribacter</v>
          </cell>
        </row>
        <row r="20867">
          <cell r="G20867" t="str">
            <v>ASV10925</v>
          </cell>
          <cell r="H20867" t="str">
            <v>g__unclassified_f__Oscillospiraceae</v>
          </cell>
          <cell r="I20867" t="str">
            <v>s__unclassified_f__Oscillospiraceae</v>
          </cell>
        </row>
        <row r="20868">
          <cell r="G20868" t="str">
            <v>ASV12098</v>
          </cell>
          <cell r="H20868" t="str">
            <v>g__unclassified_o__Bacteroidales</v>
          </cell>
          <cell r="I20868" t="str">
            <v>s__unclassified_o__Bacteroidales</v>
          </cell>
        </row>
        <row r="20869">
          <cell r="G20869" t="str">
            <v>ASV18252</v>
          </cell>
          <cell r="H20869" t="str">
            <v>g__SP3-e08</v>
          </cell>
          <cell r="I20869" t="str">
            <v>s__uncultured_bacterium_g__SP3-e08</v>
          </cell>
        </row>
        <row r="20870">
          <cell r="G20870" t="str">
            <v>ASV10896</v>
          </cell>
          <cell r="H20870" t="str">
            <v>g__unclassified_c__Clostridia</v>
          </cell>
          <cell r="I20870" t="str">
            <v>s__unclassified_c__Clostridia</v>
          </cell>
        </row>
        <row r="20871">
          <cell r="G20871" t="str">
            <v>ASV12163</v>
          </cell>
          <cell r="H20871" t="str">
            <v>g__unclassified_k__norank_d__Bacteria</v>
          </cell>
          <cell r="I20871" t="str">
            <v>s__unclassified_k__norank_d__Bacteria</v>
          </cell>
        </row>
        <row r="20872">
          <cell r="G20872" t="str">
            <v>ASV22951</v>
          </cell>
          <cell r="H20872" t="str">
            <v>g__Streptococcus</v>
          </cell>
          <cell r="I20872" t="str">
            <v>s__unclassified_g__Streptococcus</v>
          </cell>
        </row>
        <row r="20873">
          <cell r="G20873" t="str">
            <v>ASV12201</v>
          </cell>
          <cell r="H20873" t="str">
            <v>g__unclassified_c__Clostridia</v>
          </cell>
          <cell r="I20873" t="str">
            <v>s__unclassified_c__Clostridia</v>
          </cell>
        </row>
        <row r="20874">
          <cell r="G20874" t="str">
            <v>ASV1459</v>
          </cell>
          <cell r="H20874" t="str">
            <v>g__unclassified_f__Rikenellaceae</v>
          </cell>
          <cell r="I20874" t="str">
            <v>s__unclassified_f__Rikenellaceae</v>
          </cell>
        </row>
        <row r="20875">
          <cell r="G20875" t="str">
            <v>ASV8185</v>
          </cell>
          <cell r="H20875" t="str">
            <v>g__unclassified_f__Ruminococcaceae</v>
          </cell>
          <cell r="I20875" t="str">
            <v>s__unclassified_f__Ruminococcaceae</v>
          </cell>
        </row>
        <row r="20876">
          <cell r="G20876" t="str">
            <v>ASV1437</v>
          </cell>
          <cell r="H20876" t="str">
            <v>g__unclassified_f__Lachnospiraceae</v>
          </cell>
          <cell r="I20876" t="str">
            <v>s__unclassified_f__Lachnospiraceae</v>
          </cell>
        </row>
        <row r="20877">
          <cell r="G20877" t="str">
            <v>ASV9629</v>
          </cell>
          <cell r="H20877" t="str">
            <v>g__Lachnospiraceae_UCG-004</v>
          </cell>
          <cell r="I20877" t="str">
            <v>s__unclassified_g__Lachnospiraceae_UCG-004</v>
          </cell>
        </row>
        <row r="20878">
          <cell r="G20878" t="str">
            <v>ASV1816</v>
          </cell>
          <cell r="H20878" t="str">
            <v>g__unclassified_f__Clostridiaceae</v>
          </cell>
          <cell r="I20878" t="str">
            <v>s__unclassified_f__Clostridiaceae</v>
          </cell>
        </row>
        <row r="20879">
          <cell r="G20879" t="str">
            <v>ASV13584</v>
          </cell>
          <cell r="H20879" t="str">
            <v>g__Lactobacillus</v>
          </cell>
          <cell r="I20879" t="str">
            <v>s__unclassified_g__Lactobacillus</v>
          </cell>
        </row>
        <row r="20880">
          <cell r="G20880" t="str">
            <v>ASV12106</v>
          </cell>
          <cell r="H20880" t="str">
            <v>g__unclassified_c__Clostridia</v>
          </cell>
          <cell r="I20880" t="str">
            <v>s__unclassified_c__Clostridia</v>
          </cell>
        </row>
        <row r="20881">
          <cell r="G20881" t="str">
            <v>ASV22773</v>
          </cell>
          <cell r="H20881" t="str">
            <v>g__Lactobacillus</v>
          </cell>
          <cell r="I20881" t="str">
            <v>s__unclassified_g__Lactobacillus</v>
          </cell>
        </row>
        <row r="20882">
          <cell r="G20882" t="str">
            <v>ASV2448</v>
          </cell>
          <cell r="H20882" t="str">
            <v>g__Treponema</v>
          </cell>
          <cell r="I20882" t="str">
            <v>s__unclassified_g__Treponema</v>
          </cell>
        </row>
        <row r="20883">
          <cell r="G20883" t="str">
            <v>ASV13151</v>
          </cell>
          <cell r="H20883" t="str">
            <v>g__unclassified_c__Clostridia</v>
          </cell>
          <cell r="I20883" t="str">
            <v>s__unclassified_c__Clostridia</v>
          </cell>
        </row>
        <row r="20884">
          <cell r="G20884" t="str">
            <v>ASV5287</v>
          </cell>
          <cell r="H20884" t="str">
            <v>g__unclassified_c__Clostridia</v>
          </cell>
          <cell r="I20884" t="str">
            <v>s__unclassified_c__Clostridia</v>
          </cell>
        </row>
        <row r="20885">
          <cell r="G20885" t="str">
            <v>ASV6164</v>
          </cell>
          <cell r="H20885" t="str">
            <v>g__unclassified_f__Ruminococcaceae</v>
          </cell>
          <cell r="I20885" t="str">
            <v>s__unclassified_f__Ruminococcaceae</v>
          </cell>
        </row>
        <row r="20886">
          <cell r="G20886" t="str">
            <v>ASV18328</v>
          </cell>
          <cell r="H20886" t="str">
            <v>g__norank_f__Eubacterium_coprostanoligenes_group</v>
          </cell>
          <cell r="I20886" t="str">
            <v>s__unclassified_g__norank_f__Eubacterium_coprostanoligenes_group</v>
          </cell>
        </row>
        <row r="20887">
          <cell r="G20887" t="str">
            <v>ASV12256</v>
          </cell>
          <cell r="H20887" t="str">
            <v>g__unclassified_p__Firmicutes</v>
          </cell>
          <cell r="I20887" t="str">
            <v>s__unclassified_p__Firmicutes</v>
          </cell>
        </row>
        <row r="20888">
          <cell r="G20888" t="str">
            <v>ASV21037</v>
          </cell>
          <cell r="H20888" t="str">
            <v>g__unclassified_c__Clostridia</v>
          </cell>
          <cell r="I20888" t="str">
            <v>s__unclassified_c__Clostridia</v>
          </cell>
        </row>
        <row r="20889">
          <cell r="G20889" t="str">
            <v>ASV2541</v>
          </cell>
          <cell r="H20889" t="str">
            <v>g__unclassified_f__Lachnospiraceae</v>
          </cell>
          <cell r="I20889" t="str">
            <v>s__unclassified_f__Lachnospiraceae</v>
          </cell>
        </row>
        <row r="20890">
          <cell r="G20890" t="str">
            <v>ASV15652</v>
          </cell>
          <cell r="H20890" t="str">
            <v>g__unclassified_f__Lachnospiraceae</v>
          </cell>
          <cell r="I20890" t="str">
            <v>s__unclassified_f__Lachnospiraceae</v>
          </cell>
        </row>
        <row r="20891">
          <cell r="G20891" t="str">
            <v>ASV23869</v>
          </cell>
          <cell r="H20891" t="str">
            <v>g__unclassified_p__Firmicutes</v>
          </cell>
          <cell r="I20891" t="str">
            <v>s__unclassified_p__Firmicutes</v>
          </cell>
        </row>
        <row r="20892">
          <cell r="G20892" t="str">
            <v>ASV9688</v>
          </cell>
          <cell r="H20892" t="str">
            <v>g__unclassified_c__Clostridia</v>
          </cell>
          <cell r="I20892" t="str">
            <v>s__unclassified_c__Clostridia</v>
          </cell>
        </row>
        <row r="20893">
          <cell r="G20893" t="str">
            <v>ASV23586</v>
          </cell>
          <cell r="H20893" t="str">
            <v>g__Megasphaera</v>
          </cell>
          <cell r="I20893" t="str">
            <v>s__unclassified_g__Megasphaera</v>
          </cell>
        </row>
        <row r="20894">
          <cell r="G20894" t="str">
            <v>ASV22990</v>
          </cell>
          <cell r="H20894" t="str">
            <v>g__Olsenella</v>
          </cell>
          <cell r="I20894" t="str">
            <v>s__uncultured_bacterium_g__Olsenella</v>
          </cell>
        </row>
        <row r="20895">
          <cell r="G20895" t="str">
            <v>ASV22541</v>
          </cell>
          <cell r="H20895" t="str">
            <v>g__unclassified_p__Firmicutes</v>
          </cell>
          <cell r="I20895" t="str">
            <v>s__unclassified_p__Firmicutes</v>
          </cell>
        </row>
        <row r="20896">
          <cell r="G20896" t="str">
            <v>ASV6953</v>
          </cell>
          <cell r="H20896" t="str">
            <v>g__unclassified_k__norank_d__Bacteria</v>
          </cell>
          <cell r="I20896" t="str">
            <v>s__unclassified_k__norank_d__Bacteria</v>
          </cell>
        </row>
        <row r="20897">
          <cell r="G20897" t="str">
            <v>ASV16638</v>
          </cell>
          <cell r="H20897" t="str">
            <v>g__unclassified_p__Firmicutes</v>
          </cell>
          <cell r="I20897" t="str">
            <v>s__unclassified_p__Firmicutes</v>
          </cell>
        </row>
        <row r="20898">
          <cell r="G20898" t="str">
            <v>ASV23552</v>
          </cell>
          <cell r="H20898" t="str">
            <v>g__unclassified_o__Oscillospirales</v>
          </cell>
          <cell r="I20898" t="str">
            <v>s__unclassified_o__Oscillospirales</v>
          </cell>
        </row>
        <row r="20899">
          <cell r="G20899" t="str">
            <v>ASV24058</v>
          </cell>
          <cell r="H20899" t="str">
            <v>g__Escherichia-Shigella</v>
          </cell>
          <cell r="I20899" t="str">
            <v>s__unclassified_g__Escherichia-Shigella</v>
          </cell>
        </row>
        <row r="20900">
          <cell r="G20900" t="str">
            <v>ASV15572</v>
          </cell>
          <cell r="H20900" t="str">
            <v>g__Streptococcus</v>
          </cell>
          <cell r="I20900" t="str">
            <v>s__unclassified_g__Streptococcus</v>
          </cell>
        </row>
        <row r="20901">
          <cell r="G20901" t="str">
            <v>ASV15592</v>
          </cell>
          <cell r="H20901" t="str">
            <v>g__unclassified_c__Clostridia</v>
          </cell>
          <cell r="I20901" t="str">
            <v>s__unclassified_c__Clostridia</v>
          </cell>
        </row>
        <row r="20902">
          <cell r="G20902" t="str">
            <v>ASV10965</v>
          </cell>
          <cell r="H20902" t="str">
            <v>g__Eubacterium_oxidoreducens_group</v>
          </cell>
          <cell r="I20902" t="str">
            <v>s__uncultured_bacterium_g__Eubacterium_oxidoreducens_group</v>
          </cell>
        </row>
        <row r="20903">
          <cell r="G20903" t="str">
            <v>ASV6250</v>
          </cell>
          <cell r="H20903" t="str">
            <v>g__unclassified_c__Clostridia</v>
          </cell>
          <cell r="I20903" t="str">
            <v>s__unclassified_c__Clostridia</v>
          </cell>
        </row>
        <row r="20904">
          <cell r="G20904" t="str">
            <v>ASV3721</v>
          </cell>
          <cell r="H20904" t="str">
            <v>g__Corynebacterium</v>
          </cell>
          <cell r="I20904" t="str">
            <v>s__unclassified_g__Corynebacterium</v>
          </cell>
        </row>
        <row r="20905">
          <cell r="G20905" t="str">
            <v>ASV21313</v>
          </cell>
          <cell r="H20905" t="str">
            <v>g__Bacteroides</v>
          </cell>
          <cell r="I20905" t="str">
            <v>s__unclassified_g__Bacteroides</v>
          </cell>
        </row>
        <row r="20906">
          <cell r="G20906" t="str">
            <v>ASV23710</v>
          </cell>
          <cell r="H20906" t="str">
            <v>g__Lactobacillus</v>
          </cell>
          <cell r="I20906" t="str">
            <v>s__unclassified_g__Lactobacillus</v>
          </cell>
        </row>
        <row r="20907">
          <cell r="G20907" t="str">
            <v>ASV14570</v>
          </cell>
          <cell r="H20907" t="str">
            <v>g__norank_f__norank_o__Rickettsiales</v>
          </cell>
          <cell r="I20907" t="str">
            <v>s__uncultured_Alphaproteobacteria_bacterium_g__norank_f__norank</v>
          </cell>
        </row>
        <row r="20908">
          <cell r="G20908" t="str">
            <v>ASV5352</v>
          </cell>
          <cell r="H20908" t="str">
            <v>g__unclassified_f__Ruminococcaceae</v>
          </cell>
          <cell r="I20908" t="str">
            <v>s__unclassified_f__Ruminococcaceae</v>
          </cell>
        </row>
        <row r="20909">
          <cell r="G20909" t="str">
            <v>ASV18307</v>
          </cell>
          <cell r="H20909" t="str">
            <v>g__unclassified_p__Firmicutes</v>
          </cell>
          <cell r="I20909" t="str">
            <v>s__unclassified_p__Firmicutes</v>
          </cell>
        </row>
        <row r="20910">
          <cell r="G20910" t="str">
            <v>ASV1294</v>
          </cell>
          <cell r="H20910" t="str">
            <v>g__unclassified_f__Peptostreptococcaceae</v>
          </cell>
          <cell r="I20910" t="str">
            <v>s__unclassified_f__Peptostreptococcaceae</v>
          </cell>
        </row>
        <row r="20911">
          <cell r="G20911" t="str">
            <v>ASV8104</v>
          </cell>
          <cell r="H20911" t="str">
            <v>g__unclassified_o__Peptostreptococcales-Tissierellales</v>
          </cell>
          <cell r="I20911" t="str">
            <v>s__unclassified_o__Peptostreptococcales-Tissierellales</v>
          </cell>
        </row>
        <row r="20912">
          <cell r="G20912" t="str">
            <v>ASV18733</v>
          </cell>
          <cell r="H20912" t="str">
            <v>g__Phascolarctobacterium</v>
          </cell>
          <cell r="I20912" t="str">
            <v>s__unclassified_g__Phascolarctobacterium</v>
          </cell>
        </row>
        <row r="20913">
          <cell r="G20913" t="str">
            <v>ASV20966</v>
          </cell>
          <cell r="H20913" t="str">
            <v>g__unclassified_c__Clostridia</v>
          </cell>
          <cell r="I20913" t="str">
            <v>s__unclassified_c__Clostridia</v>
          </cell>
        </row>
        <row r="20914">
          <cell r="G20914" t="str">
            <v>ASV8669</v>
          </cell>
          <cell r="H20914" t="str">
            <v>g__Ruminococcus</v>
          </cell>
          <cell r="I20914" t="str">
            <v>s__unclassified_g__Ruminococcus</v>
          </cell>
        </row>
        <row r="20915">
          <cell r="G20915" t="str">
            <v>ASV3351</v>
          </cell>
          <cell r="H20915" t="str">
            <v>g__unclassified_f__Lachnospiraceae</v>
          </cell>
          <cell r="I20915" t="str">
            <v>s__unclassified_f__Lachnospiraceae</v>
          </cell>
        </row>
        <row r="20916">
          <cell r="G20916" t="str">
            <v>ASV1408</v>
          </cell>
          <cell r="H20916" t="str">
            <v>g__Turicibacter</v>
          </cell>
          <cell r="I20916" t="str">
            <v>s__unclassified_g__Turicibacter</v>
          </cell>
        </row>
        <row r="20917">
          <cell r="G20917" t="str">
            <v>ASV14888</v>
          </cell>
          <cell r="H20917" t="str">
            <v>g__CAG-873</v>
          </cell>
          <cell r="I20917" t="str">
            <v>s__unclassified_g__CAG-873</v>
          </cell>
        </row>
        <row r="20918">
          <cell r="G20918" t="str">
            <v>ASV17105</v>
          </cell>
          <cell r="H20918" t="str">
            <v>g__unclassified_p__Firmicutes</v>
          </cell>
          <cell r="I20918" t="str">
            <v>s__unclassified_p__Firmicutes</v>
          </cell>
        </row>
        <row r="20919">
          <cell r="G20919" t="str">
            <v>ASV8147</v>
          </cell>
          <cell r="H20919" t="str">
            <v>g__unclassified_c__Clostridia</v>
          </cell>
          <cell r="I20919" t="str">
            <v>s__unclassified_c__Clostridia</v>
          </cell>
        </row>
        <row r="20920">
          <cell r="G20920" t="str">
            <v>ASV2469</v>
          </cell>
          <cell r="H20920" t="str">
            <v>g__Enterococcus</v>
          </cell>
          <cell r="I20920" t="str">
            <v>s__unclassified_g__Enterococcus</v>
          </cell>
        </row>
        <row r="20921">
          <cell r="G20921" t="str">
            <v>ASV12173</v>
          </cell>
          <cell r="H20921" t="str">
            <v>g__unclassified_c__Clostridia</v>
          </cell>
          <cell r="I20921" t="str">
            <v>s__unclassified_c__Clostridia</v>
          </cell>
        </row>
        <row r="20922">
          <cell r="G20922" t="str">
            <v>ASV17017</v>
          </cell>
          <cell r="H20922" t="str">
            <v>g__unclassified_p__Firmicutes</v>
          </cell>
          <cell r="I20922" t="str">
            <v>s__unclassified_p__Firmicutes</v>
          </cell>
        </row>
        <row r="20923">
          <cell r="G20923" t="str">
            <v>ASV24279</v>
          </cell>
          <cell r="H20923" t="str">
            <v>g__unclassified_f__Oscillospiraceae</v>
          </cell>
          <cell r="I20923" t="str">
            <v>s__unclassified_f__Oscillospiraceae</v>
          </cell>
        </row>
        <row r="20924">
          <cell r="G20924" t="str">
            <v>ASV5273</v>
          </cell>
          <cell r="H20924" t="str">
            <v>g__Enterococcus</v>
          </cell>
          <cell r="I20924" t="str">
            <v>s__unclassified_g__Enterococcus</v>
          </cell>
        </row>
        <row r="20925">
          <cell r="G20925" t="str">
            <v>ASV2515</v>
          </cell>
          <cell r="H20925" t="str">
            <v>g__unclassified_f__Lachnospiraceae</v>
          </cell>
          <cell r="I20925" t="str">
            <v>s__unclassified_f__Lachnospiraceae</v>
          </cell>
        </row>
        <row r="20926">
          <cell r="G20926" t="str">
            <v>ASV16184</v>
          </cell>
          <cell r="H20926" t="str">
            <v>g__unclassified_k__norank_d__Bacteria</v>
          </cell>
          <cell r="I20926" t="str">
            <v>s__unclassified_k__norank_d__Bacteria</v>
          </cell>
        </row>
        <row r="20927">
          <cell r="G20927" t="str">
            <v>ASV17110</v>
          </cell>
          <cell r="H20927" t="str">
            <v>g__Lactobacillus</v>
          </cell>
          <cell r="I20927" t="str">
            <v>s__unclassified_g__Lactobacillus</v>
          </cell>
        </row>
        <row r="20928">
          <cell r="G20928" t="str">
            <v>ASV16083</v>
          </cell>
          <cell r="H20928" t="str">
            <v>g__unclassified_f__Ruminococcaceae</v>
          </cell>
          <cell r="I20928" t="str">
            <v>s__unclassified_f__Ruminococcaceae</v>
          </cell>
        </row>
        <row r="20929">
          <cell r="G20929" t="str">
            <v>ASV21123</v>
          </cell>
          <cell r="H20929" t="str">
            <v>g__unclassified_o__Oscillospirales</v>
          </cell>
          <cell r="I20929" t="str">
            <v>s__unclassified_o__Oscillospirales</v>
          </cell>
        </row>
        <row r="20930">
          <cell r="G20930" t="str">
            <v>ASV15636</v>
          </cell>
          <cell r="H20930" t="str">
            <v>g__unclassified_o__Oscillospirales</v>
          </cell>
          <cell r="I20930" t="str">
            <v>s__unclassified_o__Oscillospirales</v>
          </cell>
        </row>
        <row r="20931">
          <cell r="G20931" t="str">
            <v>ASV12399</v>
          </cell>
          <cell r="H20931" t="str">
            <v>g__unclassified_f__Peptostreptococcaceae</v>
          </cell>
          <cell r="I20931" t="str">
            <v>s__unclassified_f__Peptostreptococcaceae</v>
          </cell>
        </row>
        <row r="20932">
          <cell r="G20932" t="str">
            <v>ASV12273</v>
          </cell>
          <cell r="H20932" t="str">
            <v>g__unclassified_k__norank_d__Bacteria</v>
          </cell>
          <cell r="I20932" t="str">
            <v>s__unclassified_k__norank_d__Bacteria</v>
          </cell>
        </row>
        <row r="20933">
          <cell r="G20933" t="str">
            <v>ASV1411</v>
          </cell>
          <cell r="H20933" t="str">
            <v>g__Christensenellaceae_R-7_group</v>
          </cell>
          <cell r="I20933" t="str">
            <v>s__unclassified_g__Christensenellaceae_R-7_group</v>
          </cell>
        </row>
        <row r="20934">
          <cell r="G20934" t="str">
            <v>ASV15624</v>
          </cell>
          <cell r="H20934" t="str">
            <v>g__unclassified_c__Clostridia</v>
          </cell>
          <cell r="I20934" t="str">
            <v>s__unclassified_c__Clostridia</v>
          </cell>
        </row>
        <row r="20935">
          <cell r="G20935" t="str">
            <v>ASV8554</v>
          </cell>
          <cell r="H20935" t="str">
            <v>g__unclassified_p__Actinobacteriota</v>
          </cell>
          <cell r="I20935" t="str">
            <v>s__unclassified_p__Actinobacteriota</v>
          </cell>
        </row>
        <row r="20936">
          <cell r="G20936" t="str">
            <v>ASV17559</v>
          </cell>
          <cell r="H20936" t="str">
            <v>g__Lactobacillus</v>
          </cell>
          <cell r="I20936" t="str">
            <v>s__uncultured_bacterium_g__Lactobacillus</v>
          </cell>
        </row>
        <row r="20937">
          <cell r="G20937" t="str">
            <v>ASV1483</v>
          </cell>
          <cell r="H20937" t="str">
            <v>g__norank_f__Muribaculaceae</v>
          </cell>
          <cell r="I20937" t="str">
            <v>s__uncultured_bacterium_g__norank_f__Muribaculaceae</v>
          </cell>
        </row>
        <row r="20938">
          <cell r="G20938" t="str">
            <v>ASV1507</v>
          </cell>
          <cell r="H20938" t="str">
            <v>g__unclassified_c__Clostridia</v>
          </cell>
          <cell r="I20938" t="str">
            <v>s__unclassified_c__Clostridia</v>
          </cell>
        </row>
        <row r="20939">
          <cell r="G20939" t="str">
            <v>ASV5259</v>
          </cell>
          <cell r="H20939" t="str">
            <v>g__unclassified_f__Lachnospiraceae</v>
          </cell>
          <cell r="I20939" t="str">
            <v>s__unclassified_f__Lachnospiraceae</v>
          </cell>
        </row>
        <row r="20940">
          <cell r="G20940" t="str">
            <v>ASV24047</v>
          </cell>
          <cell r="H20940" t="str">
            <v>g__unclassified_p__Firmicutes</v>
          </cell>
          <cell r="I20940" t="str">
            <v>s__unclassified_p__Firmicutes</v>
          </cell>
        </row>
        <row r="20941">
          <cell r="G20941" t="str">
            <v>ASV6883</v>
          </cell>
          <cell r="H20941" t="str">
            <v>g__norank_f__Alcaligenaceae</v>
          </cell>
          <cell r="I20941" t="str">
            <v>s__Pelistega_suis</v>
          </cell>
        </row>
        <row r="20942">
          <cell r="G20942" t="str">
            <v>ASV8139</v>
          </cell>
          <cell r="H20942" t="str">
            <v>g__unclassified_o__Lactobacillales</v>
          </cell>
          <cell r="I20942" t="str">
            <v>s__unclassified_o__Lactobacillales</v>
          </cell>
        </row>
        <row r="20943">
          <cell r="G20943" t="str">
            <v>ASV1133</v>
          </cell>
          <cell r="H20943" t="str">
            <v>g__unclassified_k__norank_d__Bacteria</v>
          </cell>
          <cell r="I20943" t="str">
            <v>s__unclassified_k__norank_d__Bacteria</v>
          </cell>
        </row>
        <row r="20944">
          <cell r="G20944" t="str">
            <v>ASV9046</v>
          </cell>
          <cell r="H20944" t="str">
            <v>g__unclassified_k__norank_d__Bacteria</v>
          </cell>
          <cell r="I20944" t="str">
            <v>s__unclassified_k__norank_d__Bacteria</v>
          </cell>
        </row>
        <row r="20945">
          <cell r="G20945" t="str">
            <v>ASV23798</v>
          </cell>
          <cell r="H20945" t="str">
            <v>g__unclassified_p__Firmicutes</v>
          </cell>
          <cell r="I20945" t="str">
            <v>s__unclassified_p__Firmicutes</v>
          </cell>
        </row>
        <row r="20946">
          <cell r="G20946" t="str">
            <v>ASV1275</v>
          </cell>
          <cell r="H20946" t="str">
            <v>g__unclassified_c__Clostridia</v>
          </cell>
          <cell r="I20946" t="str">
            <v>s__unclassified_c__Clostridia</v>
          </cell>
        </row>
        <row r="20947">
          <cell r="G20947" t="str">
            <v>ASV12100</v>
          </cell>
          <cell r="H20947" t="str">
            <v>g__unclassified_c__Clostridia</v>
          </cell>
          <cell r="I20947" t="str">
            <v>s__unclassified_c__Clostridia</v>
          </cell>
        </row>
        <row r="20948">
          <cell r="G20948" t="str">
            <v>ASV24025</v>
          </cell>
          <cell r="H20948" t="str">
            <v>g__unclassified_f__Lachnospiraceae</v>
          </cell>
          <cell r="I20948" t="str">
            <v>s__unclassified_f__Lachnospiraceae</v>
          </cell>
        </row>
        <row r="20949">
          <cell r="G20949" t="str">
            <v>ASV6951</v>
          </cell>
          <cell r="H20949" t="str">
            <v>g__unclassified_c__Clostridia</v>
          </cell>
          <cell r="I20949" t="str">
            <v>s__unclassified_c__Clostridia</v>
          </cell>
        </row>
        <row r="20950">
          <cell r="G20950" t="str">
            <v>ASV6401</v>
          </cell>
          <cell r="H20950" t="str">
            <v>g__norank_f__norank_o__RF39</v>
          </cell>
          <cell r="I20950" t="str">
            <v>s__unclassified_g__norank_f__norank_o__RF39</v>
          </cell>
        </row>
        <row r="20951">
          <cell r="G20951" t="str">
            <v>ASV15676</v>
          </cell>
          <cell r="H20951" t="str">
            <v>g__unclassified_f__Anaerovoracaceae</v>
          </cell>
          <cell r="I20951" t="str">
            <v>s__unclassified_f__Anaerovoracaceae</v>
          </cell>
        </row>
        <row r="20952">
          <cell r="G20952" t="str">
            <v>ASV18724</v>
          </cell>
          <cell r="H20952" t="str">
            <v>g__Lactobacillus</v>
          </cell>
          <cell r="I20952" t="str">
            <v>s__unclassified_g__Lactobacillus</v>
          </cell>
        </row>
        <row r="20953">
          <cell r="G20953" t="str">
            <v>ASV20326</v>
          </cell>
          <cell r="H20953" t="str">
            <v>g__Fusobacterium</v>
          </cell>
          <cell r="I20953" t="str">
            <v>s__unclassified_g__Fusobacterium</v>
          </cell>
        </row>
        <row r="20954">
          <cell r="G20954" t="str">
            <v>ASV21661</v>
          </cell>
          <cell r="H20954" t="str">
            <v>g__Clostridium_sensu_stricto_1</v>
          </cell>
          <cell r="I20954" t="str">
            <v>s__unclassified_g__Clostridium_sensu_stricto_1</v>
          </cell>
        </row>
        <row r="20955">
          <cell r="G20955" t="str">
            <v>ASV2474</v>
          </cell>
          <cell r="H20955" t="str">
            <v>g__Clostridium_sensu_stricto_6</v>
          </cell>
          <cell r="I20955" t="str">
            <v>s__Clostridium_bornimense</v>
          </cell>
        </row>
        <row r="20956">
          <cell r="G20956" t="str">
            <v>ASV18765</v>
          </cell>
          <cell r="H20956" t="str">
            <v>g__Chryseobacterium</v>
          </cell>
          <cell r="I20956" t="str">
            <v>s__unclassified_g__Chryseobacterium</v>
          </cell>
        </row>
        <row r="20957">
          <cell r="G20957" t="str">
            <v>ASV5420</v>
          </cell>
          <cell r="H20957" t="str">
            <v>g__Enterococcus</v>
          </cell>
          <cell r="I20957" t="str">
            <v>s__unclassified_g__Enterococcus</v>
          </cell>
        </row>
        <row r="20958">
          <cell r="G20958" t="str">
            <v>ASV10886</v>
          </cell>
          <cell r="H20958" t="str">
            <v>g__unclassified_f__Peptostreptococcaceae</v>
          </cell>
          <cell r="I20958" t="str">
            <v>s__unclassified_f__Peptostreptococcaceae</v>
          </cell>
        </row>
        <row r="20959">
          <cell r="G20959" t="str">
            <v>ASV1146</v>
          </cell>
          <cell r="H20959" t="str">
            <v>g__norank_f__Muribaculaceae</v>
          </cell>
          <cell r="I20959" t="str">
            <v>s__uncultured_bacterium_g__norank_f__Muribaculaceae</v>
          </cell>
        </row>
        <row r="20960">
          <cell r="G20960" t="str">
            <v>ASV6263</v>
          </cell>
          <cell r="H20960" t="str">
            <v>g__Monoglobus</v>
          </cell>
          <cell r="I20960" t="str">
            <v>s__uncultured_bacterium_g__Monoglobus</v>
          </cell>
        </row>
        <row r="20961">
          <cell r="G20961" t="str">
            <v>ASV23873</v>
          </cell>
          <cell r="H20961" t="str">
            <v>g__unclassified_f__Lachnospiraceae</v>
          </cell>
          <cell r="I20961" t="str">
            <v>s__unclassified_f__Lachnospiraceae</v>
          </cell>
        </row>
        <row r="20962">
          <cell r="G20962" t="str">
            <v>ASV10918</v>
          </cell>
          <cell r="H20962" t="str">
            <v>g__unclassified_o__Oscillospirales</v>
          </cell>
          <cell r="I20962" t="str">
            <v>s__unclassified_o__Oscillospirales</v>
          </cell>
        </row>
        <row r="20963">
          <cell r="G20963" t="str">
            <v>ASV17541</v>
          </cell>
          <cell r="H20963" t="str">
            <v>g__Fusobacterium</v>
          </cell>
          <cell r="I20963" t="str">
            <v>s__unclassified_g__Fusobacterium</v>
          </cell>
        </row>
        <row r="20964">
          <cell r="G20964" t="str">
            <v>ASV8081</v>
          </cell>
          <cell r="H20964" t="str">
            <v>g__unclassified_f__Clostridiaceae</v>
          </cell>
          <cell r="I20964" t="str">
            <v>s__unclassified_f__Clostridiaceae</v>
          </cell>
        </row>
        <row r="20965">
          <cell r="G20965" t="str">
            <v>ASV2566</v>
          </cell>
          <cell r="H20965" t="str">
            <v>g__Enterococcus</v>
          </cell>
          <cell r="I20965" t="str">
            <v>s__unclassified_g__Enterococcus</v>
          </cell>
        </row>
        <row r="20966">
          <cell r="G20966" t="str">
            <v>ASV20097</v>
          </cell>
          <cell r="H20966" t="str">
            <v>g__unclassified_c__Clostridia</v>
          </cell>
          <cell r="I20966" t="str">
            <v>s__unclassified_c__Clostridia</v>
          </cell>
        </row>
        <row r="20967">
          <cell r="G20967" t="str">
            <v>ASV13076</v>
          </cell>
          <cell r="H20967" t="str">
            <v>g__unclassified_f__Ruminococcaceae</v>
          </cell>
          <cell r="I20967" t="str">
            <v>s__unclassified_f__Ruminococcaceae</v>
          </cell>
        </row>
        <row r="20968">
          <cell r="G20968" t="str">
            <v>ASV14635</v>
          </cell>
          <cell r="H20968" t="str">
            <v>g__unclassified_c__Clostridia</v>
          </cell>
          <cell r="I20968" t="str">
            <v>s__unclassified_c__Clostridia</v>
          </cell>
        </row>
        <row r="20969">
          <cell r="G20969" t="str">
            <v>ASV2432</v>
          </cell>
          <cell r="H20969" t="str">
            <v>g__unclassified_f__Lachnospiraceae</v>
          </cell>
          <cell r="I20969" t="str">
            <v>s__unclassified_f__Lachnospiraceae</v>
          </cell>
        </row>
        <row r="20970">
          <cell r="G20970" t="str">
            <v>ASV6231</v>
          </cell>
          <cell r="H20970" t="str">
            <v>g__Bacteroides</v>
          </cell>
          <cell r="I20970" t="str">
            <v>s__unclassified_g__Bacteroides</v>
          </cell>
        </row>
        <row r="20971">
          <cell r="G20971" t="str">
            <v>ASV4297</v>
          </cell>
          <cell r="H20971" t="str">
            <v>g__unclassified_c__Clostridia</v>
          </cell>
          <cell r="I20971" t="str">
            <v>s__unclassified_c__Clostridia</v>
          </cell>
        </row>
        <row r="20972">
          <cell r="G20972" t="str">
            <v>ASV16132</v>
          </cell>
          <cell r="H20972" t="str">
            <v>g__unclassified_p__Firmicutes</v>
          </cell>
          <cell r="I20972" t="str">
            <v>s__unclassified_p__Firmicutes</v>
          </cell>
        </row>
        <row r="20973">
          <cell r="G20973" t="str">
            <v>ASV6900</v>
          </cell>
          <cell r="H20973" t="str">
            <v>g__Enterococcus</v>
          </cell>
          <cell r="I20973" t="str">
            <v>s__unclassified_g__Enterococcus</v>
          </cell>
        </row>
        <row r="20974">
          <cell r="G20974" t="str">
            <v>ASV20989</v>
          </cell>
          <cell r="H20974" t="str">
            <v>g__Christensenellaceae_R-7_group</v>
          </cell>
          <cell r="I20974" t="str">
            <v>s__unclassified_g__Christensenellaceae_R-7_group</v>
          </cell>
        </row>
        <row r="20975">
          <cell r="G20975" t="str">
            <v>ASV6902</v>
          </cell>
          <cell r="H20975" t="str">
            <v>g__unclassified_f__Enterobacteriaceae</v>
          </cell>
          <cell r="I20975" t="str">
            <v>s__unclassified_f__Enterobacteriaceae</v>
          </cell>
        </row>
        <row r="20976">
          <cell r="G20976" t="str">
            <v>ASV6203</v>
          </cell>
          <cell r="H20976" t="str">
            <v>g__norank_f__UCG-010</v>
          </cell>
          <cell r="I20976" t="str">
            <v>s__unclassified_g__norank_f__UCG-010</v>
          </cell>
        </row>
        <row r="20977">
          <cell r="G20977" t="str">
            <v>ASV16582</v>
          </cell>
          <cell r="H20977" t="str">
            <v>g__unclassified_o__Bacteroidales</v>
          </cell>
          <cell r="I20977" t="str">
            <v>s__unclassified_o__Bacteroidales</v>
          </cell>
        </row>
        <row r="20978">
          <cell r="G20978" t="str">
            <v>ASV9651</v>
          </cell>
          <cell r="H20978" t="str">
            <v>g__Bacteroides</v>
          </cell>
          <cell r="I20978" t="str">
            <v>s__unclassified_g__Bacteroides</v>
          </cell>
        </row>
        <row r="20979">
          <cell r="G20979" t="str">
            <v>ASV6349</v>
          </cell>
          <cell r="H20979" t="str">
            <v>g__Colidextribacter</v>
          </cell>
          <cell r="I20979" t="str">
            <v>s__uncultured_bacterium_g__Colidextribacter</v>
          </cell>
        </row>
        <row r="20980">
          <cell r="G20980" t="str">
            <v>ASV18703</v>
          </cell>
          <cell r="H20980" t="str">
            <v>g__unclassified_f__Atopobiaceae</v>
          </cell>
          <cell r="I20980" t="str">
            <v>s__unclassified_f__Atopobiaceae</v>
          </cell>
        </row>
        <row r="20981">
          <cell r="G20981" t="str">
            <v>ASV16112</v>
          </cell>
          <cell r="H20981" t="str">
            <v>g__Lactobacillus</v>
          </cell>
          <cell r="I20981" t="str">
            <v>s__unclassified_g__Lactobacillus</v>
          </cell>
        </row>
        <row r="20982">
          <cell r="G20982" t="str">
            <v>ASV14917</v>
          </cell>
          <cell r="H20982" t="str">
            <v>g__unclassified_f__Lachnospiraceae</v>
          </cell>
          <cell r="I20982" t="str">
            <v>s__unclassified_f__Lachnospiraceae</v>
          </cell>
        </row>
        <row r="20983">
          <cell r="G20983" t="str">
            <v>ASV8179</v>
          </cell>
          <cell r="H20983" t="str">
            <v>g__Lactobacillus</v>
          </cell>
          <cell r="I20983" t="str">
            <v>s__unclassified_g__Lactobacillus</v>
          </cell>
        </row>
        <row r="20984">
          <cell r="G20984" t="str">
            <v>ASV14772</v>
          </cell>
          <cell r="H20984" t="str">
            <v>g__Lachnospiraceae_ND3007_group</v>
          </cell>
          <cell r="I20984" t="str">
            <v>s__uncultured_bacterium_g__Lachnospiraceae_ND3007_group</v>
          </cell>
        </row>
        <row r="20985">
          <cell r="G20985" t="str">
            <v>ASV1125</v>
          </cell>
          <cell r="H20985" t="str">
            <v>g__unclassified_f__Prevotellaceae</v>
          </cell>
          <cell r="I20985" t="str">
            <v>s__unclassified_f__Prevotellaceae</v>
          </cell>
        </row>
        <row r="20986">
          <cell r="G20986" t="str">
            <v>ASV17533</v>
          </cell>
          <cell r="H20986" t="str">
            <v>g__Enterococcus</v>
          </cell>
          <cell r="I20986" t="str">
            <v>s__unclassified_g__Enterococcus</v>
          </cell>
        </row>
        <row r="20987">
          <cell r="G20987" t="str">
            <v>ASV21311</v>
          </cell>
          <cell r="H20987" t="str">
            <v>g__Parabacteroides</v>
          </cell>
          <cell r="I20987" t="str">
            <v>s__unclassified_g__Parabacteroides</v>
          </cell>
        </row>
        <row r="20988">
          <cell r="G20988" t="str">
            <v>ASV9106</v>
          </cell>
          <cell r="H20988" t="str">
            <v>g__Bacillus</v>
          </cell>
          <cell r="I20988" t="str">
            <v>s__Lactobacillus_vaginalis_g__Bacillus</v>
          </cell>
        </row>
        <row r="20989">
          <cell r="G20989" t="str">
            <v>ASV23545</v>
          </cell>
          <cell r="H20989" t="str">
            <v>g__Corynebacterium</v>
          </cell>
          <cell r="I20989" t="str">
            <v>s__unclassified_g__Corynebacterium</v>
          </cell>
        </row>
        <row r="20990">
          <cell r="G20990" t="str">
            <v>ASV10346</v>
          </cell>
          <cell r="H20990" t="str">
            <v>g__unclassified_c__Clostridia</v>
          </cell>
          <cell r="I20990" t="str">
            <v>s__unclassified_c__Clostridia</v>
          </cell>
        </row>
        <row r="20991">
          <cell r="G20991" t="str">
            <v>ASV16607</v>
          </cell>
          <cell r="H20991" t="str">
            <v>g__Escherichia-Shigella</v>
          </cell>
          <cell r="I20991" t="str">
            <v>s__unclassified_g__Escherichia-Shigella</v>
          </cell>
        </row>
        <row r="20992">
          <cell r="G20992" t="str">
            <v>ASV24351</v>
          </cell>
          <cell r="H20992" t="str">
            <v>g__unclassified_c__Clostridia</v>
          </cell>
          <cell r="I20992" t="str">
            <v>s__unclassified_c__Clostridia</v>
          </cell>
        </row>
        <row r="20993">
          <cell r="G20993" t="str">
            <v>ASV20154</v>
          </cell>
          <cell r="H20993" t="str">
            <v>g__unclassified_f__Erysipelotrichaceae</v>
          </cell>
          <cell r="I20993" t="str">
            <v>s__unclassified_f__Erysipelotrichaceae</v>
          </cell>
        </row>
        <row r="20994">
          <cell r="G20994" t="str">
            <v>ASV2472</v>
          </cell>
          <cell r="H20994" t="str">
            <v>g__unclassified_c__Clostridia</v>
          </cell>
          <cell r="I20994" t="str">
            <v>s__unclassified_c__Clostridia</v>
          </cell>
        </row>
        <row r="20995">
          <cell r="G20995" t="str">
            <v>ASV22740</v>
          </cell>
          <cell r="H20995" t="str">
            <v>g__norank_f__norank_o__Clostridia_UCG-014</v>
          </cell>
          <cell r="I20995" t="str">
            <v>s__uncultured_bacterium_g__norank_f__norank_o__Clostridia_UCG-014</v>
          </cell>
        </row>
        <row r="20996">
          <cell r="G20996" t="str">
            <v>ASV8250</v>
          </cell>
          <cell r="H20996" t="str">
            <v>g__Clostridium_sensu_stricto_1</v>
          </cell>
          <cell r="I20996" t="str">
            <v>s__unclassified_g__Clostridium_sensu_stricto_1</v>
          </cell>
        </row>
        <row r="20997">
          <cell r="G20997" t="str">
            <v>ASV21540</v>
          </cell>
          <cell r="H20997" t="str">
            <v>g__unclassified_f__Bacillaceae</v>
          </cell>
          <cell r="I20997" t="str">
            <v>s__unclassified_f__Bacillaceae</v>
          </cell>
        </row>
        <row r="20998">
          <cell r="G20998" t="str">
            <v>ASV5154</v>
          </cell>
          <cell r="H20998" t="str">
            <v>g__unclassified_p__Firmicutes</v>
          </cell>
          <cell r="I20998" t="str">
            <v>s__unclassified_p__Firmicutes</v>
          </cell>
        </row>
        <row r="20999">
          <cell r="G20999" t="str">
            <v>ASV22679</v>
          </cell>
          <cell r="H20999" t="str">
            <v>g__unclassified_p__Firmicutes</v>
          </cell>
          <cell r="I20999" t="str">
            <v>s__unclassified_p__Firmicutes</v>
          </cell>
        </row>
        <row r="21000">
          <cell r="G21000" t="str">
            <v>ASV10337</v>
          </cell>
          <cell r="H21000" t="str">
            <v>g__Escherichia-Shigella</v>
          </cell>
          <cell r="I21000" t="str">
            <v>s__unclassified_g__Escherichia-Shigella</v>
          </cell>
        </row>
        <row r="21001">
          <cell r="G21001" t="str">
            <v>ASV22737</v>
          </cell>
          <cell r="H21001" t="str">
            <v>g__Turicibacter</v>
          </cell>
          <cell r="I21001" t="str">
            <v>s__uncultured_bacterium_g__Turicibacter</v>
          </cell>
        </row>
        <row r="21002">
          <cell r="G21002" t="str">
            <v>ASV13193</v>
          </cell>
          <cell r="H21002" t="str">
            <v>g__Christensenellaceae_R-7_group</v>
          </cell>
          <cell r="I21002" t="str">
            <v>s__unclassified_g__Christensenellaceae_R-7_group</v>
          </cell>
        </row>
        <row r="21003">
          <cell r="G21003" t="str">
            <v>ASV20103</v>
          </cell>
          <cell r="H21003" t="str">
            <v>g__unclassified_f__Lachnospiraceae</v>
          </cell>
          <cell r="I21003" t="str">
            <v>s__unclassified_f__Lachnospiraceae</v>
          </cell>
        </row>
        <row r="21004">
          <cell r="G21004" t="str">
            <v>ASV13863</v>
          </cell>
          <cell r="H21004" t="str">
            <v>g__Enterococcus</v>
          </cell>
          <cell r="I21004" t="str">
            <v>s__unclassified_g__Enterococcus</v>
          </cell>
        </row>
        <row r="21005">
          <cell r="G21005" t="str">
            <v>ASV17004</v>
          </cell>
          <cell r="H21005" t="str">
            <v>g__unclassified_c__Clostridia</v>
          </cell>
          <cell r="I21005" t="str">
            <v>s__unclassified_c__Clostridia</v>
          </cell>
        </row>
        <row r="21006">
          <cell r="G21006" t="str">
            <v>ASV22627</v>
          </cell>
          <cell r="H21006" t="str">
            <v>g__unclassified_o__Oscillospirales</v>
          </cell>
          <cell r="I21006" t="str">
            <v>s__unclassified_o__Oscillospirales</v>
          </cell>
        </row>
        <row r="21007">
          <cell r="G21007" t="str">
            <v>ASV13088</v>
          </cell>
          <cell r="H21007" t="str">
            <v>g__unclassified_f__Lachnospiraceae</v>
          </cell>
          <cell r="I21007" t="str">
            <v>s__unclassified_f__Lachnospiraceae</v>
          </cell>
        </row>
        <row r="21008">
          <cell r="G21008" t="str">
            <v>ASV22544</v>
          </cell>
          <cell r="H21008" t="str">
            <v>g__unclassified_k__norank_d__Bacteria</v>
          </cell>
          <cell r="I21008" t="str">
            <v>s__unclassified_k__norank_d__Bacteria</v>
          </cell>
        </row>
        <row r="21009">
          <cell r="G21009" t="str">
            <v>ASV22854</v>
          </cell>
          <cell r="H21009" t="str">
            <v>g__Terrisporobacter</v>
          </cell>
          <cell r="I21009" t="str">
            <v>s__unclassified_g__Terrisporobacter</v>
          </cell>
        </row>
        <row r="21010">
          <cell r="G21010" t="str">
            <v>ASV22736</v>
          </cell>
          <cell r="H21010" t="str">
            <v>g__unclassified_c__Clostridia</v>
          </cell>
          <cell r="I21010" t="str">
            <v>s__unclassified_c__Clostridia</v>
          </cell>
        </row>
        <row r="21011">
          <cell r="G21011" t="str">
            <v>ASV19972</v>
          </cell>
          <cell r="H21011" t="str">
            <v>g__unclassified_f__Ruminococcaceae</v>
          </cell>
          <cell r="I21011" t="str">
            <v>s__unclassified_f__Ruminococcaceae</v>
          </cell>
        </row>
        <row r="21012">
          <cell r="G21012" t="str">
            <v>ASV10957</v>
          </cell>
          <cell r="H21012" t="str">
            <v>g__unclassified_c__Clostridia</v>
          </cell>
          <cell r="I21012" t="str">
            <v>s__unclassified_c__Clostridia</v>
          </cell>
        </row>
        <row r="21013">
          <cell r="G21013" t="str">
            <v>ASV12378</v>
          </cell>
          <cell r="H21013" t="str">
            <v>g__unclassified_f__Lachnospiraceae</v>
          </cell>
          <cell r="I21013" t="str">
            <v>s__unclassified_f__Lachnospiraceae</v>
          </cell>
        </row>
        <row r="21014">
          <cell r="G21014" t="str">
            <v>ASV14925</v>
          </cell>
          <cell r="H21014" t="str">
            <v>g__unclassified_c__Bacilli</v>
          </cell>
          <cell r="I21014" t="str">
            <v>s__unclassified_c__Bacilli</v>
          </cell>
        </row>
        <row r="21015">
          <cell r="G21015" t="str">
            <v>ASV22533</v>
          </cell>
          <cell r="H21015" t="str">
            <v>g__unclassified_f__Pasteurellaceae</v>
          </cell>
          <cell r="I21015" t="str">
            <v>s__unclassified_f__Pasteurellaceae</v>
          </cell>
        </row>
        <row r="21016">
          <cell r="G21016" t="str">
            <v>ASV20982</v>
          </cell>
          <cell r="H21016" t="str">
            <v>g__unclassified_f__Christensenellaceae</v>
          </cell>
          <cell r="I21016" t="str">
            <v>s__unclassified_f__Christensenellaceae</v>
          </cell>
        </row>
        <row r="21017">
          <cell r="G21017" t="str">
            <v>ASV17380</v>
          </cell>
          <cell r="H21017" t="str">
            <v>g__Sphaerochaeta</v>
          </cell>
          <cell r="I21017" t="str">
            <v>s__uncultured_bacterium_g__Sphaerochaeta</v>
          </cell>
        </row>
        <row r="21018">
          <cell r="G21018" t="str">
            <v>ASV1314</v>
          </cell>
          <cell r="H21018" t="str">
            <v>g__Christensenellaceae_R-7_group</v>
          </cell>
          <cell r="I21018" t="str">
            <v>s__unclassified_g__Christensenellaceae_R-7_group</v>
          </cell>
        </row>
        <row r="21019">
          <cell r="G21019" t="str">
            <v>ASV1498</v>
          </cell>
          <cell r="H21019" t="str">
            <v>g__Prevotella</v>
          </cell>
          <cell r="I21019" t="str">
            <v>s__unclassified_g__Prevotella</v>
          </cell>
        </row>
        <row r="21020">
          <cell r="G21020" t="str">
            <v>ASV5247</v>
          </cell>
          <cell r="H21020" t="str">
            <v>g__UCG-002</v>
          </cell>
          <cell r="I21020" t="str">
            <v>s__unclassified_g__UCG-002</v>
          </cell>
        </row>
        <row r="21021">
          <cell r="G21021" t="str">
            <v>ASV14656</v>
          </cell>
          <cell r="H21021" t="str">
            <v>g__Escherichia-Shigella</v>
          </cell>
          <cell r="I21021" t="str">
            <v>s__unclassified_g__Escherichia-Shigella</v>
          </cell>
        </row>
        <row r="21022">
          <cell r="G21022" t="str">
            <v>ASV15658</v>
          </cell>
          <cell r="H21022" t="str">
            <v>g__UCG-002</v>
          </cell>
          <cell r="I21022" t="str">
            <v>s__unclassified_g__UCG-002</v>
          </cell>
        </row>
        <row r="21023">
          <cell r="G21023" t="str">
            <v>ASV22610</v>
          </cell>
          <cell r="H21023" t="str">
            <v>g__unclassified_f__Lachnospiraceae</v>
          </cell>
          <cell r="I21023" t="str">
            <v>s__unclassified_f__Lachnospiraceae</v>
          </cell>
        </row>
        <row r="21024">
          <cell r="G21024" t="str">
            <v>ASV20063</v>
          </cell>
          <cell r="H21024" t="str">
            <v>g__norank_f__norank_o__Clostridia_UCG-014</v>
          </cell>
          <cell r="I21024" t="str">
            <v>s__uncultured_bacterium_g__norank_f__norank_o__Clostridia_UCG-014</v>
          </cell>
        </row>
        <row r="21025">
          <cell r="G21025" t="str">
            <v>ASV24027</v>
          </cell>
          <cell r="H21025" t="str">
            <v>g__Lactobacillus</v>
          </cell>
          <cell r="I21025" t="str">
            <v>s__unclassified_g__Lactobacillus</v>
          </cell>
        </row>
        <row r="21026">
          <cell r="G21026" t="str">
            <v>ASV13547</v>
          </cell>
          <cell r="H21026" t="str">
            <v>g__unclassified_c__Clostridia</v>
          </cell>
          <cell r="I21026" t="str">
            <v>s__unclassified_c__Clostridia</v>
          </cell>
        </row>
        <row r="21027">
          <cell r="G21027" t="str">
            <v>ASV10245</v>
          </cell>
          <cell r="H21027" t="str">
            <v>g__unclassified_f__Lachnospiraceae</v>
          </cell>
          <cell r="I21027" t="str">
            <v>s__unclassified_f__Lachnospiraceae</v>
          </cell>
        </row>
        <row r="21028">
          <cell r="G21028" t="str">
            <v>ASV8050</v>
          </cell>
          <cell r="H21028" t="str">
            <v>g__Rikenellaceae_RC9_gut_group</v>
          </cell>
          <cell r="I21028" t="str">
            <v>s__uncultured_bacterium_g__Rikenellaceae_RC9_gut_group</v>
          </cell>
        </row>
        <row r="21029">
          <cell r="G21029" t="str">
            <v>ASV8096</v>
          </cell>
          <cell r="H21029" t="str">
            <v>g__unclassified_f__Lachnospiraceae</v>
          </cell>
          <cell r="I21029" t="str">
            <v>s__unclassified_f__Lachnospiraceae</v>
          </cell>
        </row>
        <row r="21030">
          <cell r="G21030" t="str">
            <v>ASV10878</v>
          </cell>
          <cell r="H21030" t="str">
            <v>g__unclassified_f__Peptococcaceae</v>
          </cell>
          <cell r="I21030" t="str">
            <v>s__unclassified_f__Peptococcaceae</v>
          </cell>
        </row>
        <row r="21031">
          <cell r="G21031" t="str">
            <v>ASV14835</v>
          </cell>
          <cell r="H21031" t="str">
            <v>g__unclassified_p__Firmicutes</v>
          </cell>
          <cell r="I21031" t="str">
            <v>s__unclassified_p__Firmicutes</v>
          </cell>
        </row>
        <row r="21032">
          <cell r="G21032" t="str">
            <v>ASV13184</v>
          </cell>
          <cell r="H21032" t="str">
            <v>g__unclassified_f__Lachnospiraceae</v>
          </cell>
          <cell r="I21032" t="str">
            <v>s__unclassified_f__Lachnospiraceae</v>
          </cell>
        </row>
        <row r="21033">
          <cell r="G21033" t="str">
            <v>ASV6372</v>
          </cell>
          <cell r="H21033" t="str">
            <v>g__unclassified_f__Lachnospiraceae</v>
          </cell>
          <cell r="I21033" t="str">
            <v>s__unclassified_f__Lachnospiraceae</v>
          </cell>
        </row>
        <row r="21034">
          <cell r="G21034" t="str">
            <v>ASV22984</v>
          </cell>
          <cell r="H21034" t="str">
            <v>g__Bifidobacterium</v>
          </cell>
          <cell r="I21034" t="str">
            <v>s__unclassified_g__Bifidobacterium</v>
          </cell>
        </row>
        <row r="21035">
          <cell r="G21035" t="str">
            <v>ASV14687</v>
          </cell>
          <cell r="H21035" t="str">
            <v>g__unclassified_c__Clostridia</v>
          </cell>
          <cell r="I21035" t="str">
            <v>s__unclassified_c__Clostridia</v>
          </cell>
        </row>
        <row r="21036">
          <cell r="G21036" t="str">
            <v>ASV16573</v>
          </cell>
          <cell r="H21036" t="str">
            <v>g__unclassified_o__Bacteroidales</v>
          </cell>
          <cell r="I21036" t="str">
            <v>s__unclassified_o__Bacteroidales</v>
          </cell>
        </row>
        <row r="21037">
          <cell r="G21037" t="str">
            <v>ASV14596</v>
          </cell>
          <cell r="H21037" t="str">
            <v>g__unclassified_c__Clostridia</v>
          </cell>
          <cell r="I21037" t="str">
            <v>s__unclassified_c__Clostridia</v>
          </cell>
        </row>
        <row r="21038">
          <cell r="G21038" t="str">
            <v>ASV20058</v>
          </cell>
          <cell r="H21038" t="str">
            <v>g__Succiniclasticum</v>
          </cell>
          <cell r="I21038" t="str">
            <v>s__uncultured_rumen_bacterium_4C28d-16</v>
          </cell>
        </row>
        <row r="21039">
          <cell r="G21039" t="str">
            <v>ASV14600</v>
          </cell>
          <cell r="H21039" t="str">
            <v>g__unclassified_k__norank_d__Bacteria</v>
          </cell>
          <cell r="I21039" t="str">
            <v>s__unclassified_k__norank_d__Bacteria</v>
          </cell>
        </row>
        <row r="21040">
          <cell r="G21040" t="str">
            <v>ASV5209</v>
          </cell>
          <cell r="H21040" t="str">
            <v>g__unclassified_c__Clostridia</v>
          </cell>
          <cell r="I21040" t="str">
            <v>s__unclassified_c__Clostridia</v>
          </cell>
        </row>
        <row r="21041">
          <cell r="G21041" t="str">
            <v>ASV1396</v>
          </cell>
          <cell r="H21041" t="str">
            <v>g__Prevotella</v>
          </cell>
          <cell r="I21041" t="str">
            <v>s__unclassified_g__Prevotella</v>
          </cell>
        </row>
        <row r="21042">
          <cell r="G21042" t="str">
            <v>ASV22651</v>
          </cell>
          <cell r="H21042" t="str">
            <v>g__unclassified_c__Clostridia</v>
          </cell>
          <cell r="I21042" t="str">
            <v>s__unclassified_c__Clostridia</v>
          </cell>
        </row>
        <row r="21043">
          <cell r="G21043" t="str">
            <v>ASV8249</v>
          </cell>
          <cell r="H21043" t="str">
            <v>g__Lactobacillus</v>
          </cell>
          <cell r="I21043" t="str">
            <v>s__unclassified_g__Lactobacillus</v>
          </cell>
        </row>
        <row r="21044">
          <cell r="G21044" t="str">
            <v>ASV7124</v>
          </cell>
          <cell r="H21044" t="str">
            <v>g__Bifidobacterium</v>
          </cell>
          <cell r="I21044" t="str">
            <v>s__unclassified_g__Bifidobacterium</v>
          </cell>
        </row>
        <row r="21045">
          <cell r="G21045" t="str">
            <v>ASV2477</v>
          </cell>
          <cell r="H21045" t="str">
            <v>g__unclassified_f__Lachnospiraceae</v>
          </cell>
          <cell r="I21045" t="str">
            <v>s__unclassified_f__Lachnospiraceae</v>
          </cell>
        </row>
        <row r="21046">
          <cell r="G21046" t="str">
            <v>ASV6415</v>
          </cell>
          <cell r="H21046" t="str">
            <v>g__UBA1819</v>
          </cell>
          <cell r="I21046" t="str">
            <v>s__unclassified_g__UBA1819</v>
          </cell>
        </row>
        <row r="21047">
          <cell r="G21047" t="str">
            <v>ASV8034</v>
          </cell>
          <cell r="H21047" t="str">
            <v>g__unclassified_f__Lachnospiraceae</v>
          </cell>
          <cell r="I21047" t="str">
            <v>s__unclassified_f__Lachnospiraceae</v>
          </cell>
        </row>
        <row r="21048">
          <cell r="G21048" t="str">
            <v>ASV17037</v>
          </cell>
          <cell r="H21048" t="str">
            <v>g__norank_f__Erysipelotrichaceae</v>
          </cell>
          <cell r="I21048" t="str">
            <v>s__uncultured_bacterium_g__norank_f__Erysipelotrichaceae</v>
          </cell>
        </row>
        <row r="21049">
          <cell r="G21049" t="str">
            <v>ASV21358</v>
          </cell>
          <cell r="H21049" t="str">
            <v>g__Lactobacillus</v>
          </cell>
          <cell r="I21049" t="str">
            <v>s__unclassified_g__Lactobacillus</v>
          </cell>
        </row>
        <row r="21050">
          <cell r="G21050" t="str">
            <v>ASV13225</v>
          </cell>
          <cell r="H21050" t="str">
            <v>g__unclassified_f__Lachnospiraceae</v>
          </cell>
          <cell r="I21050" t="str">
            <v>s__unclassified_f__Lachnospiraceae</v>
          </cell>
        </row>
        <row r="21051">
          <cell r="G21051" t="str">
            <v>ASV7993</v>
          </cell>
          <cell r="H21051" t="str">
            <v>g__Alistipes</v>
          </cell>
          <cell r="I21051" t="str">
            <v>s__unclassified_g__Alistipes</v>
          </cell>
        </row>
        <row r="21052">
          <cell r="G21052" t="str">
            <v>ASV5378</v>
          </cell>
          <cell r="H21052" t="str">
            <v>g__Eubacterium_oxidoreducens_group</v>
          </cell>
          <cell r="I21052" t="str">
            <v>s__uncultured_bacterium_g__Eubacterium_oxidoreducens_group</v>
          </cell>
        </row>
        <row r="21053">
          <cell r="G21053" t="str">
            <v>ASV5151</v>
          </cell>
          <cell r="H21053" t="str">
            <v>g__unclassified_o__Micrococcales</v>
          </cell>
          <cell r="I21053" t="str">
            <v>s__unclassified_o__Micrococcales</v>
          </cell>
        </row>
        <row r="21054">
          <cell r="G21054" t="str">
            <v>ASV5313</v>
          </cell>
          <cell r="H21054" t="str">
            <v>g__SP3-e08</v>
          </cell>
          <cell r="I21054" t="str">
            <v>s__uncultured_bacterium_g__SP3-e08</v>
          </cell>
        </row>
        <row r="21055">
          <cell r="G21055" t="str">
            <v>ASV1464</v>
          </cell>
          <cell r="H21055" t="str">
            <v>g__norank_f__Muribaculaceae</v>
          </cell>
          <cell r="I21055" t="str">
            <v>s__uncultured_bacterium_g__norank_f__Muribaculaceae</v>
          </cell>
        </row>
        <row r="21056">
          <cell r="G21056" t="str">
            <v>ASV8889</v>
          </cell>
          <cell r="H21056" t="str">
            <v>g__Subdoligranulum</v>
          </cell>
          <cell r="I21056" t="str">
            <v>s__unclassified_g__Subdoligranulum</v>
          </cell>
        </row>
        <row r="21057">
          <cell r="G21057" t="str">
            <v>ASV1108</v>
          </cell>
          <cell r="H21057" t="str">
            <v>g__Rikenellaceae_RC9_gut_group</v>
          </cell>
          <cell r="I21057" t="str">
            <v>s__uncultured_bacterium_g__Rikenellaceae_RC9_gut_group</v>
          </cell>
        </row>
        <row r="21058">
          <cell r="G21058" t="str">
            <v>ASV13080</v>
          </cell>
          <cell r="H21058" t="str">
            <v>g__Anaerofustis</v>
          </cell>
          <cell r="I21058" t="str">
            <v>s__unclassified_g__Anaerofustis</v>
          </cell>
        </row>
        <row r="21059">
          <cell r="G21059" t="str">
            <v>ASV8056</v>
          </cell>
          <cell r="H21059" t="str">
            <v>g__unclassified_c__Clostridia</v>
          </cell>
          <cell r="I21059" t="str">
            <v>s__unclassified_c__Clostridia</v>
          </cell>
        </row>
        <row r="21060">
          <cell r="G21060" t="str">
            <v>ASV5286</v>
          </cell>
          <cell r="H21060" t="str">
            <v>g__unclassified_c__Clostridia</v>
          </cell>
          <cell r="I21060" t="str">
            <v>s__unclassified_c__Clostridia</v>
          </cell>
        </row>
        <row r="21061">
          <cell r="G21061" t="str">
            <v>ASV10879</v>
          </cell>
          <cell r="H21061" t="str">
            <v>g__unclassified_c__Clostridia</v>
          </cell>
          <cell r="I21061" t="str">
            <v>s__unclassified_c__Clostridia</v>
          </cell>
        </row>
        <row r="21062">
          <cell r="G21062" t="str">
            <v>ASV3297</v>
          </cell>
          <cell r="H21062" t="str">
            <v>g__Escherichia-Shigella</v>
          </cell>
          <cell r="I21062" t="str">
            <v>s__unclassified_g__Escherichia-Shigella</v>
          </cell>
        </row>
        <row r="21063">
          <cell r="G21063" t="str">
            <v>ASV23515</v>
          </cell>
          <cell r="H21063" t="str">
            <v>g__norank_f__Muribaculaceae</v>
          </cell>
          <cell r="I21063" t="str">
            <v>s__uncultured_bacterium_g__norank_f__Muribaculaceae</v>
          </cell>
        </row>
        <row r="21064">
          <cell r="G21064" t="str">
            <v>ASV22949</v>
          </cell>
          <cell r="H21064" t="str">
            <v>g__unclassified_f__Dermatophilaceae</v>
          </cell>
          <cell r="I21064" t="str">
            <v>s__unclassified_f__Dermatophilaceae</v>
          </cell>
        </row>
        <row r="21065">
          <cell r="G21065" t="str">
            <v>ASV10923</v>
          </cell>
          <cell r="H21065" t="str">
            <v>g__unclassified_c__Clostridia</v>
          </cell>
          <cell r="I21065" t="str">
            <v>s__unclassified_c__Clostridia</v>
          </cell>
        </row>
        <row r="21066">
          <cell r="G21066" t="str">
            <v>ASV18331</v>
          </cell>
          <cell r="H21066" t="str">
            <v>g__unclassified_c__Clostridia</v>
          </cell>
          <cell r="I21066" t="str">
            <v>s__unclassified_c__Clostridia</v>
          </cell>
        </row>
        <row r="21067">
          <cell r="G21067" t="str">
            <v>ASV14686</v>
          </cell>
          <cell r="H21067" t="str">
            <v>g__unclassified_c__Clostridia</v>
          </cell>
          <cell r="I21067" t="str">
            <v>s__unclassified_c__Clostridia</v>
          </cell>
        </row>
        <row r="21068">
          <cell r="G21068" t="str">
            <v>ASV8578</v>
          </cell>
          <cell r="H21068" t="str">
            <v>g__unclassified_f__Selenomonadaceae</v>
          </cell>
          <cell r="I21068" t="str">
            <v>s__unclassified_f__Selenomonadaceae</v>
          </cell>
        </row>
        <row r="21069">
          <cell r="G21069" t="str">
            <v>ASV20107</v>
          </cell>
          <cell r="H21069" t="str">
            <v>g__Lactobacillus</v>
          </cell>
          <cell r="I21069" t="str">
            <v>s__unclassified_g__Lactobacillus</v>
          </cell>
        </row>
        <row r="21070">
          <cell r="G21070" t="str">
            <v>ASV4223</v>
          </cell>
          <cell r="H21070" t="str">
            <v>g__unclassified_o__Bacteroidales</v>
          </cell>
          <cell r="I21070" t="str">
            <v>s__unclassified_o__Bacteroidales</v>
          </cell>
        </row>
        <row r="21071">
          <cell r="G21071" t="str">
            <v>ASV22837</v>
          </cell>
          <cell r="H21071" t="str">
            <v>g__UCG-002</v>
          </cell>
          <cell r="I21071" t="str">
            <v>s__uncultured_bacterium_g__UCG-002</v>
          </cell>
        </row>
        <row r="21072">
          <cell r="G21072" t="str">
            <v>ASV18376</v>
          </cell>
          <cell r="H21072" t="str">
            <v>g__unclassified_c__Clostridia</v>
          </cell>
          <cell r="I21072" t="str">
            <v>s__unclassified_c__Clostridia</v>
          </cell>
        </row>
        <row r="21073">
          <cell r="G21073" t="str">
            <v>ASV18291</v>
          </cell>
          <cell r="H21073" t="str">
            <v>g__Christensenellaceae_R-7_group</v>
          </cell>
          <cell r="I21073" t="str">
            <v>s__unclassified_g__Christensenellaceae_R-7_group</v>
          </cell>
        </row>
        <row r="21074">
          <cell r="G21074" t="str">
            <v>ASV8063</v>
          </cell>
          <cell r="H21074" t="str">
            <v>g__Megasphaera</v>
          </cell>
          <cell r="I21074" t="str">
            <v>s__unclassified_g__Megasphaera</v>
          </cell>
        </row>
        <row r="21075">
          <cell r="G21075" t="str">
            <v>ASV23516</v>
          </cell>
          <cell r="H21075" t="str">
            <v>g__Subdoligranulum</v>
          </cell>
          <cell r="I21075" t="str">
            <v>s__unclassified_g__Subdoligranulum</v>
          </cell>
        </row>
        <row r="21076">
          <cell r="G21076" t="str">
            <v>ASV6960</v>
          </cell>
          <cell r="H21076" t="str">
            <v>g__Turicibacter</v>
          </cell>
          <cell r="I21076" t="str">
            <v>s__uncultured_bacterium_g__Turicibacter</v>
          </cell>
        </row>
        <row r="21077">
          <cell r="G21077" t="str">
            <v>ASV24269</v>
          </cell>
          <cell r="H21077" t="str">
            <v>g__Bacteroides</v>
          </cell>
          <cell r="I21077" t="str">
            <v>s__unclassified_g__Bacteroides</v>
          </cell>
        </row>
        <row r="21078">
          <cell r="G21078" t="str">
            <v>ASV10255</v>
          </cell>
          <cell r="H21078" t="str">
            <v>g__unclassified_f__Fusobacteriaceae</v>
          </cell>
          <cell r="I21078" t="str">
            <v>s__unclassified_f__Fusobacteriaceae</v>
          </cell>
        </row>
        <row r="21079">
          <cell r="G21079" t="str">
            <v>ASV12993</v>
          </cell>
          <cell r="H21079" t="str">
            <v>g__unclassified_c__Bacilli</v>
          </cell>
          <cell r="I21079" t="str">
            <v>s__unclassified_c__Bacilli</v>
          </cell>
        </row>
        <row r="21080">
          <cell r="G21080" t="str">
            <v>ASV10987</v>
          </cell>
          <cell r="H21080" t="str">
            <v>g__norank_f__Eubacterium_coprostanoligenes_group</v>
          </cell>
          <cell r="I21080" t="str">
            <v>s__uncultured_bacterium_g__norank_f__Eubacterium_coprostanoligenes_group</v>
          </cell>
        </row>
        <row r="21081">
          <cell r="G21081" t="str">
            <v>ASV17397</v>
          </cell>
          <cell r="H21081" t="str">
            <v>g__Leucobacter</v>
          </cell>
          <cell r="I21081" t="str">
            <v>s__unclassified_g__Leucobacter</v>
          </cell>
        </row>
        <row r="21082">
          <cell r="G21082" t="str">
            <v>ASV7401</v>
          </cell>
          <cell r="H21082" t="str">
            <v>g__Lactobacillus</v>
          </cell>
          <cell r="I21082" t="str">
            <v>s__unclassified_g__Lactobacillus</v>
          </cell>
        </row>
        <row r="21083">
          <cell r="G21083" t="str">
            <v>ASV4315</v>
          </cell>
          <cell r="H21083" t="str">
            <v>g__unclassified_k__norank_d__Bacteria</v>
          </cell>
          <cell r="I21083" t="str">
            <v>s__unclassified_k__norank_d__Bacteria</v>
          </cell>
        </row>
        <row r="21084">
          <cell r="G21084" t="str">
            <v>ASV8208</v>
          </cell>
          <cell r="H21084" t="str">
            <v>g__unclassified_f__Lachnospiraceae</v>
          </cell>
          <cell r="I21084" t="str">
            <v>s__unclassified_f__Lachnospiraceae</v>
          </cell>
        </row>
        <row r="21085">
          <cell r="G21085" t="str">
            <v>ASV4276</v>
          </cell>
          <cell r="H21085" t="str">
            <v>g__Parabacteroides</v>
          </cell>
          <cell r="I21085" t="str">
            <v>s__unclassified_g__Parabacteroides</v>
          </cell>
        </row>
        <row r="21086">
          <cell r="G21086" t="str">
            <v>ASV16622</v>
          </cell>
          <cell r="H21086" t="str">
            <v>g__Rikenellaceae_RC9_gut_group</v>
          </cell>
          <cell r="I21086" t="str">
            <v>s__uncultured_bacterium_g__Rikenellaceae_RC9_gut_group</v>
          </cell>
        </row>
        <row r="21087">
          <cell r="G21087" t="str">
            <v>ASV10235</v>
          </cell>
          <cell r="H21087" t="str">
            <v>g__unclassified_f__Lachnospiraceae</v>
          </cell>
          <cell r="I21087" t="str">
            <v>s__unclassified_f__Lachnospiraceae</v>
          </cell>
        </row>
        <row r="21088">
          <cell r="G21088" t="str">
            <v>ASV12063</v>
          </cell>
          <cell r="H21088" t="str">
            <v>g__Parabacteroides</v>
          </cell>
          <cell r="I21088" t="str">
            <v>s__uncultured_bacterium_g__Parabacteroides</v>
          </cell>
        </row>
        <row r="21089">
          <cell r="G21089" t="str">
            <v>ASV2453</v>
          </cell>
          <cell r="H21089" t="str">
            <v>g__unclassified_c__Clostridia</v>
          </cell>
          <cell r="I21089" t="str">
            <v>s__unclassified_c__Clostridia</v>
          </cell>
        </row>
        <row r="21090">
          <cell r="G21090" t="str">
            <v>ASV12304</v>
          </cell>
          <cell r="H21090" t="str">
            <v>g__Christensenellaceae_R-7_group</v>
          </cell>
          <cell r="I21090" t="str">
            <v>s__uncultured_bacterium_g__Christensenellaceae_R-7_group</v>
          </cell>
        </row>
        <row r="21091">
          <cell r="G21091" t="str">
            <v>ASV23641</v>
          </cell>
          <cell r="H21091" t="str">
            <v>g__Holdemanella</v>
          </cell>
          <cell r="I21091" t="str">
            <v>s__uncultured_bacterium_g__Holdemanella</v>
          </cell>
        </row>
        <row r="21092">
          <cell r="G21092" t="str">
            <v>ASV10977</v>
          </cell>
          <cell r="H21092" t="str">
            <v>g__Eubacterium_oxidoreducens_group</v>
          </cell>
          <cell r="I21092" t="str">
            <v>s__uncultured_bacterium_g__Eubacterium_oxidoreducens_group</v>
          </cell>
        </row>
        <row r="21093">
          <cell r="G21093" t="str">
            <v>ASV17555</v>
          </cell>
          <cell r="H21093" t="str">
            <v>g__unclassified_o__Oscillospirales</v>
          </cell>
          <cell r="I21093" t="str">
            <v>s__unclassified_o__Oscillospirales</v>
          </cell>
        </row>
        <row r="21094">
          <cell r="G21094" t="str">
            <v>ASV18696</v>
          </cell>
          <cell r="H21094" t="str">
            <v>g__unclassified_p__Firmicutes</v>
          </cell>
          <cell r="I21094" t="str">
            <v>s__unclassified_p__Firmicutes</v>
          </cell>
        </row>
        <row r="21095">
          <cell r="G21095" t="str">
            <v>ASV9091</v>
          </cell>
          <cell r="H21095" t="str">
            <v>g__Moraxella</v>
          </cell>
          <cell r="I21095" t="str">
            <v>s__unclassified_g__Moraxella</v>
          </cell>
        </row>
        <row r="21096">
          <cell r="G21096" t="str">
            <v>ASV7402</v>
          </cell>
          <cell r="H21096" t="str">
            <v>g__Blautia</v>
          </cell>
          <cell r="I21096" t="str">
            <v>s__unclassified_g__Blautia</v>
          </cell>
        </row>
        <row r="21097">
          <cell r="G21097" t="str">
            <v>ASV20189</v>
          </cell>
          <cell r="H21097" t="str">
            <v>g__unclassified_f__Ruminococcaceae</v>
          </cell>
          <cell r="I21097" t="str">
            <v>s__unclassified_f__Ruminococcaceae</v>
          </cell>
        </row>
        <row r="21098">
          <cell r="G21098" t="str">
            <v>ASV12057</v>
          </cell>
          <cell r="H21098" t="str">
            <v>g__unclassified_o__Oscillospirales</v>
          </cell>
          <cell r="I21098" t="str">
            <v>s__unclassified_o__Oscillospirales</v>
          </cell>
        </row>
        <row r="21099">
          <cell r="G21099" t="str">
            <v>ASV9070</v>
          </cell>
          <cell r="H21099" t="str">
            <v>g__Moraxella</v>
          </cell>
          <cell r="I21099" t="str">
            <v>s__unclassified_g__Moraxella</v>
          </cell>
        </row>
        <row r="21100">
          <cell r="G21100" t="str">
            <v>ASV18974</v>
          </cell>
          <cell r="H21100" t="str">
            <v>g__unclassified_f__Prevotellaceae</v>
          </cell>
          <cell r="I21100" t="str">
            <v>s__unclassified_f__Prevotellaceae</v>
          </cell>
        </row>
        <row r="21101">
          <cell r="G21101" t="str">
            <v>ASV16587</v>
          </cell>
          <cell r="H21101" t="str">
            <v>g__unclassified_k__norank_d__Bacteria</v>
          </cell>
          <cell r="I21101" t="str">
            <v>s__unclassified_k__norank_d__Bacteria</v>
          </cell>
        </row>
        <row r="21102">
          <cell r="G21102" t="str">
            <v>ASV8376</v>
          </cell>
          <cell r="H21102" t="str">
            <v>g__unclassified_f__Peptostreptococcaceae</v>
          </cell>
          <cell r="I21102" t="str">
            <v>s__unclassified_f__Peptostreptococcaceae</v>
          </cell>
        </row>
        <row r="21103">
          <cell r="G21103" t="str">
            <v>ASV6161</v>
          </cell>
          <cell r="H21103" t="str">
            <v>g__unclassified_p__Firmicutes</v>
          </cell>
          <cell r="I21103" t="str">
            <v>s__unclassified_p__Firmicutes</v>
          </cell>
        </row>
        <row r="21104">
          <cell r="G21104" t="str">
            <v>ASV24327</v>
          </cell>
          <cell r="H21104" t="str">
            <v>g__Clostridium_sensu_stricto_1</v>
          </cell>
          <cell r="I21104" t="str">
            <v>s__unclassified_g__Clostridium_sensu_stricto_1</v>
          </cell>
        </row>
        <row r="21105">
          <cell r="G21105" t="str">
            <v>ASV13566</v>
          </cell>
          <cell r="H21105" t="str">
            <v>g__unclassified_k__norank_d__Bacteria</v>
          </cell>
          <cell r="I21105" t="str">
            <v>s__unclassified_k__norank_d__Bacteria</v>
          </cell>
        </row>
        <row r="21106">
          <cell r="G21106" t="str">
            <v>ASV3306</v>
          </cell>
          <cell r="H21106" t="str">
            <v>g__Lactobacillus</v>
          </cell>
          <cell r="I21106" t="str">
            <v>s__unclassified_g__Lactobacillus</v>
          </cell>
        </row>
        <row r="21107">
          <cell r="G21107" t="str">
            <v>ASV2417</v>
          </cell>
          <cell r="H21107" t="str">
            <v>g__unclassified_c__Clostridia</v>
          </cell>
          <cell r="I21107" t="str">
            <v>s__unclassified_c__Clostridia</v>
          </cell>
        </row>
        <row r="21108">
          <cell r="G21108" t="str">
            <v>ASV9112</v>
          </cell>
          <cell r="H21108" t="str">
            <v>g__Subdoligranulum</v>
          </cell>
          <cell r="I21108" t="str">
            <v>s__unclassified_g__Subdoligranulum</v>
          </cell>
        </row>
        <row r="21109">
          <cell r="G21109" t="str">
            <v>ASV17081</v>
          </cell>
          <cell r="H21109" t="str">
            <v>g__unclassified_f__Lachnospiraceae</v>
          </cell>
          <cell r="I21109" t="str">
            <v>s__unclassified_f__Lachnospiraceae</v>
          </cell>
        </row>
        <row r="21110">
          <cell r="G21110" t="str">
            <v>ASV5256</v>
          </cell>
          <cell r="H21110" t="str">
            <v>g__Lactobacillus</v>
          </cell>
          <cell r="I21110" t="str">
            <v>s__unclassified_g__Lactobacillus</v>
          </cell>
        </row>
        <row r="21111">
          <cell r="G21111" t="str">
            <v>ASV12142</v>
          </cell>
          <cell r="H21111" t="str">
            <v>g__unclassified_c__Clostridia</v>
          </cell>
          <cell r="I21111" t="str">
            <v>s__unclassified_c__Clostridia</v>
          </cell>
        </row>
        <row r="21112">
          <cell r="G21112" t="str">
            <v>ASV14574</v>
          </cell>
          <cell r="H21112" t="str">
            <v>g__Actinomyces</v>
          </cell>
          <cell r="I21112" t="str">
            <v>s__unclassified_g__Actinomyces</v>
          </cell>
        </row>
        <row r="21113">
          <cell r="G21113" t="str">
            <v>ASV20164</v>
          </cell>
          <cell r="H21113" t="str">
            <v>g__unclassified_f__Lachnospiraceae</v>
          </cell>
          <cell r="I21113" t="str">
            <v>s__unclassified_f__Lachnospiraceae</v>
          </cell>
        </row>
        <row r="21114">
          <cell r="G21114" t="str">
            <v>ASV20965</v>
          </cell>
          <cell r="H21114" t="str">
            <v>g__Bacteroides</v>
          </cell>
          <cell r="I21114" t="str">
            <v>s__unclassified_g__Bacteroides</v>
          </cell>
        </row>
        <row r="21115">
          <cell r="G21115" t="str">
            <v>ASV16167</v>
          </cell>
          <cell r="H21115" t="str">
            <v>g__unclassified_f__Lachnospiraceae</v>
          </cell>
          <cell r="I21115" t="str">
            <v>s__unclassified_f__Lachnospiraceae</v>
          </cell>
        </row>
        <row r="21116">
          <cell r="G21116" t="str">
            <v>ASV18949</v>
          </cell>
          <cell r="H21116" t="str">
            <v>g__unclassified_k__norank_d__Bacteria</v>
          </cell>
          <cell r="I21116" t="str">
            <v>s__unclassified_k__norank_d__Bacteria</v>
          </cell>
        </row>
        <row r="21117">
          <cell r="G21117" t="str">
            <v>ASV17041</v>
          </cell>
          <cell r="H21117" t="str">
            <v>g__Lactobacillus</v>
          </cell>
          <cell r="I21117" t="str">
            <v>s__unclassified_g__Lactobacillus</v>
          </cell>
        </row>
        <row r="21118">
          <cell r="G21118" t="str">
            <v>ASV16142</v>
          </cell>
          <cell r="H21118" t="str">
            <v>g__Fusobacterium</v>
          </cell>
          <cell r="I21118" t="str">
            <v>s__unclassified_g__Fusobacterium</v>
          </cell>
        </row>
        <row r="21119">
          <cell r="G21119" t="str">
            <v>ASV13031</v>
          </cell>
          <cell r="H21119" t="str">
            <v>g__unclassified_k__norank_d__Bacteria</v>
          </cell>
          <cell r="I21119" t="str">
            <v>s__unclassified_k__norank_d__Bacteria</v>
          </cell>
        </row>
        <row r="21120">
          <cell r="G21120" t="str">
            <v>ASV18302</v>
          </cell>
          <cell r="H21120" t="str">
            <v>g__unclassified_f__Lachnospiraceae</v>
          </cell>
          <cell r="I21120" t="str">
            <v>s__unclassified_f__Lachnospiraceae</v>
          </cell>
        </row>
        <row r="21121">
          <cell r="G21121" t="str">
            <v>ASV22640</v>
          </cell>
          <cell r="H21121" t="str">
            <v>g__unclassified_f__Ruminococcaceae</v>
          </cell>
          <cell r="I21121" t="str">
            <v>s__unclassified_f__Ruminococcaceae</v>
          </cell>
        </row>
        <row r="21122">
          <cell r="G21122" t="str">
            <v>ASV19903</v>
          </cell>
          <cell r="H21122" t="str">
            <v>g__unclassified_p__Firmicutes</v>
          </cell>
          <cell r="I21122" t="str">
            <v>s__unclassified_p__Firmicutes</v>
          </cell>
        </row>
        <row r="21123">
          <cell r="G21123" t="str">
            <v>ASV4214</v>
          </cell>
          <cell r="H21123" t="str">
            <v>g__unclassified_k__norank_d__Bacteria</v>
          </cell>
          <cell r="I21123" t="str">
            <v>s__unclassified_k__norank_d__Bacteria</v>
          </cell>
        </row>
        <row r="21124">
          <cell r="G21124" t="str">
            <v>ASV8207</v>
          </cell>
          <cell r="H21124" t="str">
            <v>g__unclassified_f__Clostridiaceae</v>
          </cell>
          <cell r="I21124" t="str">
            <v>s__unclassified_f__Clostridiaceae</v>
          </cell>
        </row>
        <row r="21125">
          <cell r="G21125" t="str">
            <v>ASV10348</v>
          </cell>
          <cell r="H21125" t="str">
            <v>g__Prevotella</v>
          </cell>
          <cell r="I21125" t="str">
            <v>s__Prevotella_sp._DJF_LS16</v>
          </cell>
        </row>
        <row r="21126">
          <cell r="G21126" t="str">
            <v>ASV18318</v>
          </cell>
          <cell r="H21126" t="str">
            <v>g__unclassified_c__Clostridia</v>
          </cell>
          <cell r="I21126" t="str">
            <v>s__unclassified_c__Clostridia</v>
          </cell>
        </row>
        <row r="21127">
          <cell r="G21127" t="str">
            <v>ASV17525</v>
          </cell>
          <cell r="H21127" t="str">
            <v>g__Anaerovibrio</v>
          </cell>
          <cell r="I21127" t="str">
            <v>s__unclassified_g__Anaerovibrio</v>
          </cell>
        </row>
        <row r="21128">
          <cell r="G21128" t="str">
            <v>ASV24288</v>
          </cell>
          <cell r="H21128" t="str">
            <v>g__unclassified_f__Peptostreptococcaceae</v>
          </cell>
          <cell r="I21128" t="str">
            <v>s__unclassified_f__Peptostreptococcaceae</v>
          </cell>
        </row>
        <row r="21129">
          <cell r="G21129" t="str">
            <v>ASV13747</v>
          </cell>
          <cell r="H21129" t="str">
            <v>g__Veillonella</v>
          </cell>
          <cell r="I21129" t="str">
            <v>s__unclassified_g__Veillonella</v>
          </cell>
        </row>
        <row r="21130">
          <cell r="G21130" t="str">
            <v>ASV23547</v>
          </cell>
          <cell r="H21130" t="str">
            <v>g__unclassified_k__norank_d__Bacteria</v>
          </cell>
          <cell r="I21130" t="str">
            <v>s__unclassified_k__norank_d__Bacteria</v>
          </cell>
        </row>
        <row r="21131">
          <cell r="G21131" t="str">
            <v>ASV19140</v>
          </cell>
          <cell r="H21131" t="str">
            <v>g__Lactobacillus</v>
          </cell>
          <cell r="I21131" t="str">
            <v>s__unclassified_g__Lactobacillus</v>
          </cell>
        </row>
        <row r="21132">
          <cell r="G21132" t="str">
            <v>ASV1180</v>
          </cell>
          <cell r="H21132" t="str">
            <v>g__norank_f__Peptococcaceae</v>
          </cell>
          <cell r="I21132" t="str">
            <v>s__unclassified_g__norank_f__Peptococcaceae</v>
          </cell>
        </row>
        <row r="21133">
          <cell r="G21133" t="str">
            <v>ASV19129</v>
          </cell>
          <cell r="H21133" t="str">
            <v>g__Eubacterium_oxidoreducens_group</v>
          </cell>
          <cell r="I21133" t="str">
            <v>s__uncultured_bacterium_g__Eubacterium_oxidoreducens_group</v>
          </cell>
        </row>
        <row r="21134">
          <cell r="G21134" t="str">
            <v>ASV14757</v>
          </cell>
          <cell r="H21134" t="str">
            <v>g__Escherichia-Shigella</v>
          </cell>
          <cell r="I21134" t="str">
            <v>s__unclassified_g__Escherichia-Shigella</v>
          </cell>
        </row>
        <row r="21135">
          <cell r="G21135" t="str">
            <v>ASV14799</v>
          </cell>
          <cell r="H21135" t="str">
            <v>g__unclassified_f__Lachnospiraceae</v>
          </cell>
          <cell r="I21135" t="str">
            <v>s__unclassified_f__Lachnospiraceae</v>
          </cell>
        </row>
        <row r="21136">
          <cell r="G21136" t="str">
            <v>ASV24032</v>
          </cell>
          <cell r="H21136" t="str">
            <v>g__Eubacterium_nodatum_group</v>
          </cell>
          <cell r="I21136" t="str">
            <v>s__Eubacterium_sp._68-3-10</v>
          </cell>
        </row>
        <row r="21137">
          <cell r="G21137" t="str">
            <v>ASV6986</v>
          </cell>
          <cell r="H21137" t="str">
            <v>g__unclassified_f__Peptostreptococcaceae</v>
          </cell>
          <cell r="I21137" t="str">
            <v>s__unclassified_f__Peptostreptococcaceae</v>
          </cell>
        </row>
        <row r="21138">
          <cell r="G21138" t="str">
            <v>ASV1221</v>
          </cell>
          <cell r="H21138" t="str">
            <v>g__unclassified_o__Bacteroidales</v>
          </cell>
          <cell r="I21138" t="str">
            <v>s__unclassified_o__Bacteroidales</v>
          </cell>
        </row>
        <row r="21139">
          <cell r="G21139" t="str">
            <v>ASV18471</v>
          </cell>
          <cell r="H21139" t="str">
            <v>g__unclassified_c__Clostridia</v>
          </cell>
          <cell r="I21139" t="str">
            <v>s__unclassified_c__Clostridia</v>
          </cell>
        </row>
        <row r="21140">
          <cell r="G21140" t="str">
            <v>ASV7217</v>
          </cell>
          <cell r="H21140" t="str">
            <v>g__norank_f__norank_o__Saccharimonadales</v>
          </cell>
          <cell r="I21140" t="str">
            <v>s__unclassified_g__norank_f__norank_o__Saccharimonadales</v>
          </cell>
        </row>
        <row r="21141">
          <cell r="G21141" t="str">
            <v>ASV24055</v>
          </cell>
          <cell r="H21141" t="str">
            <v>g__Bacillus</v>
          </cell>
          <cell r="I21141" t="str">
            <v>s__Lactobacillus_vaginalis_g__Bacillus</v>
          </cell>
        </row>
        <row r="21142">
          <cell r="G21142" t="str">
            <v>ASV20120</v>
          </cell>
          <cell r="H21142" t="str">
            <v>g__unclassified_c__Clostridia</v>
          </cell>
          <cell r="I21142" t="str">
            <v>s__unclassified_c__Clostridia</v>
          </cell>
        </row>
        <row r="21143">
          <cell r="G21143" t="str">
            <v>ASV22577</v>
          </cell>
          <cell r="H21143" t="str">
            <v>g__unclassified_o__Clostridiales</v>
          </cell>
          <cell r="I21143" t="str">
            <v>s__unclassified_o__Clostridiales</v>
          </cell>
        </row>
        <row r="21144">
          <cell r="G21144" t="str">
            <v>ASV18391</v>
          </cell>
          <cell r="H21144" t="str">
            <v>g__unclassified_f__Lachnospiraceae</v>
          </cell>
          <cell r="I21144" t="str">
            <v>s__unclassified_f__Lachnospiraceae</v>
          </cell>
        </row>
        <row r="21145">
          <cell r="G21145" t="str">
            <v>ASV19981</v>
          </cell>
          <cell r="H21145" t="str">
            <v>g__unclassified_k__norank_d__Bacteria</v>
          </cell>
          <cell r="I21145" t="str">
            <v>s__unclassified_k__norank_d__Bacteria</v>
          </cell>
        </row>
        <row r="21146">
          <cell r="G21146" t="str">
            <v>ASV14882</v>
          </cell>
          <cell r="H21146" t="str">
            <v>g__unclassified_f__Lachnospiraceae</v>
          </cell>
          <cell r="I21146" t="str">
            <v>s__unclassified_f__Lachnospiraceae</v>
          </cell>
        </row>
        <row r="21147">
          <cell r="G21147" t="str">
            <v>ASV15867</v>
          </cell>
          <cell r="H21147" t="str">
            <v>g__Subdoligranulum</v>
          </cell>
          <cell r="I21147" t="str">
            <v>s__uncultured_bacterium_g__Subdoligranulum</v>
          </cell>
        </row>
        <row r="21148">
          <cell r="G21148" t="str">
            <v>ASV12435</v>
          </cell>
          <cell r="H21148" t="str">
            <v>g__Veillonella</v>
          </cell>
          <cell r="I21148" t="str">
            <v>s__unclassified_g__Veillonella</v>
          </cell>
        </row>
        <row r="21149">
          <cell r="G21149" t="str">
            <v>ASV7430</v>
          </cell>
          <cell r="H21149" t="str">
            <v>g__unclassified_k__norank_d__Bacteria</v>
          </cell>
          <cell r="I21149" t="str">
            <v>s__unclassified_k__norank_d__Bacteria</v>
          </cell>
        </row>
        <row r="21150">
          <cell r="G21150" t="str">
            <v>ASV6987</v>
          </cell>
          <cell r="H21150" t="str">
            <v>g__Streptococcus</v>
          </cell>
          <cell r="I21150" t="str">
            <v>s__unclassified_g__Streptococcus</v>
          </cell>
        </row>
        <row r="21151">
          <cell r="G21151" t="str">
            <v>ASV4298</v>
          </cell>
          <cell r="H21151" t="str">
            <v>g__Phascolarctobacterium</v>
          </cell>
          <cell r="I21151" t="str">
            <v>s__Ruminococcus_sp._N15.MGS-57_g__Phascolarctobacterium</v>
          </cell>
        </row>
        <row r="21152">
          <cell r="G21152" t="str">
            <v>ASV9723</v>
          </cell>
          <cell r="H21152" t="str">
            <v>g__unclassified_c__Clostridia</v>
          </cell>
          <cell r="I21152" t="str">
            <v>s__unclassified_c__Clostridia</v>
          </cell>
        </row>
        <row r="21153">
          <cell r="G21153" t="str">
            <v>ASV19938</v>
          </cell>
          <cell r="H21153" t="str">
            <v>g__unclassified_c__Clostridia</v>
          </cell>
          <cell r="I21153" t="str">
            <v>s__unclassified_c__Clostridia</v>
          </cell>
        </row>
        <row r="21154">
          <cell r="G21154" t="str">
            <v>ASV1416</v>
          </cell>
          <cell r="H21154" t="str">
            <v>g__unclassified_f__Rikenellaceae</v>
          </cell>
          <cell r="I21154" t="str">
            <v>s__unclassified_f__Rikenellaceae</v>
          </cell>
        </row>
        <row r="21155">
          <cell r="G21155" t="str">
            <v>ASV20307</v>
          </cell>
          <cell r="H21155" t="str">
            <v>g__unclassified_f__Lachnospiraceae</v>
          </cell>
          <cell r="I21155" t="str">
            <v>s__unclassified_f__Lachnospiraceae</v>
          </cell>
        </row>
        <row r="21156">
          <cell r="G21156" t="str">
            <v>ASV5435</v>
          </cell>
          <cell r="H21156" t="str">
            <v>g__unclassified_f__Clostridiaceae</v>
          </cell>
          <cell r="I21156" t="str">
            <v>s__unclassified_f__Clostridiaceae</v>
          </cell>
        </row>
        <row r="21157">
          <cell r="G21157" t="str">
            <v>ASV16786</v>
          </cell>
          <cell r="H21157" t="str">
            <v>g__Peptoniphilus</v>
          </cell>
          <cell r="I21157" t="str">
            <v>s__unclassified_g__Peptoniphilus</v>
          </cell>
        </row>
        <row r="21158">
          <cell r="G21158" t="str">
            <v>ASV21021</v>
          </cell>
          <cell r="H21158" t="str">
            <v>g__unclassified_c__Clostridia</v>
          </cell>
          <cell r="I21158" t="str">
            <v>s__unclassified_c__Clostridia</v>
          </cell>
        </row>
        <row r="21159">
          <cell r="G21159" t="str">
            <v>ASV18996</v>
          </cell>
          <cell r="H21159" t="str">
            <v>g__Fusobacterium</v>
          </cell>
          <cell r="I21159" t="str">
            <v>s__unclassified_g__Fusobacterium</v>
          </cell>
        </row>
        <row r="21160">
          <cell r="G21160" t="str">
            <v>ASV3293</v>
          </cell>
          <cell r="H21160" t="str">
            <v>g__unclassified_c__Clostridia</v>
          </cell>
          <cell r="I21160" t="str">
            <v>s__unclassified_c__Clostridia</v>
          </cell>
        </row>
        <row r="21161">
          <cell r="G21161" t="str">
            <v>ASV17638</v>
          </cell>
          <cell r="H21161" t="str">
            <v>g__unclassified_o__Enterobacterales</v>
          </cell>
          <cell r="I21161" t="str">
            <v>s__unclassified_o__Enterobacterales</v>
          </cell>
        </row>
        <row r="21162">
          <cell r="G21162" t="str">
            <v>ASV7304</v>
          </cell>
          <cell r="H21162" t="str">
            <v>g__norank_f__norank_o__Rhodospirillales</v>
          </cell>
          <cell r="I21162" t="str">
            <v>s__gut_metagenome_g__norank</v>
          </cell>
        </row>
        <row r="21163">
          <cell r="G21163" t="str">
            <v>ASV18698</v>
          </cell>
          <cell r="H21163" t="str">
            <v>g__unclassified_k__norank_d__Bacteria</v>
          </cell>
          <cell r="I21163" t="str">
            <v>s__unclassified_k__norank_d__Bacteria</v>
          </cell>
        </row>
        <row r="21164">
          <cell r="G21164" t="str">
            <v>ASV18423</v>
          </cell>
          <cell r="H21164" t="str">
            <v>g__unclassified_f__Oscillospiraceae</v>
          </cell>
          <cell r="I21164" t="str">
            <v>s__unclassified_f__Oscillospiraceae</v>
          </cell>
        </row>
        <row r="21165">
          <cell r="G21165" t="str">
            <v>ASV1503</v>
          </cell>
          <cell r="H21165" t="str">
            <v>g__unclassified_f__Lachnospiraceae</v>
          </cell>
          <cell r="I21165" t="str">
            <v>s__unclassified_f__Lachnospiraceae</v>
          </cell>
        </row>
        <row r="21166">
          <cell r="G21166" t="str">
            <v>ASV7221</v>
          </cell>
          <cell r="H21166" t="str">
            <v>g__Selenomonas</v>
          </cell>
          <cell r="I21166" t="str">
            <v>s__unclassified_g__Selenomonas</v>
          </cell>
        </row>
        <row r="21167">
          <cell r="G21167" t="str">
            <v>ASV22732</v>
          </cell>
          <cell r="H21167" t="str">
            <v>g__unclassified_c__Clostridia</v>
          </cell>
          <cell r="I21167" t="str">
            <v>s__unclassified_c__Clostridia</v>
          </cell>
        </row>
        <row r="21168">
          <cell r="G21168" t="str">
            <v>ASV19884</v>
          </cell>
          <cell r="H21168" t="str">
            <v>g__unclassified_o__Oscillospirales</v>
          </cell>
          <cell r="I21168" t="str">
            <v>s__unclassified_o__Oscillospirales</v>
          </cell>
        </row>
        <row r="21169">
          <cell r="G21169" t="str">
            <v>ASV22869</v>
          </cell>
          <cell r="H21169" t="str">
            <v>g__Parabacteroides</v>
          </cell>
          <cell r="I21169" t="str">
            <v>s__Porphyromonadaceae_bacterium_DJF_B175</v>
          </cell>
        </row>
        <row r="21170">
          <cell r="G21170" t="str">
            <v>ASV19125</v>
          </cell>
          <cell r="H21170" t="str">
            <v>g__Phascolarctobacterium</v>
          </cell>
          <cell r="I21170" t="str">
            <v>s__unclassified_g__Phascolarctobacterium</v>
          </cell>
        </row>
        <row r="21171">
          <cell r="G21171" t="str">
            <v>ASV22952</v>
          </cell>
          <cell r="H21171" t="str">
            <v>g__unclassified_o__Micrococcales</v>
          </cell>
          <cell r="I21171" t="str">
            <v>s__unclassified_o__Micrococcales</v>
          </cell>
        </row>
        <row r="21172">
          <cell r="G21172" t="str">
            <v>ASV9109</v>
          </cell>
          <cell r="H21172" t="str">
            <v>g__Veillonella</v>
          </cell>
          <cell r="I21172" t="str">
            <v>s__unclassified_g__Veillonella</v>
          </cell>
        </row>
        <row r="21173">
          <cell r="G21173" t="str">
            <v>ASV13054</v>
          </cell>
          <cell r="H21173" t="str">
            <v>g__unclassified_f__Pasteurellaceae</v>
          </cell>
          <cell r="I21173" t="str">
            <v>s__unclassified_f__Pasteurellaceae</v>
          </cell>
        </row>
        <row r="21174">
          <cell r="G21174" t="str">
            <v>ASV19965</v>
          </cell>
          <cell r="H21174" t="str">
            <v>g__unclassified_f__Ruminococcaceae</v>
          </cell>
          <cell r="I21174" t="str">
            <v>s__unclassified_f__Ruminococcaceae</v>
          </cell>
        </row>
        <row r="21175">
          <cell r="G21175" t="str">
            <v>ASV16710</v>
          </cell>
          <cell r="H21175" t="str">
            <v>g__UCG-002</v>
          </cell>
          <cell r="I21175" t="str">
            <v>s__uncultured_bacterium_g__UCG-002</v>
          </cell>
        </row>
        <row r="21176">
          <cell r="G21176" t="str">
            <v>ASV24029</v>
          </cell>
          <cell r="H21176" t="str">
            <v>g__Mogibacterium</v>
          </cell>
          <cell r="I21176" t="str">
            <v>s__uncultured_Enterococcus_sp._g__Mogibacterium</v>
          </cell>
        </row>
        <row r="21177">
          <cell r="G21177" t="str">
            <v>ASV12062</v>
          </cell>
          <cell r="H21177" t="str">
            <v>g__unclassified_p__Firmicutes</v>
          </cell>
          <cell r="I21177" t="str">
            <v>s__unclassified_p__Firmicutes</v>
          </cell>
        </row>
        <row r="21178">
          <cell r="G21178" t="str">
            <v>ASV21339</v>
          </cell>
          <cell r="H21178" t="str">
            <v>g__Streptococcus</v>
          </cell>
          <cell r="I21178" t="str">
            <v>s__unclassified_g__Streptococcus</v>
          </cell>
        </row>
        <row r="21179">
          <cell r="G21179" t="str">
            <v>ASV2525</v>
          </cell>
          <cell r="H21179" t="str">
            <v>g__unclassified_c__Clostridia</v>
          </cell>
          <cell r="I21179" t="str">
            <v>s__unclassified_c__Clostridia</v>
          </cell>
        </row>
        <row r="21180">
          <cell r="G21180" t="str">
            <v>ASV12233</v>
          </cell>
          <cell r="H21180" t="str">
            <v>g__Bifidobacterium</v>
          </cell>
          <cell r="I21180" t="str">
            <v>s__unclassified_g__Bifidobacterium</v>
          </cell>
        </row>
        <row r="21181">
          <cell r="G21181" t="str">
            <v>ASV12208</v>
          </cell>
          <cell r="H21181" t="str">
            <v>g__unclassified_c__Clostridia</v>
          </cell>
          <cell r="I21181" t="str">
            <v>s__unclassified_c__Clostridia</v>
          </cell>
        </row>
        <row r="21182">
          <cell r="G21182" t="str">
            <v>ASV24395</v>
          </cell>
          <cell r="H21182" t="str">
            <v>g__Peptostreptococcus</v>
          </cell>
          <cell r="I21182" t="str">
            <v>s__unclassified_g__Peptostreptococcus</v>
          </cell>
        </row>
        <row r="21183">
          <cell r="G21183" t="str">
            <v>ASV7208</v>
          </cell>
          <cell r="H21183" t="str">
            <v>g__Neisseria</v>
          </cell>
          <cell r="I21183" t="str">
            <v>s__Neisseria_dentiae</v>
          </cell>
        </row>
        <row r="21184">
          <cell r="G21184" t="str">
            <v>ASV9711</v>
          </cell>
          <cell r="H21184" t="str">
            <v>g__Lactobacillus</v>
          </cell>
          <cell r="I21184" t="str">
            <v>s__unclassified_g__Lactobacillus</v>
          </cell>
        </row>
        <row r="21185">
          <cell r="G21185" t="str">
            <v>ASV13214</v>
          </cell>
          <cell r="H21185" t="str">
            <v>g__Christensenellaceae_R-7_group</v>
          </cell>
          <cell r="I21185" t="str">
            <v>s__unclassified_g__Christensenellaceae_R-7_group</v>
          </cell>
        </row>
        <row r="21186">
          <cell r="G21186" t="str">
            <v>ASV10982</v>
          </cell>
          <cell r="H21186" t="str">
            <v>g__Eubacterium_oxidoreducens_group</v>
          </cell>
          <cell r="I21186" t="str">
            <v>s__unclassified_g__Eubacterium_oxidoreducens_group</v>
          </cell>
        </row>
        <row r="21187">
          <cell r="G21187" t="str">
            <v>ASV13093</v>
          </cell>
          <cell r="H21187" t="str">
            <v>g__unclassified_c__Bacilli</v>
          </cell>
          <cell r="I21187" t="str">
            <v>s__unclassified_c__Bacilli</v>
          </cell>
        </row>
        <row r="21188">
          <cell r="G21188" t="str">
            <v>ASV18450</v>
          </cell>
          <cell r="H21188" t="str">
            <v>g__norank_f__Eubacterium_coprostanoligenes_group</v>
          </cell>
          <cell r="I21188" t="str">
            <v>s__unclassified_g__norank_f__Eubacterium_coprostanoligenes_group</v>
          </cell>
        </row>
        <row r="21189">
          <cell r="G21189" t="str">
            <v>ASV6243</v>
          </cell>
          <cell r="H21189" t="str">
            <v>g__unclassified_p__Firmicutes</v>
          </cell>
          <cell r="I21189" t="str">
            <v>s__unclassified_p__Firmicutes</v>
          </cell>
        </row>
        <row r="21190">
          <cell r="G21190" t="str">
            <v>ASV23532</v>
          </cell>
          <cell r="H21190" t="str">
            <v>g__Streptococcus</v>
          </cell>
          <cell r="I21190" t="str">
            <v>s__unclassified_g__Streptococcus</v>
          </cell>
        </row>
        <row r="21191">
          <cell r="G21191" t="str">
            <v>ASV7123</v>
          </cell>
          <cell r="H21191" t="str">
            <v>g__Lactobacillus</v>
          </cell>
          <cell r="I21191" t="str">
            <v>s__unclassified_g__Lactobacillus</v>
          </cell>
        </row>
        <row r="21192">
          <cell r="G21192" t="str">
            <v>ASV18729</v>
          </cell>
          <cell r="H21192" t="str">
            <v>g__unclassified_p__Firmicutes</v>
          </cell>
          <cell r="I21192" t="str">
            <v>s__unclassified_p__Firmicutes</v>
          </cell>
        </row>
        <row r="21193">
          <cell r="G21193" t="str">
            <v>ASV17384</v>
          </cell>
          <cell r="H21193" t="str">
            <v>g__Monoglobus</v>
          </cell>
          <cell r="I21193" t="str">
            <v>s__uncultured_bacterium_g__Monoglobus</v>
          </cell>
        </row>
        <row r="21194">
          <cell r="G21194" t="str">
            <v>ASV6261</v>
          </cell>
          <cell r="H21194" t="str">
            <v>g__Terrisporobacter</v>
          </cell>
          <cell r="I21194" t="str">
            <v>s__unclassified_g__Terrisporobacter</v>
          </cell>
        </row>
        <row r="21195">
          <cell r="G21195" t="str">
            <v>ASV7408</v>
          </cell>
          <cell r="H21195" t="str">
            <v>g__Ruminococcus_torques_group</v>
          </cell>
          <cell r="I21195" t="str">
            <v>s__unclassified_g__Ruminococcus_torques_group</v>
          </cell>
        </row>
        <row r="21196">
          <cell r="G21196" t="str">
            <v>ASV16596</v>
          </cell>
          <cell r="H21196" t="str">
            <v>g__Clostridium_sensu_stricto_1</v>
          </cell>
          <cell r="I21196" t="str">
            <v>s__uncultured_bacterium_g__Clostridium_sensu_stricto_1</v>
          </cell>
        </row>
        <row r="21197">
          <cell r="G21197" t="str">
            <v>ASV24031</v>
          </cell>
          <cell r="H21197" t="str">
            <v>g__Enterococcus</v>
          </cell>
          <cell r="I21197" t="str">
            <v>s__unclassified_g__Enterococcus</v>
          </cell>
        </row>
        <row r="21198">
          <cell r="G21198" t="str">
            <v>ASV13852</v>
          </cell>
          <cell r="H21198" t="str">
            <v>g__Enterococcus</v>
          </cell>
          <cell r="I21198" t="str">
            <v>s__unclassified_g__Enterococcus</v>
          </cell>
        </row>
        <row r="21199">
          <cell r="G21199" t="str">
            <v>ASV21376</v>
          </cell>
          <cell r="H21199" t="str">
            <v>g__unclassified_f__Lachnospiraceae</v>
          </cell>
          <cell r="I21199" t="str">
            <v>s__unclassified_f__Lachnospiraceae</v>
          </cell>
        </row>
        <row r="21200">
          <cell r="G21200" t="str">
            <v>ASV22607</v>
          </cell>
          <cell r="H21200" t="str">
            <v>g__Prevotellaceae_UCG-003</v>
          </cell>
          <cell r="I21200" t="str">
            <v>s__uncultured_bacterium_g__Prevotellaceae_UCG-003</v>
          </cell>
        </row>
        <row r="21201">
          <cell r="G21201" t="str">
            <v>ASV14870</v>
          </cell>
          <cell r="H21201" t="str">
            <v>g__Streptococcus</v>
          </cell>
          <cell r="I21201" t="str">
            <v>s__unclassified_g__Streptococcus</v>
          </cell>
        </row>
        <row r="21202">
          <cell r="G21202" t="str">
            <v>ASV12247</v>
          </cell>
          <cell r="H21202" t="str">
            <v>g__Lactobacillus</v>
          </cell>
          <cell r="I21202" t="str">
            <v>s__unclassified_g__Lactobacillus</v>
          </cell>
        </row>
        <row r="21203">
          <cell r="G21203" t="str">
            <v>ASV18346</v>
          </cell>
          <cell r="H21203" t="str">
            <v>g__unclassified_f__Lachnospiraceae</v>
          </cell>
          <cell r="I21203" t="str">
            <v>s__unclassified_f__Lachnospiraceae</v>
          </cell>
        </row>
        <row r="21204">
          <cell r="G21204" t="str">
            <v>ASV1164</v>
          </cell>
          <cell r="H21204" t="str">
            <v>g__unclassified_p__Firmicutes</v>
          </cell>
          <cell r="I21204" t="str">
            <v>s__unclassified_p__Firmicutes</v>
          </cell>
        </row>
        <row r="21205">
          <cell r="G21205" t="str">
            <v>ASV22666</v>
          </cell>
          <cell r="H21205" t="str">
            <v>g__Christensenellaceae_R-7_group</v>
          </cell>
          <cell r="I21205" t="str">
            <v>s__unclassified_g__Christensenellaceae_R-7_group</v>
          </cell>
        </row>
        <row r="21206">
          <cell r="G21206" t="str">
            <v>ASV23807</v>
          </cell>
          <cell r="H21206" t="str">
            <v>g__Clostridium_sensu_stricto_1</v>
          </cell>
          <cell r="I21206" t="str">
            <v>s__uncultured_bacterium_g__Clostridium_sensu_stricto_1</v>
          </cell>
        </row>
        <row r="21207">
          <cell r="G21207" t="str">
            <v>ASV23599</v>
          </cell>
          <cell r="H21207" t="str">
            <v>g__unclassified_p__Firmicutes</v>
          </cell>
          <cell r="I21207" t="str">
            <v>s__unclassified_p__Firmicutes</v>
          </cell>
        </row>
        <row r="21208">
          <cell r="G21208" t="str">
            <v>ASV1828</v>
          </cell>
          <cell r="H21208" t="str">
            <v>g__unclassified_c__Clostridia</v>
          </cell>
          <cell r="I21208" t="str">
            <v>s__unclassified_c__Clostridia</v>
          </cell>
        </row>
        <row r="21209">
          <cell r="G21209" t="str">
            <v>ASV12219</v>
          </cell>
          <cell r="H21209" t="str">
            <v>g__unclassified_f__Lachnospiraceae</v>
          </cell>
          <cell r="I21209" t="str">
            <v>s__unclassified_f__Lachnospiraceae</v>
          </cell>
        </row>
        <row r="21210">
          <cell r="G21210" t="str">
            <v>ASV6456</v>
          </cell>
          <cell r="H21210" t="str">
            <v>g__Bacteroides</v>
          </cell>
          <cell r="I21210" t="str">
            <v>s__Bacteroides_eggerthii</v>
          </cell>
        </row>
        <row r="21211">
          <cell r="G21211" t="str">
            <v>ASV12420</v>
          </cell>
          <cell r="H21211" t="str">
            <v>g__Lachnospiraceae_NC2004_group</v>
          </cell>
          <cell r="I21211" t="str">
            <v>s__uncultured_bacterium_g__Lachnospiraceae_NC2004_group</v>
          </cell>
        </row>
        <row r="21212">
          <cell r="G21212" t="str">
            <v>ASV1184</v>
          </cell>
          <cell r="H21212" t="str">
            <v>g__Escherichia-Shigella</v>
          </cell>
          <cell r="I21212" t="str">
            <v>s__unclassified_g__Escherichia-Shigella</v>
          </cell>
        </row>
        <row r="21213">
          <cell r="G21213" t="str">
            <v>ASV6427</v>
          </cell>
          <cell r="H21213" t="str">
            <v>g__unclassified_c__Clostridia</v>
          </cell>
          <cell r="I21213" t="str">
            <v>s__unclassified_c__Clostridia</v>
          </cell>
        </row>
        <row r="21214">
          <cell r="G21214" t="str">
            <v>ASV1801</v>
          </cell>
          <cell r="H21214" t="str">
            <v>g__Megasphaera</v>
          </cell>
          <cell r="I21214" t="str">
            <v>s__unclassified_g__Megasphaera</v>
          </cell>
        </row>
        <row r="21215">
          <cell r="G21215" t="str">
            <v>ASV1155</v>
          </cell>
          <cell r="H21215" t="str">
            <v>g__unclassified_c__Actinobacteria</v>
          </cell>
          <cell r="I21215" t="str">
            <v>s__unclassified_c__Actinobacteria</v>
          </cell>
        </row>
        <row r="21216">
          <cell r="G21216" t="str">
            <v>ASV14818</v>
          </cell>
          <cell r="H21216" t="str">
            <v>g__CAG-873</v>
          </cell>
          <cell r="I21216" t="str">
            <v>s__unclassified_g__CAG-873</v>
          </cell>
        </row>
        <row r="21217">
          <cell r="G21217" t="str">
            <v>ASV6441</v>
          </cell>
          <cell r="H21217" t="str">
            <v>g__norank_f__UCG-010</v>
          </cell>
          <cell r="I21217" t="str">
            <v>s__unclassified_g__norank_f__UCG-010</v>
          </cell>
        </row>
        <row r="21218">
          <cell r="G21218" t="str">
            <v>ASV12257</v>
          </cell>
          <cell r="H21218" t="str">
            <v>g__Clostridium_sensu_stricto_1</v>
          </cell>
          <cell r="I21218" t="str">
            <v>s__unclassified_g__Clostridium_sensu_stricto_1</v>
          </cell>
        </row>
        <row r="21219">
          <cell r="G21219" t="str">
            <v>ASV6888</v>
          </cell>
          <cell r="H21219" t="str">
            <v>g__Bacteroides</v>
          </cell>
          <cell r="I21219" t="str">
            <v>s__unclassified_g__Bacteroides</v>
          </cell>
        </row>
        <row r="21220">
          <cell r="G21220" t="str">
            <v>ASV12134</v>
          </cell>
          <cell r="H21220" t="str">
            <v>g__unclassified_c__Bacilli</v>
          </cell>
          <cell r="I21220" t="str">
            <v>s__unclassified_c__Bacilli</v>
          </cell>
        </row>
        <row r="21221">
          <cell r="G21221" t="str">
            <v>ASV13849</v>
          </cell>
          <cell r="H21221" t="str">
            <v>g__unclassified_f__Anaerovoracaceae</v>
          </cell>
          <cell r="I21221" t="str">
            <v>s__unclassified_f__Anaerovoracaceae</v>
          </cell>
        </row>
        <row r="21222">
          <cell r="G21222" t="str">
            <v>ASV5239</v>
          </cell>
          <cell r="H21222" t="str">
            <v>g__unclassified_f__Ruminococcaceae</v>
          </cell>
          <cell r="I21222" t="str">
            <v>s__unclassified_f__Ruminococcaceae</v>
          </cell>
        </row>
        <row r="21223">
          <cell r="G21223" t="str">
            <v>ASV15854</v>
          </cell>
          <cell r="H21223" t="str">
            <v>g__unclassified_c__Clostridia</v>
          </cell>
          <cell r="I21223" t="str">
            <v>s__unclassified_c__Clostridia</v>
          </cell>
        </row>
        <row r="21224">
          <cell r="G21224" t="str">
            <v>ASV5284</v>
          </cell>
          <cell r="H21224" t="str">
            <v>g__Lactobacillus</v>
          </cell>
          <cell r="I21224" t="str">
            <v>s__unclassified_g__Lactobacillus</v>
          </cell>
        </row>
        <row r="21225">
          <cell r="G21225" t="str">
            <v>ASV13741</v>
          </cell>
          <cell r="H21225" t="str">
            <v>g__Mitsuokella</v>
          </cell>
          <cell r="I21225" t="str">
            <v>s__unclassified_g__Mitsuokella</v>
          </cell>
        </row>
        <row r="21226">
          <cell r="G21226" t="str">
            <v>ASV17155</v>
          </cell>
          <cell r="H21226" t="str">
            <v>g__Algoriphagus</v>
          </cell>
          <cell r="I21226" t="str">
            <v>s__unclassified_g__Algoriphagus</v>
          </cell>
        </row>
        <row r="21227">
          <cell r="G21227" t="str">
            <v>ASV24034</v>
          </cell>
          <cell r="H21227" t="str">
            <v>g__Streptococcus</v>
          </cell>
          <cell r="I21227" t="str">
            <v>s__Streptococcus_hyointestinalis</v>
          </cell>
        </row>
        <row r="21228">
          <cell r="G21228" t="str">
            <v>ASV8567</v>
          </cell>
          <cell r="H21228" t="str">
            <v>g__Prevotella</v>
          </cell>
          <cell r="I21228" t="str">
            <v>s__unclassified_g__Prevotella</v>
          </cell>
        </row>
        <row r="21229">
          <cell r="G21229" t="str">
            <v>ASV8105</v>
          </cell>
          <cell r="H21229" t="str">
            <v>g__Peptococcus</v>
          </cell>
          <cell r="I21229" t="str">
            <v>s__uncultured_bacterium_g__Peptococcus</v>
          </cell>
        </row>
        <row r="21230">
          <cell r="G21230" t="str">
            <v>ASV17028</v>
          </cell>
          <cell r="H21230" t="str">
            <v>g__unclassified_k__norank_d__Bacteria</v>
          </cell>
          <cell r="I21230" t="str">
            <v>s__unclassified_k__norank_d__Bacteria</v>
          </cell>
        </row>
        <row r="21231">
          <cell r="G21231" t="str">
            <v>ASV22606</v>
          </cell>
          <cell r="H21231" t="str">
            <v>g__Turicibacter</v>
          </cell>
          <cell r="I21231" t="str">
            <v>s__unclassified_g__Turicibacter</v>
          </cell>
        </row>
        <row r="21232">
          <cell r="G21232" t="str">
            <v>ASV3546</v>
          </cell>
          <cell r="H21232" t="str">
            <v>g__unclassified_k__norank_d__Bacteria</v>
          </cell>
          <cell r="I21232" t="str">
            <v>s__unclassified_k__norank_d__Bacteria</v>
          </cell>
        </row>
        <row r="21233">
          <cell r="G21233" t="str">
            <v>ASV4342</v>
          </cell>
          <cell r="H21233" t="str">
            <v>g__unclassified_o__Oscillospirales</v>
          </cell>
          <cell r="I21233" t="str">
            <v>s__unclassified_o__Oscillospirales</v>
          </cell>
        </row>
        <row r="21234">
          <cell r="G21234" t="str">
            <v>ASV6984</v>
          </cell>
          <cell r="H21234" t="str">
            <v>g__Cloacibacillus</v>
          </cell>
          <cell r="I21234" t="str">
            <v>s__unclassified_g__Cloacibacillus</v>
          </cell>
        </row>
        <row r="21235">
          <cell r="G21235" t="str">
            <v>ASV4353</v>
          </cell>
          <cell r="H21235" t="str">
            <v>g__Streptococcus</v>
          </cell>
          <cell r="I21235" t="str">
            <v>s__unclassified_g__Streptococcus</v>
          </cell>
        </row>
        <row r="21236">
          <cell r="G21236" t="str">
            <v>ASV6512</v>
          </cell>
          <cell r="H21236" t="str">
            <v>g__unclassified_k__norank_d__Bacteria</v>
          </cell>
          <cell r="I21236" t="str">
            <v>s__unclassified_k__norank_d__Bacteria</v>
          </cell>
        </row>
        <row r="21237">
          <cell r="G21237" t="str">
            <v>ASV15705</v>
          </cell>
          <cell r="H21237" t="str">
            <v>g__Eubacterium_oxidoreducens_group</v>
          </cell>
          <cell r="I21237" t="str">
            <v>s__uncultured_bacterium_g__Eubacterium_oxidoreducens_group</v>
          </cell>
        </row>
        <row r="21238">
          <cell r="G21238" t="str">
            <v>ASV14840</v>
          </cell>
          <cell r="H21238" t="str">
            <v>g__NK4A214_group</v>
          </cell>
          <cell r="I21238" t="str">
            <v>s__uncultured_bacterium_g__NK4A214_group</v>
          </cell>
        </row>
        <row r="21239">
          <cell r="G21239" t="str">
            <v>ASV2409</v>
          </cell>
          <cell r="H21239" t="str">
            <v>g__norank_f__UCG-010</v>
          </cell>
          <cell r="I21239" t="str">
            <v>s__uncultured_bacterium_g__norank_f__UCG-010</v>
          </cell>
        </row>
        <row r="21240">
          <cell r="G21240" t="str">
            <v>ASV20146</v>
          </cell>
          <cell r="H21240" t="str">
            <v>g__unclassified_c__Clostridia</v>
          </cell>
          <cell r="I21240" t="str">
            <v>s__unclassified_c__Clostridia</v>
          </cell>
        </row>
        <row r="21241">
          <cell r="G21241" t="str">
            <v>ASV20138</v>
          </cell>
          <cell r="H21241" t="str">
            <v>g__Veillonella</v>
          </cell>
          <cell r="I21241" t="str">
            <v>s__Veillonella_sp._R-32</v>
          </cell>
        </row>
        <row r="21242">
          <cell r="G21242" t="str">
            <v>ASV16742</v>
          </cell>
          <cell r="H21242" t="str">
            <v>g__unclassified_c__Clostridia</v>
          </cell>
          <cell r="I21242" t="str">
            <v>s__unclassified_c__Clostridia</v>
          </cell>
        </row>
        <row r="21243">
          <cell r="G21243" t="str">
            <v>ASV9045</v>
          </cell>
          <cell r="H21243" t="str">
            <v>g__norank_f__Victivallaceae</v>
          </cell>
          <cell r="I21243" t="str">
            <v>s__unclassified_g__norank_f__Victivallaceae</v>
          </cell>
        </row>
        <row r="21244">
          <cell r="G21244" t="str">
            <v>ASV1462</v>
          </cell>
          <cell r="H21244" t="str">
            <v>g__Colidextribacter</v>
          </cell>
          <cell r="I21244" t="str">
            <v>s__unclassified_g__Colidextribacter</v>
          </cell>
        </row>
        <row r="21245">
          <cell r="G21245" t="str">
            <v>ASV10975</v>
          </cell>
          <cell r="H21245" t="str">
            <v>g__Eubacterium_siraeum_group</v>
          </cell>
          <cell r="I21245" t="str">
            <v>s__uncultured_bacterium_g__Eubacterium_siraeum_group</v>
          </cell>
        </row>
        <row r="21246">
          <cell r="G21246" t="str">
            <v>ASV10254</v>
          </cell>
          <cell r="H21246" t="str">
            <v>g__Barnesiella</v>
          </cell>
          <cell r="I21246" t="str">
            <v>s__unclassified_g__Barnesiella</v>
          </cell>
        </row>
        <row r="21247">
          <cell r="G21247" t="str">
            <v>ASV16153</v>
          </cell>
          <cell r="H21247" t="str">
            <v>g__Fusobacterium</v>
          </cell>
          <cell r="I21247" t="str">
            <v>s__unclassified_g__Fusobacterium</v>
          </cell>
        </row>
        <row r="21248">
          <cell r="G21248" t="str">
            <v>ASV10856</v>
          </cell>
          <cell r="H21248" t="str">
            <v>g__Lactobacillus</v>
          </cell>
          <cell r="I21248" t="str">
            <v>s__unclassified_g__Lactobacillus</v>
          </cell>
        </row>
        <row r="21249">
          <cell r="G21249" t="str">
            <v>ASV20072</v>
          </cell>
          <cell r="H21249" t="str">
            <v>g__Christensenellaceae_R-7_group</v>
          </cell>
          <cell r="I21249" t="str">
            <v>s__unclassified_g__Christensenellaceae_R-7_group</v>
          </cell>
        </row>
        <row r="21250">
          <cell r="G21250" t="str">
            <v>ASV5437</v>
          </cell>
          <cell r="H21250" t="str">
            <v>g__unclassified_c__Clostridia</v>
          </cell>
          <cell r="I21250" t="str">
            <v>s__unclassified_c__Clostridia</v>
          </cell>
        </row>
        <row r="21251">
          <cell r="G21251" t="str">
            <v>ASV18736</v>
          </cell>
          <cell r="H21251" t="str">
            <v>g__unclassified_f__Oscillospiraceae</v>
          </cell>
          <cell r="I21251" t="str">
            <v>s__unclassified_f__Oscillospiraceae</v>
          </cell>
        </row>
        <row r="21252">
          <cell r="G21252" t="str">
            <v>ASV19973</v>
          </cell>
          <cell r="H21252" t="str">
            <v>g__unclassified_o__Oscillospirales</v>
          </cell>
          <cell r="I21252" t="str">
            <v>s__unclassified_o__Oscillospirales</v>
          </cell>
        </row>
        <row r="21253">
          <cell r="G21253" t="str">
            <v>ASV12466</v>
          </cell>
          <cell r="H21253" t="str">
            <v>g__norank_f__Ruminococcaceae</v>
          </cell>
          <cell r="I21253" t="str">
            <v>s__unclassified_g__norank_f__Ruminococcaceae</v>
          </cell>
        </row>
        <row r="21254">
          <cell r="G21254" t="str">
            <v>ASV9668</v>
          </cell>
          <cell r="H21254" t="str">
            <v>g__Lactobacillus</v>
          </cell>
          <cell r="I21254" t="str">
            <v>s__unclassified_g__Lactobacillus</v>
          </cell>
        </row>
        <row r="21255">
          <cell r="G21255" t="str">
            <v>ASV23614</v>
          </cell>
          <cell r="H21255" t="str">
            <v>g__Eubacterium_oxidoreducens_group</v>
          </cell>
          <cell r="I21255" t="str">
            <v>s__uncultured_bacterium_g__Eubacterium_oxidoreducens_group</v>
          </cell>
        </row>
        <row r="21256">
          <cell r="G21256" t="str">
            <v>ASV21366</v>
          </cell>
          <cell r="H21256" t="str">
            <v>g__Lactobacillus</v>
          </cell>
          <cell r="I21256" t="str">
            <v>s__unclassified_g__Lactobacillus</v>
          </cell>
        </row>
        <row r="21257">
          <cell r="G21257" t="str">
            <v>ASV8374</v>
          </cell>
          <cell r="H21257" t="str">
            <v>g__unclassified_c__Bacilli</v>
          </cell>
          <cell r="I21257" t="str">
            <v>s__unclassified_c__Bacilli</v>
          </cell>
        </row>
        <row r="21258">
          <cell r="G21258" t="str">
            <v>ASV19990</v>
          </cell>
          <cell r="H21258" t="str">
            <v>g__Christensenellaceae_R-7_group</v>
          </cell>
          <cell r="I21258" t="str">
            <v>s__unclassified_g__Christensenellaceae_R-7_group</v>
          </cell>
        </row>
        <row r="21259">
          <cell r="G21259" t="str">
            <v>ASV19987</v>
          </cell>
          <cell r="H21259" t="str">
            <v>g__Christensenellaceae_R-7_group</v>
          </cell>
          <cell r="I21259" t="str">
            <v>s__unclassified_g__Christensenellaceae_R-7_group</v>
          </cell>
        </row>
        <row r="21260">
          <cell r="G21260" t="str">
            <v>ASV5341</v>
          </cell>
          <cell r="H21260" t="str">
            <v>g__unclassified_f__Lachnospiraceae</v>
          </cell>
          <cell r="I21260" t="str">
            <v>s__unclassified_f__Lachnospiraceae</v>
          </cell>
        </row>
        <row r="21261">
          <cell r="G21261" t="str">
            <v>ASV1818</v>
          </cell>
          <cell r="H21261" t="str">
            <v>g__Veillonella</v>
          </cell>
          <cell r="I21261" t="str">
            <v>s__unclassified_g__Veillonella</v>
          </cell>
        </row>
        <row r="21262">
          <cell r="G21262" t="str">
            <v>ASV4371</v>
          </cell>
          <cell r="H21262" t="str">
            <v>g__unclassified_k__norank_d__Bacteria</v>
          </cell>
          <cell r="I21262" t="str">
            <v>s__unclassified_k__norank_d__Bacteria</v>
          </cell>
        </row>
        <row r="21263">
          <cell r="G21263" t="str">
            <v>ASV21065</v>
          </cell>
          <cell r="H21263" t="str">
            <v>g__Bacteroides</v>
          </cell>
          <cell r="I21263" t="str">
            <v>s__unclassified_g__Bacteroides</v>
          </cell>
        </row>
        <row r="21264">
          <cell r="G21264" t="str">
            <v>ASV17528</v>
          </cell>
          <cell r="H21264" t="str">
            <v>g__unclassified_k__norank_d__Bacteria</v>
          </cell>
          <cell r="I21264" t="str">
            <v>s__unclassified_k__norank_d__Bacteria</v>
          </cell>
        </row>
        <row r="21265">
          <cell r="G21265" t="str">
            <v>ASV13610</v>
          </cell>
          <cell r="H21265" t="str">
            <v>g__Enterococcus</v>
          </cell>
          <cell r="I21265" t="str">
            <v>s__unclassified_g__Enterococcus</v>
          </cell>
        </row>
        <row r="21266">
          <cell r="G21266" t="str">
            <v>ASV15726</v>
          </cell>
          <cell r="H21266" t="str">
            <v>g__unclassified_k__norank_d__Bacteria</v>
          </cell>
          <cell r="I21266" t="str">
            <v>s__unclassified_k__norank_d__Bacteria</v>
          </cell>
        </row>
        <row r="21267">
          <cell r="G21267" t="str">
            <v>ASV13858</v>
          </cell>
          <cell r="H21267" t="str">
            <v>g__Enterococcus</v>
          </cell>
          <cell r="I21267" t="str">
            <v>s__unclassified_g__Enterococcus</v>
          </cell>
        </row>
        <row r="21268">
          <cell r="G21268" t="str">
            <v>ASV18463</v>
          </cell>
          <cell r="H21268" t="str">
            <v>g__unclassified_f__Christensenellaceae</v>
          </cell>
          <cell r="I21268" t="str">
            <v>s__unclassified_f__Christensenellaceae</v>
          </cell>
        </row>
        <row r="21269">
          <cell r="G21269" t="str">
            <v>ASV6209</v>
          </cell>
          <cell r="H21269" t="str">
            <v>g__unclassified_c__Clostridia</v>
          </cell>
          <cell r="I21269" t="str">
            <v>s__unclassified_c__Clostridia</v>
          </cell>
        </row>
        <row r="21270">
          <cell r="G21270" t="str">
            <v>ASV22752</v>
          </cell>
          <cell r="H21270" t="str">
            <v>g__unclassified_c__Clostridia</v>
          </cell>
          <cell r="I21270" t="str">
            <v>s__unclassified_c__Clostridia</v>
          </cell>
        </row>
        <row r="21271">
          <cell r="G21271" t="str">
            <v>ASV23530</v>
          </cell>
          <cell r="H21271" t="str">
            <v>g__unclassified_f__Lachnospiraceae</v>
          </cell>
          <cell r="I21271" t="str">
            <v>s__unclassified_f__Lachnospiraceae</v>
          </cell>
        </row>
        <row r="21272">
          <cell r="G21272" t="str">
            <v>ASV9640</v>
          </cell>
          <cell r="H21272" t="str">
            <v>g__unclassified_c__Clostridia</v>
          </cell>
          <cell r="I21272" t="str">
            <v>s__unclassified_c__Clostridia</v>
          </cell>
        </row>
        <row r="21273">
          <cell r="G21273" t="str">
            <v>ASV6859</v>
          </cell>
          <cell r="H21273" t="str">
            <v>g__Cloacibacillus</v>
          </cell>
          <cell r="I21273" t="str">
            <v>s__unclassified_g__Cloacibacillus</v>
          </cell>
        </row>
        <row r="21274">
          <cell r="G21274" t="str">
            <v>ASV8878</v>
          </cell>
          <cell r="H21274" t="str">
            <v>g__unclassified_f__Lachnospiraceae</v>
          </cell>
          <cell r="I21274" t="str">
            <v>s__unclassified_f__Lachnospiraceae</v>
          </cell>
        </row>
        <row r="21275">
          <cell r="G21275" t="str">
            <v>ASV16150</v>
          </cell>
          <cell r="H21275" t="str">
            <v>g__norank_f__Oscillospiraceae</v>
          </cell>
          <cell r="I21275" t="str">
            <v>s__unclassified_g__norank_f__Oscillospiraceae</v>
          </cell>
        </row>
        <row r="21276">
          <cell r="G21276" t="str">
            <v>ASV1427</v>
          </cell>
          <cell r="H21276" t="str">
            <v>g__norank_f__Eubacterium_coprostanoligenes_group</v>
          </cell>
          <cell r="I21276" t="str">
            <v>s__uncultured_bacterium_g__norank_f__Eubacterium_coprostanoligenes_group</v>
          </cell>
        </row>
        <row r="21277">
          <cell r="G21277" t="str">
            <v>ASV21356</v>
          </cell>
          <cell r="H21277" t="str">
            <v>g__unclassified_p__Firmicutes</v>
          </cell>
          <cell r="I21277" t="str">
            <v>s__unclassified_p__Firmicutes</v>
          </cell>
        </row>
        <row r="21278">
          <cell r="G21278" t="str">
            <v>ASV14693</v>
          </cell>
          <cell r="H21278" t="str">
            <v>g__unclassified_f__Lachnospiraceae</v>
          </cell>
          <cell r="I21278" t="str">
            <v>s__unclassified_f__Lachnospiraceae</v>
          </cell>
        </row>
        <row r="21279">
          <cell r="G21279" t="str">
            <v>ASV2528</v>
          </cell>
          <cell r="H21279" t="str">
            <v>g__unclassified_o__Lactobacillales</v>
          </cell>
          <cell r="I21279" t="str">
            <v>s__unclassified_o__Lactobacillales</v>
          </cell>
        </row>
        <row r="21280">
          <cell r="G21280" t="str">
            <v>ASV21537</v>
          </cell>
          <cell r="H21280" t="str">
            <v>g__unclassified_c__Clostridia</v>
          </cell>
          <cell r="I21280" t="str">
            <v>s__unclassified_c__Clostridia</v>
          </cell>
        </row>
        <row r="21281">
          <cell r="G21281" t="str">
            <v>ASV13543</v>
          </cell>
          <cell r="H21281" t="str">
            <v>g__Collinsella</v>
          </cell>
          <cell r="I21281" t="str">
            <v>s__unclassified_g__Collinsella</v>
          </cell>
        </row>
        <row r="21282">
          <cell r="G21282" t="str">
            <v>ASV6244</v>
          </cell>
          <cell r="H21282" t="str">
            <v>g__unclassified_k__norank_d__Bacteria</v>
          </cell>
          <cell r="I21282" t="str">
            <v>s__unclassified_k__norank_d__Bacteria</v>
          </cell>
        </row>
        <row r="21283">
          <cell r="G21283" t="str">
            <v>ASV21523</v>
          </cell>
          <cell r="H21283" t="str">
            <v>g__unclassified_c__Bacilli</v>
          </cell>
          <cell r="I21283" t="str">
            <v>s__unclassified_c__Bacilli</v>
          </cell>
        </row>
        <row r="21284">
          <cell r="G21284" t="str">
            <v>ASV16992</v>
          </cell>
          <cell r="H21284" t="str">
            <v>g__Corynebacterium</v>
          </cell>
          <cell r="I21284" t="str">
            <v>s__unclassified_g__Corynebacterium</v>
          </cell>
        </row>
        <row r="21285">
          <cell r="G21285" t="str">
            <v>ASV1131</v>
          </cell>
          <cell r="H21285" t="str">
            <v>g__unclassified_f__Rikenellaceae</v>
          </cell>
          <cell r="I21285" t="str">
            <v>s__unclassified_f__Rikenellaceae</v>
          </cell>
        </row>
        <row r="21286">
          <cell r="G21286" t="str">
            <v>ASV14712</v>
          </cell>
          <cell r="H21286" t="str">
            <v>g__unclassified_k__norank_d__Bacteria</v>
          </cell>
          <cell r="I21286" t="str">
            <v>s__unclassified_k__norank_d__Bacteria</v>
          </cell>
        </row>
        <row r="21287">
          <cell r="G21287" t="str">
            <v>ASV21083</v>
          </cell>
          <cell r="H21287" t="str">
            <v>g__Christensenellaceae_R-7_group</v>
          </cell>
          <cell r="I21287" t="str">
            <v>s__unclassified_g__Christensenellaceae_R-7_group</v>
          </cell>
        </row>
        <row r="21288">
          <cell r="G21288" t="str">
            <v>ASV6469</v>
          </cell>
          <cell r="H21288" t="str">
            <v>g__norank_f__Atopobiaceae</v>
          </cell>
          <cell r="I21288" t="str">
            <v>s__uncultured_bacterium_g__norank_f__Atopobiaceae</v>
          </cell>
        </row>
        <row r="21289">
          <cell r="G21289" t="str">
            <v>ASV8672</v>
          </cell>
          <cell r="H21289" t="str">
            <v>g__Alloprevotella</v>
          </cell>
          <cell r="I21289" t="str">
            <v>s__uncultured_bacterium_g__Alloprevotella</v>
          </cell>
        </row>
        <row r="21290">
          <cell r="G21290" t="str">
            <v>ASV14833</v>
          </cell>
          <cell r="H21290" t="str">
            <v>g__unclassified_o__Oscillospirales</v>
          </cell>
          <cell r="I21290" t="str">
            <v>s__unclassified_o__Oscillospirales</v>
          </cell>
        </row>
        <row r="21291">
          <cell r="G21291" t="str">
            <v>ASV7403</v>
          </cell>
          <cell r="H21291" t="str">
            <v>g__unclassified_p__Actinobacteriota</v>
          </cell>
          <cell r="I21291" t="str">
            <v>s__unclassified_p__Actinobacteriota</v>
          </cell>
        </row>
        <row r="21292">
          <cell r="G21292" t="str">
            <v>ASV18693</v>
          </cell>
          <cell r="H21292" t="str">
            <v>g__unclassified_p__Firmicutes</v>
          </cell>
          <cell r="I21292" t="str">
            <v>s__unclassified_p__Firmicutes</v>
          </cell>
        </row>
        <row r="21293">
          <cell r="G21293" t="str">
            <v>ASV16572</v>
          </cell>
          <cell r="H21293" t="str">
            <v>g__unclassified_c__Bacilli</v>
          </cell>
          <cell r="I21293" t="str">
            <v>s__unclassified_c__Bacilli</v>
          </cell>
        </row>
        <row r="21294">
          <cell r="G21294" t="str">
            <v>ASV17543</v>
          </cell>
          <cell r="H21294" t="str">
            <v>g__unclassified_c__Bacilli</v>
          </cell>
          <cell r="I21294" t="str">
            <v>s__unclassified_c__Bacilli</v>
          </cell>
        </row>
        <row r="21295">
          <cell r="G21295" t="str">
            <v>ASV1276</v>
          </cell>
          <cell r="H21295" t="str">
            <v>g__Papillibacter</v>
          </cell>
          <cell r="I21295" t="str">
            <v>s__uncultured_bacterium_g__Papillibacter</v>
          </cell>
        </row>
        <row r="21296">
          <cell r="G21296" t="str">
            <v>ASV22516</v>
          </cell>
          <cell r="H21296" t="str">
            <v>g__norank_f__norank_o__Gastranaerophilales</v>
          </cell>
          <cell r="I21296" t="str">
            <v>s__uncultured_bacterium_g__norank_f__norank_o__Gastranaerophilales</v>
          </cell>
        </row>
        <row r="21297">
          <cell r="G21297" t="str">
            <v>ASV14752</v>
          </cell>
          <cell r="H21297" t="str">
            <v>g__unclassified_f__Lachnospiraceae</v>
          </cell>
          <cell r="I21297" t="str">
            <v>s__unclassified_f__Lachnospiraceae</v>
          </cell>
        </row>
        <row r="21298">
          <cell r="G21298" t="str">
            <v>ASV17545</v>
          </cell>
          <cell r="H21298" t="str">
            <v>g__Eubacterium_oxidoreducens_group</v>
          </cell>
          <cell r="I21298" t="str">
            <v>s__uncultured_bacterium_g__Eubacterium_oxidoreducens_group</v>
          </cell>
        </row>
        <row r="21299">
          <cell r="G21299" t="str">
            <v>ASV6382</v>
          </cell>
          <cell r="H21299" t="str">
            <v>g__unclassified_f__Lachnospiraceae</v>
          </cell>
          <cell r="I21299" t="str">
            <v>s__unclassified_f__Lachnospiraceae</v>
          </cell>
        </row>
        <row r="21300">
          <cell r="G21300" t="str">
            <v>ASV5424</v>
          </cell>
          <cell r="H21300" t="str">
            <v>g__norank_f__Muribaculaceae</v>
          </cell>
          <cell r="I21300" t="str">
            <v>s__unclassified_g__norank_f__Muribaculaceae</v>
          </cell>
        </row>
        <row r="21301">
          <cell r="G21301" t="str">
            <v>ASV16753</v>
          </cell>
          <cell r="H21301" t="str">
            <v>g__unclassified_c__Clostridia</v>
          </cell>
          <cell r="I21301" t="str">
            <v>s__unclassified_c__Clostridia</v>
          </cell>
        </row>
        <row r="21302">
          <cell r="G21302" t="str">
            <v>ASV12476</v>
          </cell>
          <cell r="H21302" t="str">
            <v>g__unclassified_f__Lachnospiraceae</v>
          </cell>
          <cell r="I21302" t="str">
            <v>s__unclassified_f__Lachnospiraceae</v>
          </cell>
        </row>
        <row r="21303">
          <cell r="G21303" t="str">
            <v>ASV5177</v>
          </cell>
          <cell r="H21303" t="str">
            <v>g__Lactobacillus</v>
          </cell>
          <cell r="I21303" t="str">
            <v>s__unclassified_g__Lactobacillus</v>
          </cell>
        </row>
        <row r="21304">
          <cell r="G21304" t="str">
            <v>ASV18769</v>
          </cell>
          <cell r="H21304" t="str">
            <v>g__norank_f__norank_o__Saccharimonadales</v>
          </cell>
          <cell r="I21304" t="str">
            <v>s__unclassified_g__norank_f__norank_o__Saccharimonadales</v>
          </cell>
        </row>
        <row r="21305">
          <cell r="G21305" t="str">
            <v>ASV12146</v>
          </cell>
          <cell r="H21305" t="str">
            <v>g__unclassified_c__Clostridia</v>
          </cell>
          <cell r="I21305" t="str">
            <v>s__unclassified_c__Clostridia</v>
          </cell>
        </row>
        <row r="21306">
          <cell r="G21306" t="str">
            <v>ASV4239</v>
          </cell>
          <cell r="H21306" t="str">
            <v>g__norank_f__Erysipelotrichaceae</v>
          </cell>
          <cell r="I21306" t="str">
            <v>s__uncultured_bacterium_g__norank_f__Erysipelotrichaceae</v>
          </cell>
        </row>
        <row r="21307">
          <cell r="G21307" t="str">
            <v>ASV6451</v>
          </cell>
          <cell r="H21307" t="str">
            <v>g__unclassified_c__Clostridia</v>
          </cell>
          <cell r="I21307" t="str">
            <v>s__unclassified_c__Clostridia</v>
          </cell>
        </row>
        <row r="21308">
          <cell r="G21308" t="str">
            <v>ASV21695</v>
          </cell>
          <cell r="H21308" t="str">
            <v>g__Escherichia-Shigella</v>
          </cell>
          <cell r="I21308" t="str">
            <v>s__unclassified_g__Escherichia-Shigella</v>
          </cell>
        </row>
        <row r="21309">
          <cell r="G21309" t="str">
            <v>ASV15855</v>
          </cell>
          <cell r="H21309" t="str">
            <v>g__Fusobacterium</v>
          </cell>
          <cell r="I21309" t="str">
            <v>s__unclassified_g__Fusobacterium</v>
          </cell>
        </row>
        <row r="21310">
          <cell r="G21310" t="str">
            <v>ASV13210</v>
          </cell>
          <cell r="H21310" t="str">
            <v>g__Christensenellaceae_R-7_group</v>
          </cell>
          <cell r="I21310" t="str">
            <v>s__unclassified_g__Christensenellaceae_R-7_group</v>
          </cell>
        </row>
        <row r="21311">
          <cell r="G21311" t="str">
            <v>ASV23789</v>
          </cell>
          <cell r="H21311" t="str">
            <v>g__Streptococcus</v>
          </cell>
          <cell r="I21311" t="str">
            <v>s__unclassified_g__Streptococcus</v>
          </cell>
        </row>
        <row r="21312">
          <cell r="G21312" t="str">
            <v>ASV16081</v>
          </cell>
          <cell r="H21312" t="str">
            <v>g__Butyricimonas</v>
          </cell>
          <cell r="I21312" t="str">
            <v>s__unclassified_g__Butyricimonas</v>
          </cell>
        </row>
        <row r="21313">
          <cell r="G21313" t="str">
            <v>ASV17641</v>
          </cell>
          <cell r="H21313" t="str">
            <v>g__Escherichia-Shigella</v>
          </cell>
          <cell r="I21313" t="str">
            <v>s__unclassified_g__Escherichia-Shigella</v>
          </cell>
        </row>
        <row r="21314">
          <cell r="G21314" t="str">
            <v>ASV13215</v>
          </cell>
          <cell r="H21314" t="str">
            <v>g__unclassified_c__Clostridia</v>
          </cell>
          <cell r="I21314" t="str">
            <v>s__unclassified_c__Clostridia</v>
          </cell>
        </row>
        <row r="21315">
          <cell r="G21315" t="str">
            <v>ASV19010</v>
          </cell>
          <cell r="H21315" t="str">
            <v>g__Fusobacterium</v>
          </cell>
          <cell r="I21315" t="str">
            <v>s__unclassified_g__Fusobacterium</v>
          </cell>
        </row>
        <row r="21316">
          <cell r="G21316" t="str">
            <v>ASV14827</v>
          </cell>
          <cell r="H21316" t="str">
            <v>g__norank_f__Muribaculaceae</v>
          </cell>
          <cell r="I21316" t="str">
            <v>s__uncultured_bacterium_g__norank_f__Muribaculaceae</v>
          </cell>
        </row>
        <row r="21317">
          <cell r="G21317" t="str">
            <v>ASV1197</v>
          </cell>
          <cell r="H21317" t="str">
            <v>g__unclassified_p__Firmicutes</v>
          </cell>
          <cell r="I21317" t="str">
            <v>s__unclassified_p__Firmicutes</v>
          </cell>
        </row>
        <row r="21318">
          <cell r="G21318" t="str">
            <v>ASV15860</v>
          </cell>
          <cell r="H21318" t="str">
            <v>g__unclassified_f__Lachnospiraceae</v>
          </cell>
          <cell r="I21318" t="str">
            <v>s__unclassified_f__Lachnospiraceae</v>
          </cell>
        </row>
        <row r="21319">
          <cell r="G21319" t="str">
            <v>ASV14737</v>
          </cell>
          <cell r="H21319" t="str">
            <v>g__unclassified_f__Lachnospiraceae</v>
          </cell>
          <cell r="I21319" t="str">
            <v>s__unclassified_f__Lachnospiraceae</v>
          </cell>
        </row>
        <row r="21320">
          <cell r="G21320" t="str">
            <v>ASV13131</v>
          </cell>
          <cell r="H21320" t="str">
            <v>g__Prevotella</v>
          </cell>
          <cell r="I21320" t="str">
            <v>s__Prevotella_sp._DJF_LS16</v>
          </cell>
        </row>
        <row r="21321">
          <cell r="G21321" t="str">
            <v>ASV18658</v>
          </cell>
          <cell r="H21321" t="str">
            <v>g__unclassified_o__Oscillospirales</v>
          </cell>
          <cell r="I21321" t="str">
            <v>s__unclassified_o__Oscillospirales</v>
          </cell>
        </row>
        <row r="21322">
          <cell r="G21322" t="str">
            <v>ASV12190</v>
          </cell>
          <cell r="H21322" t="str">
            <v>g__unclassified_o__Bacteroidales</v>
          </cell>
          <cell r="I21322" t="str">
            <v>s__unclassified_o__Bacteroidales</v>
          </cell>
        </row>
        <row r="21323">
          <cell r="G21323" t="str">
            <v>ASV9110</v>
          </cell>
          <cell r="H21323" t="str">
            <v>g__Lactobacillus</v>
          </cell>
          <cell r="I21323" t="str">
            <v>s__unclassified_g__Lactobacillus</v>
          </cell>
        </row>
        <row r="21324">
          <cell r="G21324" t="str">
            <v>ASV6862</v>
          </cell>
          <cell r="H21324" t="str">
            <v>g__unclassified_f__Lachnospiraceae</v>
          </cell>
          <cell r="I21324" t="str">
            <v>s__unclassified_f__Lachnospiraceae</v>
          </cell>
        </row>
        <row r="21325">
          <cell r="G21325" t="str">
            <v>ASV22899</v>
          </cell>
          <cell r="H21325" t="str">
            <v>g__Parabacteroides</v>
          </cell>
          <cell r="I21325" t="str">
            <v>s__Porphyromonadaceae_bacterium_DJF_B175</v>
          </cell>
        </row>
        <row r="21326">
          <cell r="G21326" t="str">
            <v>ASV12293</v>
          </cell>
          <cell r="H21326" t="str">
            <v>g__norank_f__norank_o__Clostridia_UCG-014</v>
          </cell>
          <cell r="I21326" t="str">
            <v>s__uncultured_bacterium_g__norank_f__norank_o__Clostridia_UCG-014</v>
          </cell>
        </row>
        <row r="21327">
          <cell r="G21327" t="str">
            <v>ASV18717</v>
          </cell>
          <cell r="H21327" t="str">
            <v>g__unclassified_c__Bacilli</v>
          </cell>
          <cell r="I21327" t="str">
            <v>s__unclassified_c__Bacilli</v>
          </cell>
        </row>
        <row r="21328">
          <cell r="G21328" t="str">
            <v>ASV23590</v>
          </cell>
          <cell r="H21328" t="str">
            <v>g__unclassified_o__Oscillospirales</v>
          </cell>
          <cell r="I21328" t="str">
            <v>s__unclassified_o__Oscillospirales</v>
          </cell>
        </row>
        <row r="21329">
          <cell r="G21329" t="str">
            <v>ASV22730</v>
          </cell>
          <cell r="H21329" t="str">
            <v>g__unclassified_c__Clostridia</v>
          </cell>
          <cell r="I21329" t="str">
            <v>s__unclassified_c__Clostridia</v>
          </cell>
        </row>
        <row r="21330">
          <cell r="G21330" t="str">
            <v>ASV3526</v>
          </cell>
          <cell r="H21330" t="str">
            <v>g__Escherichia-Shigella</v>
          </cell>
          <cell r="I21330" t="str">
            <v>s__unclassified_g__Escherichia-Shigella</v>
          </cell>
        </row>
        <row r="21331">
          <cell r="G21331" t="str">
            <v>ASV8069</v>
          </cell>
          <cell r="H21331" t="str">
            <v>g__norank_f__Muribaculaceae</v>
          </cell>
          <cell r="I21331" t="str">
            <v>s__uncultured_bacterium_g__norank_f__Muribaculaceae</v>
          </cell>
        </row>
        <row r="21332">
          <cell r="G21332" t="str">
            <v>ASV14707</v>
          </cell>
          <cell r="H21332" t="str">
            <v>g__unclassified_c__Clostridia</v>
          </cell>
          <cell r="I21332" t="str">
            <v>s__unclassified_c__Clostridia</v>
          </cell>
        </row>
        <row r="21333">
          <cell r="G21333" t="str">
            <v>ASV2473</v>
          </cell>
          <cell r="H21333" t="str">
            <v>g__Lactobacillus</v>
          </cell>
          <cell r="I21333" t="str">
            <v>s__unclassified_g__Lactobacillus</v>
          </cell>
        </row>
        <row r="21334">
          <cell r="G21334" t="str">
            <v>ASV20019</v>
          </cell>
          <cell r="H21334" t="str">
            <v>g__unclassified_c__Clostridia</v>
          </cell>
          <cell r="I21334" t="str">
            <v>s__unclassified_c__Clostridia</v>
          </cell>
        </row>
        <row r="21335">
          <cell r="G21335" t="str">
            <v>ASV16696</v>
          </cell>
          <cell r="H21335" t="str">
            <v>g__unclassified_c__Clostridia</v>
          </cell>
          <cell r="I21335" t="str">
            <v>s__unclassified_c__Clostridia</v>
          </cell>
        </row>
        <row r="21336">
          <cell r="G21336" t="str">
            <v>ASV10258</v>
          </cell>
          <cell r="H21336" t="str">
            <v>g__Fusobacterium</v>
          </cell>
          <cell r="I21336" t="str">
            <v>s__unclassified_g__Fusobacterium</v>
          </cell>
        </row>
        <row r="21337">
          <cell r="G21337" t="str">
            <v>ASV24041</v>
          </cell>
          <cell r="H21337" t="str">
            <v>g__unclassified_k__norank_d__Bacteria</v>
          </cell>
          <cell r="I21337" t="str">
            <v>s__unclassified_k__norank_d__Bacteria</v>
          </cell>
        </row>
        <row r="21338">
          <cell r="G21338" t="str">
            <v>ASV22664</v>
          </cell>
          <cell r="H21338" t="str">
            <v>g__Megasphaera</v>
          </cell>
          <cell r="I21338" t="str">
            <v>s__Megasphaera_hexanoica</v>
          </cell>
        </row>
        <row r="21339">
          <cell r="G21339" t="str">
            <v>ASV5149</v>
          </cell>
          <cell r="H21339" t="str">
            <v>g__norank_f__Erysipelotrichaceae</v>
          </cell>
          <cell r="I21339" t="str">
            <v>s__uncultured_bacterium_g__norank_f__Erysipelotrichaceae</v>
          </cell>
        </row>
        <row r="21340">
          <cell r="G21340" t="str">
            <v>ASV21098</v>
          </cell>
          <cell r="H21340" t="str">
            <v>g__Lactobacillus</v>
          </cell>
          <cell r="I21340" t="str">
            <v>s__unclassified_g__Lactobacillus</v>
          </cell>
        </row>
        <row r="21341">
          <cell r="G21341" t="str">
            <v>ASV22518</v>
          </cell>
          <cell r="H21341" t="str">
            <v>g__unclassified_o__Bacteroidales</v>
          </cell>
          <cell r="I21341" t="str">
            <v>s__unclassified_o__Bacteroidales</v>
          </cell>
        </row>
        <row r="21342">
          <cell r="G21342" t="str">
            <v>ASV17111</v>
          </cell>
          <cell r="H21342" t="str">
            <v>g__Eubacterium_oxidoreducens_group</v>
          </cell>
          <cell r="I21342" t="str">
            <v>s__uncultured_bacterium_g__Eubacterium_oxidoreducens_group</v>
          </cell>
        </row>
        <row r="21343">
          <cell r="G21343" t="str">
            <v>ASV1387</v>
          </cell>
          <cell r="H21343" t="str">
            <v>g__unclassified_f__Lachnospiraceae</v>
          </cell>
          <cell r="I21343" t="str">
            <v>s__unclassified_f__Lachnospiraceae</v>
          </cell>
        </row>
        <row r="21344">
          <cell r="G21344" t="str">
            <v>ASV16735</v>
          </cell>
          <cell r="H21344" t="str">
            <v>g__unclassified_f__Oscillospiraceae</v>
          </cell>
          <cell r="I21344" t="str">
            <v>s__unclassified_f__Oscillospiraceae</v>
          </cell>
        </row>
        <row r="21345">
          <cell r="G21345" t="str">
            <v>ASV19136</v>
          </cell>
          <cell r="H21345" t="str">
            <v>g__unclassified_f__Oscillospiraceae</v>
          </cell>
          <cell r="I21345" t="str">
            <v>s__unclassified_f__Oscillospiraceae</v>
          </cell>
        </row>
        <row r="21346">
          <cell r="G21346" t="str">
            <v>ASV18780</v>
          </cell>
          <cell r="H21346" t="str">
            <v>g__Bacillus</v>
          </cell>
          <cell r="I21346" t="str">
            <v>s__Lactobacillus_vaginalis_g__Bacillus</v>
          </cell>
        </row>
        <row r="21347">
          <cell r="G21347" t="str">
            <v>ASV13177</v>
          </cell>
          <cell r="H21347" t="str">
            <v>g__unclassified_f__Christensenellaceae</v>
          </cell>
          <cell r="I21347" t="str">
            <v>s__unclassified_f__Christensenellaceae</v>
          </cell>
        </row>
        <row r="21348">
          <cell r="G21348" t="str">
            <v>ASV13628</v>
          </cell>
          <cell r="H21348" t="str">
            <v>g__Enterococcus</v>
          </cell>
          <cell r="I21348" t="str">
            <v>s__unclassified_g__Enterococcus</v>
          </cell>
        </row>
        <row r="21349">
          <cell r="G21349" t="str">
            <v>ASV14727</v>
          </cell>
          <cell r="H21349" t="str">
            <v>g__unclassified_k__norank_d__Bacteria</v>
          </cell>
          <cell r="I21349" t="str">
            <v>s__unclassified_k__norank_d__Bacteria</v>
          </cell>
        </row>
        <row r="21350">
          <cell r="G21350" t="str">
            <v>ASV14634</v>
          </cell>
          <cell r="H21350" t="str">
            <v>g__unclassified_p__Firmicutes</v>
          </cell>
          <cell r="I21350" t="str">
            <v>s__unclassified_p__Firmicutes</v>
          </cell>
        </row>
        <row r="21351">
          <cell r="G21351" t="str">
            <v>ASV8115</v>
          </cell>
          <cell r="H21351" t="str">
            <v>g__Lactobacillus</v>
          </cell>
          <cell r="I21351" t="str">
            <v>s__unclassified_g__Lactobacillus</v>
          </cell>
        </row>
        <row r="21352">
          <cell r="G21352" t="str">
            <v>ASV7384</v>
          </cell>
          <cell r="H21352" t="str">
            <v>g__Acinetobacter</v>
          </cell>
          <cell r="I21352" t="str">
            <v>s__unclassified_g__Acinetobacter</v>
          </cell>
        </row>
        <row r="21353">
          <cell r="G21353" t="str">
            <v>ASV7213</v>
          </cell>
          <cell r="H21353" t="str">
            <v>g__Gallicola</v>
          </cell>
          <cell r="I21353" t="str">
            <v>s__Peptostreptococcaceae_bacterium_SK031</v>
          </cell>
        </row>
        <row r="21354">
          <cell r="G21354" t="str">
            <v>ASV9710</v>
          </cell>
          <cell r="H21354" t="str">
            <v>g__unclassified_p__Firmicutes</v>
          </cell>
          <cell r="I21354" t="str">
            <v>s__unclassified_p__Firmicutes</v>
          </cell>
        </row>
        <row r="21355">
          <cell r="G21355" t="str">
            <v>ASV5204</v>
          </cell>
          <cell r="H21355" t="str">
            <v>g__unclassified_f__Erysipelotrichaceae</v>
          </cell>
          <cell r="I21355" t="str">
            <v>s__unclassified_f__Erysipelotrichaceae</v>
          </cell>
        </row>
        <row r="21356">
          <cell r="G21356" t="str">
            <v>ASV6961</v>
          </cell>
          <cell r="H21356" t="str">
            <v>g__unclassified_f__Lachnospiraceae</v>
          </cell>
          <cell r="I21356" t="str">
            <v>s__unclassified_f__Lachnospiraceae</v>
          </cell>
        </row>
        <row r="21357">
          <cell r="G21357" t="str">
            <v>ASV16600</v>
          </cell>
          <cell r="H21357" t="str">
            <v>g__unclassified_c__Bacteroidia</v>
          </cell>
          <cell r="I21357" t="str">
            <v>s__unclassified_c__Bacteroidia</v>
          </cell>
        </row>
        <row r="21358">
          <cell r="G21358" t="str">
            <v>ASV18964</v>
          </cell>
          <cell r="H21358" t="str">
            <v>g__Enterococcus</v>
          </cell>
          <cell r="I21358" t="str">
            <v>s__unclassified_g__Enterococcus</v>
          </cell>
        </row>
        <row r="21359">
          <cell r="G21359" t="str">
            <v>ASV9093</v>
          </cell>
          <cell r="H21359" t="str">
            <v>g__Veillonella</v>
          </cell>
          <cell r="I21359" t="str">
            <v>s__bacterium_RA2114</v>
          </cell>
        </row>
        <row r="21360">
          <cell r="G21360" t="str">
            <v>ASV24299</v>
          </cell>
          <cell r="H21360" t="str">
            <v>g__unclassified_o__Oscillospirales</v>
          </cell>
          <cell r="I21360" t="str">
            <v>s__unclassified_o__Oscillospirales</v>
          </cell>
        </row>
        <row r="21361">
          <cell r="G21361" t="str">
            <v>ASV13003</v>
          </cell>
          <cell r="H21361" t="str">
            <v>g__unclassified_f__Lachnospiraceae</v>
          </cell>
          <cell r="I21361" t="str">
            <v>s__unclassified_f__Lachnospiraceae</v>
          </cell>
        </row>
        <row r="21362">
          <cell r="G21362" t="str">
            <v>ASV7392</v>
          </cell>
          <cell r="H21362" t="str">
            <v>g__Allisonella</v>
          </cell>
          <cell r="I21362" t="str">
            <v>s__unclassified_g__Allisonella</v>
          </cell>
        </row>
        <row r="21363">
          <cell r="G21363" t="str">
            <v>ASV19117</v>
          </cell>
          <cell r="H21363" t="str">
            <v>g__unclassified_c__Bacilli</v>
          </cell>
          <cell r="I21363" t="str">
            <v>s__unclassified_c__Bacilli</v>
          </cell>
        </row>
        <row r="21364">
          <cell r="G21364" t="str">
            <v>ASV21012</v>
          </cell>
          <cell r="H21364" t="str">
            <v>g__norank_f__UCG-010</v>
          </cell>
          <cell r="I21364" t="str">
            <v>s__uncultured_bacterium_g__norank_f__UCG-010</v>
          </cell>
        </row>
        <row r="21365">
          <cell r="G21365" t="str">
            <v>ASV17333</v>
          </cell>
          <cell r="H21365" t="str">
            <v>g__Streptococcus</v>
          </cell>
          <cell r="I21365" t="str">
            <v>s__Streptococcus_plurextorum</v>
          </cell>
        </row>
        <row r="21366">
          <cell r="G21366" t="str">
            <v>ASV1268</v>
          </cell>
          <cell r="H21366" t="str">
            <v>g__unclassified_c__Clostridia</v>
          </cell>
          <cell r="I21366" t="str">
            <v>s__unclassified_c__Clostridia</v>
          </cell>
        </row>
        <row r="21367">
          <cell r="G21367" t="str">
            <v>ASV10880</v>
          </cell>
          <cell r="H21367" t="str">
            <v>g__unclassified_o__Oscillospirales</v>
          </cell>
          <cell r="I21367" t="str">
            <v>s__unclassified_o__Oscillospirales</v>
          </cell>
        </row>
        <row r="21368">
          <cell r="G21368" t="str">
            <v>ASV13092</v>
          </cell>
          <cell r="H21368" t="str">
            <v>g__unclassified_c__Clostridia</v>
          </cell>
          <cell r="I21368" t="str">
            <v>s__unclassified_c__Clostridia</v>
          </cell>
        </row>
        <row r="21369">
          <cell r="G21369" t="str">
            <v>ASV16163</v>
          </cell>
          <cell r="H21369" t="str">
            <v>g__unclassified_f__Lachnospiraceae</v>
          </cell>
          <cell r="I21369" t="str">
            <v>s__unclassified_f__Lachnospiraceae</v>
          </cell>
        </row>
        <row r="21370">
          <cell r="G21370" t="str">
            <v>ASV12074</v>
          </cell>
          <cell r="H21370" t="str">
            <v>g__unclassified_k__norank_d__Bacteria</v>
          </cell>
          <cell r="I21370" t="str">
            <v>s__unclassified_k__norank_d__Bacteria</v>
          </cell>
        </row>
        <row r="21371">
          <cell r="G21371" t="str">
            <v>ASV22937</v>
          </cell>
          <cell r="H21371" t="str">
            <v>g__unclassified_p__Firmicutes</v>
          </cell>
          <cell r="I21371" t="str">
            <v>s__unclassified_p__Firmicutes</v>
          </cell>
        </row>
        <row r="21372">
          <cell r="G21372" t="str">
            <v>ASV16597</v>
          </cell>
          <cell r="H21372" t="str">
            <v>g__unclassified_f__Erysipelotrichaceae</v>
          </cell>
          <cell r="I21372" t="str">
            <v>s__unclassified_f__Erysipelotrichaceae</v>
          </cell>
        </row>
        <row r="21373">
          <cell r="G21373" t="str">
            <v>ASV7128</v>
          </cell>
          <cell r="H21373" t="str">
            <v>g__Eubacterium_oxidoreducens_group</v>
          </cell>
          <cell r="I21373" t="str">
            <v>s__uncultured_bacterium_g__Eubacterium_oxidoreducens_group</v>
          </cell>
        </row>
        <row r="21374">
          <cell r="G21374" t="str">
            <v>ASV2559</v>
          </cell>
          <cell r="H21374" t="str">
            <v>g__unclassified_f__Lachnospiraceae</v>
          </cell>
          <cell r="I21374" t="str">
            <v>s__unclassified_f__Lachnospiraceae</v>
          </cell>
        </row>
        <row r="21375">
          <cell r="G21375" t="str">
            <v>ASV9809</v>
          </cell>
          <cell r="H21375" t="str">
            <v>g__unclassified_f__Lachnospiraceae</v>
          </cell>
          <cell r="I21375" t="str">
            <v>s__unclassified_f__Lachnospiraceae</v>
          </cell>
        </row>
        <row r="21376">
          <cell r="G21376" t="str">
            <v>ASV20106</v>
          </cell>
          <cell r="H21376" t="str">
            <v>g__norank_f__UCG-010</v>
          </cell>
          <cell r="I21376" t="str">
            <v>s__uncultured_bacterium_g__norank_f__UCG-010</v>
          </cell>
        </row>
        <row r="21377">
          <cell r="G21377" t="str">
            <v>ASV13045</v>
          </cell>
          <cell r="H21377" t="str">
            <v>g__Lactobacillus</v>
          </cell>
          <cell r="I21377" t="str">
            <v>s__unclassified_g__Lactobacillus</v>
          </cell>
        </row>
        <row r="21378">
          <cell r="G21378" t="str">
            <v>ASV23611</v>
          </cell>
          <cell r="H21378" t="str">
            <v>g__unclassified_f__Oscillospiraceae</v>
          </cell>
          <cell r="I21378" t="str">
            <v>s__unclassified_f__Oscillospiraceae</v>
          </cell>
        </row>
        <row r="21379">
          <cell r="G21379" t="str">
            <v>ASV18413</v>
          </cell>
          <cell r="H21379" t="str">
            <v>g__Eubacterium_oxidoreducens_group</v>
          </cell>
          <cell r="I21379" t="str">
            <v>s__uncultured_bacterium_g__Eubacterium_oxidoreducens_group</v>
          </cell>
        </row>
        <row r="21380">
          <cell r="G21380" t="str">
            <v>ASV1318</v>
          </cell>
          <cell r="H21380" t="str">
            <v>g__unclassified_c__Clostridia</v>
          </cell>
          <cell r="I21380" t="str">
            <v>s__unclassified_c__Clostridia</v>
          </cell>
        </row>
        <row r="21381">
          <cell r="G21381" t="str">
            <v>ASV6920</v>
          </cell>
          <cell r="H21381" t="str">
            <v>g__unclassified_f__Lachnospiraceae</v>
          </cell>
          <cell r="I21381" t="str">
            <v>s__unclassified_f__Lachnospiraceae</v>
          </cell>
        </row>
        <row r="21382">
          <cell r="G21382" t="str">
            <v>ASV2411</v>
          </cell>
          <cell r="H21382" t="str">
            <v>g__unclassified_p__Firmicutes</v>
          </cell>
          <cell r="I21382" t="str">
            <v>s__unclassified_p__Firmicutes</v>
          </cell>
        </row>
        <row r="21383">
          <cell r="G21383" t="str">
            <v>ASV6256</v>
          </cell>
          <cell r="H21383" t="str">
            <v>g__Cloacibacillus</v>
          </cell>
          <cell r="I21383" t="str">
            <v>s__unclassified_g__Cloacibacillus</v>
          </cell>
        </row>
        <row r="21384">
          <cell r="G21384" t="str">
            <v>ASV9740</v>
          </cell>
          <cell r="H21384" t="str">
            <v>g__unclassified_k__norank_d__Bacteria</v>
          </cell>
          <cell r="I21384" t="str">
            <v>s__unclassified_k__norank_d__Bacteria</v>
          </cell>
        </row>
        <row r="21385">
          <cell r="G21385" t="str">
            <v>ASV22531</v>
          </cell>
          <cell r="H21385" t="str">
            <v>g__norank_f__Muribaculaceae</v>
          </cell>
          <cell r="I21385" t="str">
            <v>s__uncultured_bacterium_g__norank_f__Muribaculaceae</v>
          </cell>
        </row>
        <row r="21386">
          <cell r="G21386" t="str">
            <v>ASV17116</v>
          </cell>
          <cell r="H21386" t="str">
            <v>g__Lactobacillus</v>
          </cell>
          <cell r="I21386" t="str">
            <v>s__unclassified_g__Lactobacillus</v>
          </cell>
        </row>
        <row r="21387">
          <cell r="G21387" t="str">
            <v>ASV6285</v>
          </cell>
          <cell r="H21387" t="str">
            <v>g__unclassified_c__Clostridia</v>
          </cell>
          <cell r="I21387" t="str">
            <v>s__unclassified_c__Clostridia</v>
          </cell>
        </row>
        <row r="21388">
          <cell r="G21388" t="str">
            <v>ASV14886</v>
          </cell>
          <cell r="H21388" t="str">
            <v>g__Holdemanella</v>
          </cell>
          <cell r="I21388" t="str">
            <v>s__uncultured_bacterium_g__Holdemanella</v>
          </cell>
        </row>
        <row r="21389">
          <cell r="G21389" t="str">
            <v>ASV13618</v>
          </cell>
          <cell r="H21389" t="str">
            <v>g__unclassified_f__Oscillospiraceae</v>
          </cell>
          <cell r="I21389" t="str">
            <v>s__unclassified_f__Oscillospiraceae</v>
          </cell>
        </row>
        <row r="21390">
          <cell r="G21390" t="str">
            <v>ASV14783</v>
          </cell>
          <cell r="H21390" t="str">
            <v>g__unclassified_f__Lachnospiraceae</v>
          </cell>
          <cell r="I21390" t="str">
            <v>s__unclassified_f__Lachnospiraceae</v>
          </cell>
        </row>
        <row r="21391">
          <cell r="G21391" t="str">
            <v>ASV17069</v>
          </cell>
          <cell r="H21391" t="str">
            <v>g__unclassified_f__Lachnospiraceae</v>
          </cell>
          <cell r="I21391" t="str">
            <v>s__unclassified_f__Lachnospiraceae</v>
          </cell>
        </row>
        <row r="21392">
          <cell r="G21392" t="str">
            <v>ASV19020</v>
          </cell>
          <cell r="H21392" t="str">
            <v>g__Lactobacillus</v>
          </cell>
          <cell r="I21392" t="str">
            <v>s__unclassified_g__Lactobacillus</v>
          </cell>
        </row>
        <row r="21393">
          <cell r="G21393" t="str">
            <v>ASV5439</v>
          </cell>
          <cell r="H21393" t="str">
            <v>g__unclassified_k__norank_d__Bacteria</v>
          </cell>
          <cell r="I21393" t="str">
            <v>s__unclassified_k__norank_d__Bacteria</v>
          </cell>
        </row>
        <row r="21394">
          <cell r="G21394" t="str">
            <v>ASV12143</v>
          </cell>
          <cell r="H21394" t="str">
            <v>g__Lactobacillus</v>
          </cell>
          <cell r="I21394" t="str">
            <v>s__unclassified_g__Lactobacillus</v>
          </cell>
        </row>
        <row r="21395">
          <cell r="G21395" t="str">
            <v>ASV1382</v>
          </cell>
          <cell r="H21395" t="str">
            <v>g__unclassified_f__Oscillospiraceae</v>
          </cell>
          <cell r="I21395" t="str">
            <v>s__unclassified_f__Oscillospiraceae</v>
          </cell>
        </row>
        <row r="21396">
          <cell r="G21396" t="str">
            <v>ASV21014</v>
          </cell>
          <cell r="H21396" t="str">
            <v>g__unclassified_f__Lachnospiraceae</v>
          </cell>
          <cell r="I21396" t="str">
            <v>s__unclassified_f__Lachnospiraceae</v>
          </cell>
        </row>
        <row r="21397">
          <cell r="G21397" t="str">
            <v>ASV16084</v>
          </cell>
          <cell r="H21397" t="str">
            <v>g__unclassified_k__norank_d__Bacteria</v>
          </cell>
          <cell r="I21397" t="str">
            <v>s__unclassified_k__norank_d__Bacteria</v>
          </cell>
        </row>
        <row r="21398">
          <cell r="G21398" t="str">
            <v>ASV18409</v>
          </cell>
          <cell r="H21398" t="str">
            <v>g__Ruminococcus</v>
          </cell>
          <cell r="I21398" t="str">
            <v>s__unclassified_g__Ruminococcus</v>
          </cell>
        </row>
        <row r="21399">
          <cell r="G21399" t="str">
            <v>ASV5403</v>
          </cell>
          <cell r="H21399" t="str">
            <v>g__unclassified_f__Oscillospiraceae</v>
          </cell>
          <cell r="I21399" t="str">
            <v>s__unclassified_f__Oscillospiraceae</v>
          </cell>
        </row>
        <row r="21400">
          <cell r="G21400" t="str">
            <v>ASV1119</v>
          </cell>
          <cell r="H21400" t="str">
            <v>g__unclassified_c__Clostridia</v>
          </cell>
          <cell r="I21400" t="str">
            <v>s__unclassified_c__Clostridia</v>
          </cell>
        </row>
        <row r="21401">
          <cell r="G21401" t="str">
            <v>ASV1399</v>
          </cell>
          <cell r="H21401" t="str">
            <v>g__unclassified_c__Clostridia</v>
          </cell>
          <cell r="I21401" t="str">
            <v>s__unclassified_c__Clostridia</v>
          </cell>
        </row>
        <row r="21402">
          <cell r="G21402" t="str">
            <v>ASV19883</v>
          </cell>
          <cell r="H21402" t="str">
            <v>g__unclassified_o__Bacteroidales</v>
          </cell>
          <cell r="I21402" t="str">
            <v>s__unclassified_o__Bacteroidales</v>
          </cell>
        </row>
        <row r="21403">
          <cell r="G21403" t="str">
            <v>ASV5305</v>
          </cell>
          <cell r="H21403" t="str">
            <v>g__unclassified_o__Oscillospirales</v>
          </cell>
          <cell r="I21403" t="str">
            <v>s__unclassified_o__Oscillospirales</v>
          </cell>
        </row>
        <row r="21404">
          <cell r="G21404" t="str">
            <v>ASV14841</v>
          </cell>
          <cell r="H21404" t="str">
            <v>g__Christensenellaceae_R-7_group</v>
          </cell>
          <cell r="I21404" t="str">
            <v>s__unclassified_g__Christensenellaceae_R-7_group</v>
          </cell>
        </row>
        <row r="21405">
          <cell r="G21405" t="str">
            <v>ASV6871</v>
          </cell>
          <cell r="H21405" t="str">
            <v>g__Enterococcus</v>
          </cell>
          <cell r="I21405" t="str">
            <v>s__unclassified_g__Enterococcus</v>
          </cell>
        </row>
        <row r="21406">
          <cell r="G21406" t="str">
            <v>ASV21345</v>
          </cell>
          <cell r="H21406" t="str">
            <v>g__unclassified_k__norank_d__Bacteria</v>
          </cell>
          <cell r="I21406" t="str">
            <v>s__unclassified_k__norank_d__Bacteria</v>
          </cell>
        </row>
        <row r="21407">
          <cell r="G21407" t="str">
            <v>ASV22659</v>
          </cell>
          <cell r="H21407" t="str">
            <v>g__unclassified_f__Oscillospiraceae</v>
          </cell>
          <cell r="I21407" t="str">
            <v>s__unclassified_f__Oscillospiraceae</v>
          </cell>
        </row>
        <row r="21408">
          <cell r="G21408" t="str">
            <v>ASV20087</v>
          </cell>
          <cell r="H21408" t="str">
            <v>g__unclassified_c__Clostridia</v>
          </cell>
          <cell r="I21408" t="str">
            <v>s__unclassified_c__Clostridia</v>
          </cell>
        </row>
        <row r="21409">
          <cell r="G21409" t="str">
            <v>ASV18671</v>
          </cell>
          <cell r="H21409" t="str">
            <v>g__Olsenella</v>
          </cell>
          <cell r="I21409" t="str">
            <v>s__unclassified_g__Olsenella</v>
          </cell>
        </row>
        <row r="21410">
          <cell r="G21410" t="str">
            <v>ASV18663</v>
          </cell>
          <cell r="H21410" t="str">
            <v>g__unclassified_k__norank_d__Bacteria</v>
          </cell>
          <cell r="I21410" t="str">
            <v>s__unclassified_k__norank_d__Bacteria</v>
          </cell>
        </row>
        <row r="21411">
          <cell r="G21411" t="str">
            <v>ASV6918</v>
          </cell>
          <cell r="H21411" t="str">
            <v>g__Howardella</v>
          </cell>
          <cell r="I21411" t="str">
            <v>s__unclassified_g__Howardella</v>
          </cell>
        </row>
        <row r="21412">
          <cell r="G21412" t="str">
            <v>ASV10105</v>
          </cell>
          <cell r="H21412" t="str">
            <v>g__Corynebacterium</v>
          </cell>
          <cell r="I21412" t="str">
            <v>s__unclassified_g__Corynebacterium</v>
          </cell>
        </row>
        <row r="21413">
          <cell r="G21413" t="str">
            <v>ASV3562</v>
          </cell>
          <cell r="H21413" t="str">
            <v>g__unclassified_c__Bacilli</v>
          </cell>
          <cell r="I21413" t="str">
            <v>s__unclassified_c__Bacilli</v>
          </cell>
        </row>
        <row r="21414">
          <cell r="G21414" t="str">
            <v>ASV10107</v>
          </cell>
          <cell r="H21414" t="str">
            <v>g__Rhodococcus</v>
          </cell>
          <cell r="I21414" t="str">
            <v>s__unclassified_g__Rhodococcus</v>
          </cell>
        </row>
        <row r="21415">
          <cell r="G21415" t="str">
            <v>ASV22657</v>
          </cell>
          <cell r="H21415" t="str">
            <v>g__Peptococcus</v>
          </cell>
          <cell r="I21415" t="str">
            <v>s__uncultured_bacterium_g__Peptococcus</v>
          </cell>
        </row>
        <row r="21416">
          <cell r="G21416" t="str">
            <v>ASV14871</v>
          </cell>
          <cell r="H21416" t="str">
            <v>g__Ruminococcus</v>
          </cell>
          <cell r="I21416" t="str">
            <v>s__unclassified_g__Ruminococcus</v>
          </cell>
        </row>
        <row r="21417">
          <cell r="G21417" t="str">
            <v>ASV12158</v>
          </cell>
          <cell r="H21417" t="str">
            <v>g__unclassified_k__norank_d__Bacteria</v>
          </cell>
          <cell r="I21417" t="str">
            <v>s__unclassified_k__norank_d__Bacteria</v>
          </cell>
        </row>
        <row r="21418">
          <cell r="G21418" t="str">
            <v>ASV12116</v>
          </cell>
          <cell r="H21418" t="str">
            <v>g__norank_f__Oscillospiraceae</v>
          </cell>
          <cell r="I21418" t="str">
            <v>s__unclassified_g__norank_f__Oscillospiraceae</v>
          </cell>
        </row>
        <row r="21419">
          <cell r="G21419" t="str">
            <v>ASV21678</v>
          </cell>
          <cell r="H21419" t="str">
            <v>g__unclassified_f__Veillonellaceae</v>
          </cell>
          <cell r="I21419" t="str">
            <v>s__unclassified_f__Veillonellaceae</v>
          </cell>
        </row>
        <row r="21420">
          <cell r="G21420" t="str">
            <v>ASV15669</v>
          </cell>
          <cell r="H21420" t="str">
            <v>g__norank_f__Oscillospiraceae</v>
          </cell>
          <cell r="I21420" t="str">
            <v>s__unclassified_g__norank_f__Oscillospiraceae</v>
          </cell>
        </row>
        <row r="21421">
          <cell r="G21421" t="str">
            <v>ASV6355</v>
          </cell>
          <cell r="H21421" t="str">
            <v>g__norank_f__norank_o__Clostridia_vadinBB60_group</v>
          </cell>
          <cell r="I21421" t="str">
            <v>s__uncultured_bacterium_g__norank_f__norank_o__Clostridia_vadinBB60_group</v>
          </cell>
        </row>
        <row r="21422">
          <cell r="G21422" t="str">
            <v>ASV16684</v>
          </cell>
          <cell r="H21422" t="str">
            <v>g__unclassified_f__Prevotellaceae</v>
          </cell>
          <cell r="I21422" t="str">
            <v>s__unclassified_f__Prevotellaceae</v>
          </cell>
        </row>
        <row r="21423">
          <cell r="G21423" t="str">
            <v>ASV21126</v>
          </cell>
          <cell r="H21423" t="str">
            <v>g__unclassified_f__Lachnospiraceae</v>
          </cell>
          <cell r="I21423" t="str">
            <v>s__unclassified_f__Lachnospiraceae</v>
          </cell>
        </row>
        <row r="21424">
          <cell r="G21424" t="str">
            <v>ASV16683</v>
          </cell>
          <cell r="H21424" t="str">
            <v>g__unclassified_o__Bacteroidales</v>
          </cell>
          <cell r="I21424" t="str">
            <v>s__unclassified_o__Bacteroidales</v>
          </cell>
        </row>
        <row r="21425">
          <cell r="G21425" t="str">
            <v>ASV5309</v>
          </cell>
          <cell r="H21425" t="str">
            <v>g__unclassified_c__Clostridia</v>
          </cell>
          <cell r="I21425" t="str">
            <v>s__unclassified_c__Clostridia</v>
          </cell>
        </row>
        <row r="21426">
          <cell r="G21426" t="str">
            <v>ASV8893</v>
          </cell>
          <cell r="H21426" t="str">
            <v>g__UCG-002</v>
          </cell>
          <cell r="I21426" t="str">
            <v>s__uncultured_bacterium_g__UCG-002</v>
          </cell>
        </row>
        <row r="21427">
          <cell r="G21427" t="str">
            <v>ASV21115</v>
          </cell>
          <cell r="H21427" t="str">
            <v>g__unclassified_c__Clostridia</v>
          </cell>
          <cell r="I21427" t="str">
            <v>s__unclassified_c__Clostridia</v>
          </cell>
        </row>
        <row r="21428">
          <cell r="G21428" t="str">
            <v>ASV22699</v>
          </cell>
          <cell r="H21428" t="str">
            <v>g__Clostridium_sensu_stricto_1</v>
          </cell>
          <cell r="I21428" t="str">
            <v>s__uncultured_bacterium_g__Clostridium_sensu_stricto_1</v>
          </cell>
        </row>
        <row r="21429">
          <cell r="G21429" t="str">
            <v>ASV16115</v>
          </cell>
          <cell r="H21429" t="str">
            <v>g__unclassified_f__Lachnospiraceae</v>
          </cell>
          <cell r="I21429" t="str">
            <v>s__unclassified_f__Lachnospiraceae</v>
          </cell>
        </row>
        <row r="21430">
          <cell r="G21430" t="str">
            <v>ASV1252</v>
          </cell>
          <cell r="H21430" t="str">
            <v>g__unclassified_c__Clostridia</v>
          </cell>
          <cell r="I21430" t="str">
            <v>s__unclassified_c__Clostridia</v>
          </cell>
        </row>
        <row r="21431">
          <cell r="G21431" t="str">
            <v>ASV15689</v>
          </cell>
          <cell r="H21431" t="str">
            <v>g__unclassified_c__Clostridia</v>
          </cell>
          <cell r="I21431" t="str">
            <v>s__unclassified_c__Clostridia</v>
          </cell>
        </row>
        <row r="21432">
          <cell r="G21432" t="str">
            <v>ASV12136</v>
          </cell>
          <cell r="H21432" t="str">
            <v>g__unclassified_c__Clostridia</v>
          </cell>
          <cell r="I21432" t="str">
            <v>s__unclassified_c__Clostridia</v>
          </cell>
        </row>
        <row r="21433">
          <cell r="G21433" t="str">
            <v>ASV23692</v>
          </cell>
          <cell r="H21433" t="str">
            <v>g__Olsenella</v>
          </cell>
          <cell r="I21433" t="str">
            <v>s__unclassified_g__Olsenella</v>
          </cell>
        </row>
        <row r="21434">
          <cell r="G21434" t="str">
            <v>ASV20163</v>
          </cell>
          <cell r="H21434" t="str">
            <v>g__UCG-002</v>
          </cell>
          <cell r="I21434" t="str">
            <v>s__unclassified_g__UCG-002</v>
          </cell>
        </row>
        <row r="21435">
          <cell r="G21435" t="str">
            <v>ASV8368</v>
          </cell>
          <cell r="H21435" t="str">
            <v>g__Nocardioides</v>
          </cell>
          <cell r="I21435" t="str">
            <v>s__unclassified_g__Nocardioides</v>
          </cell>
        </row>
        <row r="21436">
          <cell r="G21436" t="str">
            <v>ASV10903</v>
          </cell>
          <cell r="H21436" t="str">
            <v>g__unclassified_c__Clostridia</v>
          </cell>
          <cell r="I21436" t="str">
            <v>s__unclassified_c__Clostridia</v>
          </cell>
        </row>
        <row r="21437">
          <cell r="G21437" t="str">
            <v>ASV14901</v>
          </cell>
          <cell r="H21437" t="str">
            <v>g__Prevotella</v>
          </cell>
          <cell r="I21437" t="str">
            <v>s__unclassified_g__Prevotella</v>
          </cell>
        </row>
        <row r="21438">
          <cell r="G21438" t="str">
            <v>ASV1154</v>
          </cell>
          <cell r="H21438" t="str">
            <v>g__unclassified_o__Bacteroidales</v>
          </cell>
          <cell r="I21438" t="str">
            <v>s__unclassified_o__Bacteroidales</v>
          </cell>
        </row>
        <row r="21439">
          <cell r="G21439" t="str">
            <v>ASV21085</v>
          </cell>
          <cell r="H21439" t="str">
            <v>g__Christensenellaceae_R-7_group</v>
          </cell>
          <cell r="I21439" t="str">
            <v>s__uncultured_spirochete_g__Christensenellaceae_R-7_group</v>
          </cell>
        </row>
        <row r="21440">
          <cell r="G21440" t="str">
            <v>ASV21662</v>
          </cell>
          <cell r="H21440" t="str">
            <v>g__unclassified_c__Clostridia</v>
          </cell>
          <cell r="I21440" t="str">
            <v>s__unclassified_c__Clostridia</v>
          </cell>
        </row>
        <row r="21441">
          <cell r="G21441" t="str">
            <v>ASV21121</v>
          </cell>
          <cell r="H21441" t="str">
            <v>g__unclassified_f__Lachnospiraceae</v>
          </cell>
          <cell r="I21441" t="str">
            <v>s__unclassified_f__Lachnospiraceae</v>
          </cell>
        </row>
        <row r="21442">
          <cell r="G21442" t="str">
            <v>ASV10259</v>
          </cell>
          <cell r="H21442" t="str">
            <v>g__unclassified_f__Lachnospiraceae</v>
          </cell>
          <cell r="I21442" t="str">
            <v>s__unclassified_f__Lachnospiraceae</v>
          </cell>
        </row>
        <row r="21443">
          <cell r="G21443" t="str">
            <v>ASV17336</v>
          </cell>
          <cell r="H21443" t="str">
            <v>g__Lactobacillus</v>
          </cell>
          <cell r="I21443" t="str">
            <v>s__unclassified_g__Lactobacillus</v>
          </cell>
        </row>
        <row r="21444">
          <cell r="G21444" t="str">
            <v>ASV22814</v>
          </cell>
          <cell r="H21444" t="str">
            <v>g__Turicibacter</v>
          </cell>
          <cell r="I21444" t="str">
            <v>s__unclassified_g__Turicibacter</v>
          </cell>
        </row>
        <row r="21445">
          <cell r="G21445" t="str">
            <v>ASV11024</v>
          </cell>
          <cell r="H21445" t="str">
            <v>g__Lachnospiraceae_NC2004_group</v>
          </cell>
          <cell r="I21445" t="str">
            <v>s__uncultured_bacterium_g__Lachnospiraceae_NC2004_group</v>
          </cell>
        </row>
        <row r="21446">
          <cell r="G21446" t="str">
            <v>ASV15871</v>
          </cell>
          <cell r="H21446" t="str">
            <v>g__Clostridium_sensu_stricto_1</v>
          </cell>
          <cell r="I21446" t="str">
            <v>s__unclassified_g__Clostridium_sensu_stricto_1</v>
          </cell>
        </row>
        <row r="21447">
          <cell r="G21447" t="str">
            <v>ASV14648</v>
          </cell>
          <cell r="H21447" t="str">
            <v>g__Paludicola</v>
          </cell>
          <cell r="I21447" t="str">
            <v>s__Ruminococcaceae_bacterium_Marseille-P2963</v>
          </cell>
        </row>
        <row r="21448">
          <cell r="G21448" t="str">
            <v>ASV6204</v>
          </cell>
          <cell r="H21448" t="str">
            <v>g__norank_f__norank_o__RF39</v>
          </cell>
          <cell r="I21448" t="str">
            <v>s__uncultured_bacterium_g__norank_f__norank_o__RF39</v>
          </cell>
        </row>
        <row r="21449">
          <cell r="G21449" t="str">
            <v>ASV9047</v>
          </cell>
          <cell r="H21449" t="str">
            <v>g__Prevotella</v>
          </cell>
          <cell r="I21449" t="str">
            <v>s__uncultured_bacterium_g__Prevotella</v>
          </cell>
        </row>
        <row r="21450">
          <cell r="G21450" t="str">
            <v>ASV3561</v>
          </cell>
          <cell r="H21450" t="str">
            <v>g__Lactobacillus</v>
          </cell>
          <cell r="I21450" t="str">
            <v>s__unclassified_g__Lactobacillus</v>
          </cell>
        </row>
        <row r="21451">
          <cell r="G21451" t="str">
            <v>ASV16789</v>
          </cell>
          <cell r="H21451" t="str">
            <v>g__Howardella</v>
          </cell>
          <cell r="I21451" t="str">
            <v>s__unclassified_g__Howardella</v>
          </cell>
        </row>
        <row r="21452">
          <cell r="G21452" t="str">
            <v>ASV13012</v>
          </cell>
          <cell r="H21452" t="str">
            <v>g__Treponema</v>
          </cell>
          <cell r="I21452" t="str">
            <v>s__unidentified_rumen_bacterium_RFN95</v>
          </cell>
        </row>
        <row r="21453">
          <cell r="G21453" t="str">
            <v>ASV22604</v>
          </cell>
          <cell r="H21453" t="str">
            <v>g__Lactobacillus</v>
          </cell>
          <cell r="I21453" t="str">
            <v>s__unclassified_g__Lactobacillus</v>
          </cell>
        </row>
        <row r="21454">
          <cell r="G21454" t="str">
            <v>ASV16720</v>
          </cell>
          <cell r="H21454" t="str">
            <v>g__unclassified_o__Bacteroidales</v>
          </cell>
          <cell r="I21454" t="str">
            <v>s__unclassified_o__Bacteroidales</v>
          </cell>
        </row>
        <row r="21455">
          <cell r="G21455" t="str">
            <v>ASV1159</v>
          </cell>
          <cell r="H21455" t="str">
            <v>g__norank_f__Muribaculaceae</v>
          </cell>
          <cell r="I21455" t="str">
            <v>s__uncultured_bacterium_g__norank_f__Muribaculaceae</v>
          </cell>
        </row>
        <row r="21456">
          <cell r="G21456" t="str">
            <v>ASV23563</v>
          </cell>
          <cell r="H21456" t="str">
            <v>g__norank_f__Eubacterium_coprostanoligenes_group</v>
          </cell>
          <cell r="I21456" t="str">
            <v>s__unclassified_g__norank_f__Eubacterium_coprostanoligenes_group</v>
          </cell>
        </row>
        <row r="21457">
          <cell r="G21457" t="str">
            <v>ASV18254</v>
          </cell>
          <cell r="H21457" t="str">
            <v>g__unclassified_f__Ruminococcaceae</v>
          </cell>
          <cell r="I21457" t="str">
            <v>s__unclassified_f__Ruminococcaceae</v>
          </cell>
        </row>
        <row r="21458">
          <cell r="G21458" t="str">
            <v>ASV21375</v>
          </cell>
          <cell r="H21458" t="str">
            <v>g__unclassified_c__Clostridia</v>
          </cell>
          <cell r="I21458" t="str">
            <v>s__unclassified_c__Clostridia</v>
          </cell>
        </row>
        <row r="21459">
          <cell r="G21459" t="str">
            <v>ASV17238</v>
          </cell>
          <cell r="H21459" t="str">
            <v>g__Lachnospiraceae_ND3007_group</v>
          </cell>
          <cell r="I21459" t="str">
            <v>s__uncultured_bacterium_g__Lachnospiraceae_ND3007_group</v>
          </cell>
        </row>
        <row r="21460">
          <cell r="G21460" t="str">
            <v>ASV1487</v>
          </cell>
          <cell r="H21460" t="str">
            <v>g__Lactobacillus</v>
          </cell>
          <cell r="I21460" t="str">
            <v>s__unclassified_g__Lactobacillus</v>
          </cell>
        </row>
        <row r="21461">
          <cell r="G21461" t="str">
            <v>ASV19995</v>
          </cell>
          <cell r="H21461" t="str">
            <v>g__unclassified_c__Clostridia</v>
          </cell>
          <cell r="I21461" t="str">
            <v>s__unclassified_c__Clostridia</v>
          </cell>
        </row>
        <row r="21462">
          <cell r="G21462" t="str">
            <v>ASV20085</v>
          </cell>
          <cell r="H21462" t="str">
            <v>g__unclassified_f__Lachnospiraceae</v>
          </cell>
          <cell r="I21462" t="str">
            <v>s__unclassified_f__Lachnospiraceae</v>
          </cell>
        </row>
        <row r="21463">
          <cell r="G21463" t="str">
            <v>ASV10899</v>
          </cell>
          <cell r="H21463" t="str">
            <v>g__unclassified_c__Clostridia</v>
          </cell>
          <cell r="I21463" t="str">
            <v>s__unclassified_c__Clostridia</v>
          </cell>
        </row>
        <row r="21464">
          <cell r="G21464" t="str">
            <v>ASV18430</v>
          </cell>
          <cell r="H21464" t="str">
            <v>g__unclassified_f__Lachnospiraceae</v>
          </cell>
          <cell r="I21464" t="str">
            <v>s__unclassified_f__Lachnospiraceae</v>
          </cell>
        </row>
        <row r="21465">
          <cell r="G21465" t="str">
            <v>ASV23783</v>
          </cell>
          <cell r="H21465" t="str">
            <v>g__norank_f__Peptostreptococcaceae</v>
          </cell>
          <cell r="I21465" t="str">
            <v>s__Peptostreptococcaceae_bacterium_feline_oral_taxon_040</v>
          </cell>
        </row>
        <row r="21466">
          <cell r="G21466" t="str">
            <v>ASV18322</v>
          </cell>
          <cell r="H21466" t="str">
            <v>g__unclassified_k__norank_d__Bacteria</v>
          </cell>
          <cell r="I21466" t="str">
            <v>s__unclassified_k__norank_d__Bacteria</v>
          </cell>
        </row>
        <row r="21467">
          <cell r="G21467" t="str">
            <v>ASV8373</v>
          </cell>
          <cell r="H21467" t="str">
            <v>g__Streptococcus</v>
          </cell>
          <cell r="I21467" t="str">
            <v>s__unclassified_g__Streptococcus</v>
          </cell>
        </row>
        <row r="21468">
          <cell r="G21468" t="str">
            <v>ASV22672</v>
          </cell>
          <cell r="H21468" t="str">
            <v>g__unclassified_p__Firmicutes</v>
          </cell>
          <cell r="I21468" t="str">
            <v>s__unclassified_p__Firmicutes</v>
          </cell>
        </row>
        <row r="21469">
          <cell r="G21469" t="str">
            <v>ASV12343</v>
          </cell>
          <cell r="H21469" t="str">
            <v>g__norank_f__Ruminococcaceae</v>
          </cell>
          <cell r="I21469" t="str">
            <v>s__uncultured_bacterium_g__norank_f__Ruminococcaceae</v>
          </cell>
        </row>
        <row r="21470">
          <cell r="G21470" t="str">
            <v>ASV12196</v>
          </cell>
          <cell r="H21470" t="str">
            <v>g__unclassified_c__Bacilli</v>
          </cell>
          <cell r="I21470" t="str">
            <v>s__unclassified_c__Bacilli</v>
          </cell>
        </row>
        <row r="21471">
          <cell r="G21471" t="str">
            <v>ASV2960</v>
          </cell>
          <cell r="H21471" t="str">
            <v>g__Lactococcus</v>
          </cell>
          <cell r="I21471" t="str">
            <v>s__unclassified_g__Lactococcus</v>
          </cell>
        </row>
        <row r="21472">
          <cell r="G21472" t="str">
            <v>ASV8144</v>
          </cell>
          <cell r="H21472" t="str">
            <v>g__Megasphaera</v>
          </cell>
          <cell r="I21472" t="str">
            <v>s__unclassified_g__Megasphaera</v>
          </cell>
        </row>
        <row r="21473">
          <cell r="G21473" t="str">
            <v>ASV11070</v>
          </cell>
          <cell r="H21473" t="str">
            <v>g__Peptococcus</v>
          </cell>
          <cell r="I21473" t="str">
            <v>s__uncultured_bacterium_g__Peptococcus</v>
          </cell>
        </row>
        <row r="21474">
          <cell r="G21474" t="str">
            <v>ASV12241</v>
          </cell>
          <cell r="H21474" t="str">
            <v>g__Lachnospiraceae_NC2004_group</v>
          </cell>
          <cell r="I21474" t="str">
            <v>s__uncultured_bacterium_g__Lachnospiraceae_NC2004_group</v>
          </cell>
        </row>
        <row r="21475">
          <cell r="G21475" t="str">
            <v>ASV9833</v>
          </cell>
          <cell r="H21475" t="str">
            <v>g__unclassified_f__Lachnospiraceae</v>
          </cell>
          <cell r="I21475" t="str">
            <v>s__unclassified_f__Lachnospiraceae</v>
          </cell>
        </row>
        <row r="21476">
          <cell r="G21476" t="str">
            <v>ASV12398</v>
          </cell>
          <cell r="H21476" t="str">
            <v>g__Parabacteroides</v>
          </cell>
          <cell r="I21476" t="str">
            <v>s__Porphyromonadaceae_bacterium_DJF_B175</v>
          </cell>
        </row>
        <row r="21477">
          <cell r="G21477" t="str">
            <v>ASV9701</v>
          </cell>
          <cell r="H21477" t="str">
            <v>g__unclassified_f__Lachnospiraceae</v>
          </cell>
          <cell r="I21477" t="str">
            <v>s__unclassified_f__Lachnospiraceae</v>
          </cell>
        </row>
        <row r="21478">
          <cell r="G21478" t="str">
            <v>ASV13207</v>
          </cell>
          <cell r="H21478" t="str">
            <v>g__unclassified_f__Lachnospiraceae</v>
          </cell>
          <cell r="I21478" t="str">
            <v>s__unclassified_f__Lachnospiraceae</v>
          </cell>
        </row>
        <row r="21479">
          <cell r="G21479" t="str">
            <v>ASV23570</v>
          </cell>
          <cell r="H21479" t="str">
            <v>g__Bacteroides</v>
          </cell>
          <cell r="I21479" t="str">
            <v>s__unclassified_g__Bacteroides</v>
          </cell>
        </row>
        <row r="21480">
          <cell r="G21480" t="str">
            <v>ASV21346</v>
          </cell>
          <cell r="H21480" t="str">
            <v>g__unclassified_c__Bacilli</v>
          </cell>
          <cell r="I21480" t="str">
            <v>s__unclassified_c__Bacilli</v>
          </cell>
        </row>
        <row r="21481">
          <cell r="G21481" t="str">
            <v>ASV6413</v>
          </cell>
          <cell r="H21481" t="str">
            <v>g__unclassified_f__Christensenellaceae</v>
          </cell>
          <cell r="I21481" t="str">
            <v>s__unclassified_f__Christensenellaceae</v>
          </cell>
        </row>
        <row r="21482">
          <cell r="G21482" t="str">
            <v>ASV1174</v>
          </cell>
          <cell r="H21482" t="str">
            <v>g__unclassified_c__Clostridia</v>
          </cell>
          <cell r="I21482" t="str">
            <v>s__unclassified_c__Clostridia</v>
          </cell>
        </row>
        <row r="21483">
          <cell r="G21483" t="str">
            <v>ASV13159</v>
          </cell>
          <cell r="H21483" t="str">
            <v>g__norank_f__Erysipelotrichaceae</v>
          </cell>
          <cell r="I21483" t="str">
            <v>s__uncultured_bacterium_g__norank_f__Erysipelotrichaceae</v>
          </cell>
        </row>
        <row r="21484">
          <cell r="G21484" t="str">
            <v>ASV7219</v>
          </cell>
          <cell r="H21484" t="str">
            <v>g__Staphylococcus</v>
          </cell>
          <cell r="I21484" t="str">
            <v>s__unclassified_g__Staphylococcus</v>
          </cell>
        </row>
        <row r="21485">
          <cell r="G21485" t="str">
            <v>ASV14786</v>
          </cell>
          <cell r="H21485" t="str">
            <v>g__Colidextribacter</v>
          </cell>
          <cell r="I21485" t="str">
            <v>s__unclassified_g__Colidextribacter</v>
          </cell>
        </row>
        <row r="21486">
          <cell r="G21486" t="str">
            <v>ASV16093</v>
          </cell>
          <cell r="H21486" t="str">
            <v>g__norank_f__Ruminococcaceae</v>
          </cell>
          <cell r="I21486" t="str">
            <v>s__unclassified_g__norank_f__Ruminococcaceae</v>
          </cell>
        </row>
        <row r="21487">
          <cell r="G21487" t="str">
            <v>ASV16156</v>
          </cell>
          <cell r="H21487" t="str">
            <v>g__Phascolarctobacterium</v>
          </cell>
          <cell r="I21487" t="str">
            <v>s__Phascolarctobacterium_succinatutens_YIT_12067</v>
          </cell>
        </row>
        <row r="21488">
          <cell r="G21488" t="str">
            <v>ASV12310</v>
          </cell>
          <cell r="H21488" t="str">
            <v>g__unclassified_c__Clostridia</v>
          </cell>
          <cell r="I21488" t="str">
            <v>s__unclassified_c__Clostridia</v>
          </cell>
        </row>
        <row r="21489">
          <cell r="G21489" t="str">
            <v>ASV13853</v>
          </cell>
          <cell r="H21489" t="str">
            <v>g__Enterococcus</v>
          </cell>
          <cell r="I21489" t="str">
            <v>s__unclassified_g__Enterococcus</v>
          </cell>
        </row>
        <row r="21490">
          <cell r="G21490" t="str">
            <v>ASV13643</v>
          </cell>
          <cell r="H21490" t="str">
            <v>g__unclassified_k__norank_d__Bacteria</v>
          </cell>
          <cell r="I21490" t="str">
            <v>s__unclassified_k__norank_d__Bacteria</v>
          </cell>
        </row>
        <row r="21491">
          <cell r="G21491" t="str">
            <v>ASV15845</v>
          </cell>
          <cell r="H21491" t="str">
            <v>g__Lactobacillus</v>
          </cell>
          <cell r="I21491" t="str">
            <v>s__unclassified_g__Lactobacillus</v>
          </cell>
        </row>
        <row r="21492">
          <cell r="G21492" t="str">
            <v>ASV6214</v>
          </cell>
          <cell r="H21492" t="str">
            <v>g__norank_f__Muribaculaceae</v>
          </cell>
          <cell r="I21492" t="str">
            <v>s__uncultured_bacterium_g__norank_f__Muribaculaceae</v>
          </cell>
        </row>
        <row r="21493">
          <cell r="G21493" t="str">
            <v>ASV23650</v>
          </cell>
          <cell r="H21493" t="str">
            <v>g__norank_f__Muribaculaceae</v>
          </cell>
          <cell r="I21493" t="str">
            <v>s__uncultured_Porphyromonadaceae_bacterium_g__norank_f__Muribaculaceae</v>
          </cell>
        </row>
        <row r="21494">
          <cell r="G21494" t="str">
            <v>ASV21520</v>
          </cell>
          <cell r="H21494" t="str">
            <v>g__norank_f__Desulfovibrionaceae</v>
          </cell>
          <cell r="I21494" t="str">
            <v>s__uncultured_Desulfovibrionaceae_bacterium_g__norank</v>
          </cell>
        </row>
        <row r="21495">
          <cell r="G21495" t="str">
            <v>ASV8073</v>
          </cell>
          <cell r="H21495" t="str">
            <v>g__unclassified_c__Clostridia</v>
          </cell>
          <cell r="I21495" t="str">
            <v>s__unclassified_c__Clostridia</v>
          </cell>
        </row>
        <row r="21496">
          <cell r="G21496" t="str">
            <v>ASV3312</v>
          </cell>
          <cell r="H21496" t="str">
            <v>g__unclassified_k__norank_d__Bacteria</v>
          </cell>
          <cell r="I21496" t="str">
            <v>s__unclassified_k__norank_d__Bacteria</v>
          </cell>
        </row>
        <row r="21497">
          <cell r="G21497" t="str">
            <v>ASV2581</v>
          </cell>
          <cell r="H21497" t="str">
            <v>g__UCG-002</v>
          </cell>
          <cell r="I21497" t="str">
            <v>s__uncultured_bacterium_g__UCG-002</v>
          </cell>
        </row>
        <row r="21498">
          <cell r="G21498" t="str">
            <v>ASV14602</v>
          </cell>
          <cell r="H21498" t="str">
            <v>g__unclassified_f__Lachnospiraceae</v>
          </cell>
          <cell r="I21498" t="str">
            <v>s__unclassified_f__Lachnospiraceae</v>
          </cell>
        </row>
        <row r="21499">
          <cell r="G21499" t="str">
            <v>ASV17025</v>
          </cell>
          <cell r="H21499" t="str">
            <v>g__Lactobacillus</v>
          </cell>
          <cell r="I21499" t="str">
            <v>s__unclassified_g__Lactobacillus</v>
          </cell>
        </row>
        <row r="21500">
          <cell r="G21500" t="str">
            <v>ASV6916</v>
          </cell>
          <cell r="H21500" t="str">
            <v>g__unclassified_p__Firmicutes</v>
          </cell>
          <cell r="I21500" t="str">
            <v>s__unclassified_p__Firmicutes</v>
          </cell>
        </row>
        <row r="21501">
          <cell r="G21501" t="str">
            <v>ASV17394</v>
          </cell>
          <cell r="H21501" t="str">
            <v>g__Lactobacillus</v>
          </cell>
          <cell r="I21501" t="str">
            <v>s__unclassified_g__Lactobacillus</v>
          </cell>
        </row>
        <row r="21502">
          <cell r="G21502" t="str">
            <v>ASV14905</v>
          </cell>
          <cell r="H21502" t="str">
            <v>g__Lactobacillus</v>
          </cell>
          <cell r="I21502" t="str">
            <v>s__unclassified_g__Lactobacillus</v>
          </cell>
        </row>
        <row r="21503">
          <cell r="G21503" t="str">
            <v>ASV21019</v>
          </cell>
          <cell r="H21503" t="str">
            <v>g__unclassified_c__Clostridia</v>
          </cell>
          <cell r="I21503" t="str">
            <v>s__unclassified_c__Clostridia</v>
          </cell>
        </row>
        <row r="21504">
          <cell r="G21504" t="str">
            <v>ASV17683</v>
          </cell>
          <cell r="H21504" t="str">
            <v>g__Lactobacillus</v>
          </cell>
          <cell r="I21504" t="str">
            <v>s__unclassified_g__Lactobacillus</v>
          </cell>
        </row>
        <row r="21505">
          <cell r="G21505" t="str">
            <v>ASV17044</v>
          </cell>
          <cell r="H21505" t="str">
            <v>g__Lactobacillus</v>
          </cell>
          <cell r="I21505" t="str">
            <v>s__unclassified_g__Lactobacillus</v>
          </cell>
        </row>
        <row r="21506">
          <cell r="G21506" t="str">
            <v>ASV13596</v>
          </cell>
          <cell r="H21506" t="str">
            <v>g__Eubacterium_oxidoreducens_group</v>
          </cell>
          <cell r="I21506" t="str">
            <v>s__uncultured_bacterium_g__Eubacterium_oxidoreducens_group</v>
          </cell>
        </row>
        <row r="21507">
          <cell r="G21507" t="str">
            <v>ASV14732</v>
          </cell>
          <cell r="H21507" t="str">
            <v>g__unclassified_c__Clostridia</v>
          </cell>
          <cell r="I21507" t="str">
            <v>s__unclassified_c__Clostridia</v>
          </cell>
        </row>
        <row r="21508">
          <cell r="G21508" t="str">
            <v>ASV10852</v>
          </cell>
          <cell r="H21508" t="str">
            <v>g__norank_f__UCG-010</v>
          </cell>
          <cell r="I21508" t="str">
            <v>s__uncultured_bacterium_g__norank_f__UCG-010</v>
          </cell>
        </row>
        <row r="21509">
          <cell r="G21509" t="str">
            <v>ASV23631</v>
          </cell>
          <cell r="H21509" t="str">
            <v>g__Christensenellaceae_R-7_group</v>
          </cell>
          <cell r="I21509" t="str">
            <v>s__unclassified_g__Christensenellaceae_R-7_group</v>
          </cell>
        </row>
        <row r="21510">
          <cell r="G21510" t="str">
            <v>ASV12269</v>
          </cell>
          <cell r="H21510" t="str">
            <v>g__unclassified_f__Lachnospiraceae</v>
          </cell>
          <cell r="I21510" t="str">
            <v>s__unclassified_f__Lachnospiraceae</v>
          </cell>
        </row>
        <row r="21511">
          <cell r="G21511" t="str">
            <v>ASV8863</v>
          </cell>
          <cell r="H21511" t="str">
            <v>g__UCG-002</v>
          </cell>
          <cell r="I21511" t="str">
            <v>s__uncultured_bacterium_g__UCG-002</v>
          </cell>
        </row>
        <row r="21512">
          <cell r="G21512" t="str">
            <v>ASV9741</v>
          </cell>
          <cell r="H21512" t="str">
            <v>g__unclassified_c__Clostridia</v>
          </cell>
          <cell r="I21512" t="str">
            <v>s__unclassified_c__Clostridia</v>
          </cell>
        </row>
        <row r="21513">
          <cell r="G21513" t="str">
            <v>ASV23582</v>
          </cell>
          <cell r="H21513" t="str">
            <v>g__Anaerococcus</v>
          </cell>
          <cell r="I21513" t="str">
            <v>s__unclassified_g__Anaerococcus</v>
          </cell>
        </row>
        <row r="21514">
          <cell r="G21514" t="str">
            <v>ASV1115</v>
          </cell>
          <cell r="H21514" t="str">
            <v>g__unclassified_c__Clostridia</v>
          </cell>
          <cell r="I21514" t="str">
            <v>s__unclassified_c__Clostridia</v>
          </cell>
        </row>
        <row r="21515">
          <cell r="G21515" t="str">
            <v>ASV20112</v>
          </cell>
          <cell r="H21515" t="str">
            <v>g__norank_f__Ruminococcaceae</v>
          </cell>
          <cell r="I21515" t="str">
            <v>s__unclassified_g__norank_f__Ruminococcaceae</v>
          </cell>
        </row>
        <row r="21516">
          <cell r="G21516" t="str">
            <v>ASV15589</v>
          </cell>
          <cell r="H21516" t="str">
            <v>g__unclassified_o__Peptostreptococcales-Tissierellales</v>
          </cell>
          <cell r="I21516" t="str">
            <v>s__unclassified_o__Peptostreptococcales-Tissierellales</v>
          </cell>
        </row>
        <row r="21517">
          <cell r="G21517" t="str">
            <v>ASV15688</v>
          </cell>
          <cell r="H21517" t="str">
            <v>g__unclassified_o__Bacteroidales</v>
          </cell>
          <cell r="I21517" t="str">
            <v>s__unclassified_o__Bacteroidales</v>
          </cell>
        </row>
        <row r="21518">
          <cell r="G21518" t="str">
            <v>ASV8032</v>
          </cell>
          <cell r="H21518" t="str">
            <v>g__unclassified_c__Clostridia</v>
          </cell>
          <cell r="I21518" t="str">
            <v>s__unclassified_c__Clostridia</v>
          </cell>
        </row>
        <row r="21519">
          <cell r="G21519" t="str">
            <v>ASV18271</v>
          </cell>
          <cell r="H21519" t="str">
            <v>g__Devosia</v>
          </cell>
          <cell r="I21519" t="str">
            <v>s__unclassified_g__Devosia</v>
          </cell>
        </row>
        <row r="21520">
          <cell r="G21520" t="str">
            <v>ASV22590</v>
          </cell>
          <cell r="H21520" t="str">
            <v>g__unclassified_f__Lachnospiraceae</v>
          </cell>
          <cell r="I21520" t="str">
            <v>s__unclassified_f__Lachnospiraceae</v>
          </cell>
        </row>
        <row r="21521">
          <cell r="G21521" t="str">
            <v>ASV5346</v>
          </cell>
          <cell r="H21521" t="str">
            <v>g__Ruminococcus</v>
          </cell>
          <cell r="I21521" t="str">
            <v>s__unclassified_g__Ruminococcus</v>
          </cell>
        </row>
        <row r="21522">
          <cell r="G21522" t="str">
            <v>ASV15623</v>
          </cell>
          <cell r="H21522" t="str">
            <v>g__unclassified_c__Clostridia</v>
          </cell>
          <cell r="I21522" t="str">
            <v>s__unclassified_c__Clostridia</v>
          </cell>
        </row>
        <row r="21523">
          <cell r="G21523" t="str">
            <v>ASV23664</v>
          </cell>
          <cell r="H21523" t="str">
            <v>g__Collinsella</v>
          </cell>
          <cell r="I21523" t="str">
            <v>s__uncultured_bacterium_g__Collinsella</v>
          </cell>
        </row>
        <row r="21524">
          <cell r="G21524" t="str">
            <v>ASV1166</v>
          </cell>
          <cell r="H21524" t="str">
            <v>g__CAG-873</v>
          </cell>
          <cell r="I21524" t="str">
            <v>s__Bacteroidales_bacterium_H4</v>
          </cell>
        </row>
        <row r="21525">
          <cell r="G21525" t="str">
            <v>ASV12382</v>
          </cell>
          <cell r="H21525" t="str">
            <v>g__norank_f__norank_o__Clostridia_UCG-014</v>
          </cell>
          <cell r="I21525" t="str">
            <v>s__uncultured_bacterium_g__norank_f__norank_o__Clostridia_UCG-014</v>
          </cell>
        </row>
        <row r="21526">
          <cell r="G21526" t="str">
            <v>ASV12373</v>
          </cell>
          <cell r="H21526" t="str">
            <v>g__Tyzzerella</v>
          </cell>
          <cell r="I21526" t="str">
            <v>s__unclassified_g__Tyzzerella</v>
          </cell>
        </row>
        <row r="21527">
          <cell r="G21527" t="str">
            <v>ASV14674</v>
          </cell>
          <cell r="H21527" t="str">
            <v>g__unclassified_f__Lachnospiraceae</v>
          </cell>
          <cell r="I21527" t="str">
            <v>s__unclassified_f__Lachnospiraceae</v>
          </cell>
        </row>
        <row r="21528">
          <cell r="G21528" t="str">
            <v>ASV18714</v>
          </cell>
          <cell r="H21528" t="str">
            <v>g__unclassified_f__Selenomonadaceae</v>
          </cell>
          <cell r="I21528" t="str">
            <v>s__unclassified_f__Selenomonadaceae</v>
          </cell>
        </row>
        <row r="21529">
          <cell r="G21529" t="str">
            <v>ASV22979</v>
          </cell>
          <cell r="H21529" t="str">
            <v>g__Microvirga</v>
          </cell>
          <cell r="I21529" t="str">
            <v>s__unclassified_g__Microvirga</v>
          </cell>
        </row>
        <row r="21530">
          <cell r="G21530" t="str">
            <v>ASV2540</v>
          </cell>
          <cell r="H21530" t="str">
            <v>g__Eubacterium_xylanophilum_group</v>
          </cell>
          <cell r="I21530" t="str">
            <v>s__uncultured_bacterium_g__Eubacterium_xylanophilum_group</v>
          </cell>
        </row>
        <row r="21531">
          <cell r="G21531" t="str">
            <v>ASV18457</v>
          </cell>
          <cell r="H21531" t="str">
            <v>g__unclassified_o__Oscillospirales</v>
          </cell>
          <cell r="I21531" t="str">
            <v>s__unclassified_o__Oscillospirales</v>
          </cell>
        </row>
        <row r="21532">
          <cell r="G21532" t="str">
            <v>ASV6431</v>
          </cell>
          <cell r="H21532" t="str">
            <v>g__unclassified_f__Clostridiaceae</v>
          </cell>
          <cell r="I21532" t="str">
            <v>s__unclassified_f__Clostridiaceae</v>
          </cell>
        </row>
        <row r="21533">
          <cell r="G21533" t="str">
            <v>ASV19997</v>
          </cell>
          <cell r="H21533" t="str">
            <v>g__unclassified_c__Clostridia</v>
          </cell>
          <cell r="I21533" t="str">
            <v>s__unclassified_c__Clostridia</v>
          </cell>
        </row>
        <row r="21534">
          <cell r="G21534" t="str">
            <v>ASV2554</v>
          </cell>
          <cell r="H21534" t="str">
            <v>g__Ruminococcus</v>
          </cell>
          <cell r="I21534" t="str">
            <v>s__unclassified_g__Ruminococcus</v>
          </cell>
        </row>
        <row r="21535">
          <cell r="G21535" t="str">
            <v>ASV17628</v>
          </cell>
          <cell r="H21535" t="str">
            <v>g__unclassified_f__Lachnospiraceae</v>
          </cell>
          <cell r="I21535" t="str">
            <v>s__unclassified_f__Lachnospiraceae</v>
          </cell>
        </row>
        <row r="21536">
          <cell r="G21536" t="str">
            <v>ASV12215</v>
          </cell>
          <cell r="H21536" t="str">
            <v>g__unclassified_f__Oscillospiraceae</v>
          </cell>
          <cell r="I21536" t="str">
            <v>s__unclassified_f__Oscillospiraceae</v>
          </cell>
        </row>
        <row r="21537">
          <cell r="G21537" t="str">
            <v>ASV3324</v>
          </cell>
          <cell r="H21537" t="str">
            <v>g__unclassified_f__Pasteurellaceae</v>
          </cell>
          <cell r="I21537" t="str">
            <v>s__unclassified_f__Pasteurellaceae</v>
          </cell>
        </row>
        <row r="21538">
          <cell r="G21538" t="str">
            <v>ASV16631</v>
          </cell>
          <cell r="H21538" t="str">
            <v>g__Christensenellaceae_R-7_group</v>
          </cell>
          <cell r="I21538" t="str">
            <v>s__unclassified_g__Christensenellaceae_R-7_group</v>
          </cell>
        </row>
        <row r="21539">
          <cell r="G21539" t="str">
            <v>ASV5343</v>
          </cell>
          <cell r="H21539" t="str">
            <v>g__unclassified_f__Lachnospiraceae</v>
          </cell>
          <cell r="I21539" t="str">
            <v>s__unclassified_f__Lachnospiraceae</v>
          </cell>
        </row>
        <row r="21540">
          <cell r="G21540" t="str">
            <v>ASV11028</v>
          </cell>
          <cell r="H21540" t="str">
            <v>g__unclassified_f__Lachnospiraceae</v>
          </cell>
          <cell r="I21540" t="str">
            <v>s__unclassified_f__Lachnospiraceae</v>
          </cell>
        </row>
        <row r="21541">
          <cell r="G21541" t="str">
            <v>ASV13091</v>
          </cell>
          <cell r="H21541" t="str">
            <v>g__unclassified_f__Lachnospiraceae</v>
          </cell>
          <cell r="I21541" t="str">
            <v>s__unclassified_f__Lachnospiraceae</v>
          </cell>
        </row>
        <row r="21542">
          <cell r="G21542" t="str">
            <v>ASV5196</v>
          </cell>
          <cell r="H21542" t="str">
            <v>g__Turicibacter</v>
          </cell>
          <cell r="I21542" t="str">
            <v>s__unclassified_g__Turicibacter</v>
          </cell>
        </row>
        <row r="21543">
          <cell r="G21543" t="str">
            <v>ASV21656</v>
          </cell>
          <cell r="H21543" t="str">
            <v>g__Streptococcus</v>
          </cell>
          <cell r="I21543" t="str">
            <v>s__unclassified_g__Streptococcus</v>
          </cell>
        </row>
        <row r="21544">
          <cell r="G21544" t="str">
            <v>ASV5269</v>
          </cell>
          <cell r="H21544" t="str">
            <v>g__unclassified_c__Clostridia</v>
          </cell>
          <cell r="I21544" t="str">
            <v>s__unclassified_c__Clostridia</v>
          </cell>
        </row>
        <row r="21545">
          <cell r="G21545" t="str">
            <v>ASV9768</v>
          </cell>
          <cell r="H21545" t="str">
            <v>g__unclassified_c__Clostridia</v>
          </cell>
          <cell r="I21545" t="str">
            <v>s__unclassified_c__Clostridia</v>
          </cell>
        </row>
        <row r="21546">
          <cell r="G21546" t="str">
            <v>ASV8741</v>
          </cell>
          <cell r="H21546" t="str">
            <v>g__Turicibacter</v>
          </cell>
          <cell r="I21546" t="str">
            <v>s__unclassified_g__Turicibacter</v>
          </cell>
        </row>
        <row r="21547">
          <cell r="G21547" t="str">
            <v>ASV2447</v>
          </cell>
          <cell r="H21547" t="str">
            <v>g__unclassified_o__Oscillospirales</v>
          </cell>
          <cell r="I21547" t="str">
            <v>s__unclassified_o__Oscillospirales</v>
          </cell>
        </row>
        <row r="21548">
          <cell r="G21548" t="str">
            <v>ASV21751</v>
          </cell>
          <cell r="H21548" t="str">
            <v>g__TM7a</v>
          </cell>
          <cell r="I21548" t="str">
            <v>s__uncultured_bacterium_g__TM7a</v>
          </cell>
        </row>
        <row r="21549">
          <cell r="G21549" t="str">
            <v>ASV6398</v>
          </cell>
          <cell r="H21549" t="str">
            <v>g__norank_f__Muribaculaceae</v>
          </cell>
          <cell r="I21549" t="str">
            <v>s__unclassified_g__norank_f__Muribaculaceae</v>
          </cell>
        </row>
        <row r="21550">
          <cell r="G21550" t="str">
            <v>ASV5216</v>
          </cell>
          <cell r="H21550" t="str">
            <v>g__Christensenellaceae_R-7_group</v>
          </cell>
          <cell r="I21550" t="str">
            <v>s__unclassified_g__Christensenellaceae_R-7_group</v>
          </cell>
        </row>
        <row r="21551">
          <cell r="G21551" t="str">
            <v>ASV14852</v>
          </cell>
          <cell r="H21551" t="str">
            <v>g__Turicibacter</v>
          </cell>
          <cell r="I21551" t="str">
            <v>s__unclassified_g__Turicibacter</v>
          </cell>
        </row>
        <row r="21552">
          <cell r="G21552" t="str">
            <v>ASV15558</v>
          </cell>
          <cell r="H21552" t="str">
            <v>g__unclassified_o__Bacteroidales</v>
          </cell>
          <cell r="I21552" t="str">
            <v>s__unclassified_o__Bacteroidales</v>
          </cell>
        </row>
        <row r="21553">
          <cell r="G21553" t="str">
            <v>ASV8053</v>
          </cell>
          <cell r="H21553" t="str">
            <v>g__unclassified_c__Clostridia</v>
          </cell>
          <cell r="I21553" t="str">
            <v>s__unclassified_c__Clostridia</v>
          </cell>
        </row>
        <row r="21554">
          <cell r="G21554" t="str">
            <v>ASV23666</v>
          </cell>
          <cell r="H21554" t="str">
            <v>g__unclassified_c__Clostridia</v>
          </cell>
          <cell r="I21554" t="str">
            <v>s__unclassified_c__Clostridia</v>
          </cell>
        </row>
        <row r="21555">
          <cell r="G21555" t="str">
            <v>ASV20089</v>
          </cell>
          <cell r="H21555" t="str">
            <v>g__unclassified_c__Clostridia</v>
          </cell>
          <cell r="I21555" t="str">
            <v>s__unclassified_c__Clostridia</v>
          </cell>
        </row>
        <row r="21556">
          <cell r="G21556" t="str">
            <v>ASV6207</v>
          </cell>
          <cell r="H21556" t="str">
            <v>g__norank_f__norank_o__RF39</v>
          </cell>
          <cell r="I21556" t="str">
            <v>s__uncultured_bacterium_g__norank_f__norank_o__RF39</v>
          </cell>
        </row>
        <row r="21557">
          <cell r="G21557" t="str">
            <v>ASV1333</v>
          </cell>
          <cell r="H21557" t="str">
            <v>g__unclassified_c__Clostridia</v>
          </cell>
          <cell r="I21557" t="str">
            <v>s__unclassified_c__Clostridia</v>
          </cell>
        </row>
        <row r="21558">
          <cell r="G21558" t="str">
            <v>ASV10336</v>
          </cell>
          <cell r="H21558" t="str">
            <v>g__Lachnospiraceae_UCG-004</v>
          </cell>
          <cell r="I21558" t="str">
            <v>s__uncultured_bacterium_g__Lachnospiraceae_UCG-004</v>
          </cell>
        </row>
        <row r="21559">
          <cell r="G21559" t="str">
            <v>ASV1785</v>
          </cell>
          <cell r="H21559" t="str">
            <v>g__unclassified_c__Clostridia</v>
          </cell>
          <cell r="I21559" t="str">
            <v>s__unclassified_c__Clostridia</v>
          </cell>
        </row>
        <row r="21560">
          <cell r="G21560" t="str">
            <v>ASV21056</v>
          </cell>
          <cell r="H21560" t="str">
            <v>g__norank_f__Erysipelotrichaceae</v>
          </cell>
          <cell r="I21560" t="str">
            <v>s__uncultured_bacterium_g__norank_f__Erysipelotrichaceae</v>
          </cell>
        </row>
        <row r="21561">
          <cell r="G21561" t="str">
            <v>ASV6945</v>
          </cell>
          <cell r="H21561" t="str">
            <v>g__Oscillibacter</v>
          </cell>
          <cell r="I21561" t="str">
            <v>s__unclassified_g__Oscillibacter</v>
          </cell>
        </row>
        <row r="21562">
          <cell r="G21562" t="str">
            <v>ASV6307</v>
          </cell>
          <cell r="H21562" t="str">
            <v>g__norank_f__Erysipelotrichaceae</v>
          </cell>
          <cell r="I21562" t="str">
            <v>s__uncultured_bacterium_g__norank_f__Erysipelotrichaceae</v>
          </cell>
        </row>
        <row r="21563">
          <cell r="G21563" t="str">
            <v>ASV8161</v>
          </cell>
          <cell r="H21563" t="str">
            <v>g__unclassified_f__Christensenellaceae</v>
          </cell>
          <cell r="I21563" t="str">
            <v>s__unclassified_f__Christensenellaceae</v>
          </cell>
        </row>
        <row r="21564">
          <cell r="G21564" t="str">
            <v>ASV14872</v>
          </cell>
          <cell r="H21564" t="str">
            <v>g__unclassified_f__Oscillospiraceae</v>
          </cell>
          <cell r="I21564" t="str">
            <v>s__unclassified_f__Oscillospiraceae</v>
          </cell>
        </row>
        <row r="21565">
          <cell r="G21565" t="str">
            <v>ASV1775</v>
          </cell>
          <cell r="H21565" t="str">
            <v>g__Christensenellaceae_R-7_group</v>
          </cell>
          <cell r="I21565" t="str">
            <v>s__unclassified_g__Christensenellaceae_R-7_group</v>
          </cell>
        </row>
        <row r="21566">
          <cell r="G21566" t="str">
            <v>ASV18473</v>
          </cell>
          <cell r="H21566" t="str">
            <v>g__Eubacterium_oxidoreducens_group</v>
          </cell>
          <cell r="I21566" t="str">
            <v>s__uncultured_bacterium_g__Eubacterium_oxidoreducens_group</v>
          </cell>
        </row>
        <row r="21567">
          <cell r="G21567" t="str">
            <v>ASV3564</v>
          </cell>
          <cell r="H21567" t="str">
            <v>g__Clostridium_sensu_stricto_1</v>
          </cell>
          <cell r="I21567" t="str">
            <v>s__unclassified_g__Clostridium_sensu_stricto_1</v>
          </cell>
        </row>
        <row r="21568">
          <cell r="G21568" t="str">
            <v>ASV13120</v>
          </cell>
          <cell r="H21568" t="str">
            <v>g__Helicobacter</v>
          </cell>
          <cell r="I21568" t="str">
            <v>s__unclassified_g__Helicobacter</v>
          </cell>
        </row>
        <row r="21569">
          <cell r="G21569" t="str">
            <v>ASV9665</v>
          </cell>
          <cell r="H21569" t="str">
            <v>g__unclassified_f__Lachnospiraceae</v>
          </cell>
          <cell r="I21569" t="str">
            <v>s__unclassified_f__Lachnospiraceae</v>
          </cell>
        </row>
        <row r="21570">
          <cell r="G21570" t="str">
            <v>ASV18290</v>
          </cell>
          <cell r="H21570" t="str">
            <v>g__unclassified_c__Clostridia</v>
          </cell>
          <cell r="I21570" t="str">
            <v>s__unclassified_c__Clostridia</v>
          </cell>
        </row>
        <row r="21571">
          <cell r="G21571" t="str">
            <v>ASV1810</v>
          </cell>
          <cell r="H21571" t="str">
            <v>g__Eubacterium</v>
          </cell>
          <cell r="I21571" t="str">
            <v>s__Eubacterium_sp._g__Eubacterium</v>
          </cell>
        </row>
        <row r="21572">
          <cell r="G21572" t="str">
            <v>ASV23693</v>
          </cell>
          <cell r="H21572" t="str">
            <v>g__UCG-002</v>
          </cell>
          <cell r="I21572" t="str">
            <v>s__unclassified_g__UCG-002</v>
          </cell>
        </row>
        <row r="21573">
          <cell r="G21573" t="str">
            <v>ASV9785</v>
          </cell>
          <cell r="H21573" t="str">
            <v>g__Prevotella</v>
          </cell>
          <cell r="I21573" t="str">
            <v>s__Prevotella_sp._DJF_LS16</v>
          </cell>
        </row>
        <row r="21574">
          <cell r="G21574" t="str">
            <v>ASV16702</v>
          </cell>
          <cell r="H21574" t="str">
            <v>g__unclassified_k__norank_d__Bacteria</v>
          </cell>
          <cell r="I21574" t="str">
            <v>s__unclassified_k__norank_d__Bacteria</v>
          </cell>
        </row>
        <row r="21575">
          <cell r="G21575" t="str">
            <v>ASV16601</v>
          </cell>
          <cell r="H21575" t="str">
            <v>g__unclassified_o__Bacteroidales</v>
          </cell>
          <cell r="I21575" t="str">
            <v>s__unclassified_o__Bacteroidales</v>
          </cell>
        </row>
        <row r="21576">
          <cell r="G21576" t="str">
            <v>ASV12434</v>
          </cell>
          <cell r="H21576" t="str">
            <v>g__unclassified_f__Lachnospiraceae</v>
          </cell>
          <cell r="I21576" t="str">
            <v>s__unclassified_f__Lachnospiraceae</v>
          </cell>
        </row>
        <row r="21577">
          <cell r="G21577" t="str">
            <v>ASV4243</v>
          </cell>
          <cell r="H21577" t="str">
            <v>g__Bacteroides</v>
          </cell>
          <cell r="I21577" t="str">
            <v>s__unclassified_g__Bacteroides</v>
          </cell>
        </row>
        <row r="21578">
          <cell r="G21578" t="str">
            <v>ASV10853</v>
          </cell>
          <cell r="H21578" t="str">
            <v>g__Lactobacillus</v>
          </cell>
          <cell r="I21578" t="str">
            <v>s__unclassified_g__Lactobacillus</v>
          </cell>
        </row>
        <row r="21579">
          <cell r="G21579" t="str">
            <v>ASV12234</v>
          </cell>
          <cell r="H21579" t="str">
            <v>g__unclassified_f__Oscillospiraceae</v>
          </cell>
          <cell r="I21579" t="str">
            <v>s__unclassified_f__Oscillospiraceae</v>
          </cell>
        </row>
        <row r="21580">
          <cell r="G21580" t="str">
            <v>ASV24352</v>
          </cell>
          <cell r="H21580" t="str">
            <v>g__Ruminococcus</v>
          </cell>
          <cell r="I21580" t="str">
            <v>s__unclassified_g__Ruminococcus</v>
          </cell>
        </row>
        <row r="21581">
          <cell r="G21581" t="str">
            <v>ASV16654</v>
          </cell>
          <cell r="H21581" t="str">
            <v>g__Escherichia-Shigella</v>
          </cell>
          <cell r="I21581" t="str">
            <v>s__unclassified_g__Escherichia-Shigella</v>
          </cell>
        </row>
        <row r="21582">
          <cell r="G21582" t="str">
            <v>ASV20342</v>
          </cell>
          <cell r="H21582" t="str">
            <v>g__unclassified_p__Firmicutes</v>
          </cell>
          <cell r="I21582" t="str">
            <v>s__unclassified_p__Firmicutes</v>
          </cell>
        </row>
        <row r="21583">
          <cell r="G21583" t="str">
            <v>ASV15576</v>
          </cell>
          <cell r="H21583" t="str">
            <v>g__Alistipes</v>
          </cell>
          <cell r="I21583" t="str">
            <v>s__unclassified_g__Alistipes</v>
          </cell>
        </row>
        <row r="21584">
          <cell r="G21584" t="str">
            <v>ASV12482</v>
          </cell>
          <cell r="H21584" t="str">
            <v>g__unclassified_f__Lachnospiraceae</v>
          </cell>
          <cell r="I21584" t="str">
            <v>s__unclassified_f__Lachnospiraceae</v>
          </cell>
        </row>
        <row r="21585">
          <cell r="G21585" t="str">
            <v>ASV22676</v>
          </cell>
          <cell r="H21585" t="str">
            <v>g__Eubacterium_oxidoreducens_group</v>
          </cell>
          <cell r="I21585" t="str">
            <v>s__uncultured_bacterium_g__Eubacterium_oxidoreducens_group</v>
          </cell>
        </row>
        <row r="21586">
          <cell r="G21586" t="str">
            <v>ASV9816</v>
          </cell>
          <cell r="H21586" t="str">
            <v>g__Eubacterium_hallii_group</v>
          </cell>
          <cell r="I21586" t="str">
            <v>s__unclassified_g__Eubacterium_hallii_group</v>
          </cell>
        </row>
        <row r="21587">
          <cell r="G21587" t="str">
            <v>ASV17578</v>
          </cell>
          <cell r="H21587" t="str">
            <v>g__Alloprevotella</v>
          </cell>
          <cell r="I21587" t="str">
            <v>s__uncultured_bacterium_g__Alloprevotella</v>
          </cell>
        </row>
        <row r="21588">
          <cell r="G21588" t="str">
            <v>ASV10988</v>
          </cell>
          <cell r="H21588" t="str">
            <v>g__Lactobacillus</v>
          </cell>
          <cell r="I21588" t="str">
            <v>s__unclassified_g__Lactobacillus</v>
          </cell>
        </row>
        <row r="21589">
          <cell r="G21589" t="str">
            <v>ASV14889</v>
          </cell>
          <cell r="H21589" t="str">
            <v>g__Clostridium_sensu_stricto_1</v>
          </cell>
          <cell r="I21589" t="str">
            <v>s__unclassified_g__Clostridium_sensu_stricto_1</v>
          </cell>
        </row>
        <row r="21590">
          <cell r="G21590" t="str">
            <v>ASV1489</v>
          </cell>
          <cell r="H21590" t="str">
            <v>g__CAG-873</v>
          </cell>
          <cell r="I21590" t="str">
            <v>s__Bacteroidales_bacterium_H4</v>
          </cell>
        </row>
        <row r="21591">
          <cell r="G21591" t="str">
            <v>ASV12221</v>
          </cell>
          <cell r="H21591" t="str">
            <v>g__unclassified_p__Firmicutes</v>
          </cell>
          <cell r="I21591" t="str">
            <v>s__unclassified_p__Firmicutes</v>
          </cell>
        </row>
        <row r="21592">
          <cell r="G21592" t="str">
            <v>ASV17063</v>
          </cell>
          <cell r="H21592" t="str">
            <v>g__Faecalibacterium</v>
          </cell>
          <cell r="I21592" t="str">
            <v>s__uncultured_bacterium_g__Faecalibacterium</v>
          </cell>
        </row>
        <row r="21593">
          <cell r="G21593" t="str">
            <v>ASV22751</v>
          </cell>
          <cell r="H21593" t="str">
            <v>g__unclassified_f__Lachnospiraceae</v>
          </cell>
          <cell r="I21593" t="str">
            <v>s__unclassified_f__Lachnospiraceae</v>
          </cell>
        </row>
        <row r="21594">
          <cell r="G21594" t="str">
            <v>ASV22560</v>
          </cell>
          <cell r="H21594" t="str">
            <v>g__Eubacterium_oxidoreducens_group</v>
          </cell>
          <cell r="I21594" t="str">
            <v>s__uncultured_bacterium_g__Eubacterium_oxidoreducens_group</v>
          </cell>
        </row>
        <row r="21595">
          <cell r="G21595" t="str">
            <v>ASV24275</v>
          </cell>
          <cell r="H21595" t="str">
            <v>g__Actinomyces</v>
          </cell>
          <cell r="I21595" t="str">
            <v>s__Actinomyces_howellii</v>
          </cell>
        </row>
        <row r="21596">
          <cell r="G21596" t="str">
            <v>ASV14878</v>
          </cell>
          <cell r="H21596" t="str">
            <v>g__Lactobacillus</v>
          </cell>
          <cell r="I21596" t="str">
            <v>s__unclassified_g__Lactobacillus</v>
          </cell>
        </row>
        <row r="21597">
          <cell r="G21597" t="str">
            <v>ASV15618</v>
          </cell>
          <cell r="H21597" t="str">
            <v>g__unclassified_o__Coriobacteriales</v>
          </cell>
          <cell r="I21597" t="str">
            <v>s__unclassified_o__Coriobacteriales</v>
          </cell>
        </row>
        <row r="21598">
          <cell r="G21598" t="str">
            <v>ASV18453</v>
          </cell>
          <cell r="H21598" t="str">
            <v>g__Christensenellaceae_R-7_group</v>
          </cell>
          <cell r="I21598" t="str">
            <v>s__unclassified_g__Christensenellaceae_R-7_group</v>
          </cell>
        </row>
        <row r="21599">
          <cell r="G21599" t="str">
            <v>ASV14806</v>
          </cell>
          <cell r="H21599" t="str">
            <v>g__unclassified_f__Lachnospiraceae</v>
          </cell>
          <cell r="I21599" t="str">
            <v>s__unclassified_f__Lachnospiraceae</v>
          </cell>
        </row>
        <row r="21600">
          <cell r="G21600" t="str">
            <v>ASV17437</v>
          </cell>
          <cell r="H21600" t="str">
            <v>g__Staphylococcus</v>
          </cell>
          <cell r="I21600" t="str">
            <v>s__unclassified_g__Staphylococcus</v>
          </cell>
        </row>
        <row r="21601">
          <cell r="G21601" t="str">
            <v>ASV22596</v>
          </cell>
          <cell r="H21601" t="str">
            <v>g__norank_f__UCG-010</v>
          </cell>
          <cell r="I21601" t="str">
            <v>s__uncultured_bacterium_g__norank_f__UCG-010</v>
          </cell>
        </row>
        <row r="21602">
          <cell r="G21602" t="str">
            <v>ASV12265</v>
          </cell>
          <cell r="H21602" t="str">
            <v>g__Collinsella</v>
          </cell>
          <cell r="I21602" t="str">
            <v>s__unclassified_g__Collinsella</v>
          </cell>
        </row>
        <row r="21603">
          <cell r="G21603" t="str">
            <v>ASV6976</v>
          </cell>
          <cell r="H21603" t="str">
            <v>g__unclassified_f__Lachnospiraceae</v>
          </cell>
          <cell r="I21603" t="str">
            <v>s__unclassified_f__Lachnospiraceae</v>
          </cell>
        </row>
        <row r="21604">
          <cell r="G21604" t="str">
            <v>ASV4216</v>
          </cell>
          <cell r="H21604" t="str">
            <v>g__unclassified_c__Clostridia</v>
          </cell>
          <cell r="I21604" t="str">
            <v>s__unclassified_c__Clostridia</v>
          </cell>
        </row>
        <row r="21605">
          <cell r="G21605" t="str">
            <v>ASV1234</v>
          </cell>
          <cell r="H21605" t="str">
            <v>g__norank_f__UCG-011</v>
          </cell>
          <cell r="I21605" t="str">
            <v>s__uncultured_bacterium_g__norank_f__UCG-011</v>
          </cell>
        </row>
        <row r="21606">
          <cell r="G21606" t="str">
            <v>ASV8302</v>
          </cell>
          <cell r="H21606" t="str">
            <v>g__Sharpea</v>
          </cell>
          <cell r="I21606" t="str">
            <v>s__unclassified_g__Sharpea</v>
          </cell>
        </row>
        <row r="21607">
          <cell r="G21607" t="str">
            <v>ASV18354</v>
          </cell>
          <cell r="H21607" t="str">
            <v>g__unclassified_f__Oscillospiraceae</v>
          </cell>
          <cell r="I21607" t="str">
            <v>s__unclassified_f__Oscillospiraceae</v>
          </cell>
        </row>
        <row r="21608">
          <cell r="G21608" t="str">
            <v>ASV22585</v>
          </cell>
          <cell r="H21608" t="str">
            <v>g__Lachnospiraceae_UCG-004</v>
          </cell>
          <cell r="I21608" t="str">
            <v>s__uncultured_bacterium_g__Lachnospiraceae_UCG-004</v>
          </cell>
        </row>
        <row r="21609">
          <cell r="G21609" t="str">
            <v>ASV5389</v>
          </cell>
          <cell r="H21609" t="str">
            <v>g__Rikenellaceae_RC9_gut_group</v>
          </cell>
          <cell r="I21609" t="str">
            <v>s__uncultured_bacterium_g__Rikenellaceae_RC9_gut_group</v>
          </cell>
        </row>
        <row r="21610">
          <cell r="G21610" t="str">
            <v>ASV13002</v>
          </cell>
          <cell r="H21610" t="str">
            <v>g__Streptococcus</v>
          </cell>
          <cell r="I21610" t="str">
            <v>s__unclassified_g__Streptococcus</v>
          </cell>
        </row>
        <row r="21611">
          <cell r="G21611" t="str">
            <v>ASV8158</v>
          </cell>
          <cell r="H21611" t="str">
            <v>g__unclassified_c__Clostridia</v>
          </cell>
          <cell r="I21611" t="str">
            <v>s__unclassified_c__Clostridia</v>
          </cell>
        </row>
        <row r="21612">
          <cell r="G21612" t="str">
            <v>ASV23672</v>
          </cell>
          <cell r="H21612" t="str">
            <v>g__unclassified_f__Oscillospiraceae</v>
          </cell>
          <cell r="I21612" t="str">
            <v>s__unclassified_f__Oscillospiraceae</v>
          </cell>
        </row>
        <row r="21613">
          <cell r="G21613" t="str">
            <v>ASV6391</v>
          </cell>
          <cell r="H21613" t="str">
            <v>g__unclassified_f__Peptostreptococcaceae</v>
          </cell>
          <cell r="I21613" t="str">
            <v>s__unclassified_f__Peptostreptococcaceae</v>
          </cell>
        </row>
        <row r="21614">
          <cell r="G21614" t="str">
            <v>ASV4254</v>
          </cell>
          <cell r="H21614" t="str">
            <v>g__Bilophila</v>
          </cell>
          <cell r="I21614" t="str">
            <v>s__unclassified_g__Bilophila</v>
          </cell>
        </row>
        <row r="21615">
          <cell r="G21615" t="str">
            <v>ASV17327</v>
          </cell>
          <cell r="H21615" t="str">
            <v>g__unclassified_p__Firmicutes</v>
          </cell>
          <cell r="I21615" t="str">
            <v>s__unclassified_p__Firmicutes</v>
          </cell>
        </row>
        <row r="21616">
          <cell r="G21616" t="str">
            <v>ASV8154</v>
          </cell>
          <cell r="H21616" t="str">
            <v>g__unclassified_c__Clostridia</v>
          </cell>
          <cell r="I21616" t="str">
            <v>s__unclassified_c__Clostridia</v>
          </cell>
        </row>
        <row r="21617">
          <cell r="G21617" t="str">
            <v>ASV5279</v>
          </cell>
          <cell r="H21617" t="str">
            <v>g__unclassified_o__Oscillospirales</v>
          </cell>
          <cell r="I21617" t="str">
            <v>s__unclassified_o__Oscillospirales</v>
          </cell>
        </row>
        <row r="21618">
          <cell r="G21618" t="str">
            <v>ASV16668</v>
          </cell>
          <cell r="H21618" t="str">
            <v>g__Lachnospiraceae_NC2004_group</v>
          </cell>
          <cell r="I21618" t="str">
            <v>s__uncultured_bacterium_g__Lachnospiraceae_NC2004_group</v>
          </cell>
        </row>
        <row r="21619">
          <cell r="G21619" t="str">
            <v>ASV1367</v>
          </cell>
          <cell r="H21619" t="str">
            <v>g__unclassified_c__Clostridia</v>
          </cell>
          <cell r="I21619" t="str">
            <v>s__unclassified_c__Clostridia</v>
          </cell>
        </row>
        <row r="21620">
          <cell r="G21620" t="str">
            <v>ASV13057</v>
          </cell>
          <cell r="H21620" t="str">
            <v>g__unclassified_c__Clostridia</v>
          </cell>
          <cell r="I21620" t="str">
            <v>s__unclassified_c__Clostridia</v>
          </cell>
        </row>
        <row r="21621">
          <cell r="G21621" t="str">
            <v>ASV13176</v>
          </cell>
          <cell r="H21621" t="str">
            <v>g__Eubacterium_oxidoreducens_group</v>
          </cell>
          <cell r="I21621" t="str">
            <v>s__uncultured_bacterium_g__Eubacterium_oxidoreducens_group</v>
          </cell>
        </row>
        <row r="21622">
          <cell r="G21622" t="str">
            <v>ASV3289</v>
          </cell>
          <cell r="H21622" t="str">
            <v>g__Mitsuokella</v>
          </cell>
          <cell r="I21622" t="str">
            <v>s__unclassified_g__Mitsuokella</v>
          </cell>
        </row>
        <row r="21623">
          <cell r="G21623" t="str">
            <v>ASV9744</v>
          </cell>
          <cell r="H21623" t="str">
            <v>g__norank_f__Erysipelotrichaceae</v>
          </cell>
          <cell r="I21623" t="str">
            <v>s__unclassified_g__norank_f__Erysipelotrichaceae</v>
          </cell>
        </row>
        <row r="21624">
          <cell r="G21624" t="str">
            <v>ASV1280</v>
          </cell>
          <cell r="H21624" t="str">
            <v>g__unclassified_c__Clostridia</v>
          </cell>
          <cell r="I21624" t="str">
            <v>s__unclassified_c__Clostridia</v>
          </cell>
        </row>
        <row r="21625">
          <cell r="G21625" t="str">
            <v>ASV5226</v>
          </cell>
          <cell r="H21625" t="str">
            <v>g__unclassified_c__Clostridia</v>
          </cell>
          <cell r="I21625" t="str">
            <v>s__unclassified_c__Clostridia</v>
          </cell>
        </row>
        <row r="21626">
          <cell r="G21626" t="str">
            <v>ASV24044</v>
          </cell>
          <cell r="H21626" t="str">
            <v>g__unclassified_f__Lachnospiraceae</v>
          </cell>
          <cell r="I21626" t="str">
            <v>s__unclassified_f__Lachnospiraceae</v>
          </cell>
        </row>
        <row r="21627">
          <cell r="G21627" t="str">
            <v>ASV22655</v>
          </cell>
          <cell r="H21627" t="str">
            <v>g__unclassified_p__Firmicutes</v>
          </cell>
          <cell r="I21627" t="str">
            <v>s__unclassified_p__Firmicutes</v>
          </cell>
        </row>
        <row r="21628">
          <cell r="G21628" t="str">
            <v>ASV1449</v>
          </cell>
          <cell r="H21628" t="str">
            <v>g__unclassified_f__Peptostreptococcaceae</v>
          </cell>
          <cell r="I21628" t="str">
            <v>s__unclassified_f__Peptostreptococcaceae</v>
          </cell>
        </row>
        <row r="21629">
          <cell r="G21629" t="str">
            <v>ASV13659</v>
          </cell>
          <cell r="H21629" t="str">
            <v>g__unclassified_f__Lachnospiraceae</v>
          </cell>
          <cell r="I21629" t="str">
            <v>s__unclassified_f__Lachnospiraceae</v>
          </cell>
        </row>
        <row r="21630">
          <cell r="G21630" t="str">
            <v>ASV13581</v>
          </cell>
          <cell r="H21630" t="str">
            <v>g__Lactobacillus</v>
          </cell>
          <cell r="I21630" t="str">
            <v>s__unclassified_g__Lactobacillus</v>
          </cell>
        </row>
        <row r="21631">
          <cell r="G21631" t="str">
            <v>ASV8663</v>
          </cell>
          <cell r="H21631" t="str">
            <v>g__unclassified_k__norank_d__Bacteria</v>
          </cell>
          <cell r="I21631" t="str">
            <v>s__unclassified_k__norank_d__Bacteria</v>
          </cell>
        </row>
        <row r="21632">
          <cell r="G21632" t="str">
            <v>ASV9778</v>
          </cell>
          <cell r="H21632" t="str">
            <v>g__Eubacterium_oxidoreducens_group</v>
          </cell>
          <cell r="I21632" t="str">
            <v>s__uncultured_bacterium_g__Eubacterium_oxidoreducens_group</v>
          </cell>
        </row>
        <row r="21633">
          <cell r="G21633" t="str">
            <v>ASV21365</v>
          </cell>
          <cell r="H21633" t="str">
            <v>g__Faecalibacterium</v>
          </cell>
          <cell r="I21633" t="str">
            <v>s__unclassified_g__Faecalibacterium</v>
          </cell>
        </row>
        <row r="21634">
          <cell r="G21634" t="str">
            <v>ASV14740</v>
          </cell>
          <cell r="H21634" t="str">
            <v>g__unclassified_c__Clostridia</v>
          </cell>
          <cell r="I21634" t="str">
            <v>s__unclassified_c__Clostridia</v>
          </cell>
        </row>
        <row r="21635">
          <cell r="G21635" t="str">
            <v>ASV12321</v>
          </cell>
          <cell r="H21635" t="str">
            <v>g__norank_f__norank_o__Clostridia_UCG-014</v>
          </cell>
          <cell r="I21635" t="str">
            <v>s__uncultured_bacterium_g__norank_f__norank_o__Clostridia_UCG-014</v>
          </cell>
        </row>
        <row r="21636">
          <cell r="G21636" t="str">
            <v>ASV17322</v>
          </cell>
          <cell r="H21636" t="str">
            <v>g__Clostridium_sensu_stricto_1</v>
          </cell>
          <cell r="I21636" t="str">
            <v>s__unclassified_g__Clostridium_sensu_stricto_1</v>
          </cell>
        </row>
        <row r="21637">
          <cell r="G21637" t="str">
            <v>ASV14768</v>
          </cell>
          <cell r="H21637" t="str">
            <v>g__unclassified_f__Lachnospiraceae</v>
          </cell>
          <cell r="I21637" t="str">
            <v>s__unclassified_f__Lachnospiraceae</v>
          </cell>
        </row>
        <row r="21638">
          <cell r="G21638" t="str">
            <v>ASV1435</v>
          </cell>
          <cell r="H21638" t="str">
            <v>g__Lactobacillus</v>
          </cell>
          <cell r="I21638" t="str">
            <v>s__unclassified_g__Lactobacillus</v>
          </cell>
        </row>
        <row r="21639">
          <cell r="G21639" t="str">
            <v>ASV16678</v>
          </cell>
          <cell r="H21639" t="str">
            <v>g__Prevotella</v>
          </cell>
          <cell r="I21639" t="str">
            <v>s__unclassified_g__Prevotella</v>
          </cell>
        </row>
        <row r="21640">
          <cell r="G21640" t="str">
            <v>ASV18283</v>
          </cell>
          <cell r="H21640" t="str">
            <v>g__unclassified_o__Bacteroidales</v>
          </cell>
          <cell r="I21640" t="str">
            <v>s__unclassified_o__Bacteroidales</v>
          </cell>
        </row>
        <row r="21641">
          <cell r="G21641" t="str">
            <v>ASV10874</v>
          </cell>
          <cell r="H21641" t="str">
            <v>g__unclassified_k__norank_d__Bacteria</v>
          </cell>
          <cell r="I21641" t="str">
            <v>s__unclassified_k__norank_d__Bacteria</v>
          </cell>
        </row>
        <row r="21642">
          <cell r="G21642" t="str">
            <v>ASV16723</v>
          </cell>
          <cell r="H21642" t="str">
            <v>g__Terrisporobacter</v>
          </cell>
          <cell r="I21642" t="str">
            <v>s__unclassified_g__Terrisporobacter</v>
          </cell>
        </row>
        <row r="21643">
          <cell r="G21643" t="str">
            <v>ASV18704</v>
          </cell>
          <cell r="H21643" t="str">
            <v>g__Escherichia-Shigella</v>
          </cell>
          <cell r="I21643" t="str">
            <v>s__unclassified_g__Escherichia-Shigella</v>
          </cell>
        </row>
        <row r="21644">
          <cell r="G21644" t="str">
            <v>ASV22806</v>
          </cell>
          <cell r="H21644" t="str">
            <v>g__unclassified_f__Ruminococcaceae</v>
          </cell>
          <cell r="I21644" t="str">
            <v>s__unclassified_f__Ruminococcaceae</v>
          </cell>
        </row>
        <row r="21645">
          <cell r="G21645" t="str">
            <v>ASV6330</v>
          </cell>
          <cell r="H21645" t="str">
            <v>g__Escherichia-Shigella</v>
          </cell>
          <cell r="I21645" t="str">
            <v>s__unclassified_g__Escherichia-Shigella</v>
          </cell>
        </row>
        <row r="21646">
          <cell r="G21646" t="str">
            <v>ASV3298</v>
          </cell>
          <cell r="H21646" t="str">
            <v>g__unclassified_k__norank_d__Bacteria</v>
          </cell>
          <cell r="I21646" t="str">
            <v>s__unclassified_k__norank_d__Bacteria</v>
          </cell>
        </row>
        <row r="21647">
          <cell r="G21647" t="str">
            <v>ASV8202</v>
          </cell>
          <cell r="H21647" t="str">
            <v>g__unclassified_k__norank_d__Bacteria</v>
          </cell>
          <cell r="I21647" t="str">
            <v>s__unclassified_k__norank_d__Bacteria</v>
          </cell>
        </row>
        <row r="21648">
          <cell r="G21648" t="str">
            <v>ASV6447</v>
          </cell>
          <cell r="H21648" t="str">
            <v>g__Parabacteroides</v>
          </cell>
          <cell r="I21648" t="str">
            <v>s__unclassified_g__Parabacteroides</v>
          </cell>
        </row>
        <row r="21649">
          <cell r="G21649" t="str">
            <v>ASV16570</v>
          </cell>
          <cell r="H21649" t="str">
            <v>g__Treponema</v>
          </cell>
          <cell r="I21649" t="str">
            <v>s__Treponema_porcinum</v>
          </cell>
        </row>
        <row r="21650">
          <cell r="G21650" t="str">
            <v>ASV12470</v>
          </cell>
          <cell r="H21650" t="str">
            <v>g__unclassified_f__Lachnospiraceae</v>
          </cell>
          <cell r="I21650" t="str">
            <v>s__unclassified_f__Lachnospiraceae</v>
          </cell>
        </row>
        <row r="21651">
          <cell r="G21651" t="str">
            <v>ASV1238</v>
          </cell>
          <cell r="H21651" t="str">
            <v>g__norank_f__Ruminococcaceae</v>
          </cell>
          <cell r="I21651" t="str">
            <v>s__unclassified_g__norank_f__Ruminococcaceae</v>
          </cell>
        </row>
        <row r="21652">
          <cell r="G21652" t="str">
            <v>ASV24300</v>
          </cell>
          <cell r="H21652" t="str">
            <v>g__unclassified_c__Clostridia</v>
          </cell>
          <cell r="I21652" t="str">
            <v>s__unclassified_c__Clostridia</v>
          </cell>
        </row>
        <row r="21653">
          <cell r="G21653" t="str">
            <v>ASV21529</v>
          </cell>
          <cell r="H21653" t="str">
            <v>g__unclassified_f__Oscillospiraceae</v>
          </cell>
          <cell r="I21653" t="str">
            <v>s__unclassified_f__Oscillospiraceae</v>
          </cell>
        </row>
        <row r="21654">
          <cell r="G21654" t="str">
            <v>ASV8667</v>
          </cell>
          <cell r="H21654" t="str">
            <v>g__unclassified_k__norank_d__Bacteria</v>
          </cell>
          <cell r="I21654" t="str">
            <v>s__unclassified_k__norank_d__Bacteria</v>
          </cell>
        </row>
        <row r="21655">
          <cell r="G21655" t="str">
            <v>ASV2446</v>
          </cell>
          <cell r="H21655" t="str">
            <v>g__unclassified_c__Clostridia</v>
          </cell>
          <cell r="I21655" t="str">
            <v>s__unclassified_c__Clostridia</v>
          </cell>
        </row>
        <row r="21656">
          <cell r="G21656" t="str">
            <v>ASV3557</v>
          </cell>
          <cell r="H21656" t="str">
            <v>g__Escherichia-Shigella</v>
          </cell>
          <cell r="I21656" t="str">
            <v>s__unclassified_g__Escherichia-Shigella</v>
          </cell>
        </row>
        <row r="21657">
          <cell r="G21657" t="str">
            <v>ASV23881</v>
          </cell>
          <cell r="H21657" t="str">
            <v>g__Megasphaera</v>
          </cell>
          <cell r="I21657" t="str">
            <v>s__unclassified_g__Megasphaera</v>
          </cell>
        </row>
        <row r="21658">
          <cell r="G21658" t="str">
            <v>ASV19978</v>
          </cell>
          <cell r="H21658" t="str">
            <v>g__norank_f__norank_o__Clostridia_UCG-014</v>
          </cell>
          <cell r="I21658" t="str">
            <v>s__unclassified_g__norank_f__norank_o__Clostridia_UCG-014</v>
          </cell>
        </row>
        <row r="21659">
          <cell r="G21659" t="str">
            <v>ASV15732</v>
          </cell>
          <cell r="H21659" t="str">
            <v>g__unclassified_f__Lachnospiraceae</v>
          </cell>
          <cell r="I21659" t="str">
            <v>s__unclassified_f__Lachnospiraceae</v>
          </cell>
        </row>
        <row r="21660">
          <cell r="G21660" t="str">
            <v>ASV23735</v>
          </cell>
          <cell r="H21660" t="str">
            <v>g__unclassified_c__Clostridia</v>
          </cell>
          <cell r="I21660" t="str">
            <v>s__unclassified_c__Clostridia</v>
          </cell>
        </row>
        <row r="21661">
          <cell r="G21661" t="str">
            <v>ASV13075</v>
          </cell>
          <cell r="H21661" t="str">
            <v>g__unclassified_k__norank_d__Bacteria</v>
          </cell>
          <cell r="I21661" t="str">
            <v>s__unclassified_k__norank_d__Bacteria</v>
          </cell>
        </row>
        <row r="21662">
          <cell r="G21662" t="str">
            <v>ASV6177</v>
          </cell>
          <cell r="H21662" t="str">
            <v>g__unclassified_c__Clostridia</v>
          </cell>
          <cell r="I21662" t="str">
            <v>s__unclassified_c__Clostridia</v>
          </cell>
        </row>
        <row r="21663">
          <cell r="G21663" t="str">
            <v>ASV24001</v>
          </cell>
          <cell r="H21663" t="str">
            <v>g__norank_f__Muribaculaceae</v>
          </cell>
          <cell r="I21663" t="str">
            <v>s__uncultured_bacterium_g__norank_f__Muribaculaceae</v>
          </cell>
        </row>
        <row r="21664">
          <cell r="G21664" t="str">
            <v>ASV1120</v>
          </cell>
          <cell r="H21664" t="str">
            <v>g__Bacteroides</v>
          </cell>
          <cell r="I21664" t="str">
            <v>s__unclassified_g__Bacteroides</v>
          </cell>
        </row>
        <row r="21665">
          <cell r="G21665" t="str">
            <v>ASV11022</v>
          </cell>
          <cell r="H21665" t="str">
            <v>g__unclassified_f__Ruminococcaceae</v>
          </cell>
          <cell r="I21665" t="str">
            <v>s__unclassified_f__Ruminococcaceae</v>
          </cell>
        </row>
        <row r="21666">
          <cell r="G21666" t="str">
            <v>ASV9084</v>
          </cell>
          <cell r="H21666" t="str">
            <v>g__unclassified_f__Neisseriaceae</v>
          </cell>
          <cell r="I21666" t="str">
            <v>s__unclassified_f__Neisseriaceae</v>
          </cell>
        </row>
        <row r="21667">
          <cell r="G21667" t="str">
            <v>ASV5444</v>
          </cell>
          <cell r="H21667" t="str">
            <v>g__unclassified_f__Lachnospiraceae</v>
          </cell>
          <cell r="I21667" t="str">
            <v>s__unclassified_f__Lachnospiraceae</v>
          </cell>
        </row>
        <row r="21668">
          <cell r="G21668" t="str">
            <v>ASV4249</v>
          </cell>
          <cell r="H21668" t="str">
            <v>g__unclassified_f__Synergistaceae</v>
          </cell>
          <cell r="I21668" t="str">
            <v>s__unclassified_f__Synergistaceae</v>
          </cell>
        </row>
        <row r="21669">
          <cell r="G21669" t="str">
            <v>ASV20981</v>
          </cell>
          <cell r="H21669" t="str">
            <v>g__Lactobacillus</v>
          </cell>
          <cell r="I21669" t="str">
            <v>s__uncultured_bacterium_g__Lactobacillus</v>
          </cell>
        </row>
        <row r="21670">
          <cell r="G21670" t="str">
            <v>ASV3717</v>
          </cell>
          <cell r="H21670" t="str">
            <v>g__norank_f__Actinomycetaceae</v>
          </cell>
          <cell r="I21670" t="str">
            <v>s__uncultured_bacterium_g__norank_f__Actinomycetaceae</v>
          </cell>
        </row>
        <row r="21671">
          <cell r="G21671" t="str">
            <v>ASV22668</v>
          </cell>
          <cell r="H21671" t="str">
            <v>g__Fournierella</v>
          </cell>
          <cell r="I21671" t="str">
            <v>s__uncultured_bacterium_g__Fournierella</v>
          </cell>
        </row>
        <row r="21672">
          <cell r="G21672" t="str">
            <v>ASV2450</v>
          </cell>
          <cell r="H21672" t="str">
            <v>g__Mitsuokella</v>
          </cell>
          <cell r="I21672" t="str">
            <v>s__unclassified_g__Mitsuokella</v>
          </cell>
        </row>
        <row r="21673">
          <cell r="G21673" t="str">
            <v>ASV12323</v>
          </cell>
          <cell r="H21673" t="str">
            <v>g__unclassified_f__Lachnospiraceae</v>
          </cell>
          <cell r="I21673" t="str">
            <v>s__unclassified_f__Lachnospiraceae</v>
          </cell>
        </row>
        <row r="21674">
          <cell r="G21674" t="str">
            <v>ASV13739</v>
          </cell>
          <cell r="H21674" t="str">
            <v>g__Solobacterium</v>
          </cell>
          <cell r="I21674" t="str">
            <v>s__uncultured_organism_g__Solobacterium</v>
          </cell>
        </row>
        <row r="21675">
          <cell r="G21675" t="str">
            <v>ASV13135</v>
          </cell>
          <cell r="H21675" t="str">
            <v>g__unclassified_c__Clostridia</v>
          </cell>
          <cell r="I21675" t="str">
            <v>s__unclassified_c__Clostridia</v>
          </cell>
        </row>
        <row r="21676">
          <cell r="G21676" t="str">
            <v>ASV20994</v>
          </cell>
          <cell r="H21676" t="str">
            <v>g__unclassified_p__Firmicutes</v>
          </cell>
          <cell r="I21676" t="str">
            <v>s__unclassified_p__Firmicutes</v>
          </cell>
        </row>
        <row r="21677">
          <cell r="G21677" t="str">
            <v>ASV9079</v>
          </cell>
          <cell r="H21677" t="str">
            <v>g__norank_f__norank_o__Clostridia_UCG-014</v>
          </cell>
          <cell r="I21677" t="str">
            <v>s__Clostridiales_bacterium_oral_taxon_075</v>
          </cell>
        </row>
        <row r="21678">
          <cell r="G21678" t="str">
            <v>ASV10360</v>
          </cell>
          <cell r="H21678" t="str">
            <v>g__unclassified_k__norank_d__Bacteria</v>
          </cell>
          <cell r="I21678" t="str">
            <v>s__unclassified_k__norank_d__Bacteria</v>
          </cell>
        </row>
        <row r="21679">
          <cell r="G21679" t="str">
            <v>ASV1448</v>
          </cell>
          <cell r="H21679" t="str">
            <v>g__unclassified_f__Lachnospiraceae</v>
          </cell>
          <cell r="I21679" t="str">
            <v>s__unclassified_f__Lachnospiraceae</v>
          </cell>
        </row>
        <row r="21680">
          <cell r="G21680" t="str">
            <v>ASV13748</v>
          </cell>
          <cell r="H21680" t="str">
            <v>g__Lactobacillus</v>
          </cell>
          <cell r="I21680" t="str">
            <v>s__unclassified_g__Lactobacillus</v>
          </cell>
        </row>
        <row r="21681">
          <cell r="G21681" t="str">
            <v>ASV5250</v>
          </cell>
          <cell r="H21681" t="str">
            <v>g__norank_f__Eubacterium_coprostanoligenes_group</v>
          </cell>
          <cell r="I21681" t="str">
            <v>s__unclassified_g__norank_f__Eubacterium_coprostanoligenes_group</v>
          </cell>
        </row>
        <row r="21682">
          <cell r="G21682" t="str">
            <v>ASV13563</v>
          </cell>
          <cell r="H21682" t="str">
            <v>g__unclassified_c__Clostridia</v>
          </cell>
          <cell r="I21682" t="str">
            <v>s__unclassified_c__Clostridia</v>
          </cell>
        </row>
        <row r="21683">
          <cell r="G21683" t="str">
            <v>ASV20098</v>
          </cell>
          <cell r="H21683" t="str">
            <v>g__Succiniclasticum</v>
          </cell>
          <cell r="I21683" t="str">
            <v>s__uncultured_rumen_bacterium_4C28d-16</v>
          </cell>
        </row>
        <row r="21684">
          <cell r="G21684" t="str">
            <v>ASV16604</v>
          </cell>
          <cell r="H21684" t="str">
            <v>g__unclassified_c__Clostridia</v>
          </cell>
          <cell r="I21684" t="str">
            <v>s__unclassified_c__Clostridia</v>
          </cell>
        </row>
        <row r="21685">
          <cell r="G21685" t="str">
            <v>ASV20304</v>
          </cell>
          <cell r="H21685" t="str">
            <v>g__unclassified_k__norank_d__Bacteria</v>
          </cell>
          <cell r="I21685" t="str">
            <v>s__unclassified_k__norank_d__Bacteria</v>
          </cell>
        </row>
        <row r="21686">
          <cell r="G21686" t="str">
            <v>ASV17027</v>
          </cell>
          <cell r="H21686" t="str">
            <v>g__unclassified_c__Clostridia</v>
          </cell>
          <cell r="I21686" t="str">
            <v>s__unclassified_c__Clostridia</v>
          </cell>
        </row>
        <row r="21687">
          <cell r="G21687" t="str">
            <v>ASV13612</v>
          </cell>
          <cell r="H21687" t="str">
            <v>g__Christensenellaceae_R-7_group</v>
          </cell>
          <cell r="I21687" t="str">
            <v>s__unclassified_g__Christensenellaceae_R-7_group</v>
          </cell>
        </row>
        <row r="21688">
          <cell r="G21688" t="str">
            <v>ASV21372</v>
          </cell>
          <cell r="H21688" t="str">
            <v>g__Lactobacillus</v>
          </cell>
          <cell r="I21688" t="str">
            <v>s__unclassified_g__Lactobacillus</v>
          </cell>
        </row>
        <row r="21689">
          <cell r="G21689" t="str">
            <v>ASV1223</v>
          </cell>
          <cell r="H21689" t="str">
            <v>g__unclassified_f__Lachnospiraceae</v>
          </cell>
          <cell r="I21689" t="str">
            <v>s__unclassified_f__Lachnospiraceae</v>
          </cell>
        </row>
        <row r="21690">
          <cell r="G21690" t="str">
            <v>ASV4379</v>
          </cell>
          <cell r="H21690" t="str">
            <v>g__unclassified_f__Lachnospiraceae</v>
          </cell>
          <cell r="I21690" t="str">
            <v>s__unclassified_f__Lachnospiraceae</v>
          </cell>
        </row>
        <row r="21691">
          <cell r="G21691" t="str">
            <v>ASV12035</v>
          </cell>
          <cell r="H21691" t="str">
            <v>g__unclassified_k__norank_d__Bacteria</v>
          </cell>
          <cell r="I21691" t="str">
            <v>s__unclassified_k__norank_d__Bacteria</v>
          </cell>
        </row>
        <row r="21692">
          <cell r="G21692" t="str">
            <v>ASV15651</v>
          </cell>
          <cell r="H21692" t="str">
            <v>g__unclassified_c__Clostridia</v>
          </cell>
          <cell r="I21692" t="str">
            <v>s__unclassified_c__Clostridia</v>
          </cell>
        </row>
        <row r="21693">
          <cell r="G21693" t="str">
            <v>ASV5146</v>
          </cell>
          <cell r="H21693" t="str">
            <v>g__unclassified_c__Clostridia</v>
          </cell>
          <cell r="I21693" t="str">
            <v>s__unclassified_c__Clostridia</v>
          </cell>
        </row>
        <row r="21694">
          <cell r="G21694" t="str">
            <v>ASV1812</v>
          </cell>
          <cell r="H21694" t="str">
            <v>g__Streptococcus</v>
          </cell>
          <cell r="I21694" t="str">
            <v>s__unclassified_g__Streptococcus</v>
          </cell>
        </row>
        <row r="21695">
          <cell r="G21695" t="str">
            <v>ASV12281</v>
          </cell>
          <cell r="H21695" t="str">
            <v>g__norank_f__Eubacterium_coprostanoligenes_group</v>
          </cell>
          <cell r="I21695" t="str">
            <v>s__unclassified_g__norank_f__Eubacterium_coprostanoligenes_group</v>
          </cell>
        </row>
        <row r="21696">
          <cell r="G21696" t="str">
            <v>ASV13009</v>
          </cell>
          <cell r="H21696" t="str">
            <v>g__Bacteroides</v>
          </cell>
          <cell r="I21696" t="str">
            <v>s__Bacteroides_sp._Marseille-P3166</v>
          </cell>
        </row>
        <row r="21697">
          <cell r="G21697" t="str">
            <v>ASV4225</v>
          </cell>
          <cell r="H21697" t="str">
            <v>g__unclassified_k__norank_d__Bacteria</v>
          </cell>
          <cell r="I21697" t="str">
            <v>s__unclassified_k__norank_d__Bacteria</v>
          </cell>
        </row>
        <row r="21698">
          <cell r="G21698" t="str">
            <v>ASV15849</v>
          </cell>
          <cell r="H21698" t="str">
            <v>g__Bacillus</v>
          </cell>
          <cell r="I21698" t="str">
            <v>s__Lactobacillus_vaginalis_g__Bacillus</v>
          </cell>
        </row>
        <row r="21699">
          <cell r="G21699" t="str">
            <v>ASV15765</v>
          </cell>
          <cell r="H21699" t="str">
            <v>g__unclassified_c__Clostridia</v>
          </cell>
          <cell r="I21699" t="str">
            <v>s__unclassified_c__Clostridia</v>
          </cell>
        </row>
        <row r="21700">
          <cell r="G21700" t="str">
            <v>ASV3346</v>
          </cell>
          <cell r="H21700" t="str">
            <v>g__Lactobacillus</v>
          </cell>
          <cell r="I21700" t="str">
            <v>s__unclassified_g__Lactobacillus</v>
          </cell>
        </row>
        <row r="21701">
          <cell r="G21701" t="str">
            <v>ASV6157</v>
          </cell>
          <cell r="H21701" t="str">
            <v>g__unclassified_f__Neisseriaceae</v>
          </cell>
          <cell r="I21701" t="str">
            <v>s__unclassified_f__Neisseriaceae</v>
          </cell>
        </row>
        <row r="21702">
          <cell r="G21702" t="str">
            <v>ASV10895</v>
          </cell>
          <cell r="H21702" t="str">
            <v>g__unclassified_f__Oscillospiraceae</v>
          </cell>
          <cell r="I21702" t="str">
            <v>s__unclassified_f__Oscillospiraceae</v>
          </cell>
        </row>
        <row r="21703">
          <cell r="G21703" t="str">
            <v>ASV1306</v>
          </cell>
          <cell r="H21703" t="str">
            <v>g__unclassified_f__Lachnospiraceae</v>
          </cell>
          <cell r="I21703" t="str">
            <v>s__unclassified_f__Lachnospiraceae</v>
          </cell>
        </row>
        <row r="21704">
          <cell r="G21704" t="str">
            <v>ASV3700</v>
          </cell>
          <cell r="H21704" t="str">
            <v>g__Prevotellaceae_NK3B31_group</v>
          </cell>
          <cell r="I21704" t="str">
            <v>s__uncultured_bacterium_g__Prevotellaceae_NK3B31_group</v>
          </cell>
        </row>
        <row r="21705">
          <cell r="G21705" t="str">
            <v>ASV16993</v>
          </cell>
          <cell r="H21705" t="str">
            <v>g__Enterorhabdus</v>
          </cell>
          <cell r="I21705" t="str">
            <v>s__uncultured_bacterium_g__Enterorhabdus</v>
          </cell>
        </row>
        <row r="21706">
          <cell r="G21706" t="str">
            <v>ASV15634</v>
          </cell>
          <cell r="H21706" t="str">
            <v>g__unclassified_c__Clostridia</v>
          </cell>
          <cell r="I21706" t="str">
            <v>s__unclassified_c__Clostridia</v>
          </cell>
        </row>
        <row r="21707">
          <cell r="G21707" t="str">
            <v>ASV14801</v>
          </cell>
          <cell r="H21707" t="str">
            <v>g__unclassified_f__Ruminococcaceae</v>
          </cell>
          <cell r="I21707" t="str">
            <v>s__unclassified_f__Ruminococcaceae</v>
          </cell>
        </row>
        <row r="21708">
          <cell r="G21708" t="str">
            <v>ASV18292</v>
          </cell>
          <cell r="H21708" t="str">
            <v>g__unclassified_c__Clostridia</v>
          </cell>
          <cell r="I21708" t="str">
            <v>s__unclassified_c__Clostridia</v>
          </cell>
        </row>
        <row r="21709">
          <cell r="G21709" t="str">
            <v>ASV2504</v>
          </cell>
          <cell r="H21709" t="str">
            <v>g__unclassified_c__Clostridia</v>
          </cell>
          <cell r="I21709" t="str">
            <v>s__unclassified_c__Clostridia</v>
          </cell>
        </row>
        <row r="21710">
          <cell r="G21710" t="str">
            <v>ASV17386</v>
          </cell>
          <cell r="H21710" t="str">
            <v>g__Ruminococcus</v>
          </cell>
          <cell r="I21710" t="str">
            <v>s__unclassified_g__Ruminococcus</v>
          </cell>
        </row>
        <row r="21711">
          <cell r="G21711" t="str">
            <v>ASV12135</v>
          </cell>
          <cell r="H21711" t="str">
            <v>g__unclassified_c__Clostridia</v>
          </cell>
          <cell r="I21711" t="str">
            <v>s__unclassified_c__Clostridia</v>
          </cell>
        </row>
        <row r="21712">
          <cell r="G21712" t="str">
            <v>ASV5370</v>
          </cell>
          <cell r="H21712" t="str">
            <v>g__unclassified_c__Clostridia</v>
          </cell>
          <cell r="I21712" t="str">
            <v>s__unclassified_c__Clostridia</v>
          </cell>
        </row>
        <row r="21713">
          <cell r="G21713" t="str">
            <v>ASV2783</v>
          </cell>
          <cell r="H21713" t="str">
            <v>g__norank_f__norank_o__RF39</v>
          </cell>
          <cell r="I21713" t="str">
            <v>s__unclassified_g__norank_f__norank_o__RF39</v>
          </cell>
        </row>
        <row r="21714">
          <cell r="G21714" t="str">
            <v>ASV17239</v>
          </cell>
          <cell r="H21714" t="str">
            <v>g__norank_f__Saccharimonadaceae</v>
          </cell>
          <cell r="I21714" t="str">
            <v>s__unclassified_g__norank_f__Saccharimonadaceae</v>
          </cell>
        </row>
        <row r="21715">
          <cell r="G21715" t="str">
            <v>ASV21526</v>
          </cell>
          <cell r="H21715" t="str">
            <v>g__unclassified_f__Lachnospiraceae</v>
          </cell>
          <cell r="I21715" t="str">
            <v>s__unclassified_f__Lachnospiraceae</v>
          </cell>
        </row>
        <row r="21716">
          <cell r="G21716" t="str">
            <v>ASV20980</v>
          </cell>
          <cell r="H21716" t="str">
            <v>g__Anaerotruncus</v>
          </cell>
          <cell r="I21716" t="str">
            <v>s__Anaerotruncus_sp._AT3</v>
          </cell>
        </row>
        <row r="21717">
          <cell r="G21717" t="str">
            <v>ASV1452</v>
          </cell>
          <cell r="H21717" t="str">
            <v>g__unclassified_o__Oscillospirales</v>
          </cell>
          <cell r="I21717" t="str">
            <v>s__unclassified_o__Oscillospirales</v>
          </cell>
        </row>
        <row r="21718">
          <cell r="G21718" t="str">
            <v>ASV22982</v>
          </cell>
          <cell r="H21718" t="str">
            <v>g__unclassified_o__Lactobacillales</v>
          </cell>
          <cell r="I21718" t="str">
            <v>s__unclassified_o__Lactobacillales</v>
          </cell>
        </row>
        <row r="21719">
          <cell r="G21719" t="str">
            <v>ASV14722</v>
          </cell>
          <cell r="H21719" t="str">
            <v>g__Streptococcus</v>
          </cell>
          <cell r="I21719" t="str">
            <v>s__unclassified_g__Streptococcus</v>
          </cell>
        </row>
        <row r="21720">
          <cell r="G21720" t="str">
            <v>ASV18997</v>
          </cell>
          <cell r="H21720" t="str">
            <v>g__Alloprevotella</v>
          </cell>
          <cell r="I21720" t="str">
            <v>s__uncultured_bacterium_g__Alloprevotella</v>
          </cell>
        </row>
        <row r="21721">
          <cell r="G21721" t="str">
            <v>ASV20185</v>
          </cell>
          <cell r="H21721" t="str">
            <v>g__unclassified_o__Oscillospirales</v>
          </cell>
          <cell r="I21721" t="str">
            <v>s__unclassified_o__Oscillospirales</v>
          </cell>
        </row>
        <row r="21722">
          <cell r="G21722" t="str">
            <v>ASV5285</v>
          </cell>
          <cell r="H21722" t="str">
            <v>g__unclassified_c__Clostridia</v>
          </cell>
          <cell r="I21722" t="str">
            <v>s__unclassified_c__Clostridia</v>
          </cell>
        </row>
        <row r="21723">
          <cell r="G21723" t="str">
            <v>ASV21543</v>
          </cell>
          <cell r="H21723" t="str">
            <v>g__Lactobacillus</v>
          </cell>
          <cell r="I21723" t="str">
            <v>s__unclassified_g__Lactobacillus</v>
          </cell>
        </row>
        <row r="21724">
          <cell r="G21724" t="str">
            <v>ASV6479</v>
          </cell>
          <cell r="H21724" t="str">
            <v>g__unclassified_f__Peptostreptococcaceae</v>
          </cell>
          <cell r="I21724" t="str">
            <v>s__unclassified_f__Peptostreptococcaceae</v>
          </cell>
        </row>
        <row r="21725">
          <cell r="G21725" t="str">
            <v>ASV19918</v>
          </cell>
          <cell r="H21725" t="str">
            <v>g__unclassified_f__Prevotellaceae</v>
          </cell>
          <cell r="I21725" t="str">
            <v>s__unclassified_f__Prevotellaceae</v>
          </cell>
        </row>
        <row r="21726">
          <cell r="G21726" t="str">
            <v>ASV18766</v>
          </cell>
          <cell r="H21726" t="str">
            <v>g__norank_f__norank_o__RF39</v>
          </cell>
          <cell r="I21726" t="str">
            <v>s__uncultured_bacterium_g__norank_f__norank_o__RF39</v>
          </cell>
        </row>
        <row r="21727">
          <cell r="G21727" t="str">
            <v>ASV3533</v>
          </cell>
          <cell r="H21727" t="str">
            <v>g__Streptococcus</v>
          </cell>
          <cell r="I21727" t="str">
            <v>s__unclassified_g__Streptococcus</v>
          </cell>
        </row>
        <row r="21728">
          <cell r="G21728" t="str">
            <v>ASV2430</v>
          </cell>
          <cell r="H21728" t="str">
            <v>g__norank_f__norank_o__Clostridia_UCG-014</v>
          </cell>
          <cell r="I21728" t="str">
            <v>s__uncultured_bacterium_g__norank_f__norank_o__Clostridia_UCG-014</v>
          </cell>
        </row>
        <row r="21729">
          <cell r="G21729" t="str">
            <v>ASV23795</v>
          </cell>
          <cell r="H21729" t="str">
            <v>g__Enterococcus</v>
          </cell>
          <cell r="I21729" t="str">
            <v>s__unclassified_g__Enterococcus</v>
          </cell>
        </row>
        <row r="21730">
          <cell r="G21730" t="str">
            <v>ASV18406</v>
          </cell>
          <cell r="H21730" t="str">
            <v>g__unclassified_o__Oscillospirales</v>
          </cell>
          <cell r="I21730" t="str">
            <v>s__unclassified_o__Oscillospirales</v>
          </cell>
        </row>
        <row r="21731">
          <cell r="G21731" t="str">
            <v>ASV1182</v>
          </cell>
          <cell r="H21731" t="str">
            <v>g__Rikenellaceae_RC9_gut_group</v>
          </cell>
          <cell r="I21731" t="str">
            <v>s__uncultured_bacterium_g__Rikenellaceae_RC9_gut_group</v>
          </cell>
        </row>
        <row r="21732">
          <cell r="G21732" t="str">
            <v>ASV23542</v>
          </cell>
          <cell r="H21732" t="str">
            <v>g__unclassified_c__Clostridia</v>
          </cell>
          <cell r="I21732" t="str">
            <v>s__unclassified_c__Clostridia</v>
          </cell>
        </row>
        <row r="21733">
          <cell r="G21733" t="str">
            <v>ASV17247</v>
          </cell>
          <cell r="H21733" t="str">
            <v>g__unclassified_c__Clostridia</v>
          </cell>
          <cell r="I21733" t="str">
            <v>s__unclassified_c__Clostridia</v>
          </cell>
        </row>
        <row r="21734">
          <cell r="G21734" t="str">
            <v>ASV1111</v>
          </cell>
          <cell r="H21734" t="str">
            <v>g__unclassified_k__norank_d__Bacteria</v>
          </cell>
          <cell r="I21734" t="str">
            <v>s__unclassified_k__norank_d__Bacteria</v>
          </cell>
        </row>
        <row r="21735">
          <cell r="G21735" t="str">
            <v>ASV7396</v>
          </cell>
          <cell r="H21735" t="str">
            <v>g__Faecalibacterium</v>
          </cell>
          <cell r="I21735" t="str">
            <v>s__unclassified_g__Faecalibacterium</v>
          </cell>
        </row>
        <row r="21736">
          <cell r="G21736" t="str">
            <v>ASV17157</v>
          </cell>
          <cell r="H21736" t="str">
            <v>g__norank_f__Prevotellaceae</v>
          </cell>
          <cell r="I21736" t="str">
            <v>s__metagenome_g__norank_f__Prevotellaceae</v>
          </cell>
        </row>
        <row r="21737">
          <cell r="G21737" t="str">
            <v>ASV20090</v>
          </cell>
          <cell r="H21737" t="str">
            <v>g__unclassified_c__Bacilli</v>
          </cell>
          <cell r="I21737" t="str">
            <v>s__unclassified_c__Bacilli</v>
          </cell>
        </row>
        <row r="21738">
          <cell r="G21738" t="str">
            <v>ASV18429</v>
          </cell>
          <cell r="H21738" t="str">
            <v>g__unclassified_c__Clostridia</v>
          </cell>
          <cell r="I21738" t="str">
            <v>s__unclassified_c__Clostridia</v>
          </cell>
        </row>
        <row r="21739">
          <cell r="G21739" t="str">
            <v>ASV14627</v>
          </cell>
          <cell r="H21739" t="str">
            <v>g__Lactobacillus</v>
          </cell>
          <cell r="I21739" t="str">
            <v>s__unclassified_g__Lactobacillus</v>
          </cell>
        </row>
        <row r="21740">
          <cell r="G21740" t="str">
            <v>ASV12409</v>
          </cell>
          <cell r="H21740" t="str">
            <v>g__unclassified_c__Bacilli</v>
          </cell>
          <cell r="I21740" t="str">
            <v>s__unclassified_c__Bacilli</v>
          </cell>
        </row>
        <row r="21741">
          <cell r="G21741" t="str">
            <v>ASV12376</v>
          </cell>
          <cell r="H21741" t="str">
            <v>g__unclassified_f__Lachnospiraceae</v>
          </cell>
          <cell r="I21741" t="str">
            <v>s__unclassified_f__Lachnospiraceae</v>
          </cell>
        </row>
        <row r="21742">
          <cell r="G21742" t="str">
            <v>ASV8240</v>
          </cell>
          <cell r="H21742" t="str">
            <v>g__unclassified_o__Peptostreptococcales-Tissierellales</v>
          </cell>
          <cell r="I21742" t="str">
            <v>s__unclassified_o__Peptostreptococcales-Tissierellales</v>
          </cell>
        </row>
        <row r="21743">
          <cell r="G21743" t="str">
            <v>ASV17095</v>
          </cell>
          <cell r="H21743" t="str">
            <v>g__unclassified_p__Firmicutes</v>
          </cell>
          <cell r="I21743" t="str">
            <v>s__unclassified_p__Firmicutes</v>
          </cell>
        </row>
        <row r="21744">
          <cell r="G21744" t="str">
            <v>ASV14809</v>
          </cell>
          <cell r="H21744" t="str">
            <v>g__unclassified_o__Oscillospirales</v>
          </cell>
          <cell r="I21744" t="str">
            <v>s__unclassified_o__Oscillospirales</v>
          </cell>
        </row>
        <row r="21745">
          <cell r="G21745" t="str">
            <v>ASV1148</v>
          </cell>
          <cell r="H21745" t="str">
            <v>g__unclassified_p__Firmicutes</v>
          </cell>
          <cell r="I21745" t="str">
            <v>s__unclassified_p__Firmicutes</v>
          </cell>
        </row>
        <row r="21746">
          <cell r="G21746" t="str">
            <v>ASV16603</v>
          </cell>
          <cell r="H21746" t="str">
            <v>g__Eubacterium</v>
          </cell>
          <cell r="I21746" t="str">
            <v>s__unclassified_g__Eubacterium</v>
          </cell>
        </row>
        <row r="21747">
          <cell r="G21747" t="str">
            <v>ASV2394</v>
          </cell>
          <cell r="H21747" t="str">
            <v>g__Enterococcus</v>
          </cell>
          <cell r="I21747" t="str">
            <v>s__unclassified_g__Enterococcus</v>
          </cell>
        </row>
        <row r="21748">
          <cell r="G21748" t="str">
            <v>ASV21336</v>
          </cell>
          <cell r="H21748" t="str">
            <v>g__Megasphaera</v>
          </cell>
          <cell r="I21748" t="str">
            <v>s__unclassified_g__Megasphaera</v>
          </cell>
        </row>
        <row r="21749">
          <cell r="G21749" t="str">
            <v>ASV19187</v>
          </cell>
          <cell r="H21749" t="str">
            <v>g__Arthrobacter</v>
          </cell>
          <cell r="I21749" t="str">
            <v>s__unclassified_g__Arthrobacter</v>
          </cell>
        </row>
        <row r="21750">
          <cell r="G21750" t="str">
            <v>ASV9705</v>
          </cell>
          <cell r="H21750" t="str">
            <v>g__Eubacterium_oxidoreducens_group</v>
          </cell>
          <cell r="I21750" t="str">
            <v>s__uncultured_bacterium_g__Eubacterium_oxidoreducens_group</v>
          </cell>
        </row>
        <row r="21751">
          <cell r="G21751" t="str">
            <v>ASV5142</v>
          </cell>
          <cell r="H21751" t="str">
            <v>g__unclassified_p__Firmicutes</v>
          </cell>
          <cell r="I21751" t="str">
            <v>s__unclassified_p__Firmicutes</v>
          </cell>
        </row>
        <row r="21752">
          <cell r="G21752" t="str">
            <v>ASV10884</v>
          </cell>
          <cell r="H21752" t="str">
            <v>g__unclassified_p__Firmicutes</v>
          </cell>
          <cell r="I21752" t="str">
            <v>s__unclassified_p__Firmicutes</v>
          </cell>
        </row>
        <row r="21753">
          <cell r="G21753" t="str">
            <v>ASV19989</v>
          </cell>
          <cell r="H21753" t="str">
            <v>g__Enterococcus</v>
          </cell>
          <cell r="I21753" t="str">
            <v>s__unclassified_g__Enterococcus</v>
          </cell>
        </row>
        <row r="21754">
          <cell r="G21754" t="str">
            <v>ASV2452</v>
          </cell>
          <cell r="H21754" t="str">
            <v>g__norank_f__Oscillospiraceae</v>
          </cell>
          <cell r="I21754" t="str">
            <v>s__Pseudoflavonifractor_sp._Marseille-P3106</v>
          </cell>
        </row>
        <row r="21755">
          <cell r="G21755" t="str">
            <v>ASV22581</v>
          </cell>
          <cell r="H21755" t="str">
            <v>g__Corynebacterium</v>
          </cell>
          <cell r="I21755" t="str">
            <v>s__Corynebacterium_testudinoris</v>
          </cell>
        </row>
        <row r="21756">
          <cell r="G21756" t="str">
            <v>ASV17119</v>
          </cell>
          <cell r="H21756" t="str">
            <v>g__unclassified_o__Oscillospirales</v>
          </cell>
          <cell r="I21756" t="str">
            <v>s__unclassified_o__Oscillospirales</v>
          </cell>
        </row>
        <row r="21757">
          <cell r="G21757" t="str">
            <v>ASV1199</v>
          </cell>
          <cell r="H21757" t="str">
            <v>g__unclassified_c__Clostridia</v>
          </cell>
          <cell r="I21757" t="str">
            <v>s__unclassified_c__Clostridia</v>
          </cell>
        </row>
        <row r="21758">
          <cell r="G21758" t="str">
            <v>ASV11073</v>
          </cell>
          <cell r="H21758" t="str">
            <v>g__unclassified_f__Peptostreptococcaceae</v>
          </cell>
          <cell r="I21758" t="str">
            <v>s__unclassified_f__Peptostreptococcaceae</v>
          </cell>
        </row>
        <row r="21759">
          <cell r="G21759" t="str">
            <v>ASV22557</v>
          </cell>
          <cell r="H21759" t="str">
            <v>g__unclassified_o__Oscillospirales</v>
          </cell>
          <cell r="I21759" t="str">
            <v>s__unclassified_o__Oscillospirales</v>
          </cell>
        </row>
        <row r="21760">
          <cell r="G21760" t="str">
            <v>ASV22669</v>
          </cell>
          <cell r="H21760" t="str">
            <v>g__Rikenellaceae_RC9_gut_group</v>
          </cell>
          <cell r="I21760" t="str">
            <v>s__uncultured_beta_proteobacterium_g__Rikenellaceae_RC9_gut_group</v>
          </cell>
        </row>
        <row r="21761">
          <cell r="G21761" t="str">
            <v>ASV12211</v>
          </cell>
          <cell r="H21761" t="str">
            <v>g__unclassified_c__Clostridia</v>
          </cell>
          <cell r="I21761" t="str">
            <v>s__unclassified_c__Clostridia</v>
          </cell>
        </row>
        <row r="21762">
          <cell r="G21762" t="str">
            <v>ASV22612</v>
          </cell>
          <cell r="H21762" t="str">
            <v>g__Clostridium_sensu_stricto_1</v>
          </cell>
          <cell r="I21762" t="str">
            <v>s__unclassified_g__Clostridium_sensu_stricto_1</v>
          </cell>
        </row>
        <row r="21763">
          <cell r="G21763" t="str">
            <v>ASV13751</v>
          </cell>
          <cell r="H21763" t="str">
            <v>g__Dialister</v>
          </cell>
          <cell r="I21763" t="str">
            <v>s__uncultured_bacterium_g__Dialister</v>
          </cell>
        </row>
        <row r="21764">
          <cell r="G21764" t="str">
            <v>ASV21007</v>
          </cell>
          <cell r="H21764" t="str">
            <v>g__Ruminococcus</v>
          </cell>
          <cell r="I21764" t="str">
            <v>s__unclassified_g__Ruminococcus</v>
          </cell>
        </row>
        <row r="21765">
          <cell r="G21765" t="str">
            <v>ASV15708</v>
          </cell>
          <cell r="H21765" t="str">
            <v>g__norank_f__Eubacterium_coprostanoligenes_group</v>
          </cell>
          <cell r="I21765" t="str">
            <v>s__uncultured_bacterium_g__norank_f__Eubacterium_coprostanoligenes_group</v>
          </cell>
        </row>
        <row r="21766">
          <cell r="G21766" t="str">
            <v>ASV23656</v>
          </cell>
          <cell r="H21766" t="str">
            <v>g__unclassified_o__Veillonellales-Selenomonadales</v>
          </cell>
          <cell r="I21766" t="str">
            <v>s__unclassified_o__Veillonellales-Selenomonadales</v>
          </cell>
        </row>
        <row r="21767">
          <cell r="G21767" t="str">
            <v>ASV13623</v>
          </cell>
          <cell r="H21767" t="str">
            <v>g__unclassified_f__Lachnospiraceae</v>
          </cell>
          <cell r="I21767" t="str">
            <v>s__unclassified_f__Lachnospiraceae</v>
          </cell>
        </row>
        <row r="21768">
          <cell r="G21768" t="str">
            <v>ASV4233</v>
          </cell>
          <cell r="H21768" t="str">
            <v>g__norank_f__Erysipelotrichaceae</v>
          </cell>
          <cell r="I21768" t="str">
            <v>s__uncultured_bacterium_g__norank_f__Erysipelotrichaceae</v>
          </cell>
        </row>
        <row r="21769">
          <cell r="G21769" t="str">
            <v>ASV19977</v>
          </cell>
          <cell r="H21769" t="str">
            <v>g__Christensenellaceae_R-7_group</v>
          </cell>
          <cell r="I21769" t="str">
            <v>s__unclassified_g__Christensenellaceae_R-7_group</v>
          </cell>
        </row>
        <row r="21770">
          <cell r="G21770" t="str">
            <v>ASV2436</v>
          </cell>
          <cell r="H21770" t="str">
            <v>g__norank_f__Eubacterium_coprostanoligenes_group</v>
          </cell>
          <cell r="I21770" t="str">
            <v>s__unclassified_g__norank_f__Eubacterium_coprostanoligenes_group</v>
          </cell>
        </row>
        <row r="21771">
          <cell r="G21771" t="str">
            <v>ASV10870</v>
          </cell>
          <cell r="H21771" t="str">
            <v>g__unclassified_c__Bacilli</v>
          </cell>
          <cell r="I21771" t="str">
            <v>s__unclassified_c__Bacilli</v>
          </cell>
        </row>
        <row r="21772">
          <cell r="G21772" t="str">
            <v>ASV17241</v>
          </cell>
          <cell r="H21772" t="str">
            <v>g__unclassified_c__Clostridia</v>
          </cell>
          <cell r="I21772" t="str">
            <v>s__unclassified_c__Clostridia</v>
          </cell>
        </row>
        <row r="21773">
          <cell r="G21773" t="str">
            <v>ASV18705</v>
          </cell>
          <cell r="H21773" t="str">
            <v>g__unclassified_f__Lachnospiraceae</v>
          </cell>
          <cell r="I21773" t="str">
            <v>s__unclassified_f__Lachnospiraceae</v>
          </cell>
        </row>
        <row r="21774">
          <cell r="G21774" t="str">
            <v>ASV1426</v>
          </cell>
          <cell r="H21774" t="str">
            <v>g__Christensenellaceae_R-7_group</v>
          </cell>
          <cell r="I21774" t="str">
            <v>s__unclassified_g__Christensenellaceae_R-7_group</v>
          </cell>
        </row>
        <row r="21775">
          <cell r="G21775" t="str">
            <v>ASV17318</v>
          </cell>
          <cell r="H21775" t="str">
            <v>g__norank_f__Ruminococcaceae</v>
          </cell>
          <cell r="I21775" t="str">
            <v>s__uncultured_bacterium_g__norank_f__Ruminococcaceae</v>
          </cell>
        </row>
        <row r="21776">
          <cell r="G21776" t="str">
            <v>ASV6955</v>
          </cell>
          <cell r="H21776" t="str">
            <v>g__unclassified_c__Clostridia</v>
          </cell>
          <cell r="I21776" t="str">
            <v>s__unclassified_c__Clostridia</v>
          </cell>
        </row>
        <row r="21777">
          <cell r="G21777" t="str">
            <v>ASV1122</v>
          </cell>
          <cell r="H21777" t="str">
            <v>g__unclassified_c__Bacilli</v>
          </cell>
          <cell r="I21777" t="str">
            <v>s__unclassified_c__Bacilli</v>
          </cell>
        </row>
        <row r="21778">
          <cell r="G21778" t="str">
            <v>ASV6848</v>
          </cell>
          <cell r="H21778" t="str">
            <v>g__Parabacteroides</v>
          </cell>
          <cell r="I21778" t="str">
            <v>s__unclassified_g__Parabacteroides</v>
          </cell>
        </row>
        <row r="21779">
          <cell r="G21779" t="str">
            <v>ASV8057</v>
          </cell>
          <cell r="H21779" t="str">
            <v>g__norank_f__F082</v>
          </cell>
          <cell r="I21779" t="str">
            <v>s__uncultured_bacterium_g__norank_f__F082</v>
          </cell>
        </row>
        <row r="21780">
          <cell r="G21780" t="str">
            <v>ASV1424</v>
          </cell>
          <cell r="H21780" t="str">
            <v>g__Rikenellaceae_RC9_gut_group</v>
          </cell>
          <cell r="I21780" t="str">
            <v>s__uncultured_bacterium_g__Rikenellaceae_RC9_gut_group</v>
          </cell>
        </row>
        <row r="21781">
          <cell r="G21781" t="str">
            <v>ASV17639</v>
          </cell>
          <cell r="H21781" t="str">
            <v>g__Anaerovibrio</v>
          </cell>
          <cell r="I21781" t="str">
            <v>s__Anaerovibrio_sp._765</v>
          </cell>
        </row>
        <row r="21782">
          <cell r="G21782" t="str">
            <v>ASV2460</v>
          </cell>
          <cell r="H21782" t="str">
            <v>g__unclassified_f__Lachnospiraceae</v>
          </cell>
          <cell r="I21782" t="str">
            <v>s__unclassified_f__Lachnospiraceae</v>
          </cell>
        </row>
        <row r="21783">
          <cell r="G21783" t="str">
            <v>ASV9107</v>
          </cell>
          <cell r="H21783" t="str">
            <v>g__Streptococcus</v>
          </cell>
          <cell r="I21783" t="str">
            <v>s__unclassified_g__Streptococcus</v>
          </cell>
        </row>
        <row r="21784">
          <cell r="G21784" t="str">
            <v>ASV12490</v>
          </cell>
          <cell r="H21784" t="str">
            <v>g__unclassified_f__Lachnospiraceae</v>
          </cell>
          <cell r="I21784" t="str">
            <v>s__unclassified_f__Lachnospiraceae</v>
          </cell>
        </row>
        <row r="21785">
          <cell r="G21785" t="str">
            <v>ASV10913</v>
          </cell>
          <cell r="H21785" t="str">
            <v>g__unclassified_p__Firmicutes</v>
          </cell>
          <cell r="I21785" t="str">
            <v>s__unclassified_p__Firmicutes</v>
          </cell>
        </row>
        <row r="21786">
          <cell r="G21786" t="str">
            <v>ASV14579</v>
          </cell>
          <cell r="H21786" t="str">
            <v>g__Lactobacillus</v>
          </cell>
          <cell r="I21786" t="str">
            <v>s__unclassified_g__Lactobacillus</v>
          </cell>
        </row>
        <row r="21787">
          <cell r="G21787" t="str">
            <v>ASV21528</v>
          </cell>
          <cell r="H21787" t="str">
            <v>g__unclassified_f__Anaerovoracaceae</v>
          </cell>
          <cell r="I21787" t="str">
            <v>s__unclassified_f__Anaerovoracaceae</v>
          </cell>
        </row>
        <row r="21788">
          <cell r="G21788" t="str">
            <v>ASV9666</v>
          </cell>
          <cell r="H21788" t="str">
            <v>g__unclassified_o__Oscillospirales</v>
          </cell>
          <cell r="I21788" t="str">
            <v>s__unclassified_o__Oscillospirales</v>
          </cell>
        </row>
        <row r="21789">
          <cell r="G21789" t="str">
            <v>ASV24011</v>
          </cell>
          <cell r="H21789" t="str">
            <v>g__Escherichia-Shigella</v>
          </cell>
          <cell r="I21789" t="str">
            <v>s__unclassified_g__Escherichia-Shigella</v>
          </cell>
        </row>
        <row r="21790">
          <cell r="G21790" t="str">
            <v>ASV5179</v>
          </cell>
          <cell r="H21790" t="str">
            <v>g__unclassified_k__norank_d__Bacteria</v>
          </cell>
          <cell r="I21790" t="str">
            <v>s__unclassified_k__norank_d__Bacteria</v>
          </cell>
        </row>
        <row r="21791">
          <cell r="G21791" t="str">
            <v>ASV5266</v>
          </cell>
          <cell r="H21791" t="str">
            <v>g__unclassified_c__Clostridia</v>
          </cell>
          <cell r="I21791" t="str">
            <v>s__unclassified_c__Clostridia</v>
          </cell>
        </row>
        <row r="21792">
          <cell r="G21792" t="str">
            <v>ASV13560</v>
          </cell>
          <cell r="H21792" t="str">
            <v>g__Subdoligranulum</v>
          </cell>
          <cell r="I21792" t="str">
            <v>s__uncultured_bacterium_g__Subdoligranulum</v>
          </cell>
        </row>
        <row r="21793">
          <cell r="G21793" t="str">
            <v>ASV23803</v>
          </cell>
          <cell r="H21793" t="str">
            <v>g__Coprococcus</v>
          </cell>
          <cell r="I21793" t="str">
            <v>s__unclassified_g__Coprococcus</v>
          </cell>
        </row>
        <row r="21794">
          <cell r="G21794" t="str">
            <v>ASV20301</v>
          </cell>
          <cell r="H21794" t="str">
            <v>g__unclassified_f__Lachnospiraceae</v>
          </cell>
          <cell r="I21794" t="str">
            <v>s__unclassified_f__Lachnospiraceae</v>
          </cell>
        </row>
        <row r="21795">
          <cell r="G21795" t="str">
            <v>ASV24261</v>
          </cell>
          <cell r="H21795" t="str">
            <v>g__unclassified_c__Clostridia</v>
          </cell>
          <cell r="I21795" t="str">
            <v>s__unclassified_c__Clostridia</v>
          </cell>
        </row>
        <row r="21796">
          <cell r="G21796" t="str">
            <v>ASV23806</v>
          </cell>
          <cell r="H21796" t="str">
            <v>g__Cellulosilyticum</v>
          </cell>
          <cell r="I21796" t="str">
            <v>s__uncultured_bacterium_g__Cellulosilyticum</v>
          </cell>
        </row>
        <row r="21797">
          <cell r="G21797" t="str">
            <v>ASV12187</v>
          </cell>
          <cell r="H21797" t="str">
            <v>g__Prevotella</v>
          </cell>
          <cell r="I21797" t="str">
            <v>s__unclassified_g__Prevotella</v>
          </cell>
        </row>
        <row r="21798">
          <cell r="G21798" t="str">
            <v>ASV1383</v>
          </cell>
          <cell r="H21798" t="str">
            <v>g__unclassified_f__Lachnospiraceae</v>
          </cell>
          <cell r="I21798" t="str">
            <v>s__unclassified_f__Lachnospiraceae</v>
          </cell>
        </row>
        <row r="21799">
          <cell r="G21799" t="str">
            <v>ASV21693</v>
          </cell>
          <cell r="H21799" t="str">
            <v>g__Escherichia-Shigella</v>
          </cell>
          <cell r="I21799" t="str">
            <v>s__unclassified_g__Escherichia-Shigella</v>
          </cell>
        </row>
        <row r="21800">
          <cell r="G21800" t="str">
            <v>ASV9121</v>
          </cell>
          <cell r="H21800" t="str">
            <v>g__Lactobacillus</v>
          </cell>
          <cell r="I21800" t="str">
            <v>s__unclassified_g__Lactobacillus</v>
          </cell>
        </row>
        <row r="21801">
          <cell r="G21801" t="str">
            <v>ASV1779</v>
          </cell>
          <cell r="H21801" t="str">
            <v>g__Collinsella</v>
          </cell>
          <cell r="I21801" t="str">
            <v>s__uncultured_bacterium_g__Collinsella</v>
          </cell>
        </row>
        <row r="21802">
          <cell r="G21802" t="str">
            <v>ASV12251</v>
          </cell>
          <cell r="H21802" t="str">
            <v>g__unclassified_c__Clostridia</v>
          </cell>
          <cell r="I21802" t="str">
            <v>s__unclassified_c__Clostridia</v>
          </cell>
        </row>
        <row r="21803">
          <cell r="G21803" t="str">
            <v>ASV18363</v>
          </cell>
          <cell r="H21803" t="str">
            <v>g__Ruminococcus</v>
          </cell>
          <cell r="I21803" t="str">
            <v>s__unclassified_g__Ruminococcus</v>
          </cell>
        </row>
        <row r="21804">
          <cell r="G21804" t="str">
            <v>ASV1508</v>
          </cell>
          <cell r="H21804" t="str">
            <v>g__unclassified_f__Lachnospiraceae</v>
          </cell>
          <cell r="I21804" t="str">
            <v>s__unclassified_f__Lachnospiraceae</v>
          </cell>
        </row>
        <row r="21805">
          <cell r="G21805" t="str">
            <v>ASV3538</v>
          </cell>
          <cell r="H21805" t="str">
            <v>g__unclassified_o__Lactobacillales</v>
          </cell>
          <cell r="I21805" t="str">
            <v>s__unclassified_o__Lactobacillales</v>
          </cell>
        </row>
        <row r="21806">
          <cell r="G21806" t="str">
            <v>ASV9686</v>
          </cell>
          <cell r="H21806" t="str">
            <v>g__UCG-002</v>
          </cell>
          <cell r="I21806" t="str">
            <v>s__uncultured_bacterium_g__UCG-002</v>
          </cell>
        </row>
        <row r="21807">
          <cell r="G21807" t="str">
            <v>ASV8051</v>
          </cell>
          <cell r="H21807" t="str">
            <v>g__unclassified_o__Lachnospirales</v>
          </cell>
          <cell r="I21807" t="str">
            <v>s__unclassified_o__Lachnospirales</v>
          </cell>
        </row>
        <row r="21808">
          <cell r="G21808" t="str">
            <v>ASV8732</v>
          </cell>
          <cell r="H21808" t="str">
            <v>g__Propionivibrio</v>
          </cell>
          <cell r="I21808" t="str">
            <v>s__Propionivibrio_sp._canine_oral_taxon_223</v>
          </cell>
        </row>
        <row r="21809">
          <cell r="G21809" t="str">
            <v>ASV5333</v>
          </cell>
          <cell r="H21809" t="str">
            <v>g__unclassified_f__Prevotellaceae</v>
          </cell>
          <cell r="I21809" t="str">
            <v>s__unclassified_f__Prevotellaceae</v>
          </cell>
        </row>
        <row r="21810">
          <cell r="G21810" t="str">
            <v>ASV9803</v>
          </cell>
          <cell r="H21810" t="str">
            <v>g__unclassified_o__Oscillospirales</v>
          </cell>
          <cell r="I21810" t="str">
            <v>s__unclassified_o__Oscillospirales</v>
          </cell>
        </row>
        <row r="21811">
          <cell r="G21811" t="str">
            <v>ASV12289</v>
          </cell>
          <cell r="H21811" t="str">
            <v>g__Christensenellaceae_R-7_group</v>
          </cell>
          <cell r="I21811" t="str">
            <v>s__unclassified_g__Christensenellaceae_R-7_group</v>
          </cell>
        </row>
        <row r="21812">
          <cell r="G21812" t="str">
            <v>ASV14775</v>
          </cell>
          <cell r="H21812" t="str">
            <v>g__unclassified_f__Lachnospiraceae</v>
          </cell>
          <cell r="I21812" t="str">
            <v>s__unclassified_f__Lachnospiraceae</v>
          </cell>
        </row>
        <row r="21813">
          <cell r="G21813" t="str">
            <v>ASV10872</v>
          </cell>
          <cell r="H21813" t="str">
            <v>g__unclassified_o__Oscillospirales</v>
          </cell>
          <cell r="I21813" t="str">
            <v>s__unclassified_o__Oscillospirales</v>
          </cell>
        </row>
        <row r="21814">
          <cell r="G21814" t="str">
            <v>ASV21756</v>
          </cell>
          <cell r="H21814" t="str">
            <v>g__Proteocatella</v>
          </cell>
          <cell r="I21814" t="str">
            <v>s__uncultured_Clostridiales_bacterium_g__Proteocatella</v>
          </cell>
        </row>
        <row r="21815">
          <cell r="G21815" t="str">
            <v>ASV4327</v>
          </cell>
          <cell r="H21815" t="str">
            <v>g__unclassified_c__Clostridia</v>
          </cell>
          <cell r="I21815" t="str">
            <v>s__unclassified_c__Clostridia</v>
          </cell>
        </row>
        <row r="21816">
          <cell r="G21816" t="str">
            <v>ASV18675</v>
          </cell>
          <cell r="H21816" t="str">
            <v>g__unclassified_f__Peptostreptococcaceae</v>
          </cell>
          <cell r="I21816" t="str">
            <v>s__unclassified_f__Peptostreptococcaceae</v>
          </cell>
        </row>
        <row r="21817">
          <cell r="G21817" t="str">
            <v>ASV1095</v>
          </cell>
          <cell r="H21817" t="str">
            <v>g__unclassified_c__Clostridia</v>
          </cell>
          <cell r="I21817" t="str">
            <v>s__unclassified_c__Clostridia</v>
          </cell>
        </row>
        <row r="21818">
          <cell r="G21818" t="str">
            <v>ASV2458</v>
          </cell>
          <cell r="H21818" t="str">
            <v>g__unclassified_o__Oscillospirales</v>
          </cell>
          <cell r="I21818" t="str">
            <v>s__unclassified_o__Oscillospirales</v>
          </cell>
        </row>
        <row r="21819">
          <cell r="G21819" t="str">
            <v>ASV19116</v>
          </cell>
          <cell r="H21819" t="str">
            <v>g__norank_f__Oscillospiraceae</v>
          </cell>
          <cell r="I21819" t="str">
            <v>s__unclassified_g__norank_f__Oscillospiraceae</v>
          </cell>
        </row>
        <row r="21820">
          <cell r="G21820" t="str">
            <v>ASV12402</v>
          </cell>
          <cell r="H21820" t="str">
            <v>g__unclassified_f__Anaerovoracaceae</v>
          </cell>
          <cell r="I21820" t="str">
            <v>s__unclassified_f__Anaerovoracaceae</v>
          </cell>
        </row>
        <row r="21821">
          <cell r="G21821" t="str">
            <v>ASV19106</v>
          </cell>
          <cell r="H21821" t="str">
            <v>g__unclassified_k__norank_d__Bacteria</v>
          </cell>
          <cell r="I21821" t="str">
            <v>s__unclassified_k__norank_d__Bacteria</v>
          </cell>
        </row>
        <row r="21822">
          <cell r="G21822" t="str">
            <v>ASV3523</v>
          </cell>
          <cell r="H21822" t="str">
            <v>g__unclassified_k__norank_d__Bacteria</v>
          </cell>
          <cell r="I21822" t="str">
            <v>s__unclassified_k__norank_d__Bacteria</v>
          </cell>
        </row>
        <row r="21823">
          <cell r="G21823" t="str">
            <v>ASV1415</v>
          </cell>
          <cell r="H21823" t="str">
            <v>g__unclassified_f__Anaerovoracaceae</v>
          </cell>
          <cell r="I21823" t="str">
            <v>s__unclassified_f__Anaerovoracaceae</v>
          </cell>
        </row>
        <row r="21824">
          <cell r="G21824" t="str">
            <v>ASV24030</v>
          </cell>
          <cell r="H21824" t="str">
            <v>g__unclassified_f__Lachnospiraceae</v>
          </cell>
          <cell r="I21824" t="str">
            <v>s__unclassified_f__Lachnospiraceae</v>
          </cell>
        </row>
        <row r="21825">
          <cell r="G21825" t="str">
            <v>ASV9672</v>
          </cell>
          <cell r="H21825" t="str">
            <v>g__unclassified_f__Lachnospiraceae</v>
          </cell>
          <cell r="I21825" t="str">
            <v>s__unclassified_f__Lachnospiraceae</v>
          </cell>
        </row>
        <row r="21826">
          <cell r="G21826" t="str">
            <v>ASV3292</v>
          </cell>
          <cell r="H21826" t="str">
            <v>g__unclassified_f__Lachnospiraceae</v>
          </cell>
          <cell r="I21826" t="str">
            <v>s__unclassified_f__Lachnospiraceae</v>
          </cell>
        </row>
        <row r="21827">
          <cell r="G21827" t="str">
            <v>ASV20157</v>
          </cell>
          <cell r="H21827" t="str">
            <v>g__unclassified_f__Lachnospiraceae</v>
          </cell>
          <cell r="I21827" t="str">
            <v>s__unclassified_f__Lachnospiraceae</v>
          </cell>
        </row>
        <row r="21828">
          <cell r="G21828" t="str">
            <v>ASV17036</v>
          </cell>
          <cell r="H21828" t="str">
            <v>g__Faecalibacterium</v>
          </cell>
          <cell r="I21828" t="str">
            <v>s__unclassified_g__Faecalibacterium</v>
          </cell>
        </row>
        <row r="21829">
          <cell r="G21829" t="str">
            <v>ASV18764</v>
          </cell>
          <cell r="H21829" t="str">
            <v>g__norank_f__JG30-KF-CM45</v>
          </cell>
          <cell r="I21829" t="str">
            <v>s__bacterium_QTYC46b</v>
          </cell>
        </row>
        <row r="21830">
          <cell r="G21830" t="str">
            <v>ASV15749</v>
          </cell>
          <cell r="H21830" t="str">
            <v>g__unclassified_f__Lachnospiraceae</v>
          </cell>
          <cell r="I21830" t="str">
            <v>s__unclassified_f__Lachnospiraceae</v>
          </cell>
        </row>
        <row r="21831">
          <cell r="G21831" t="str">
            <v>ASV13615</v>
          </cell>
          <cell r="H21831" t="str">
            <v>g__unclassified_f__Lachnospiraceae</v>
          </cell>
          <cell r="I21831" t="str">
            <v>s__unclassified_f__Lachnospiraceae</v>
          </cell>
        </row>
        <row r="21832">
          <cell r="G21832" t="str">
            <v>ASV14702</v>
          </cell>
          <cell r="H21832" t="str">
            <v>g__unclassified_c__Clostridia</v>
          </cell>
          <cell r="I21832" t="str">
            <v>s__unclassified_c__Clostridia</v>
          </cell>
        </row>
        <row r="21833">
          <cell r="G21833" t="str">
            <v>ASV15562</v>
          </cell>
          <cell r="H21833" t="str">
            <v>g__Akkermansia</v>
          </cell>
          <cell r="I21833" t="str">
            <v>s__uncultured_bacterium_g__Akkermansia</v>
          </cell>
        </row>
        <row r="21834">
          <cell r="G21834" t="str">
            <v>ASV22772</v>
          </cell>
          <cell r="H21834" t="str">
            <v>g__unclassified_c__Clostridia</v>
          </cell>
          <cell r="I21834" t="str">
            <v>s__unclassified_c__Clostridia</v>
          </cell>
        </row>
        <row r="21835">
          <cell r="G21835" t="str">
            <v>ASV1360</v>
          </cell>
          <cell r="H21835" t="str">
            <v>g__unclassified_f__Lachnospiraceae</v>
          </cell>
          <cell r="I21835" t="str">
            <v>s__unclassified_f__Lachnospiraceae</v>
          </cell>
        </row>
        <row r="21836">
          <cell r="G21836" t="str">
            <v>ASV22621</v>
          </cell>
          <cell r="H21836" t="str">
            <v>g__unclassified_p__Firmicutes</v>
          </cell>
          <cell r="I21836" t="str">
            <v>s__unclassified_p__Firmicutes</v>
          </cell>
        </row>
        <row r="21837">
          <cell r="G21837" t="str">
            <v>ASV12246</v>
          </cell>
          <cell r="H21837" t="str">
            <v>g__Akkermansia</v>
          </cell>
          <cell r="I21837" t="str">
            <v>s__uncultured_bacterium_g__Akkermansia</v>
          </cell>
        </row>
        <row r="21838">
          <cell r="G21838" t="str">
            <v>ASV18259</v>
          </cell>
          <cell r="H21838" t="str">
            <v>g__Prevotellaceae_UCG-001</v>
          </cell>
          <cell r="I21838" t="str">
            <v>s__unclassified_g__Prevotellaceae_UCG-001</v>
          </cell>
        </row>
        <row r="21839">
          <cell r="G21839" t="str">
            <v>ASV12395</v>
          </cell>
          <cell r="H21839" t="str">
            <v>g__unclassified_c__Clostridia</v>
          </cell>
          <cell r="I21839" t="str">
            <v>s__unclassified_c__Clostridia</v>
          </cell>
        </row>
        <row r="21840">
          <cell r="G21840" t="str">
            <v>ASV17539</v>
          </cell>
          <cell r="H21840" t="str">
            <v>g__unclassified_f__Lachnospiraceae</v>
          </cell>
          <cell r="I21840" t="str">
            <v>s__unclassified_f__Lachnospiraceae</v>
          </cell>
        </row>
        <row r="21841">
          <cell r="G21841" t="str">
            <v>ASV13607</v>
          </cell>
          <cell r="H21841" t="str">
            <v>g__Streptococcus</v>
          </cell>
          <cell r="I21841" t="str">
            <v>s__unclassified_g__Streptococcus</v>
          </cell>
        </row>
        <row r="21842">
          <cell r="G21842" t="str">
            <v>ASV21381</v>
          </cell>
          <cell r="H21842" t="str">
            <v>g__Lactobacillus</v>
          </cell>
          <cell r="I21842" t="str">
            <v>s__unclassified_g__Lactobacillus</v>
          </cell>
        </row>
        <row r="21843">
          <cell r="G21843" t="str">
            <v>ASV24346</v>
          </cell>
          <cell r="H21843" t="str">
            <v>g__Campylobacter</v>
          </cell>
          <cell r="I21843" t="str">
            <v>s__unclassified_g__Campylobacter</v>
          </cell>
        </row>
        <row r="21844">
          <cell r="G21844" t="str">
            <v>ASV13860</v>
          </cell>
          <cell r="H21844" t="str">
            <v>g__Streptococcus</v>
          </cell>
          <cell r="I21844" t="str">
            <v>s__unclassified_g__Streptococcus</v>
          </cell>
        </row>
        <row r="21845">
          <cell r="G21845" t="str">
            <v>ASV19984</v>
          </cell>
          <cell r="H21845" t="str">
            <v>g__unclassified_f__Lachnospiraceae</v>
          </cell>
          <cell r="I21845" t="str">
            <v>s__unclassified_f__Lachnospiraceae</v>
          </cell>
        </row>
        <row r="21846">
          <cell r="G21846" t="str">
            <v>ASV12043</v>
          </cell>
          <cell r="H21846" t="str">
            <v>g__unclassified_k__norank_d__Bacteria</v>
          </cell>
          <cell r="I21846" t="str">
            <v>s__unclassified_k__norank_d__Bacteria</v>
          </cell>
        </row>
        <row r="21847">
          <cell r="G21847" t="str">
            <v>ASV19139</v>
          </cell>
          <cell r="H21847" t="str">
            <v>g__norank_f__Eubacterium_coprostanoligenes_group</v>
          </cell>
          <cell r="I21847" t="str">
            <v>s__uncultured_bacterium_g__norank_f__Eubacterium_coprostanoligenes_group</v>
          </cell>
        </row>
        <row r="21848">
          <cell r="G21848" t="str">
            <v>ASV19021</v>
          </cell>
          <cell r="H21848" t="str">
            <v>g__UCG-002</v>
          </cell>
          <cell r="I21848" t="str">
            <v>s__unclassified_g__UCG-002</v>
          </cell>
        </row>
        <row r="21849">
          <cell r="G21849" t="str">
            <v>ASV15569</v>
          </cell>
          <cell r="H21849" t="str">
            <v>g__Enterococcus</v>
          </cell>
          <cell r="I21849" t="str">
            <v>s__unclassified_g__Enterococcus</v>
          </cell>
        </row>
        <row r="21850">
          <cell r="G21850" t="str">
            <v>ASV4252</v>
          </cell>
          <cell r="H21850" t="str">
            <v>g__norank_f__Oscillospiraceae</v>
          </cell>
          <cell r="I21850" t="str">
            <v>s__uncultured_bacterium_g__norank_f__Oscillospiraceae</v>
          </cell>
        </row>
        <row r="21851">
          <cell r="G21851" t="str">
            <v>ASV20165</v>
          </cell>
          <cell r="H21851" t="str">
            <v>g__UCG-005</v>
          </cell>
          <cell r="I21851" t="str">
            <v>s__unclassified_g__UCG-005</v>
          </cell>
        </row>
        <row r="21852">
          <cell r="G21852" t="str">
            <v>ASV17235</v>
          </cell>
          <cell r="H21852" t="str">
            <v>g__unclassified_c__Clostridia</v>
          </cell>
          <cell r="I21852" t="str">
            <v>s__unclassified_c__Clostridia</v>
          </cell>
        </row>
        <row r="21853">
          <cell r="G21853" t="str">
            <v>ASV20110</v>
          </cell>
          <cell r="H21853" t="str">
            <v>g__Parabacteroides</v>
          </cell>
          <cell r="I21853" t="str">
            <v>s__Porphyromonadaceae_bacterium_DJF_B175</v>
          </cell>
        </row>
        <row r="21854">
          <cell r="G21854" t="str">
            <v>ASV13629</v>
          </cell>
          <cell r="H21854" t="str">
            <v>g__unclassified_c__Clostridia</v>
          </cell>
          <cell r="I21854" t="str">
            <v>s__unclassified_c__Clostridia</v>
          </cell>
        </row>
        <row r="21855">
          <cell r="G21855" t="str">
            <v>ASV9832</v>
          </cell>
          <cell r="H21855" t="str">
            <v>g__Lactobacillus</v>
          </cell>
          <cell r="I21855" t="str">
            <v>s__unclassified_g__Lactobacillus</v>
          </cell>
        </row>
        <row r="21856">
          <cell r="G21856" t="str">
            <v>ASV19130</v>
          </cell>
          <cell r="H21856" t="str">
            <v>g__Lactobacillus</v>
          </cell>
          <cell r="I21856" t="str">
            <v>s__unclassified_g__Lactobacillus</v>
          </cell>
        </row>
        <row r="21857">
          <cell r="G21857" t="str">
            <v>ASV18994</v>
          </cell>
          <cell r="H21857" t="str">
            <v>g__Howardella</v>
          </cell>
          <cell r="I21857" t="str">
            <v>s__unclassified_g__Howardella</v>
          </cell>
        </row>
        <row r="21858">
          <cell r="G21858" t="str">
            <v>ASV4229</v>
          </cell>
          <cell r="H21858" t="str">
            <v>g__Faecalicoccus</v>
          </cell>
          <cell r="I21858" t="str">
            <v>s__unclassified_g__Faecalicoccus</v>
          </cell>
        </row>
        <row r="21859">
          <cell r="G21859" t="str">
            <v>ASV8865</v>
          </cell>
          <cell r="H21859" t="str">
            <v>g__Megasphaera</v>
          </cell>
          <cell r="I21859" t="str">
            <v>s__unclassified_g__Megasphaera</v>
          </cell>
        </row>
        <row r="21860">
          <cell r="G21860" t="str">
            <v>ASV14660</v>
          </cell>
          <cell r="H21860" t="str">
            <v>g__Lachnospiraceae_UCG-004</v>
          </cell>
          <cell r="I21860" t="str">
            <v>s__uncultured_bacterium_g__Lachnospiraceae_UCG-004</v>
          </cell>
        </row>
        <row r="21861">
          <cell r="G21861" t="str">
            <v>ASV14807</v>
          </cell>
          <cell r="H21861" t="str">
            <v>g__unclassified_o__Oscillospirales</v>
          </cell>
          <cell r="I21861" t="str">
            <v>s__unclassified_o__Oscillospirales</v>
          </cell>
        </row>
        <row r="21862">
          <cell r="G21862" t="str">
            <v>ASV24296</v>
          </cell>
          <cell r="H21862" t="str">
            <v>g__norank_f__Ruminococcaceae</v>
          </cell>
          <cell r="I21862" t="str">
            <v>s__unclassified_g__norank_f__Ruminococcaceae</v>
          </cell>
        </row>
        <row r="21863">
          <cell r="G21863" t="str">
            <v>ASV22639</v>
          </cell>
          <cell r="H21863" t="str">
            <v>g__unclassified_o__Oscillospirales</v>
          </cell>
          <cell r="I21863" t="str">
            <v>s__unclassified_o__Oscillospirales</v>
          </cell>
        </row>
        <row r="21864">
          <cell r="G21864" t="str">
            <v>ASV5188</v>
          </cell>
          <cell r="H21864" t="str">
            <v>g__unclassified_f__Lachnospiraceae</v>
          </cell>
          <cell r="I21864" t="str">
            <v>s__unclassified_f__Lachnospiraceae</v>
          </cell>
        </row>
        <row r="21865">
          <cell r="G21865" t="str">
            <v>ASV8246</v>
          </cell>
          <cell r="H21865" t="str">
            <v>g__unclassified_o__Oscillospirales</v>
          </cell>
          <cell r="I21865" t="str">
            <v>s__unclassified_o__Oscillospirales</v>
          </cell>
        </row>
        <row r="21866">
          <cell r="G21866" t="str">
            <v>ASV1457</v>
          </cell>
          <cell r="H21866" t="str">
            <v>g__norank_f__Ruminococcaceae</v>
          </cell>
          <cell r="I21866" t="str">
            <v>s__unclassified_g__norank_f__Ruminococcaceae</v>
          </cell>
        </row>
        <row r="21867">
          <cell r="G21867" t="str">
            <v>ASV14587</v>
          </cell>
          <cell r="H21867" t="str">
            <v>g__Erysipelotrichaceae_UCG-003</v>
          </cell>
          <cell r="I21867" t="str">
            <v>s__unclassified_g__Erysipelotrichaceae_UCG-003</v>
          </cell>
        </row>
        <row r="21868">
          <cell r="G21868" t="str">
            <v>ASV21511</v>
          </cell>
          <cell r="H21868" t="str">
            <v>g__unclassified_c__Clostridia</v>
          </cell>
          <cell r="I21868" t="str">
            <v>s__unclassified_c__Clostridia</v>
          </cell>
        </row>
        <row r="21869">
          <cell r="G21869" t="str">
            <v>ASV12320</v>
          </cell>
          <cell r="H21869" t="str">
            <v>g__unclassified_k__norank_d__Bacteria</v>
          </cell>
          <cell r="I21869" t="str">
            <v>s__unclassified_k__norank_d__Bacteria</v>
          </cell>
        </row>
        <row r="21870">
          <cell r="G21870" t="str">
            <v>ASV13085</v>
          </cell>
          <cell r="H21870" t="str">
            <v>g__unclassified_f__Lachnospiraceae</v>
          </cell>
          <cell r="I21870" t="str">
            <v>s__unclassified_f__Lachnospiraceae</v>
          </cell>
        </row>
        <row r="21871">
          <cell r="G21871" t="str">
            <v>ASV23544</v>
          </cell>
          <cell r="H21871" t="str">
            <v>g__Monoglobus</v>
          </cell>
          <cell r="I21871" t="str">
            <v>s__uncultured_bacterium_g__Monoglobus</v>
          </cell>
        </row>
        <row r="21872">
          <cell r="G21872" t="str">
            <v>ASV9706</v>
          </cell>
          <cell r="H21872" t="str">
            <v>g__norank_f__Erysipelotrichaceae</v>
          </cell>
          <cell r="I21872" t="str">
            <v>s__uncultured_bacterium_g__norank_f__Erysipelotrichaceae</v>
          </cell>
        </row>
        <row r="21873">
          <cell r="G21873" t="str">
            <v>ASV8071</v>
          </cell>
          <cell r="H21873" t="str">
            <v>g__unclassified_c__Clostridia</v>
          </cell>
          <cell r="I21873" t="str">
            <v>s__unclassified_c__Clostridia</v>
          </cell>
        </row>
        <row r="21874">
          <cell r="G21874" t="str">
            <v>ASV1345</v>
          </cell>
          <cell r="H21874" t="str">
            <v>g__unclassified_c__Clostridia</v>
          </cell>
          <cell r="I21874" t="str">
            <v>s__unclassified_c__Clostridia</v>
          </cell>
        </row>
        <row r="21875">
          <cell r="G21875" t="str">
            <v>ASV24319</v>
          </cell>
          <cell r="H21875" t="str">
            <v>g__unclassified_f__Ruminococcaceae</v>
          </cell>
          <cell r="I21875" t="str">
            <v>s__unclassified_f__Ruminococcaceae</v>
          </cell>
        </row>
        <row r="21876">
          <cell r="G21876" t="str">
            <v>ASV24004</v>
          </cell>
          <cell r="H21876" t="str">
            <v>g__Bacteroides</v>
          </cell>
          <cell r="I21876" t="str">
            <v>s__unclassified_g__Bacteroides</v>
          </cell>
        </row>
        <row r="21877">
          <cell r="G21877" t="str">
            <v>ASV13181</v>
          </cell>
          <cell r="H21877" t="str">
            <v>g__unclassified_c__Clostridia</v>
          </cell>
          <cell r="I21877" t="str">
            <v>s__unclassified_c__Clostridia</v>
          </cell>
        </row>
        <row r="21878">
          <cell r="G21878" t="str">
            <v>ASV19906</v>
          </cell>
          <cell r="H21878" t="str">
            <v>g__Prevotella</v>
          </cell>
          <cell r="I21878" t="str">
            <v>s__uncultured_bacterium_g__Prevotella</v>
          </cell>
        </row>
        <row r="21879">
          <cell r="G21879" t="str">
            <v>ASV14592</v>
          </cell>
          <cell r="H21879" t="str">
            <v>g__unclassified_f__Lachnospiraceae</v>
          </cell>
          <cell r="I21879" t="str">
            <v>s__unclassified_f__Lachnospiraceae</v>
          </cell>
        </row>
        <row r="21880">
          <cell r="G21880" t="str">
            <v>ASV22812</v>
          </cell>
          <cell r="H21880" t="str">
            <v>g__Eubacterium_hallii_group</v>
          </cell>
          <cell r="I21880" t="str">
            <v>s__unclassified_g__Eubacterium_hallii_group</v>
          </cell>
        </row>
        <row r="21881">
          <cell r="G21881" t="str">
            <v>ASV14647</v>
          </cell>
          <cell r="H21881" t="str">
            <v>g__unclassified_k__norank_d__Bacteria</v>
          </cell>
          <cell r="I21881" t="str">
            <v>s__unclassified_k__norank_d__Bacteria</v>
          </cell>
        </row>
        <row r="21882">
          <cell r="G21882" t="str">
            <v>ASV9111</v>
          </cell>
          <cell r="H21882" t="str">
            <v>g__Bacteroides</v>
          </cell>
          <cell r="I21882" t="str">
            <v>s__unclassified_g__Bacteroides</v>
          </cell>
        </row>
        <row r="21883">
          <cell r="G21883" t="str">
            <v>ASV15858</v>
          </cell>
          <cell r="H21883" t="str">
            <v>g__unclassified_c__Clostridia</v>
          </cell>
          <cell r="I21883" t="str">
            <v>s__unclassified_c__Clostridia</v>
          </cell>
        </row>
        <row r="21884">
          <cell r="G21884" t="str">
            <v>ASV23559</v>
          </cell>
          <cell r="H21884" t="str">
            <v>g__Veillonella</v>
          </cell>
          <cell r="I21884" t="str">
            <v>s__unclassified_g__Veillonella</v>
          </cell>
        </row>
        <row r="21885">
          <cell r="G21885" t="str">
            <v>ASV19107</v>
          </cell>
          <cell r="H21885" t="str">
            <v>g__Streptococcus</v>
          </cell>
          <cell r="I21885" t="str">
            <v>s__unclassified_g__Streptococcus</v>
          </cell>
        </row>
        <row r="21886">
          <cell r="G21886" t="str">
            <v>ASV19916</v>
          </cell>
          <cell r="H21886" t="str">
            <v>g__unclassified_f__Eggerthellaceae</v>
          </cell>
          <cell r="I21886" t="str">
            <v>s__unclassified_f__Eggerthellaceae</v>
          </cell>
        </row>
        <row r="21887">
          <cell r="G21887" t="str">
            <v>ASV9083</v>
          </cell>
          <cell r="H21887" t="str">
            <v>g__unclassified_p__Firmicutes</v>
          </cell>
          <cell r="I21887" t="str">
            <v>s__unclassified_p__Firmicutes</v>
          </cell>
        </row>
        <row r="21888">
          <cell r="G21888" t="str">
            <v>ASV17090</v>
          </cell>
          <cell r="H21888" t="str">
            <v>g__Campylobacter</v>
          </cell>
          <cell r="I21888" t="str">
            <v>s__unclassified_g__Campylobacter</v>
          </cell>
        </row>
        <row r="21889">
          <cell r="G21889" t="str">
            <v>ASV17396</v>
          </cell>
          <cell r="H21889" t="str">
            <v>g__Bacteroides</v>
          </cell>
          <cell r="I21889" t="str">
            <v>s__unclassified_g__Bacteroides</v>
          </cell>
        </row>
        <row r="21890">
          <cell r="G21890" t="str">
            <v>ASV13216</v>
          </cell>
          <cell r="H21890" t="str">
            <v>g__Rikenellaceae_RC9_gut_group</v>
          </cell>
          <cell r="I21890" t="str">
            <v>s__unclassified_g__Rikenellaceae_RC9_gut_group</v>
          </cell>
        </row>
        <row r="21891">
          <cell r="G21891" t="str">
            <v>ASV9090</v>
          </cell>
          <cell r="H21891" t="str">
            <v>g__Capnocytophaga</v>
          </cell>
          <cell r="I21891" t="str">
            <v>s__unclassified_g__Capnocytophaga</v>
          </cell>
        </row>
        <row r="21892">
          <cell r="G21892" t="str">
            <v>ASV10883</v>
          </cell>
          <cell r="H21892" t="str">
            <v>g__unclassified_c__Clostridia</v>
          </cell>
          <cell r="I21892" t="str">
            <v>s__unclassified_c__Clostridia</v>
          </cell>
        </row>
        <row r="21893">
          <cell r="G21893" t="str">
            <v>ASV23661</v>
          </cell>
          <cell r="H21893" t="str">
            <v>g__unclassified_k__norank_d__Bacteria</v>
          </cell>
          <cell r="I21893" t="str">
            <v>s__unclassified_k__norank_d__Bacteria</v>
          </cell>
        </row>
        <row r="21894">
          <cell r="G21894" t="str">
            <v>ASV21542</v>
          </cell>
          <cell r="H21894" t="str">
            <v>g__Acidaminococcus</v>
          </cell>
          <cell r="I21894" t="str">
            <v>s__unclassified_g__Acidaminococcus</v>
          </cell>
        </row>
        <row r="21895">
          <cell r="G21895" t="str">
            <v>ASV6276</v>
          </cell>
          <cell r="H21895" t="str">
            <v>g__norank_f__norank_o__Clostridia_vadinBB60_group</v>
          </cell>
          <cell r="I21895" t="str">
            <v>s__unclassified_g__norank_f__norank_o__Clostridia_vadinBB60_group</v>
          </cell>
        </row>
        <row r="21896">
          <cell r="G21896" t="str">
            <v>ASV6309</v>
          </cell>
          <cell r="H21896" t="str">
            <v>g__norank_f__UCG-010</v>
          </cell>
          <cell r="I21896" t="str">
            <v>s__uncultured_bacterium_g__norank_f__UCG-010</v>
          </cell>
        </row>
        <row r="21897">
          <cell r="G21897" t="str">
            <v>ASV1491</v>
          </cell>
          <cell r="H21897" t="str">
            <v>g__unclassified_f__Oscillospiraceae</v>
          </cell>
          <cell r="I21897" t="str">
            <v>s__unclassified_f__Oscillospiraceae</v>
          </cell>
        </row>
        <row r="21898">
          <cell r="G21898" t="str">
            <v>ASV12468</v>
          </cell>
          <cell r="H21898" t="str">
            <v>g__unclassified_c__Clostridia</v>
          </cell>
          <cell r="I21898" t="str">
            <v>s__unclassified_c__Clostridia</v>
          </cell>
        </row>
        <row r="21899">
          <cell r="G21899" t="str">
            <v>ASV6428</v>
          </cell>
          <cell r="H21899" t="str">
            <v>g__norank_f__norank_o__RF39</v>
          </cell>
          <cell r="I21899" t="str">
            <v>s__uncultured_bacterium_g__norank_f__norank_o__RF39</v>
          </cell>
        </row>
        <row r="21900">
          <cell r="G21900" t="str">
            <v>ASV14743</v>
          </cell>
          <cell r="H21900" t="str">
            <v>g__Prevotella</v>
          </cell>
          <cell r="I21900" t="str">
            <v>s__unclassified_g__Prevotella</v>
          </cell>
        </row>
        <row r="21901">
          <cell r="G21901" t="str">
            <v>ASV19905</v>
          </cell>
          <cell r="H21901" t="str">
            <v>g__norank_f__Muribaculaceae</v>
          </cell>
          <cell r="I21901" t="str">
            <v>s__uncultured_bacterium_g__norank_f__Muribaculaceae</v>
          </cell>
        </row>
        <row r="21902">
          <cell r="G21902" t="str">
            <v>ASV10995</v>
          </cell>
          <cell r="H21902" t="str">
            <v>g__unclassified_p__Firmicutes</v>
          </cell>
          <cell r="I21902" t="str">
            <v>s__unclassified_p__Firmicutes</v>
          </cell>
        </row>
        <row r="21903">
          <cell r="G21903" t="str">
            <v>ASV20993</v>
          </cell>
          <cell r="H21903" t="str">
            <v>g__unclassified_f__Peptostreptococcaceae</v>
          </cell>
          <cell r="I21903" t="str">
            <v>s__unclassified_f__Peptostreptococcaceae</v>
          </cell>
        </row>
        <row r="21904">
          <cell r="G21904" t="str">
            <v>ASV6432</v>
          </cell>
          <cell r="H21904" t="str">
            <v>g__norank_f__Ruminococcaceae</v>
          </cell>
          <cell r="I21904" t="str">
            <v>s__unclassified_g__norank_f__Ruminococcaceae</v>
          </cell>
        </row>
        <row r="21905">
          <cell r="G21905" t="str">
            <v>ASV13148</v>
          </cell>
          <cell r="H21905" t="str">
            <v>g__Collinsella</v>
          </cell>
          <cell r="I21905" t="str">
            <v>s__unclassified_g__Collinsella</v>
          </cell>
        </row>
        <row r="21906">
          <cell r="G21906" t="str">
            <v>ASV16118</v>
          </cell>
          <cell r="H21906" t="str">
            <v>g__unclassified_k__norank_d__Bacteria</v>
          </cell>
          <cell r="I21906" t="str">
            <v>s__unclassified_k__norank_d__Bacteria</v>
          </cell>
        </row>
        <row r="21907">
          <cell r="G21907" t="str">
            <v>ASV6241</v>
          </cell>
          <cell r="H21907" t="str">
            <v>g__unclassified_f__Lachnospiraceae</v>
          </cell>
          <cell r="I21907" t="str">
            <v>s__unclassified_f__Lachnospiraceae</v>
          </cell>
        </row>
        <row r="21908">
          <cell r="G21908" t="str">
            <v>ASV23647</v>
          </cell>
          <cell r="H21908" t="str">
            <v>g__Clostridium_sensu_stricto_1</v>
          </cell>
          <cell r="I21908" t="str">
            <v>s__unclassified_g__Clostridium_sensu_stricto_1</v>
          </cell>
        </row>
        <row r="21909">
          <cell r="G21909" t="str">
            <v>ASV17084</v>
          </cell>
          <cell r="H21909" t="str">
            <v>g__unclassified_f__Lachnospiraceae</v>
          </cell>
          <cell r="I21909" t="str">
            <v>s__unclassified_f__Lachnospiraceae</v>
          </cell>
        </row>
        <row r="21910">
          <cell r="G21910" t="str">
            <v>ASV23871</v>
          </cell>
          <cell r="H21910" t="str">
            <v>g__Collinsella</v>
          </cell>
          <cell r="I21910" t="str">
            <v>s__unclassified_g__Collinsella</v>
          </cell>
        </row>
        <row r="21911">
          <cell r="G21911" t="str">
            <v>ASV1376</v>
          </cell>
          <cell r="H21911" t="str">
            <v>g__unclassified_f__Oscillospiraceae</v>
          </cell>
          <cell r="I21911" t="str">
            <v>s__unclassified_f__Oscillospiraceae</v>
          </cell>
        </row>
        <row r="21912">
          <cell r="G21912" t="str">
            <v>ASV18365</v>
          </cell>
          <cell r="H21912" t="str">
            <v>g__unclassified_k__norank_d__Bacteria</v>
          </cell>
          <cell r="I21912" t="str">
            <v>s__unclassified_k__norank_d__Bacteria</v>
          </cell>
        </row>
        <row r="21913">
          <cell r="G21913" t="str">
            <v>ASV9120</v>
          </cell>
          <cell r="H21913" t="str">
            <v>g__Bacillus</v>
          </cell>
          <cell r="I21913" t="str">
            <v>s__Lactobacillus_vaginalis_g__Bacillus</v>
          </cell>
        </row>
        <row r="21914">
          <cell r="G21914" t="str">
            <v>ASV6188</v>
          </cell>
          <cell r="H21914" t="str">
            <v>g__unclassified_f__Lachnospiraceae</v>
          </cell>
          <cell r="I21914" t="str">
            <v>s__unclassified_f__Lachnospiraceae</v>
          </cell>
        </row>
        <row r="21915">
          <cell r="G21915" t="str">
            <v>ASV22678</v>
          </cell>
          <cell r="H21915" t="str">
            <v>g__unclassified_c__Clostridia</v>
          </cell>
          <cell r="I21915" t="str">
            <v>s__unclassified_c__Clostridia</v>
          </cell>
        </row>
        <row r="21916">
          <cell r="G21916" t="str">
            <v>ASV14771</v>
          </cell>
          <cell r="H21916" t="str">
            <v>g__unclassified_f__Lachnospiraceae</v>
          </cell>
          <cell r="I21916" t="str">
            <v>s__unclassified_f__Lachnospiraceae</v>
          </cell>
        </row>
        <row r="21917">
          <cell r="G21917" t="str">
            <v>ASV21539</v>
          </cell>
          <cell r="H21917" t="str">
            <v>g__unclassified_f__Veillonellaceae</v>
          </cell>
          <cell r="I21917" t="str">
            <v>s__unclassified_f__Veillonellaceae</v>
          </cell>
        </row>
        <row r="21918">
          <cell r="G21918" t="str">
            <v>ASV24291</v>
          </cell>
          <cell r="H21918" t="str">
            <v>g__Lactobacillus</v>
          </cell>
          <cell r="I21918" t="str">
            <v>s__unclassified_g__Lactobacillus</v>
          </cell>
        </row>
        <row r="21919">
          <cell r="G21919" t="str">
            <v>ASV15751</v>
          </cell>
          <cell r="H21919" t="str">
            <v>g__unclassified_c__Clostridia</v>
          </cell>
          <cell r="I21919" t="str">
            <v>s__unclassified_c__Clostridia</v>
          </cell>
        </row>
        <row r="21920">
          <cell r="G21920" t="str">
            <v>ASV2573</v>
          </cell>
          <cell r="H21920" t="str">
            <v>g__norank_f__Eubacterium_coprostanoligenes_group</v>
          </cell>
          <cell r="I21920" t="str">
            <v>s__uncultured_bacterium_g__norank_f__Eubacterium_coprostanoligenes_group</v>
          </cell>
        </row>
        <row r="21921">
          <cell r="G21921" t="str">
            <v>ASV12051</v>
          </cell>
          <cell r="H21921" t="str">
            <v>g__norank_f__norank_o__WCHB1-41</v>
          </cell>
          <cell r="I21921" t="str">
            <v>s__uncultured_bacterium_g__norank_f__norank_o__WCHB1-41</v>
          </cell>
        </row>
        <row r="21922">
          <cell r="G21922" t="str">
            <v>ASV23740</v>
          </cell>
          <cell r="H21922" t="str">
            <v>g__Staphylococcus</v>
          </cell>
          <cell r="I21922" t="str">
            <v>s__unclassified_g__Staphylococcus</v>
          </cell>
        </row>
        <row r="21923">
          <cell r="G21923" t="str">
            <v>ASV16743</v>
          </cell>
          <cell r="H21923" t="str">
            <v>g__unclassified_f__Peptostreptococcaceae</v>
          </cell>
          <cell r="I21923" t="str">
            <v>s__unclassified_f__Peptostreptococcaceae</v>
          </cell>
        </row>
        <row r="21924">
          <cell r="G21924" t="str">
            <v>ASV22663</v>
          </cell>
          <cell r="H21924" t="str">
            <v>g__unclassified_c__Clostridia</v>
          </cell>
          <cell r="I21924" t="str">
            <v>s__unclassified_c__Clostridia</v>
          </cell>
        </row>
        <row r="21925">
          <cell r="G21925" t="str">
            <v>ASV14605</v>
          </cell>
          <cell r="H21925" t="str">
            <v>g__Prevotellaceae_UCG-001</v>
          </cell>
          <cell r="I21925" t="str">
            <v>s__uncultured_bacterium_g__Prevotellaceae_UCG-001</v>
          </cell>
        </row>
        <row r="21926">
          <cell r="G21926" t="str">
            <v>ASV1323</v>
          </cell>
          <cell r="H21926" t="str">
            <v>g__Lactobacillus</v>
          </cell>
          <cell r="I21926" t="str">
            <v>s__uncultured_bacterium_g__Lactobacillus</v>
          </cell>
        </row>
        <row r="21927">
          <cell r="G21927" t="str">
            <v>ASV24270</v>
          </cell>
          <cell r="H21927" t="str">
            <v>g__norank_f__Muribaculaceae</v>
          </cell>
          <cell r="I21927" t="str">
            <v>s__uncultured_bacterium_g__norank_f__Muribaculaceae</v>
          </cell>
        </row>
        <row r="21928">
          <cell r="G21928" t="str">
            <v>ASV10871</v>
          </cell>
          <cell r="H21928" t="str">
            <v>g__unclassified_f__Lachnospiraceae</v>
          </cell>
          <cell r="I21928" t="str">
            <v>s__unclassified_f__Lachnospiraceae</v>
          </cell>
        </row>
        <row r="21929">
          <cell r="G21929" t="str">
            <v>ASV6885</v>
          </cell>
          <cell r="H21929" t="str">
            <v>g__unclassified_f__Lachnospiraceae</v>
          </cell>
          <cell r="I21929" t="str">
            <v>s__unclassified_f__Lachnospiraceae</v>
          </cell>
        </row>
        <row r="21930">
          <cell r="G21930" t="str">
            <v>ASV16162</v>
          </cell>
          <cell r="H21930" t="str">
            <v>g__Lachnoclostridium</v>
          </cell>
          <cell r="I21930" t="str">
            <v>s__unclassified_g__Lachnoclostridium</v>
          </cell>
        </row>
        <row r="21931">
          <cell r="G21931" t="str">
            <v>ASV17077</v>
          </cell>
          <cell r="H21931" t="str">
            <v>g__norank_f__Eubacterium_coprostanoligenes_group</v>
          </cell>
          <cell r="I21931" t="str">
            <v>s__unclassified_g__norank_f__Eubacterium_coprostanoligenes_group</v>
          </cell>
        </row>
        <row r="21932">
          <cell r="G21932" t="str">
            <v>ASV16690</v>
          </cell>
          <cell r="H21932" t="str">
            <v>g__Bacteroides</v>
          </cell>
          <cell r="I21932" t="str">
            <v>s__unclassified_g__Bacteroides</v>
          </cell>
        </row>
        <row r="21933">
          <cell r="G21933" t="str">
            <v>ASV22816</v>
          </cell>
          <cell r="H21933" t="str">
            <v>g__unclassified_f__Lachnospiraceae</v>
          </cell>
          <cell r="I21933" t="str">
            <v>s__unclassified_f__Lachnospiraceae</v>
          </cell>
        </row>
        <row r="21934">
          <cell r="G21934" t="str">
            <v>ASV13654</v>
          </cell>
          <cell r="H21934" t="str">
            <v>g__unclassified_f__Peptostreptococcaceae</v>
          </cell>
          <cell r="I21934" t="str">
            <v>s__unclassified_f__Peptostreptococcaceae</v>
          </cell>
        </row>
        <row r="21935">
          <cell r="G21935" t="str">
            <v>ASV21352</v>
          </cell>
          <cell r="H21935" t="str">
            <v>g__Peptostreptococcus</v>
          </cell>
          <cell r="I21935" t="str">
            <v>s__unclassified_g__Peptostreptococcus</v>
          </cell>
        </row>
        <row r="21936">
          <cell r="G21936" t="str">
            <v>ASV6252</v>
          </cell>
          <cell r="H21936" t="str">
            <v>g__Eubacterium_oxidoreducens_group</v>
          </cell>
          <cell r="I21936" t="str">
            <v>s__uncultured_bacterium_g__Eubacterium_oxidoreducens_group</v>
          </cell>
        </row>
        <row r="21937">
          <cell r="G21937" t="str">
            <v>ASV5173</v>
          </cell>
          <cell r="H21937" t="str">
            <v>g__Ruminococcus</v>
          </cell>
          <cell r="I21937" t="str">
            <v>s__unclassified_g__Ruminococcus</v>
          </cell>
        </row>
        <row r="21938">
          <cell r="G21938" t="str">
            <v>ASV4258</v>
          </cell>
          <cell r="H21938" t="str">
            <v>g__norank_f__Ruminococcaceae</v>
          </cell>
          <cell r="I21938" t="str">
            <v>s__unclassified_g__norank_f__Ruminococcaceae</v>
          </cell>
        </row>
        <row r="21939">
          <cell r="G21939" t="str">
            <v>ASV12336</v>
          </cell>
          <cell r="H21939" t="str">
            <v>g__unclassified_c__Clostridia</v>
          </cell>
          <cell r="I21939" t="str">
            <v>s__unclassified_c__Clostridia</v>
          </cell>
        </row>
        <row r="21940">
          <cell r="G21940" t="str">
            <v>ASV9077</v>
          </cell>
          <cell r="H21940" t="str">
            <v>g__Propionivibrio</v>
          </cell>
          <cell r="I21940" t="str">
            <v>s__Propionivibrio_sp._canine_oral_taxon_223</v>
          </cell>
        </row>
        <row r="21941">
          <cell r="G21941" t="str">
            <v>ASV16590</v>
          </cell>
          <cell r="H21941" t="str">
            <v>g__unclassified_o__Bacteroidales</v>
          </cell>
          <cell r="I21941" t="str">
            <v>s__unclassified_o__Bacteroidales</v>
          </cell>
        </row>
        <row r="21942">
          <cell r="G21942" t="str">
            <v>ASV1224</v>
          </cell>
          <cell r="H21942" t="str">
            <v>g__unclassified_f__Prevotellaceae</v>
          </cell>
          <cell r="I21942" t="str">
            <v>s__unclassified_f__Prevotellaceae</v>
          </cell>
        </row>
        <row r="21943">
          <cell r="G21943" t="str">
            <v>ASV6445</v>
          </cell>
          <cell r="H21943" t="str">
            <v>g__norank_f__Muribaculaceae</v>
          </cell>
          <cell r="I21943" t="str">
            <v>s__uncultured_Porphyromonadaceae_bacterium_g__norank_f__Muribaculaceae</v>
          </cell>
        </row>
        <row r="21944">
          <cell r="G21944" t="str">
            <v>ASV18356</v>
          </cell>
          <cell r="H21944" t="str">
            <v>g__norank_f__Eubacterium_coprostanoligenes_group</v>
          </cell>
          <cell r="I21944" t="str">
            <v>s__unclassified_g__norank_f__Eubacterium_coprostanoligenes_group</v>
          </cell>
        </row>
        <row r="21945">
          <cell r="G21945" t="str">
            <v>ASV20995</v>
          </cell>
          <cell r="H21945" t="str">
            <v>g__Lactobacillus</v>
          </cell>
          <cell r="I21945" t="str">
            <v>s__unclassified_g__Lactobacillus</v>
          </cell>
        </row>
        <row r="21946">
          <cell r="G21946" t="str">
            <v>ASV22810</v>
          </cell>
          <cell r="H21946" t="str">
            <v>g__unclassified_f__Lachnospiraceae</v>
          </cell>
          <cell r="I21946" t="str">
            <v>s__unclassified_f__Lachnospiraceae</v>
          </cell>
        </row>
        <row r="21947">
          <cell r="G21947" t="str">
            <v>ASV15733</v>
          </cell>
          <cell r="H21947" t="str">
            <v>g__Clostridium_sensu_stricto_1</v>
          </cell>
          <cell r="I21947" t="str">
            <v>s__unclassified_g__Clostridium_sensu_stricto_1</v>
          </cell>
        </row>
        <row r="21948">
          <cell r="G21948" t="str">
            <v>ASV23584</v>
          </cell>
          <cell r="H21948" t="str">
            <v>g__Parabacteroides</v>
          </cell>
          <cell r="I21948" t="str">
            <v>s__Porphyromonadaceae_bacterium_DJF_B175</v>
          </cell>
        </row>
        <row r="21949">
          <cell r="G21949" t="str">
            <v>ASV19895</v>
          </cell>
          <cell r="H21949" t="str">
            <v>g__Prevotellaceae_NK3B31_group</v>
          </cell>
          <cell r="I21949" t="str">
            <v>s__metagenome_g__Prevotellaceae_NK3B31_group</v>
          </cell>
        </row>
        <row r="21950">
          <cell r="G21950" t="str">
            <v>ASV5248</v>
          </cell>
          <cell r="H21950" t="str">
            <v>g__unclassified_c__Clostridia</v>
          </cell>
          <cell r="I21950" t="str">
            <v>s__unclassified_c__Clostridia</v>
          </cell>
        </row>
        <row r="21951">
          <cell r="G21951" t="str">
            <v>ASV9653</v>
          </cell>
          <cell r="H21951" t="str">
            <v>g__unclassified_f__Ruminococcaceae</v>
          </cell>
          <cell r="I21951" t="str">
            <v>s__unclassified_f__Ruminococcaceae</v>
          </cell>
        </row>
        <row r="21952">
          <cell r="G21952" t="str">
            <v>ASV20156</v>
          </cell>
          <cell r="H21952" t="str">
            <v>g__unclassified_f__Peptostreptococcaceae</v>
          </cell>
          <cell r="I21952" t="str">
            <v>s__unclassified_f__Peptostreptococcaceae</v>
          </cell>
        </row>
        <row r="21953">
          <cell r="G21953" t="str">
            <v>ASV1103</v>
          </cell>
          <cell r="H21953" t="str">
            <v>g__Rikenellaceae_RC9_gut_group</v>
          </cell>
          <cell r="I21953" t="str">
            <v>s__uncultured_bacterium_g__Rikenellaceae_RC9_gut_group</v>
          </cell>
        </row>
        <row r="21954">
          <cell r="G21954" t="str">
            <v>ASV21335</v>
          </cell>
          <cell r="H21954" t="str">
            <v>g__unclassified_p__Firmicutes</v>
          </cell>
          <cell r="I21954" t="str">
            <v>s__unclassified_p__Firmicutes</v>
          </cell>
        </row>
        <row r="21955">
          <cell r="G21955" t="str">
            <v>ASV24341</v>
          </cell>
          <cell r="H21955" t="str">
            <v>g__unclassified_c__Bacilli</v>
          </cell>
          <cell r="I21955" t="str">
            <v>s__unclassified_c__Bacilli</v>
          </cell>
        </row>
        <row r="21956">
          <cell r="G21956" t="str">
            <v>ASV12467</v>
          </cell>
          <cell r="H21956" t="str">
            <v>g__unclassified_f__Oscillospiraceae</v>
          </cell>
          <cell r="I21956" t="str">
            <v>s__unclassified_f__Oscillospiraceae</v>
          </cell>
        </row>
        <row r="21957">
          <cell r="G21957" t="str">
            <v>ASV15620</v>
          </cell>
          <cell r="H21957" t="str">
            <v>g__Streptococcus</v>
          </cell>
          <cell r="I21957" t="str">
            <v>s__unclassified_g__Streptococcus</v>
          </cell>
        </row>
        <row r="21958">
          <cell r="G21958" t="str">
            <v>ASV18973</v>
          </cell>
          <cell r="H21958" t="str">
            <v>g__unclassified_f__Lachnospiraceae</v>
          </cell>
          <cell r="I21958" t="str">
            <v>s__unclassified_f__Lachnospiraceae</v>
          </cell>
        </row>
        <row r="21959">
          <cell r="G21959" t="str">
            <v>ASV7385</v>
          </cell>
          <cell r="H21959" t="str">
            <v>g__unclassified_f__Lachnospiraceae</v>
          </cell>
          <cell r="I21959" t="str">
            <v>s__unclassified_f__Lachnospiraceae</v>
          </cell>
        </row>
        <row r="21960">
          <cell r="G21960" t="str">
            <v>ASV10983</v>
          </cell>
          <cell r="H21960" t="str">
            <v>g__unclassified_c__Clostridia</v>
          </cell>
          <cell r="I21960" t="str">
            <v>s__unclassified_c__Clostridia</v>
          </cell>
        </row>
        <row r="21961">
          <cell r="G21961" t="str">
            <v>ASV19907</v>
          </cell>
          <cell r="H21961" t="str">
            <v>g__norank_f__Ruminococcaceae</v>
          </cell>
          <cell r="I21961" t="str">
            <v>s__unclassified_g__norank_f__Ruminococcaceae</v>
          </cell>
        </row>
        <row r="21962">
          <cell r="G21962" t="str">
            <v>ASV12422</v>
          </cell>
          <cell r="H21962" t="str">
            <v>g__Succiniclasticum</v>
          </cell>
          <cell r="I21962" t="str">
            <v>s__unclassified_g__Succiniclasticum</v>
          </cell>
        </row>
        <row r="21963">
          <cell r="G21963" t="str">
            <v>ASV15590</v>
          </cell>
          <cell r="H21963" t="str">
            <v>g__unclassified_o__Oscillospirales</v>
          </cell>
          <cell r="I21963" t="str">
            <v>s__unclassified_o__Oscillospirales</v>
          </cell>
        </row>
        <row r="21964">
          <cell r="G21964" t="str">
            <v>ASV1442</v>
          </cell>
          <cell r="H21964" t="str">
            <v>g__unclassified_f__Oscillospiraceae</v>
          </cell>
          <cell r="I21964" t="str">
            <v>s__unclassified_f__Oscillospiraceae</v>
          </cell>
        </row>
        <row r="21965">
          <cell r="G21965" t="str">
            <v>ASV1380</v>
          </cell>
          <cell r="H21965" t="str">
            <v>g__unclassified_f__Ruminococcaceae</v>
          </cell>
          <cell r="I21965" t="str">
            <v>s__unclassified_f__Ruminococcaceae</v>
          </cell>
        </row>
        <row r="21966">
          <cell r="G21966" t="str">
            <v>ASV17015</v>
          </cell>
          <cell r="H21966" t="str">
            <v>g__Lactobacillus</v>
          </cell>
          <cell r="I21966" t="str">
            <v>s__unclassified_g__Lactobacillus</v>
          </cell>
        </row>
        <row r="21967">
          <cell r="G21967" t="str">
            <v>ASV6861</v>
          </cell>
          <cell r="H21967" t="str">
            <v>g__unclassified_c__Clostridia</v>
          </cell>
          <cell r="I21967" t="str">
            <v>s__unclassified_c__Clostridia</v>
          </cell>
        </row>
        <row r="21968">
          <cell r="G21968" t="str">
            <v>ASV21378</v>
          </cell>
          <cell r="H21968" t="str">
            <v>g__norank_f__Muribaculaceae</v>
          </cell>
          <cell r="I21968" t="str">
            <v>s__unclassified_g__norank_f__Muribaculaceae</v>
          </cell>
        </row>
        <row r="21969">
          <cell r="G21969" t="str">
            <v>ASV14578</v>
          </cell>
          <cell r="H21969" t="str">
            <v>g__unclassified_f__Muribaculaceae</v>
          </cell>
          <cell r="I21969" t="str">
            <v>s__unclassified_f__Muribaculaceae</v>
          </cell>
        </row>
        <row r="21970">
          <cell r="G21970" t="str">
            <v>ASV15654</v>
          </cell>
          <cell r="H21970" t="str">
            <v>g__unclassified_c__Clostridia</v>
          </cell>
          <cell r="I21970" t="str">
            <v>s__unclassified_c__Clostridia</v>
          </cell>
        </row>
        <row r="21971">
          <cell r="G21971" t="str">
            <v>ASV23868</v>
          </cell>
          <cell r="H21971" t="str">
            <v>g__Fusobacterium</v>
          </cell>
          <cell r="I21971" t="str">
            <v>s__unclassified_g__Fusobacterium</v>
          </cell>
        </row>
        <row r="21972">
          <cell r="G21972" t="str">
            <v>ASV10253</v>
          </cell>
          <cell r="H21972" t="str">
            <v>g__Lactobacillus</v>
          </cell>
          <cell r="I21972" t="str">
            <v>s__unclassified_g__Lactobacillus</v>
          </cell>
        </row>
        <row r="21973">
          <cell r="G21973" t="str">
            <v>ASV17232</v>
          </cell>
          <cell r="H21973" t="str">
            <v>g__Pseudoxanthomonas</v>
          </cell>
          <cell r="I21973" t="str">
            <v>s__unclassified_g__Pseudoxanthomonas</v>
          </cell>
        </row>
        <row r="21974">
          <cell r="G21974" t="str">
            <v>ASV21341</v>
          </cell>
          <cell r="H21974" t="str">
            <v>g__unclassified_f__Lachnospiraceae</v>
          </cell>
          <cell r="I21974" t="str">
            <v>s__unclassified_f__Lachnospiraceae</v>
          </cell>
        </row>
        <row r="21975">
          <cell r="G21975" t="str">
            <v>ASV6200</v>
          </cell>
          <cell r="H21975" t="str">
            <v>g__Bacteroides</v>
          </cell>
          <cell r="I21975" t="str">
            <v>s__unclassified_g__Bacteroides</v>
          </cell>
        </row>
        <row r="21976">
          <cell r="G21976" t="str">
            <v>ASV13162</v>
          </cell>
          <cell r="H21976" t="str">
            <v>g__Streptococcus</v>
          </cell>
          <cell r="I21976" t="str">
            <v>s__unclassified_g__Streptococcus</v>
          </cell>
        </row>
        <row r="21977">
          <cell r="G21977" t="str">
            <v>ASV23507</v>
          </cell>
          <cell r="H21977" t="str">
            <v>g__unclassified_c__Bacilli</v>
          </cell>
          <cell r="I21977" t="str">
            <v>s__unclassified_c__Bacilli</v>
          </cell>
        </row>
        <row r="21978">
          <cell r="G21978" t="str">
            <v>ASV20118</v>
          </cell>
          <cell r="H21978" t="str">
            <v>g__unclassified_o__Peptostreptococcales-Tissierellales</v>
          </cell>
          <cell r="I21978" t="str">
            <v>s__unclassified_o__Peptostreptococcales-Tissierellales</v>
          </cell>
        </row>
        <row r="21979">
          <cell r="G21979" t="str">
            <v>ASV8590</v>
          </cell>
          <cell r="H21979" t="str">
            <v>g__Acidaminococcus</v>
          </cell>
          <cell r="I21979" t="str">
            <v>s__unclassified_g__Acidaminococcus</v>
          </cell>
        </row>
        <row r="21980">
          <cell r="G21980" t="str">
            <v>ASV13121</v>
          </cell>
          <cell r="H21980" t="str">
            <v>g__Clostridium_sensu_stricto_1</v>
          </cell>
          <cell r="I21980" t="str">
            <v>s__unclassified_g__Clostridium_sensu_stricto_1</v>
          </cell>
        </row>
        <row r="21981">
          <cell r="G21981" t="str">
            <v>ASV16106</v>
          </cell>
          <cell r="H21981" t="str">
            <v>g__Butyricimonas</v>
          </cell>
          <cell r="I21981" t="str">
            <v>s__unclassified_g__Butyricimonas</v>
          </cell>
        </row>
        <row r="21982">
          <cell r="G21982" t="str">
            <v>ASV19137</v>
          </cell>
          <cell r="H21982" t="str">
            <v>g__unclassified_c__Bacilli</v>
          </cell>
          <cell r="I21982" t="str">
            <v>s__unclassified_c__Bacilli</v>
          </cell>
        </row>
        <row r="21983">
          <cell r="G21983" t="str">
            <v>ASV8075</v>
          </cell>
          <cell r="H21983" t="str">
            <v>g__unclassified_c__Clostridia</v>
          </cell>
          <cell r="I21983" t="str">
            <v>s__unclassified_c__Clostridia</v>
          </cell>
        </row>
        <row r="21984">
          <cell r="G21984" t="str">
            <v>ASV4253</v>
          </cell>
          <cell r="H21984" t="str">
            <v>g__unclassified_c__Clostridia</v>
          </cell>
          <cell r="I21984" t="str">
            <v>s__unclassified_c__Clostridia</v>
          </cell>
        </row>
        <row r="21985">
          <cell r="G21985" t="str">
            <v>ASV13738</v>
          </cell>
          <cell r="H21985" t="str">
            <v>g__norank_f__Saccharimonadaceae</v>
          </cell>
          <cell r="I21985" t="str">
            <v>s__uncultured_bacterium_g__norank_f__Saccharimonadaceae</v>
          </cell>
        </row>
        <row r="21986">
          <cell r="G21986" t="str">
            <v>ASV17056</v>
          </cell>
          <cell r="H21986" t="str">
            <v>g__unclassified_f__Lachnospiraceae</v>
          </cell>
          <cell r="I21986" t="str">
            <v>s__unclassified_f__Lachnospiraceae</v>
          </cell>
        </row>
        <row r="21987">
          <cell r="G21987" t="str">
            <v>ASV13058</v>
          </cell>
          <cell r="H21987" t="str">
            <v>g__unclassified_o__Bacteroidales</v>
          </cell>
          <cell r="I21987" t="str">
            <v>s__unclassified_o__Bacteroidales</v>
          </cell>
        </row>
        <row r="21988">
          <cell r="G21988" t="str">
            <v>ASV1279</v>
          </cell>
          <cell r="H21988" t="str">
            <v>g__unclassified_c__Clostridia</v>
          </cell>
          <cell r="I21988" t="str">
            <v>s__unclassified_c__Clostridia</v>
          </cell>
        </row>
        <row r="21989">
          <cell r="G21989" t="str">
            <v>ASV5167</v>
          </cell>
          <cell r="H21989" t="str">
            <v>g__Alloprevotella</v>
          </cell>
          <cell r="I21989" t="str">
            <v>s__unclassified_g__Alloprevotella</v>
          </cell>
        </row>
        <row r="21990">
          <cell r="G21990" t="str">
            <v>ASV15619</v>
          </cell>
          <cell r="H21990" t="str">
            <v>g__unclassified_o__Bacteroidales</v>
          </cell>
          <cell r="I21990" t="str">
            <v>s__unclassified_o__Bacteroidales</v>
          </cell>
        </row>
        <row r="21991">
          <cell r="G21991" t="str">
            <v>ASV18444</v>
          </cell>
          <cell r="H21991" t="str">
            <v>g__Lachnospiraceae_NC2004_group</v>
          </cell>
          <cell r="I21991" t="str">
            <v>s__unclassified_g__Lachnospiraceae_NC2004_group</v>
          </cell>
        </row>
        <row r="21992">
          <cell r="G21992" t="str">
            <v>ASV12264</v>
          </cell>
          <cell r="H21992" t="str">
            <v>g__SP3-e08</v>
          </cell>
          <cell r="I21992" t="str">
            <v>s__uncultured_bacterium_g__SP3-e08</v>
          </cell>
        </row>
        <row r="21993">
          <cell r="G21993" t="str">
            <v>ASV15691</v>
          </cell>
          <cell r="H21993" t="str">
            <v>g__Bacteroides</v>
          </cell>
          <cell r="I21993" t="str">
            <v>s__unclassified_g__Bacteroides</v>
          </cell>
        </row>
        <row r="21994">
          <cell r="G21994" t="str">
            <v>ASV18326</v>
          </cell>
          <cell r="H21994" t="str">
            <v>g__norank_f__UCG-010</v>
          </cell>
          <cell r="I21994" t="str">
            <v>s__uncultured_bacterium_g__norank_f__UCG-010</v>
          </cell>
        </row>
        <row r="21995">
          <cell r="G21995" t="str">
            <v>ASV21530</v>
          </cell>
          <cell r="H21995" t="str">
            <v>g__unclassified_c__Clostridia</v>
          </cell>
          <cell r="I21995" t="str">
            <v>s__unclassified_c__Clostridia</v>
          </cell>
        </row>
        <row r="21996">
          <cell r="G21996" t="str">
            <v>ASV10953</v>
          </cell>
          <cell r="H21996" t="str">
            <v>g__Subdoligranulum</v>
          </cell>
          <cell r="I21996" t="str">
            <v>s__unclassified_g__Subdoligranulum</v>
          </cell>
        </row>
        <row r="21997">
          <cell r="G21997" t="str">
            <v>ASV20134</v>
          </cell>
          <cell r="H21997" t="str">
            <v>g__norank_f__Eubacterium_coprostanoligenes_group</v>
          </cell>
          <cell r="I21997" t="str">
            <v>s__uncultured_bacterium_g__norank_f__Eubacterium_coprostanoligenes_group</v>
          </cell>
        </row>
        <row r="21998">
          <cell r="G21998" t="str">
            <v>ASV13050</v>
          </cell>
          <cell r="H21998" t="str">
            <v>g__Clostridium_sensu_stricto_1</v>
          </cell>
          <cell r="I21998" t="str">
            <v>s__unclassified_g__Clostridium_sensu_stricto_1</v>
          </cell>
        </row>
        <row r="21999">
          <cell r="G21999" t="str">
            <v>ASV16190</v>
          </cell>
          <cell r="H21999" t="str">
            <v>g__unclassified_c__Bacilli</v>
          </cell>
          <cell r="I21999" t="str">
            <v>s__unclassified_c__Bacilli</v>
          </cell>
        </row>
        <row r="22000">
          <cell r="G22000" t="str">
            <v>ASV5452</v>
          </cell>
          <cell r="H22000" t="str">
            <v>g__norank_f__Eubacterium_coprostanoligenes_group</v>
          </cell>
          <cell r="I22000" t="str">
            <v>s__unclassified_g__norank_f__Eubacterium_coprostanoligenes_group</v>
          </cell>
        </row>
        <row r="22001">
          <cell r="G22001" t="str">
            <v>ASV4338</v>
          </cell>
          <cell r="H22001" t="str">
            <v>g__Enterococcus</v>
          </cell>
          <cell r="I22001" t="str">
            <v>s__unclassified_g__Enterococcus</v>
          </cell>
        </row>
        <row r="22002">
          <cell r="G22002" t="str">
            <v>ASV8675</v>
          </cell>
          <cell r="H22002" t="str">
            <v>g__Streptobacillus</v>
          </cell>
          <cell r="I22002" t="str">
            <v>s__unclassified_g__Streptobacillus</v>
          </cell>
        </row>
        <row r="22003">
          <cell r="G22003" t="str">
            <v>ASV5143</v>
          </cell>
          <cell r="H22003" t="str">
            <v>g__Corynebacterium</v>
          </cell>
          <cell r="I22003" t="str">
            <v>s__unclassified_g__Corynebacterium</v>
          </cell>
        </row>
        <row r="22004">
          <cell r="G22004" t="str">
            <v>ASV8061</v>
          </cell>
          <cell r="H22004" t="str">
            <v>g__Streptococcus</v>
          </cell>
          <cell r="I22004" t="str">
            <v>s__unclassified_g__Streptococcus</v>
          </cell>
        </row>
        <row r="22005">
          <cell r="G22005" t="str">
            <v>ASV12144</v>
          </cell>
          <cell r="H22005" t="str">
            <v>g__unclassified_c__Clostridia</v>
          </cell>
          <cell r="I22005" t="str">
            <v>s__unclassified_c__Clostridia</v>
          </cell>
        </row>
        <row r="22006">
          <cell r="G22006" t="str">
            <v>ASV6446</v>
          </cell>
          <cell r="H22006" t="str">
            <v>g__Ruminococcus</v>
          </cell>
          <cell r="I22006" t="str">
            <v>s__uncultured_bacterium_g__Ruminococcus</v>
          </cell>
        </row>
        <row r="22007">
          <cell r="G22007" t="str">
            <v>ASV10230</v>
          </cell>
          <cell r="H22007" t="str">
            <v>g__Lactobacillus</v>
          </cell>
          <cell r="I22007" t="str">
            <v>s__unclassified_g__Lactobacillus</v>
          </cell>
        </row>
        <row r="22008">
          <cell r="G22008" t="str">
            <v>ASV8556</v>
          </cell>
          <cell r="H22008" t="str">
            <v>g__Lactobacillus</v>
          </cell>
          <cell r="I22008" t="str">
            <v>s__unclassified_g__Lactobacillus</v>
          </cell>
        </row>
        <row r="22009">
          <cell r="G22009" t="str">
            <v>ASV22900</v>
          </cell>
          <cell r="H22009" t="str">
            <v>g__W5053</v>
          </cell>
          <cell r="I22009" t="str">
            <v>s__uncultured_bacterium_g__W5053</v>
          </cell>
        </row>
        <row r="22010">
          <cell r="G22010" t="str">
            <v>ASV22567</v>
          </cell>
          <cell r="H22010" t="str">
            <v>g__unclassified_c__Clostridia</v>
          </cell>
          <cell r="I22010" t="str">
            <v>s__unclassified_c__Clostridia</v>
          </cell>
        </row>
        <row r="22011">
          <cell r="G22011" t="str">
            <v>ASV10931</v>
          </cell>
          <cell r="H22011" t="str">
            <v>g__UCG-002</v>
          </cell>
          <cell r="I22011" t="str">
            <v>s__uncultured_bacterium_g__UCG-002</v>
          </cell>
        </row>
        <row r="22012">
          <cell r="G22012" t="str">
            <v>ASV20111</v>
          </cell>
          <cell r="H22012" t="str">
            <v>g__unclassified_f__Lachnospiraceae</v>
          </cell>
          <cell r="I22012" t="str">
            <v>s__unclassified_f__Lachnospiraceae</v>
          </cell>
        </row>
        <row r="22013">
          <cell r="G22013" t="str">
            <v>ASV5161</v>
          </cell>
          <cell r="H22013" t="str">
            <v>g__Bacteroides</v>
          </cell>
          <cell r="I22013" t="str">
            <v>s__unclassified_g__Bacteroides</v>
          </cell>
        </row>
        <row r="22014">
          <cell r="G22014" t="str">
            <v>ASV14926</v>
          </cell>
          <cell r="H22014" t="str">
            <v>g__unclassified_c__Clostridia</v>
          </cell>
          <cell r="I22014" t="str">
            <v>s__unclassified_c__Clostridia</v>
          </cell>
        </row>
        <row r="22015">
          <cell r="G22015" t="str">
            <v>ASV21663</v>
          </cell>
          <cell r="H22015" t="str">
            <v>g__unclassified_f__Lachnospiraceae</v>
          </cell>
          <cell r="I22015" t="str">
            <v>s__unclassified_f__Lachnospiraceae</v>
          </cell>
        </row>
        <row r="22016">
          <cell r="G22016" t="str">
            <v>ASV13864</v>
          </cell>
          <cell r="H22016" t="str">
            <v>g__Enterococcus</v>
          </cell>
          <cell r="I22016" t="str">
            <v>s__unclassified_g__Enterococcus</v>
          </cell>
        </row>
        <row r="22017">
          <cell r="G22017" t="str">
            <v>ASV1195</v>
          </cell>
          <cell r="H22017" t="str">
            <v>g__unclassified_c__Clostridia</v>
          </cell>
          <cell r="I22017" t="str">
            <v>s__unclassified_c__Clostridia</v>
          </cell>
        </row>
        <row r="22018">
          <cell r="G22018" t="str">
            <v>ASV16649</v>
          </cell>
          <cell r="H22018" t="str">
            <v>g__unclassified_o__Bacteroidales</v>
          </cell>
          <cell r="I22018" t="str">
            <v>s__unclassified_o__Bacteroidales</v>
          </cell>
        </row>
        <row r="22019">
          <cell r="G22019" t="str">
            <v>ASV22896</v>
          </cell>
          <cell r="H22019" t="str">
            <v>g__unclassified_k__norank_d__Bacteria</v>
          </cell>
          <cell r="I22019" t="str">
            <v>s__unclassified_k__norank_d__Bacteria</v>
          </cell>
        </row>
        <row r="22020">
          <cell r="G22020" t="str">
            <v>ASV17032</v>
          </cell>
          <cell r="H22020" t="str">
            <v>g__Lachnospiraceae_UCG-004</v>
          </cell>
          <cell r="I22020" t="str">
            <v>s__uncultured_bacterium_g__Lachnospiraceae_UCG-004</v>
          </cell>
        </row>
        <row r="22021">
          <cell r="G22021" t="str">
            <v>ASV11013</v>
          </cell>
          <cell r="H22021" t="str">
            <v>g__unclassified_f__Lachnospiraceae</v>
          </cell>
          <cell r="I22021" t="str">
            <v>s__unclassified_f__Lachnospiraceae</v>
          </cell>
        </row>
        <row r="22022">
          <cell r="G22022" t="str">
            <v>ASV12095</v>
          </cell>
          <cell r="H22022" t="str">
            <v>g__Prevotella</v>
          </cell>
          <cell r="I22022" t="str">
            <v>s__uncultured_bacterium_g__Prevotella</v>
          </cell>
        </row>
        <row r="22023">
          <cell r="G22023" t="str">
            <v>ASV11079</v>
          </cell>
          <cell r="H22023" t="str">
            <v>g__Lactobacillus</v>
          </cell>
          <cell r="I22023" t="str">
            <v>s__unclassified_g__Lactobacillus</v>
          </cell>
        </row>
        <row r="22024">
          <cell r="G22024" t="str">
            <v>ASV17048</v>
          </cell>
          <cell r="H22024" t="str">
            <v>g__unclassified_f__Lachnospiraceae</v>
          </cell>
          <cell r="I22024" t="str">
            <v>s__unclassified_f__Lachnospiraceae</v>
          </cell>
        </row>
        <row r="22025">
          <cell r="G22025" t="str">
            <v>ASV3354</v>
          </cell>
          <cell r="H22025" t="str">
            <v>g__unclassified_p__Firmicutes</v>
          </cell>
          <cell r="I22025" t="str">
            <v>s__unclassified_p__Firmicutes</v>
          </cell>
        </row>
        <row r="22026">
          <cell r="G22026" t="str">
            <v>ASV17031</v>
          </cell>
          <cell r="H22026" t="str">
            <v>g__Turicibacter</v>
          </cell>
          <cell r="I22026" t="str">
            <v>s__unclassified_g__Turicibacter</v>
          </cell>
        </row>
        <row r="22027">
          <cell r="G22027" t="str">
            <v>ASV10106</v>
          </cell>
          <cell r="H22027" t="str">
            <v>g__unclassified_k__norank_d__Bacteria</v>
          </cell>
          <cell r="I22027" t="str">
            <v>s__unclassified_k__norank_d__Bacteria</v>
          </cell>
        </row>
        <row r="22028">
          <cell r="G22028" t="str">
            <v>ASV10122</v>
          </cell>
          <cell r="H22028" t="str">
            <v>g__unclassified_f__Lachnospiraceae</v>
          </cell>
          <cell r="I22028" t="str">
            <v>s__unclassified_f__Lachnospiraceae</v>
          </cell>
        </row>
        <row r="22029">
          <cell r="G22029" t="str">
            <v>ASV5153</v>
          </cell>
          <cell r="H22029" t="str">
            <v>g__unclassified_o__Bacteroidales</v>
          </cell>
          <cell r="I22029" t="str">
            <v>s__unclassified_o__Bacteroidales</v>
          </cell>
        </row>
        <row r="22030">
          <cell r="G22030" t="str">
            <v>ASV23610</v>
          </cell>
          <cell r="H22030" t="str">
            <v>g__unclassified_f__Oscillospiraceae</v>
          </cell>
          <cell r="I22030" t="str">
            <v>s__unclassified_f__Oscillospiraceae</v>
          </cell>
        </row>
        <row r="22031">
          <cell r="G22031" t="str">
            <v>ASV20308</v>
          </cell>
          <cell r="H22031" t="str">
            <v>g__Lactobacillus</v>
          </cell>
          <cell r="I22031" t="str">
            <v>s__unclassified_g__Lactobacillus</v>
          </cell>
        </row>
        <row r="22032">
          <cell r="G22032" t="str">
            <v>ASV17547</v>
          </cell>
          <cell r="H22032" t="str">
            <v>g__unclassified_f__Oscillospiraceae</v>
          </cell>
          <cell r="I22032" t="str">
            <v>s__unclassified_f__Oscillospiraceae</v>
          </cell>
        </row>
        <row r="22033">
          <cell r="G22033" t="str">
            <v>ASV8245</v>
          </cell>
          <cell r="H22033" t="str">
            <v>g__unclassified_f__Erysipelotrichaceae</v>
          </cell>
          <cell r="I22033" t="str">
            <v>s__unclassified_f__Erysipelotrichaceae</v>
          </cell>
        </row>
        <row r="22034">
          <cell r="G22034" t="str">
            <v>ASV18388</v>
          </cell>
          <cell r="H22034" t="str">
            <v>g__Colidextribacter</v>
          </cell>
          <cell r="I22034" t="str">
            <v>s__unclassified_g__Colidextribacter</v>
          </cell>
        </row>
        <row r="22035">
          <cell r="G22035" t="str">
            <v>ASV14704</v>
          </cell>
          <cell r="H22035" t="str">
            <v>g__unclassified_c__Clostridia</v>
          </cell>
          <cell r="I22035" t="str">
            <v>s__unclassified_c__Clostridia</v>
          </cell>
        </row>
        <row r="22036">
          <cell r="G22036" t="str">
            <v>ASV16625</v>
          </cell>
          <cell r="H22036" t="str">
            <v>g__norank_f__Erysipelotrichaceae</v>
          </cell>
          <cell r="I22036" t="str">
            <v>s__uncultured_bacterium_g__norank_f__Erysipelotrichaceae</v>
          </cell>
        </row>
        <row r="22037">
          <cell r="G22037" t="str">
            <v>ASV22591</v>
          </cell>
          <cell r="H22037" t="str">
            <v>g__Streptococcus</v>
          </cell>
          <cell r="I22037" t="str">
            <v>s__unclassified_g__Streptococcus</v>
          </cell>
        </row>
        <row r="22038">
          <cell r="G22038" t="str">
            <v>ASV2808</v>
          </cell>
          <cell r="H22038" t="str">
            <v>g__Lactobacillus</v>
          </cell>
          <cell r="I22038" t="str">
            <v>s__unclassified_g__Lactobacillus</v>
          </cell>
        </row>
        <row r="22039">
          <cell r="G22039" t="str">
            <v>ASV18699</v>
          </cell>
          <cell r="H22039" t="str">
            <v>g__Lactobacillus</v>
          </cell>
          <cell r="I22039" t="str">
            <v>s__unclassified_g__Lactobacillus</v>
          </cell>
        </row>
        <row r="22040">
          <cell r="G22040" t="str">
            <v>ASV12452</v>
          </cell>
          <cell r="H22040" t="str">
            <v>g__unclassified_f__Lachnospiraceae</v>
          </cell>
          <cell r="I22040" t="str">
            <v>s__unclassified_f__Lachnospiraceae</v>
          </cell>
        </row>
        <row r="22041">
          <cell r="G22041" t="str">
            <v>ASV12390</v>
          </cell>
          <cell r="H22041" t="str">
            <v>g__Succiniclasticum</v>
          </cell>
          <cell r="I22041" t="str">
            <v>s__uncultured_rumen_bacterium_4C28d-16</v>
          </cell>
        </row>
        <row r="22042">
          <cell r="G22042" t="str">
            <v>ASV3344</v>
          </cell>
          <cell r="H22042" t="str">
            <v>g__Tyzzerella</v>
          </cell>
          <cell r="I22042" t="str">
            <v>s__unclassified_g__Tyzzerella</v>
          </cell>
        </row>
        <row r="22043">
          <cell r="G22043" t="str">
            <v>ASV4316</v>
          </cell>
          <cell r="H22043" t="str">
            <v>g__unclassified_o__Oscillospirales</v>
          </cell>
          <cell r="I22043" t="str">
            <v>s__unclassified_o__Oscillospirales</v>
          </cell>
        </row>
        <row r="22044">
          <cell r="G22044" t="str">
            <v>ASV8126</v>
          </cell>
          <cell r="H22044" t="str">
            <v>g__unclassified_c__Clostridia</v>
          </cell>
          <cell r="I22044" t="str">
            <v>s__unclassified_c__Clostridia</v>
          </cell>
        </row>
        <row r="22045">
          <cell r="G22045" t="str">
            <v>ASV21371</v>
          </cell>
          <cell r="H22045" t="str">
            <v>g__unclassified_p__Firmicutes</v>
          </cell>
          <cell r="I22045" t="str">
            <v>s__unclassified_p__Firmicutes</v>
          </cell>
        </row>
        <row r="22046">
          <cell r="G22046" t="str">
            <v>ASV15690</v>
          </cell>
          <cell r="H22046" t="str">
            <v>g__unclassified_f__Lachnospiraceae</v>
          </cell>
          <cell r="I22046" t="str">
            <v>s__unclassified_f__Lachnospiraceae</v>
          </cell>
        </row>
        <row r="22047">
          <cell r="G22047" t="str">
            <v>ASV12448</v>
          </cell>
          <cell r="H22047" t="str">
            <v>g__unclassified_o__Bacteroidales</v>
          </cell>
          <cell r="I22047" t="str">
            <v>s__unclassified_o__Bacteroidales</v>
          </cell>
        </row>
        <row r="22048">
          <cell r="G22048" t="str">
            <v>ASV12222</v>
          </cell>
          <cell r="H22048" t="str">
            <v>g__unclassified_c__Clostridia</v>
          </cell>
          <cell r="I22048" t="str">
            <v>s__unclassified_c__Clostridia</v>
          </cell>
        </row>
        <row r="22049">
          <cell r="G22049" t="str">
            <v>ASV20328</v>
          </cell>
          <cell r="H22049" t="str">
            <v>g__unclassified_f__Lachnospiraceae</v>
          </cell>
          <cell r="I22049" t="str">
            <v>s__unclassified_f__Lachnospiraceae</v>
          </cell>
        </row>
        <row r="22050">
          <cell r="G22050" t="str">
            <v>ASV24348</v>
          </cell>
          <cell r="H22050" t="str">
            <v>g__Eubacterium</v>
          </cell>
          <cell r="I22050" t="str">
            <v>s__unclassified_g__Eubacterium</v>
          </cell>
        </row>
        <row r="22051">
          <cell r="G22051" t="str">
            <v>ASV13188</v>
          </cell>
          <cell r="H22051" t="str">
            <v>g__unclassified_f__Anaerovoracaceae</v>
          </cell>
          <cell r="I22051" t="str">
            <v>s__unclassified_f__Anaerovoracaceae</v>
          </cell>
        </row>
        <row r="22052">
          <cell r="G22052" t="str">
            <v>ASV9655</v>
          </cell>
          <cell r="H22052" t="str">
            <v>g__unclassified_p__Firmicutes</v>
          </cell>
          <cell r="I22052" t="str">
            <v>s__unclassified_p__Firmicutes</v>
          </cell>
        </row>
        <row r="22053">
          <cell r="G22053" t="str">
            <v>ASV23527</v>
          </cell>
          <cell r="H22053" t="str">
            <v>g__unclassified_p__Firmicutes</v>
          </cell>
          <cell r="I22053" t="str">
            <v>s__unclassified_p__Firmicutes</v>
          </cell>
        </row>
        <row r="22054">
          <cell r="G22054" t="str">
            <v>ASV22756</v>
          </cell>
          <cell r="H22054" t="str">
            <v>g__unclassified_c__Clostridia</v>
          </cell>
          <cell r="I22054" t="str">
            <v>s__unclassified_c__Clostridia</v>
          </cell>
        </row>
        <row r="22055">
          <cell r="G22055" t="str">
            <v>ASV3551</v>
          </cell>
          <cell r="H22055" t="str">
            <v>g__Clostridium_sensu_stricto_1</v>
          </cell>
          <cell r="I22055" t="str">
            <v>s__unclassified_g__Clostridium_sensu_stricto_1</v>
          </cell>
        </row>
        <row r="22056">
          <cell r="G22056" t="str">
            <v>ASV7388</v>
          </cell>
          <cell r="H22056" t="str">
            <v>g__Lactobacillus</v>
          </cell>
          <cell r="I22056" t="str">
            <v>s__unclassified_g__Lactobacillus</v>
          </cell>
        </row>
        <row r="22057">
          <cell r="G22057" t="str">
            <v>ASV1793</v>
          </cell>
          <cell r="H22057" t="str">
            <v>g__Lactobacillus</v>
          </cell>
          <cell r="I22057" t="str">
            <v>s__unclassified_g__Lactobacillus</v>
          </cell>
        </row>
        <row r="22058">
          <cell r="G22058" t="str">
            <v>ASV12454</v>
          </cell>
          <cell r="H22058" t="str">
            <v>g__unclassified_c__Clostridia</v>
          </cell>
          <cell r="I22058" t="str">
            <v>s__unclassified_c__Clostridia</v>
          </cell>
        </row>
        <row r="22059">
          <cell r="G22059" t="str">
            <v>ASV9105</v>
          </cell>
          <cell r="H22059" t="str">
            <v>g__Lactobacillus</v>
          </cell>
          <cell r="I22059" t="str">
            <v>s__unclassified_g__Lactobacillus</v>
          </cell>
        </row>
        <row r="22060">
          <cell r="G22060" t="str">
            <v>ASV6923</v>
          </cell>
          <cell r="H22060" t="str">
            <v>g__unclassified_f__Peptostreptococcaceae</v>
          </cell>
          <cell r="I22060" t="str">
            <v>s__unclassified_f__Peptostreptococcaceae</v>
          </cell>
        </row>
        <row r="22061">
          <cell r="G22061" t="str">
            <v>ASV2539</v>
          </cell>
          <cell r="H22061" t="str">
            <v>g__Lactobacillus</v>
          </cell>
          <cell r="I22061" t="str">
            <v>s__unclassified_g__Lactobacillus</v>
          </cell>
        </row>
        <row r="22062">
          <cell r="G22062" t="str">
            <v>ASV5163</v>
          </cell>
          <cell r="H22062" t="str">
            <v>g__unclassified_p__Firmicutes</v>
          </cell>
          <cell r="I22062" t="str">
            <v>s__unclassified_p__Firmicutes</v>
          </cell>
        </row>
        <row r="22063">
          <cell r="G22063" t="str">
            <v>ASV22793</v>
          </cell>
          <cell r="H22063" t="str">
            <v>g__unclassified_c__Clostridia</v>
          </cell>
          <cell r="I22063" t="str">
            <v>s__unclassified_c__Clostridia</v>
          </cell>
        </row>
        <row r="22064">
          <cell r="G22064" t="str">
            <v>ASV18419</v>
          </cell>
          <cell r="H22064" t="str">
            <v>g__unclassified_f__Christensenellaceae</v>
          </cell>
          <cell r="I22064" t="str">
            <v>s__unclassified_f__Christensenellaceae</v>
          </cell>
        </row>
        <row r="22065">
          <cell r="G22065" t="str">
            <v>ASV4337</v>
          </cell>
          <cell r="H22065" t="str">
            <v>g__Phascolarctobacterium</v>
          </cell>
          <cell r="I22065" t="str">
            <v>s__uncultured_bacterium_g__Phascolarctobacterium</v>
          </cell>
        </row>
        <row r="22066">
          <cell r="G22066" t="str">
            <v>ASV23573</v>
          </cell>
          <cell r="H22066" t="str">
            <v>g__unclassified_p__Firmicutes</v>
          </cell>
          <cell r="I22066" t="str">
            <v>s__unclassified_p__Firmicutes</v>
          </cell>
        </row>
        <row r="22067">
          <cell r="G22067" t="str">
            <v>ASV22807</v>
          </cell>
          <cell r="H22067" t="str">
            <v>g__unclassified_f__Lachnospiraceae</v>
          </cell>
          <cell r="I22067" t="str">
            <v>s__unclassified_f__Lachnospiraceae</v>
          </cell>
        </row>
        <row r="22068">
          <cell r="G22068" t="str">
            <v>ASV5162</v>
          </cell>
          <cell r="H22068" t="str">
            <v>g__Lactobacillus</v>
          </cell>
          <cell r="I22068" t="str">
            <v>s__unclassified_g__Lactobacillus</v>
          </cell>
        </row>
        <row r="22069">
          <cell r="G22069" t="str">
            <v>ASV9792</v>
          </cell>
          <cell r="H22069" t="str">
            <v>g__Eubacterium_oxidoreducens_group</v>
          </cell>
          <cell r="I22069" t="str">
            <v>s__uncultured_bacterium_g__Eubacterium_oxidoreducens_group</v>
          </cell>
        </row>
        <row r="22070">
          <cell r="G22070" t="str">
            <v>ASV24297</v>
          </cell>
          <cell r="H22070" t="str">
            <v>g__unclassified_p__Firmicutes</v>
          </cell>
          <cell r="I22070" t="str">
            <v>s__unclassified_p__Firmicutes</v>
          </cell>
        </row>
        <row r="22071">
          <cell r="G22071" t="str">
            <v>ASV18364</v>
          </cell>
          <cell r="H22071" t="str">
            <v>g__Ruminococcus</v>
          </cell>
          <cell r="I22071" t="str">
            <v>s__unclassified_g__Ruminococcus</v>
          </cell>
        </row>
        <row r="22072">
          <cell r="G22072" t="str">
            <v>ASV5170</v>
          </cell>
          <cell r="H22072" t="str">
            <v>g__unclassified_c__Clostridia</v>
          </cell>
          <cell r="I22072" t="str">
            <v>s__unclassified_c__Clostridia</v>
          </cell>
        </row>
        <row r="22073">
          <cell r="G22073" t="str">
            <v>ASV21367</v>
          </cell>
          <cell r="H22073" t="str">
            <v>g__Lactobacillus</v>
          </cell>
          <cell r="I22073" t="str">
            <v>s__unclassified_g__Lactobacillus</v>
          </cell>
        </row>
        <row r="22074">
          <cell r="G22074" t="str">
            <v>ASV6400</v>
          </cell>
          <cell r="H22074" t="str">
            <v>g__unclassified_p__Firmicutes</v>
          </cell>
          <cell r="I22074" t="str">
            <v>s__unclassified_p__Firmicutes</v>
          </cell>
        </row>
        <row r="22075">
          <cell r="G22075" t="str">
            <v>ASV23665</v>
          </cell>
          <cell r="H22075" t="str">
            <v>g__unclassified_f__Ruminococcaceae</v>
          </cell>
          <cell r="I22075" t="str">
            <v>s__unclassified_f__Ruminococcaceae</v>
          </cell>
        </row>
        <row r="22076">
          <cell r="G22076" t="str">
            <v>ASV18336</v>
          </cell>
          <cell r="H22076" t="str">
            <v>g__unclassified_c__Clostridia</v>
          </cell>
          <cell r="I22076" t="str">
            <v>s__unclassified_c__Clostridia</v>
          </cell>
        </row>
        <row r="22077">
          <cell r="G22077" t="str">
            <v>ASV18350</v>
          </cell>
          <cell r="H22077" t="str">
            <v>g__unclassified_f__Clostridiaceae</v>
          </cell>
          <cell r="I22077" t="str">
            <v>s__unclassified_f__Clostridiaceae</v>
          </cell>
        </row>
        <row r="22078">
          <cell r="G22078" t="str">
            <v>ASV13061</v>
          </cell>
          <cell r="H22078" t="str">
            <v>g__Christensenellaceae_R-7_group</v>
          </cell>
          <cell r="I22078" t="str">
            <v>s__unclassified_g__Christensenellaceae_R-7_group</v>
          </cell>
        </row>
        <row r="22079">
          <cell r="G22079" t="str">
            <v>ASV10361</v>
          </cell>
          <cell r="H22079" t="str">
            <v>g__unclassified_p__Firmicutes</v>
          </cell>
          <cell r="I22079" t="str">
            <v>s__unclassified_p__Firmicutes</v>
          </cell>
        </row>
        <row r="22080">
          <cell r="G22080" t="str">
            <v>ASV23861</v>
          </cell>
          <cell r="H22080" t="str">
            <v>g__norank_f__Selenomonadaceae</v>
          </cell>
          <cell r="I22080" t="str">
            <v>s__unclassified_g__norank_f__Selenomonadaceae</v>
          </cell>
        </row>
        <row r="22081">
          <cell r="G22081" t="str">
            <v>ASV6167</v>
          </cell>
          <cell r="H22081" t="str">
            <v>g__Prevotella</v>
          </cell>
          <cell r="I22081" t="str">
            <v>s__unclassified_g__Prevotella</v>
          </cell>
        </row>
        <row r="22082">
          <cell r="G22082" t="str">
            <v>ASV4314</v>
          </cell>
          <cell r="H22082" t="str">
            <v>g__unclassified_o__Burkholderiales</v>
          </cell>
          <cell r="I22082" t="str">
            <v>s__unclassified_o__Burkholderiales</v>
          </cell>
        </row>
        <row r="22083">
          <cell r="G22083" t="str">
            <v>ASV8017</v>
          </cell>
          <cell r="H22083" t="str">
            <v>g__Subdoligranulum</v>
          </cell>
          <cell r="I22083" t="str">
            <v>s__unclassified_g__Subdoligranulum</v>
          </cell>
        </row>
        <row r="22084">
          <cell r="G22084" t="str">
            <v>ASV21070</v>
          </cell>
          <cell r="H22084" t="str">
            <v>g__Christensenellaceae_R-7_group</v>
          </cell>
          <cell r="I22084" t="str">
            <v>s__unclassified_g__Christensenellaceae_R-7_group</v>
          </cell>
        </row>
        <row r="22085">
          <cell r="G22085" t="str">
            <v>ASV24035</v>
          </cell>
          <cell r="H22085" t="str">
            <v>g__unclassified_f__Oscillospiraceae</v>
          </cell>
          <cell r="I22085" t="str">
            <v>s__unclassified_f__Oscillospiraceae</v>
          </cell>
        </row>
        <row r="22086">
          <cell r="G22086" t="str">
            <v>ASV10342</v>
          </cell>
          <cell r="H22086" t="str">
            <v>g__Lactobacillus</v>
          </cell>
          <cell r="I22086" t="str">
            <v>s__unclassified_g__Lactobacillus</v>
          </cell>
        </row>
        <row r="22087">
          <cell r="G22087" t="str">
            <v>ASV19917</v>
          </cell>
          <cell r="H22087" t="str">
            <v>g__unclassified_o__Oscillospirales</v>
          </cell>
          <cell r="I22087" t="str">
            <v>s__unclassified_o__Oscillospirales</v>
          </cell>
        </row>
        <row r="22088">
          <cell r="G22088" t="str">
            <v>ASV11023</v>
          </cell>
          <cell r="H22088" t="str">
            <v>g__unclassified_f__Lachnospiraceae</v>
          </cell>
          <cell r="I22088" t="str">
            <v>s__unclassified_f__Lachnospiraceae</v>
          </cell>
        </row>
        <row r="22089">
          <cell r="G22089" t="str">
            <v>ASV18395</v>
          </cell>
          <cell r="H22089" t="str">
            <v>g__unclassified_f__Ruminococcaceae</v>
          </cell>
          <cell r="I22089" t="str">
            <v>s__unclassified_f__Ruminococcaceae</v>
          </cell>
        </row>
        <row r="22090">
          <cell r="G22090" t="str">
            <v>ASV5328</v>
          </cell>
          <cell r="H22090" t="str">
            <v>g__unclassified_p__Firmicutes</v>
          </cell>
          <cell r="I22090" t="str">
            <v>s__unclassified_p__Firmicutes</v>
          </cell>
        </row>
        <row r="22091">
          <cell r="G22091" t="str">
            <v>ASV6517</v>
          </cell>
          <cell r="H22091" t="str">
            <v>g__Comamonas</v>
          </cell>
          <cell r="I22091" t="str">
            <v>s__Comamonas_sediminis</v>
          </cell>
        </row>
        <row r="22092">
          <cell r="G22092" t="str">
            <v>ASV9712</v>
          </cell>
          <cell r="H22092" t="str">
            <v>g__unclassified_p__Firmicutes</v>
          </cell>
          <cell r="I22092" t="str">
            <v>s__unclassified_p__Firmicutes</v>
          </cell>
        </row>
        <row r="22093">
          <cell r="G22093" t="str">
            <v>ASV9802</v>
          </cell>
          <cell r="H22093" t="str">
            <v>g__Lactobacillus</v>
          </cell>
          <cell r="I22093" t="str">
            <v>s__unclassified_g__Lactobacillus</v>
          </cell>
        </row>
        <row r="22094">
          <cell r="G22094" t="str">
            <v>ASV16716</v>
          </cell>
          <cell r="H22094" t="str">
            <v>g__UCG-002</v>
          </cell>
          <cell r="I22094" t="str">
            <v>s__uncultured_bacterium_g__UCG-002</v>
          </cell>
        </row>
        <row r="22095">
          <cell r="G22095" t="str">
            <v>ASV22615</v>
          </cell>
          <cell r="H22095" t="str">
            <v>g__unclassified_p__Firmicutes</v>
          </cell>
          <cell r="I22095" t="str">
            <v>s__unclassified_p__Firmicutes</v>
          </cell>
        </row>
        <row r="22096">
          <cell r="G22096" t="str">
            <v>ASV1805</v>
          </cell>
          <cell r="H22096" t="str">
            <v>g__unclassified_f__Peptostreptococcaceae</v>
          </cell>
          <cell r="I22096" t="str">
            <v>s__unclassified_f__Peptostreptococcaceae</v>
          </cell>
        </row>
        <row r="22097">
          <cell r="G22097" t="str">
            <v>ASV3528</v>
          </cell>
          <cell r="H22097" t="str">
            <v>g__unclassified_c__Negativicutes</v>
          </cell>
          <cell r="I22097" t="str">
            <v>s__unclassified_c__Negativicutes</v>
          </cell>
        </row>
        <row r="22098">
          <cell r="G22098" t="str">
            <v>ASV8039</v>
          </cell>
          <cell r="H22098" t="str">
            <v>g__norank_f__norank_o__Clostridia_UCG-014</v>
          </cell>
          <cell r="I22098" t="str">
            <v>s__uncultured_bacterium_g__norank_f__norank_o__Clostridia_UCG-014</v>
          </cell>
        </row>
        <row r="22099">
          <cell r="G22099" t="str">
            <v>ASV21544</v>
          </cell>
          <cell r="H22099" t="str">
            <v>g__Lachnoclostridium</v>
          </cell>
          <cell r="I22099" t="str">
            <v>s__unclassified_g__Lachnoclostridium</v>
          </cell>
        </row>
        <row r="22100">
          <cell r="G22100" t="str">
            <v>ASV17019</v>
          </cell>
          <cell r="H22100" t="str">
            <v>g__Fusobacterium</v>
          </cell>
          <cell r="I22100" t="str">
            <v>s__unclassified_g__Fusobacterium</v>
          </cell>
        </row>
        <row r="22101">
          <cell r="G22101" t="str">
            <v>ASV1492</v>
          </cell>
          <cell r="H22101" t="str">
            <v>g__unclassified_f__Oscillospiraceae</v>
          </cell>
          <cell r="I22101" t="str">
            <v>s__unclassified_f__Oscillospiraceae</v>
          </cell>
        </row>
        <row r="22102">
          <cell r="G22102" t="str">
            <v>ASV23885</v>
          </cell>
          <cell r="H22102" t="str">
            <v>g__Sutterella</v>
          </cell>
          <cell r="I22102" t="str">
            <v>s__uncultured_bacterium_g__Sutterella</v>
          </cell>
        </row>
        <row r="22103">
          <cell r="G22103" t="str">
            <v>ASV16790</v>
          </cell>
          <cell r="H22103" t="str">
            <v>g__Escherichia-Shigella</v>
          </cell>
          <cell r="I22103" t="str">
            <v>s__unclassified_g__Escherichia-Shigella</v>
          </cell>
        </row>
        <row r="22104">
          <cell r="G22104" t="str">
            <v>ASV7409</v>
          </cell>
          <cell r="H22104" t="str">
            <v>g__Clostridium_sensu_stricto_1</v>
          </cell>
          <cell r="I22104" t="str">
            <v>s__unclassified_g__Clostridium_sensu_stricto_1</v>
          </cell>
        </row>
        <row r="22105">
          <cell r="G22105" t="str">
            <v>ASV8552</v>
          </cell>
          <cell r="H22105" t="str">
            <v>g__unclassified_f__Veillonellaceae</v>
          </cell>
          <cell r="I22105" t="str">
            <v>s__unclassified_f__Veillonellaceae</v>
          </cell>
        </row>
        <row r="22106">
          <cell r="G22106" t="str">
            <v>ASV5137</v>
          </cell>
          <cell r="H22106" t="str">
            <v>g__unclassified_c__Clostridia</v>
          </cell>
          <cell r="I22106" t="str">
            <v>s__unclassified_c__Clostridia</v>
          </cell>
        </row>
        <row r="22107">
          <cell r="G22107" t="str">
            <v>ASV17680</v>
          </cell>
          <cell r="H22107" t="str">
            <v>g__unclassified_f__Peptostreptococcaceae</v>
          </cell>
          <cell r="I22107" t="str">
            <v>s__unclassified_f__Peptostreptococcaceae</v>
          </cell>
        </row>
        <row r="22108">
          <cell r="G22108" t="str">
            <v>ASV24052</v>
          </cell>
          <cell r="H22108" t="str">
            <v>g__Lactobacillus</v>
          </cell>
          <cell r="I22108" t="str">
            <v>s__unclassified_g__Lactobacillus</v>
          </cell>
        </row>
        <row r="22109">
          <cell r="G22109" t="str">
            <v>ASV10924</v>
          </cell>
          <cell r="H22109" t="str">
            <v>g__unclassified_c__Clostridia</v>
          </cell>
          <cell r="I22109" t="str">
            <v>s__unclassified_c__Clostridia</v>
          </cell>
        </row>
        <row r="22110">
          <cell r="G22110" t="str">
            <v>ASV10118</v>
          </cell>
          <cell r="H22110" t="str">
            <v>g__unclassified_f__Veillonellaceae</v>
          </cell>
          <cell r="I22110" t="str">
            <v>s__unclassified_f__Veillonellaceae</v>
          </cell>
        </row>
        <row r="22111">
          <cell r="G22111" t="str">
            <v>ASV20080</v>
          </cell>
          <cell r="H22111" t="str">
            <v>g__unclassified_o__Oscillospirales</v>
          </cell>
          <cell r="I22111" t="str">
            <v>s__unclassified_o__Oscillospirales</v>
          </cell>
        </row>
        <row r="22112">
          <cell r="G22112" t="str">
            <v>ASV12166</v>
          </cell>
          <cell r="H22112" t="str">
            <v>g__norank_f__Ruminococcaceae</v>
          </cell>
          <cell r="I22112" t="str">
            <v>s__unclassified_g__norank_f__Ruminococcaceae</v>
          </cell>
        </row>
        <row r="22113">
          <cell r="G22113" t="str">
            <v>ASV5301</v>
          </cell>
          <cell r="H22113" t="str">
            <v>g__Lactobacillus</v>
          </cell>
          <cell r="I22113" t="str">
            <v>s__unclassified_g__Lactobacillus</v>
          </cell>
        </row>
        <row r="22114">
          <cell r="G22114" t="str">
            <v>ASV6286</v>
          </cell>
          <cell r="H22114" t="str">
            <v>g__Turicibacter</v>
          </cell>
          <cell r="I22114" t="str">
            <v>s__unclassified_g__Turicibacter</v>
          </cell>
        </row>
        <row r="22115">
          <cell r="G22115" t="str">
            <v>ASV22988</v>
          </cell>
          <cell r="H22115" t="str">
            <v>g__Megasphaera</v>
          </cell>
          <cell r="I22115" t="str">
            <v>s__unclassified_g__Megasphaera</v>
          </cell>
        </row>
        <row r="22116">
          <cell r="G22116" t="str">
            <v>ASV12455</v>
          </cell>
          <cell r="H22116" t="str">
            <v>g__unclassified_f__Lachnospiraceae</v>
          </cell>
          <cell r="I22116" t="str">
            <v>s__unclassified_f__Lachnospiraceae</v>
          </cell>
        </row>
        <row r="22117">
          <cell r="G22117" t="str">
            <v>ASV20332</v>
          </cell>
          <cell r="H22117" t="str">
            <v>g__unclassified_f__Lachnospiraceae</v>
          </cell>
          <cell r="I22117" t="str">
            <v>s__unclassified_f__Lachnospiraceae</v>
          </cell>
        </row>
        <row r="22118">
          <cell r="G22118" t="str">
            <v>ASV14667</v>
          </cell>
          <cell r="H22118" t="str">
            <v>g__unclassified_k__norank_d__Bacteria</v>
          </cell>
          <cell r="I22118" t="str">
            <v>s__unclassified_k__norank_d__Bacteria</v>
          </cell>
        </row>
        <row r="22119">
          <cell r="G22119" t="str">
            <v>ASV6319</v>
          </cell>
          <cell r="H22119" t="str">
            <v>g__unclassified_c__Clostridia</v>
          </cell>
          <cell r="I22119" t="str">
            <v>s__unclassified_c__Clostridia</v>
          </cell>
        </row>
        <row r="22120">
          <cell r="G22120" t="str">
            <v>ASV1407</v>
          </cell>
          <cell r="H22120" t="str">
            <v>g__Christensenellaceae_R-7_group</v>
          </cell>
          <cell r="I22120" t="str">
            <v>s__unclassified_g__Christensenellaceae_R-7_group</v>
          </cell>
        </row>
        <row r="22121">
          <cell r="G22121" t="str">
            <v>ASV6278</v>
          </cell>
          <cell r="H22121" t="str">
            <v>g__unclassified_c__Gammaproteobacteria</v>
          </cell>
          <cell r="I22121" t="str">
            <v>s__unclassified_c__Gammaproteobacteria</v>
          </cell>
        </row>
        <row r="22122">
          <cell r="G22122" t="str">
            <v>ASV22950</v>
          </cell>
          <cell r="H22122" t="str">
            <v>g__Nocardioides</v>
          </cell>
          <cell r="I22122" t="str">
            <v>s__unclassified_g__Nocardioides</v>
          </cell>
        </row>
        <row r="22123">
          <cell r="G22123" t="str">
            <v>ASV13591</v>
          </cell>
          <cell r="H22123" t="str">
            <v>g__Clostridium_sensu_stricto_1</v>
          </cell>
          <cell r="I22123" t="str">
            <v>s__unclassified_g__Clostridium_sensu_stricto_1</v>
          </cell>
        </row>
        <row r="22124">
          <cell r="G22124" t="str">
            <v>ASV16620</v>
          </cell>
          <cell r="H22124" t="str">
            <v>g__unclassified_c__Clostridia</v>
          </cell>
          <cell r="I22124" t="str">
            <v>s__unclassified_c__Clostridia</v>
          </cell>
        </row>
        <row r="22125">
          <cell r="G22125" t="str">
            <v>ASV21059</v>
          </cell>
          <cell r="H22125" t="str">
            <v>g__unclassified_f__Peptostreptococcaceae</v>
          </cell>
          <cell r="I22125" t="str">
            <v>s__unclassified_f__Peptostreptococcaceae</v>
          </cell>
        </row>
        <row r="22126">
          <cell r="G22126" t="str">
            <v>ASV3333</v>
          </cell>
          <cell r="H22126" t="str">
            <v>g__unclassified_f__Lachnospiraceae</v>
          </cell>
          <cell r="I22126" t="str">
            <v>s__unclassified_f__Lachnospiraceae</v>
          </cell>
        </row>
        <row r="22127">
          <cell r="G22127" t="str">
            <v>ASV6420</v>
          </cell>
          <cell r="H22127" t="str">
            <v>g__unclassified_c__Clostridia</v>
          </cell>
          <cell r="I22127" t="str">
            <v>s__unclassified_c__Clostridia</v>
          </cell>
        </row>
        <row r="22128">
          <cell r="G22128" t="str">
            <v>ASV5129</v>
          </cell>
          <cell r="H22128" t="str">
            <v>g__Fibrobacter</v>
          </cell>
          <cell r="I22128" t="str">
            <v>s__Fibrobacter_intestinalis</v>
          </cell>
        </row>
        <row r="22129">
          <cell r="G22129" t="str">
            <v>ASV15564</v>
          </cell>
          <cell r="H22129" t="str">
            <v>g__unclassified_o__Bacteroidales</v>
          </cell>
          <cell r="I22129" t="str">
            <v>s__unclassified_o__Bacteroidales</v>
          </cell>
        </row>
        <row r="22130">
          <cell r="G22130" t="str">
            <v>ASV21312</v>
          </cell>
          <cell r="H22130" t="str">
            <v>g__Megasphaera</v>
          </cell>
          <cell r="I22130" t="str">
            <v>s__unclassified_g__Megasphaera</v>
          </cell>
        </row>
        <row r="22131">
          <cell r="G22131" t="str">
            <v>ASV22784</v>
          </cell>
          <cell r="H22131" t="str">
            <v>g__Ruminococcus</v>
          </cell>
          <cell r="I22131" t="str">
            <v>s__unclassified_g__Ruminococcus</v>
          </cell>
        </row>
        <row r="22132">
          <cell r="G22132" t="str">
            <v>ASV8026</v>
          </cell>
          <cell r="H22132" t="str">
            <v>g__Bacteroides</v>
          </cell>
          <cell r="I22132" t="str">
            <v>s__uncultured_bacterium_g__Bacteroides</v>
          </cell>
        </row>
        <row r="22133">
          <cell r="G22133" t="str">
            <v>ASV9751</v>
          </cell>
          <cell r="H22133" t="str">
            <v>g__unclassified_c__Clostridia</v>
          </cell>
          <cell r="I22133" t="str">
            <v>s__unclassified_c__Clostridia</v>
          </cell>
        </row>
        <row r="22134">
          <cell r="G22134" t="str">
            <v>ASV21101</v>
          </cell>
          <cell r="H22134" t="str">
            <v>g__unclassified_c__Clostridia</v>
          </cell>
          <cell r="I22134" t="str">
            <v>s__unclassified_c__Clostridia</v>
          </cell>
        </row>
        <row r="22135">
          <cell r="G22135" t="str">
            <v>ASV7400</v>
          </cell>
          <cell r="H22135" t="str">
            <v>g__Peptostreptococcus</v>
          </cell>
          <cell r="I22135" t="str">
            <v>s__unclassified_g__Peptostreptococcus</v>
          </cell>
        </row>
        <row r="22136">
          <cell r="G22136" t="str">
            <v>ASV20322</v>
          </cell>
          <cell r="H22136" t="str">
            <v>g__Fusobacterium</v>
          </cell>
          <cell r="I22136" t="str">
            <v>s__unclassified_g__Fusobacterium</v>
          </cell>
        </row>
        <row r="22137">
          <cell r="G22137" t="str">
            <v>ASV19940</v>
          </cell>
          <cell r="H22137" t="str">
            <v>g__unclassified_f__Prevotellaceae</v>
          </cell>
          <cell r="I22137" t="str">
            <v>s__unclassified_f__Prevotellaceae</v>
          </cell>
        </row>
        <row r="22138">
          <cell r="G22138" t="str">
            <v>ASV23571</v>
          </cell>
          <cell r="H22138" t="str">
            <v>g__unclassified_f__norank_o__Peptostreptococcales-Tissierellales</v>
          </cell>
          <cell r="I22138" t="str">
            <v>s__unclassified_f__norank_o__Peptostreptococcales-Tissierellales</v>
          </cell>
        </row>
        <row r="22139">
          <cell r="G22139" t="str">
            <v>ASV17094</v>
          </cell>
          <cell r="H22139" t="str">
            <v>g__Faecalibacterium</v>
          </cell>
          <cell r="I22139" t="str">
            <v>s__unclassified_g__Faecalibacterium</v>
          </cell>
        </row>
        <row r="22140">
          <cell r="G22140" t="str">
            <v>ASV16588</v>
          </cell>
          <cell r="H22140" t="str">
            <v>g__unclassified_k__norank_d__Bacteria</v>
          </cell>
          <cell r="I22140" t="str">
            <v>s__unclassified_k__norank_d__Bacteria</v>
          </cell>
        </row>
        <row r="22141">
          <cell r="G22141" t="str">
            <v>ASV20316</v>
          </cell>
          <cell r="H22141" t="str">
            <v>g__unclassified_f__Lachnospiraceae</v>
          </cell>
          <cell r="I22141" t="str">
            <v>s__unclassified_f__Lachnospiraceae</v>
          </cell>
        </row>
        <row r="22142">
          <cell r="G22142" t="str">
            <v>ASV10121</v>
          </cell>
          <cell r="H22142" t="str">
            <v>g__Peptostreptococcus</v>
          </cell>
          <cell r="I22142" t="str">
            <v>s__unclassified_g__Peptostreptococcus</v>
          </cell>
        </row>
        <row r="22143">
          <cell r="G22143" t="str">
            <v>ASV7120</v>
          </cell>
          <cell r="H22143" t="str">
            <v>g__unclassified_p__Firmicutes</v>
          </cell>
          <cell r="I22143" t="str">
            <v>s__unclassified_p__Firmicutes</v>
          </cell>
        </row>
        <row r="22144">
          <cell r="G22144" t="str">
            <v>ASV18963</v>
          </cell>
          <cell r="H22144" t="str">
            <v>g__unclassified_c__Bacilli</v>
          </cell>
          <cell r="I22144" t="str">
            <v>s__unclassified_c__Bacilli</v>
          </cell>
        </row>
        <row r="22145">
          <cell r="G22145" t="str">
            <v>ASV6288</v>
          </cell>
          <cell r="H22145" t="str">
            <v>g__unclassified_f__Peptostreptococcaceae</v>
          </cell>
          <cell r="I22145" t="str">
            <v>s__unclassified_f__Peptostreptococcaceae</v>
          </cell>
        </row>
        <row r="22146">
          <cell r="G22146" t="str">
            <v>ASV10331</v>
          </cell>
          <cell r="H22146" t="str">
            <v>g__Parvimonas</v>
          </cell>
          <cell r="I22146" t="str">
            <v>s__unclassified_g__Parvimonas</v>
          </cell>
        </row>
        <row r="22147">
          <cell r="G22147" t="str">
            <v>ASV8193</v>
          </cell>
          <cell r="H22147" t="str">
            <v>g__unclassified_f__Lachnospiraceae</v>
          </cell>
          <cell r="I22147" t="str">
            <v>s__unclassified_f__Lachnospiraceae</v>
          </cell>
        </row>
        <row r="22148">
          <cell r="G22148" t="str">
            <v>ASV17631</v>
          </cell>
          <cell r="H22148" t="str">
            <v>g__Olsenella</v>
          </cell>
          <cell r="I22148" t="str">
            <v>s__unclassified_g__Olsenella</v>
          </cell>
        </row>
        <row r="22149">
          <cell r="G22149" t="str">
            <v>ASV22547</v>
          </cell>
          <cell r="H22149" t="str">
            <v>g__Anaerofustis</v>
          </cell>
          <cell r="I22149" t="str">
            <v>s__Anaerofustis_sp._Marseille-P2832</v>
          </cell>
        </row>
        <row r="22150">
          <cell r="G22150" t="str">
            <v>ASV6175</v>
          </cell>
          <cell r="H22150" t="str">
            <v>g__unclassified_c__Clostridia</v>
          </cell>
          <cell r="I22150" t="str">
            <v>s__unclassified_c__Clostridia</v>
          </cell>
        </row>
        <row r="22151">
          <cell r="G22151" t="str">
            <v>ASV1794</v>
          </cell>
          <cell r="H22151" t="str">
            <v>g__Terrisporobacter</v>
          </cell>
          <cell r="I22151" t="str">
            <v>s__unclassified_g__Terrisporobacter</v>
          </cell>
        </row>
        <row r="22152">
          <cell r="G22152" t="str">
            <v>ASV10917</v>
          </cell>
          <cell r="H22152" t="str">
            <v>g__Monoglobus</v>
          </cell>
          <cell r="I22152" t="str">
            <v>s__unclassified_g__Monoglobus</v>
          </cell>
        </row>
        <row r="22153">
          <cell r="G22153" t="str">
            <v>ASV20067</v>
          </cell>
          <cell r="H22153" t="str">
            <v>g__unclassified_f__Lachnospiraceae</v>
          </cell>
          <cell r="I22153" t="str">
            <v>s__unclassified_f__Lachnospiraceae</v>
          </cell>
        </row>
        <row r="22154">
          <cell r="G22154" t="str">
            <v>ASV12157</v>
          </cell>
          <cell r="H22154" t="str">
            <v>g__Phascolarctobacterium</v>
          </cell>
          <cell r="I22154" t="str">
            <v>s__unclassified_g__Phascolarctobacterium</v>
          </cell>
        </row>
        <row r="22155">
          <cell r="G22155" t="str">
            <v>ASV1456</v>
          </cell>
          <cell r="H22155" t="str">
            <v>g__unclassified_f__Oscillospiraceae</v>
          </cell>
          <cell r="I22155" t="str">
            <v>s__unclassified_f__Oscillospiraceae</v>
          </cell>
        </row>
        <row r="22156">
          <cell r="G22156" t="str">
            <v>ASV18959</v>
          </cell>
          <cell r="H22156" t="str">
            <v>g__unclassified_f__Lachnospiraceae</v>
          </cell>
          <cell r="I22156" t="str">
            <v>s__unclassified_f__Lachnospiraceae</v>
          </cell>
        </row>
        <row r="22157">
          <cell r="G22157" t="str">
            <v>ASV8683</v>
          </cell>
          <cell r="H22157" t="str">
            <v>g__Phenylobacterium</v>
          </cell>
          <cell r="I22157" t="str">
            <v>s__unclassified_g__Phenylobacterium</v>
          </cell>
        </row>
        <row r="22158">
          <cell r="G22158" t="str">
            <v>ASV15850</v>
          </cell>
          <cell r="H22158" t="str">
            <v>g__unclassified_f__Lachnospiraceae</v>
          </cell>
          <cell r="I22158" t="str">
            <v>s__unclassified_f__Lachnospiraceae</v>
          </cell>
        </row>
        <row r="22159">
          <cell r="G22159" t="str">
            <v>ASV1264</v>
          </cell>
          <cell r="H22159" t="str">
            <v>g__unclassified_c__Clostridia</v>
          </cell>
          <cell r="I22159" t="str">
            <v>s__unclassified_c__Clostridia</v>
          </cell>
        </row>
        <row r="22160">
          <cell r="G22160" t="str">
            <v>ASV12342</v>
          </cell>
          <cell r="H22160" t="str">
            <v>g__norank_f__norank_o__Clostridia_UCG-014</v>
          </cell>
          <cell r="I22160" t="str">
            <v>s__uncultured_bacterium_g__norank_f__norank_o__Clostridia_UCG-014</v>
          </cell>
        </row>
        <row r="22161">
          <cell r="G22161" t="str">
            <v>ASV8133</v>
          </cell>
          <cell r="H22161" t="str">
            <v>g__unclassified_p__Firmicutes</v>
          </cell>
          <cell r="I22161" t="str">
            <v>s__unclassified_p__Firmicutes</v>
          </cell>
        </row>
        <row r="22162">
          <cell r="G22162" t="str">
            <v>ASV13158</v>
          </cell>
          <cell r="H22162" t="str">
            <v>g__Peptococcus</v>
          </cell>
          <cell r="I22162" t="str">
            <v>s__uncultured_bacterium_g__Peptococcus</v>
          </cell>
        </row>
        <row r="22163">
          <cell r="G22163" t="str">
            <v>ASV4304</v>
          </cell>
          <cell r="H22163" t="str">
            <v>g__Christensenellaceae_R-7_group</v>
          </cell>
          <cell r="I22163" t="str">
            <v>s__unclassified_g__Christensenellaceae_R-7_group</v>
          </cell>
        </row>
        <row r="22164">
          <cell r="G22164" t="str">
            <v>ASV24396</v>
          </cell>
          <cell r="H22164" t="str">
            <v>g__Streptococcus</v>
          </cell>
          <cell r="I22164" t="str">
            <v>s__unclassified_g__Streptococcus</v>
          </cell>
        </row>
        <row r="22165">
          <cell r="G22165" t="str">
            <v>ASV9692</v>
          </cell>
          <cell r="H22165" t="str">
            <v>g__unclassified_c__Bacilli</v>
          </cell>
          <cell r="I22165" t="str">
            <v>s__unclassified_c__Bacilli</v>
          </cell>
        </row>
        <row r="22166">
          <cell r="G22166" t="str">
            <v>ASV23628</v>
          </cell>
          <cell r="H22166" t="str">
            <v>g__UCG-002</v>
          </cell>
          <cell r="I22166" t="str">
            <v>s__unclassified_g__UCG-002</v>
          </cell>
        </row>
        <row r="22167">
          <cell r="G22167" t="str">
            <v>ASV6419</v>
          </cell>
          <cell r="H22167" t="str">
            <v>g__unclassified_c__Clostridia</v>
          </cell>
          <cell r="I22167" t="str">
            <v>s__unclassified_c__Clostridia</v>
          </cell>
        </row>
        <row r="22168">
          <cell r="G22168" t="str">
            <v>ASV1488</v>
          </cell>
          <cell r="H22168" t="str">
            <v>g__unclassified_f__Lachnospiraceae</v>
          </cell>
          <cell r="I22168" t="str">
            <v>s__unclassified_f__Lachnospiraceae</v>
          </cell>
        </row>
        <row r="22169">
          <cell r="G22169" t="str">
            <v>ASV1754</v>
          </cell>
          <cell r="H22169" t="str">
            <v>g__unclassified_k__norank_d__Bacteria</v>
          </cell>
          <cell r="I22169" t="str">
            <v>s__unclassified_k__norank_d__Bacteria</v>
          </cell>
        </row>
        <row r="22170">
          <cell r="G22170" t="str">
            <v>ASV5315</v>
          </cell>
          <cell r="H22170" t="str">
            <v>g__Terrisporobacter</v>
          </cell>
          <cell r="I22170" t="str">
            <v>s__unclassified_g__Terrisporobacter</v>
          </cell>
        </row>
        <row r="22171">
          <cell r="G22171" t="str">
            <v>ASV6235</v>
          </cell>
          <cell r="H22171" t="str">
            <v>g__unclassified_f__Clostridiaceae</v>
          </cell>
          <cell r="I22171" t="str">
            <v>s__unclassified_f__Clostridiaceae</v>
          </cell>
        </row>
        <row r="22172">
          <cell r="G22172" t="str">
            <v>ASV17074</v>
          </cell>
          <cell r="H22172" t="str">
            <v>g__unclassified_f__Lachnospiraceae</v>
          </cell>
          <cell r="I22172" t="str">
            <v>s__unclassified_f__Lachnospiraceae</v>
          </cell>
        </row>
        <row r="22173">
          <cell r="G22173" t="str">
            <v>ASV6933</v>
          </cell>
          <cell r="H22173" t="str">
            <v>g__unclassified_c__Clostridia</v>
          </cell>
          <cell r="I22173" t="str">
            <v>s__unclassified_c__Clostridia</v>
          </cell>
        </row>
        <row r="22174">
          <cell r="G22174" t="str">
            <v>ASV24015</v>
          </cell>
          <cell r="H22174" t="str">
            <v>g__Lactobacillus</v>
          </cell>
          <cell r="I22174" t="str">
            <v>s__unclassified_g__Lactobacillus</v>
          </cell>
        </row>
        <row r="22175">
          <cell r="G22175" t="str">
            <v>ASV10991</v>
          </cell>
          <cell r="H22175" t="str">
            <v>g__unclassified_o__Peptostreptococcales-Tissierellales</v>
          </cell>
          <cell r="I22175" t="str">
            <v>s__unclassified_o__Peptostreptococcales-Tissierellales</v>
          </cell>
        </row>
        <row r="22176">
          <cell r="G22176" t="str">
            <v>ASV7126</v>
          </cell>
          <cell r="H22176" t="str">
            <v>g__Megasphaera</v>
          </cell>
          <cell r="I22176" t="str">
            <v>s__unclassified_g__Megasphaera</v>
          </cell>
        </row>
        <row r="22177">
          <cell r="G22177" t="str">
            <v>ASV2439</v>
          </cell>
          <cell r="H22177" t="str">
            <v>g__unclassified_f__Lachnospiraceae</v>
          </cell>
          <cell r="I22177" t="str">
            <v>s__unclassified_f__Lachnospiraceae</v>
          </cell>
        </row>
        <row r="22178">
          <cell r="G22178" t="str">
            <v>ASV9735</v>
          </cell>
          <cell r="H22178" t="str">
            <v>g__Clostridium_sensu_stricto_1</v>
          </cell>
          <cell r="I22178" t="str">
            <v>s__unclassified_g__Clostridium_sensu_stricto_1</v>
          </cell>
        </row>
        <row r="22179">
          <cell r="G22179" t="str">
            <v>ASV22755</v>
          </cell>
          <cell r="H22179" t="str">
            <v>g__unclassified_f__Lachnospiraceae</v>
          </cell>
          <cell r="I22179" t="str">
            <v>s__unclassified_f__Lachnospiraceae</v>
          </cell>
        </row>
        <row r="22180">
          <cell r="G22180" t="str">
            <v>ASV21357</v>
          </cell>
          <cell r="H22180" t="str">
            <v>g__Lactobacillus</v>
          </cell>
          <cell r="I22180" t="str">
            <v>s__unclassified_g__Lactobacillus</v>
          </cell>
        </row>
        <row r="22181">
          <cell r="G22181" t="str">
            <v>ASV1113</v>
          </cell>
          <cell r="H22181" t="str">
            <v>g__norank_f__norank_o__norank_c__Clostridia</v>
          </cell>
          <cell r="I22181" t="str">
            <v>s__uncultured_bacterium_g__norank_f__norank_o__norank_c__Clostridia</v>
          </cell>
        </row>
        <row r="22182">
          <cell r="G22182" t="str">
            <v>ASV14638</v>
          </cell>
          <cell r="H22182" t="str">
            <v>g__unclassified_f__Prevotellaceae</v>
          </cell>
          <cell r="I22182" t="str">
            <v>s__unclassified_f__Prevotellaceae</v>
          </cell>
        </row>
        <row r="22183">
          <cell r="G22183" t="str">
            <v>ASV21052</v>
          </cell>
          <cell r="H22183" t="str">
            <v>g__unclassified_o__Oscillospirales</v>
          </cell>
          <cell r="I22183" t="str">
            <v>s__unclassified_o__Oscillospirales</v>
          </cell>
        </row>
        <row r="22184">
          <cell r="G22184" t="str">
            <v>ASV3301</v>
          </cell>
          <cell r="H22184" t="str">
            <v>g__unclassified_c__Clostridia</v>
          </cell>
          <cell r="I22184" t="str">
            <v>s__unclassified_c__Clostridia</v>
          </cell>
        </row>
        <row r="22185">
          <cell r="G22185" t="str">
            <v>ASV23804</v>
          </cell>
          <cell r="H22185" t="str">
            <v>g__Filifactor</v>
          </cell>
          <cell r="I22185" t="str">
            <v>s__uncultured_bacterium_g__Filifactor</v>
          </cell>
        </row>
        <row r="22186">
          <cell r="G22186" t="str">
            <v>ASV21002</v>
          </cell>
          <cell r="H22186" t="str">
            <v>g__unclassified_f__Lachnospiraceae</v>
          </cell>
          <cell r="I22186" t="str">
            <v>s__unclassified_f__Lachnospiraceae</v>
          </cell>
        </row>
        <row r="22187">
          <cell r="G22187" t="str">
            <v>ASV17125</v>
          </cell>
          <cell r="H22187" t="str">
            <v>g__Geodermatophilus</v>
          </cell>
          <cell r="I22187" t="str">
            <v>s__unclassified_g__Geodermatophilus</v>
          </cell>
        </row>
        <row r="22188">
          <cell r="G22188" t="str">
            <v>ASV21063</v>
          </cell>
          <cell r="H22188" t="str">
            <v>g__unclassified_k__norank_d__Bacteria</v>
          </cell>
          <cell r="I22188" t="str">
            <v>s__unclassified_k__norank_d__Bacteria</v>
          </cell>
        </row>
        <row r="22189">
          <cell r="G22189" t="str">
            <v>ASV9698</v>
          </cell>
          <cell r="H22189" t="str">
            <v>g__unclassified_f__Lachnospiraceae</v>
          </cell>
          <cell r="I22189" t="str">
            <v>s__unclassified_f__Lachnospiraceae</v>
          </cell>
        </row>
        <row r="22190">
          <cell r="G22190" t="str">
            <v>ASV16614</v>
          </cell>
          <cell r="H22190" t="str">
            <v>g__unclassified_f__Clostridiaceae</v>
          </cell>
          <cell r="I22190" t="str">
            <v>s__unclassified_f__Clostridiaceae</v>
          </cell>
        </row>
        <row r="22191">
          <cell r="G22191" t="str">
            <v>ASV9770</v>
          </cell>
          <cell r="H22191" t="str">
            <v>g__unclassified_f__Lachnospiraceae</v>
          </cell>
          <cell r="I22191" t="str">
            <v>s__unclassified_f__Lachnospiraceae</v>
          </cell>
        </row>
        <row r="22192">
          <cell r="G22192" t="str">
            <v>ASV1340</v>
          </cell>
          <cell r="H22192" t="str">
            <v>g__unclassified_f__Oscillospiraceae</v>
          </cell>
          <cell r="I22192" t="str">
            <v>s__unclassified_f__Oscillospiraceae</v>
          </cell>
        </row>
        <row r="22193">
          <cell r="G22193" t="str">
            <v>ASV21022</v>
          </cell>
          <cell r="H22193" t="str">
            <v>g__Phascolarctobacterium</v>
          </cell>
          <cell r="I22193" t="str">
            <v>s__Ruminococcus_sp._N15.MGS-57_g__Phascolarctobacterium</v>
          </cell>
        </row>
        <row r="22194">
          <cell r="G22194" t="str">
            <v>ASV18458</v>
          </cell>
          <cell r="H22194" t="str">
            <v>g__unclassified_f__Ruminococcaceae</v>
          </cell>
          <cell r="I22194" t="str">
            <v>s__unclassified_f__Ruminococcaceae</v>
          </cell>
        </row>
        <row r="22195">
          <cell r="G22195" t="str">
            <v>ASV13656</v>
          </cell>
          <cell r="H22195" t="str">
            <v>g__Bacteroides</v>
          </cell>
          <cell r="I22195" t="str">
            <v>s__unclassified_g__Bacteroides</v>
          </cell>
        </row>
        <row r="22196">
          <cell r="G22196" t="str">
            <v>ASV21009</v>
          </cell>
          <cell r="H22196" t="str">
            <v>g__Lactobacillus</v>
          </cell>
          <cell r="I22196" t="str">
            <v>s__Lactobacillus_sp._KC45b</v>
          </cell>
        </row>
        <row r="22197">
          <cell r="G22197" t="str">
            <v>ASV5132</v>
          </cell>
          <cell r="H22197" t="str">
            <v>g__Treponema</v>
          </cell>
          <cell r="I22197" t="str">
            <v>s__unclassified_g__Treponema</v>
          </cell>
        </row>
        <row r="22198">
          <cell r="G22198" t="str">
            <v>ASV7410</v>
          </cell>
          <cell r="H22198" t="str">
            <v>g__Lactobacillus</v>
          </cell>
          <cell r="I22198" t="str">
            <v>s__unclassified_g__Lactobacillus</v>
          </cell>
        </row>
        <row r="22199">
          <cell r="G22199" t="str">
            <v>ASV17431</v>
          </cell>
          <cell r="H22199" t="str">
            <v>g__unclassified_f__Lachnospiraceae</v>
          </cell>
          <cell r="I22199" t="str">
            <v>s__unclassified_f__Lachnospiraceae</v>
          </cell>
        </row>
        <row r="22200">
          <cell r="G22200" t="str">
            <v>ASV16689</v>
          </cell>
          <cell r="H22200" t="str">
            <v>g__Eubacterium_oxidoreducens_group</v>
          </cell>
          <cell r="I22200" t="str">
            <v>s__uncultured_bacterium_g__Eubacterium_oxidoreducens_group</v>
          </cell>
        </row>
        <row r="22201">
          <cell r="G22201" t="str">
            <v>ASV22760</v>
          </cell>
          <cell r="H22201" t="str">
            <v>g__Eubacterium_oxidoreducens_group</v>
          </cell>
          <cell r="I22201" t="str">
            <v>s__uncultured_bacterium_g__Eubacterium_oxidoreducens_group</v>
          </cell>
        </row>
        <row r="22202">
          <cell r="G22202" t="str">
            <v>ASV24265</v>
          </cell>
          <cell r="H22202" t="str">
            <v>g__Christensenellaceae_R-7_group</v>
          </cell>
          <cell r="I22202" t="str">
            <v>s__unclassified_g__Christensenellaceae_R-7_group</v>
          </cell>
        </row>
        <row r="22203">
          <cell r="G22203" t="str">
            <v>ASV1129</v>
          </cell>
          <cell r="H22203" t="str">
            <v>g__unclassified_k__norank_d__Bacteria</v>
          </cell>
          <cell r="I22203" t="str">
            <v>s__unclassified_k__norank_d__Bacteria</v>
          </cell>
        </row>
        <row r="22204">
          <cell r="G22204" t="str">
            <v>ASV10246</v>
          </cell>
          <cell r="H22204" t="str">
            <v>g__Bacteroides</v>
          </cell>
          <cell r="I22204" t="str">
            <v>s__unclassified_g__Bacteroides</v>
          </cell>
        </row>
        <row r="22205">
          <cell r="G22205" t="str">
            <v>ASV12461</v>
          </cell>
          <cell r="H22205" t="str">
            <v>g__unclassified_k__norank_d__Bacteria</v>
          </cell>
          <cell r="I22205" t="str">
            <v>s__unclassified_k__norank_d__Bacteria</v>
          </cell>
        </row>
        <row r="22206">
          <cell r="G22206" t="str">
            <v>ASV12463</v>
          </cell>
          <cell r="H22206" t="str">
            <v>g__unclassified_f__Lachnospiraceae</v>
          </cell>
          <cell r="I22206" t="str">
            <v>s__unclassified_f__Lachnospiraceae</v>
          </cell>
        </row>
        <row r="22207">
          <cell r="G22207" t="str">
            <v>ASV20127</v>
          </cell>
          <cell r="H22207" t="str">
            <v>g__Enterococcus</v>
          </cell>
          <cell r="I22207" t="str">
            <v>s__unclassified_g__Enterococcus</v>
          </cell>
        </row>
        <row r="22208">
          <cell r="G22208" t="str">
            <v>ASV13829</v>
          </cell>
          <cell r="H22208" t="str">
            <v>g__unclassified_k__norank_d__Bacteria</v>
          </cell>
          <cell r="I22208" t="str">
            <v>s__unclassified_k__norank_d__Bacteria</v>
          </cell>
        </row>
        <row r="22209">
          <cell r="G22209" t="str">
            <v>ASV13840</v>
          </cell>
          <cell r="H22209" t="str">
            <v>g__Streptococcus</v>
          </cell>
          <cell r="I22209" t="str">
            <v>s__unclassified_g__Streptococcus</v>
          </cell>
        </row>
        <row r="22210">
          <cell r="G22210" t="str">
            <v>ASV6471</v>
          </cell>
          <cell r="H22210" t="str">
            <v>g__unclassified_f__Lachnospiraceae</v>
          </cell>
          <cell r="I22210" t="str">
            <v>s__unclassified_f__Lachnospiraceae</v>
          </cell>
        </row>
        <row r="22211">
          <cell r="G22211" t="str">
            <v>ASV2400</v>
          </cell>
          <cell r="H22211" t="str">
            <v>g__norank_f__Erysipelotrichaceae</v>
          </cell>
          <cell r="I22211" t="str">
            <v>s__uncultured_bacterium_g__norank_f__Erysipelotrichaceae</v>
          </cell>
        </row>
        <row r="22212">
          <cell r="G22212" t="str">
            <v>ASV24266</v>
          </cell>
          <cell r="H22212" t="str">
            <v>g__unclassified_c__Clostridia</v>
          </cell>
          <cell r="I22212" t="str">
            <v>s__unclassified_c__Clostridia</v>
          </cell>
        </row>
        <row r="22213">
          <cell r="G22213" t="str">
            <v>ASV8870</v>
          </cell>
          <cell r="H22213" t="str">
            <v>g__norank_f__Muribaculaceae</v>
          </cell>
          <cell r="I22213" t="str">
            <v>s__uncultured_bacterium_g__norank_f__Muribaculaceae</v>
          </cell>
        </row>
        <row r="22214">
          <cell r="G22214" t="str">
            <v>ASV18374</v>
          </cell>
          <cell r="H22214" t="str">
            <v>g__Christensenellaceae_R-7_group</v>
          </cell>
          <cell r="I22214" t="str">
            <v>s__unclassified_g__Christensenellaceae_R-7_group</v>
          </cell>
        </row>
        <row r="22215">
          <cell r="G22215" t="str">
            <v>ASV22944</v>
          </cell>
          <cell r="H22215" t="str">
            <v>g__norank_f__Saccharimonadaceae</v>
          </cell>
          <cell r="I22215" t="str">
            <v>s__TM7_phylum_sp._canine_oral_taxon_308</v>
          </cell>
        </row>
        <row r="22216">
          <cell r="G22216" t="str">
            <v>ASV15574</v>
          </cell>
          <cell r="H22216" t="str">
            <v>g__unclassified_k__norank_d__Bacteria</v>
          </cell>
          <cell r="I22216" t="str">
            <v>s__unclassified_k__norank_d__Bacteria</v>
          </cell>
        </row>
        <row r="22217">
          <cell r="G22217" t="str">
            <v>ASV16124</v>
          </cell>
          <cell r="H22217" t="str">
            <v>g__Streptococcus</v>
          </cell>
          <cell r="I22217" t="str">
            <v>s__unclassified_g__Streptococcus</v>
          </cell>
        </row>
        <row r="22218">
          <cell r="G22218" t="str">
            <v>ASV13036</v>
          </cell>
          <cell r="H22218" t="str">
            <v>g__unclassified_f__Lachnospiraceae</v>
          </cell>
          <cell r="I22218" t="str">
            <v>s__unclassified_f__Lachnospiraceae</v>
          </cell>
        </row>
        <row r="22219">
          <cell r="G22219" t="str">
            <v>ASV21665</v>
          </cell>
          <cell r="H22219" t="str">
            <v>g__Faecalibacterium</v>
          </cell>
          <cell r="I22219" t="str">
            <v>s__uncultured_bacterium_g__Faecalibacterium</v>
          </cell>
        </row>
        <row r="22220">
          <cell r="G22220" t="str">
            <v>ASV4330</v>
          </cell>
          <cell r="H22220" t="str">
            <v>g__Alloprevotella</v>
          </cell>
          <cell r="I22220" t="str">
            <v>s__unclassified_g__Alloprevotella</v>
          </cell>
        </row>
        <row r="22221">
          <cell r="G22221" t="str">
            <v>ASV4230</v>
          </cell>
          <cell r="H22221" t="str">
            <v>g__Bacteroides</v>
          </cell>
          <cell r="I22221" t="str">
            <v>s__unclassified_g__Bacteroides</v>
          </cell>
        </row>
        <row r="22222">
          <cell r="G22222" t="str">
            <v>ASV3279</v>
          </cell>
          <cell r="H22222" t="str">
            <v>g__Butyricicoccus</v>
          </cell>
          <cell r="I22222" t="str">
            <v>s__unclassified_g__Butyricicoccus</v>
          </cell>
        </row>
        <row r="22223">
          <cell r="G22223" t="str">
            <v>ASV22684</v>
          </cell>
          <cell r="H22223" t="str">
            <v>g__unclassified_c__Clostridia</v>
          </cell>
          <cell r="I22223" t="str">
            <v>s__unclassified_c__Clostridia</v>
          </cell>
        </row>
        <row r="22224">
          <cell r="G22224" t="str">
            <v>ASV15601</v>
          </cell>
          <cell r="H22224" t="str">
            <v>g__Butyricicoccus</v>
          </cell>
          <cell r="I22224" t="str">
            <v>s__Clostridiales_bacterium_DJF_B152</v>
          </cell>
        </row>
        <row r="22225">
          <cell r="G22225" t="str">
            <v>ASV8547</v>
          </cell>
          <cell r="H22225" t="str">
            <v>g__Aeromicrobium</v>
          </cell>
          <cell r="I22225" t="str">
            <v>s__unclassified_g__Aeromicrobium</v>
          </cell>
        </row>
        <row r="22226">
          <cell r="G22226" t="str">
            <v>ASV6919</v>
          </cell>
          <cell r="H22226" t="str">
            <v>g__Lactobacillus</v>
          </cell>
          <cell r="I22226" t="str">
            <v>s__unclassified_g__Lactobacillus</v>
          </cell>
        </row>
        <row r="22227">
          <cell r="G22227" t="str">
            <v>ASV21655</v>
          </cell>
          <cell r="H22227" t="str">
            <v>g__Bacteroides</v>
          </cell>
          <cell r="I22227" t="str">
            <v>s__unclassified_g__Bacteroides</v>
          </cell>
        </row>
        <row r="22228">
          <cell r="G22228" t="str">
            <v>ASV18677</v>
          </cell>
          <cell r="H22228" t="str">
            <v>g__Actinomyces</v>
          </cell>
          <cell r="I22228" t="str">
            <v>s__unclassified_g__Actinomyces</v>
          </cell>
        </row>
        <row r="22229">
          <cell r="G22229" t="str">
            <v>ASV5157</v>
          </cell>
          <cell r="H22229" t="str">
            <v>g__unclassified_f__Oscillospiraceae</v>
          </cell>
          <cell r="I22229" t="str">
            <v>s__unclassified_f__Oscillospiraceae</v>
          </cell>
        </row>
        <row r="22230">
          <cell r="G22230" t="str">
            <v>ASV19105</v>
          </cell>
          <cell r="H22230" t="str">
            <v>g__unclassified_c__Clostridia</v>
          </cell>
          <cell r="I22230" t="str">
            <v>s__unclassified_c__Clostridia</v>
          </cell>
        </row>
        <row r="22231">
          <cell r="G22231" t="str">
            <v>ASV21514</v>
          </cell>
          <cell r="H22231" t="str">
            <v>g__Megasphaera</v>
          </cell>
          <cell r="I22231" t="str">
            <v>s__unclassified_g__Megasphaera</v>
          </cell>
        </row>
        <row r="22232">
          <cell r="G22232" t="str">
            <v>ASV17329</v>
          </cell>
          <cell r="H22232" t="str">
            <v>g__unclassified_f__Peptostreptococcaceae</v>
          </cell>
          <cell r="I22232" t="str">
            <v>s__unclassified_f__Peptostreptococcaceae</v>
          </cell>
        </row>
        <row r="22233">
          <cell r="G22233" t="str">
            <v>ASV18407</v>
          </cell>
          <cell r="H22233" t="str">
            <v>g__unclassified_f__Ruminococcaceae</v>
          </cell>
          <cell r="I22233" t="str">
            <v>s__unclassified_f__Ruminococcaceae</v>
          </cell>
        </row>
        <row r="22234">
          <cell r="G22234" t="str">
            <v>ASV8156</v>
          </cell>
          <cell r="H22234" t="str">
            <v>g__unclassified_f__Clostridiaceae</v>
          </cell>
          <cell r="I22234" t="str">
            <v>s__unclassified_f__Clostridiaceae</v>
          </cell>
        </row>
        <row r="22235">
          <cell r="G22235" t="str">
            <v>ASV10959</v>
          </cell>
          <cell r="H22235" t="str">
            <v>g__unclassified_o__Clostridiales</v>
          </cell>
          <cell r="I22235" t="str">
            <v>s__unclassified_o__Clostridiales</v>
          </cell>
        </row>
        <row r="22236">
          <cell r="G22236" t="str">
            <v>ASV1322</v>
          </cell>
          <cell r="H22236" t="str">
            <v>g__unclassified_c__Clostridia</v>
          </cell>
          <cell r="I22236" t="str">
            <v>s__unclassified_c__Clostridia</v>
          </cell>
        </row>
        <row r="22237">
          <cell r="G22237" t="str">
            <v>ASV1299</v>
          </cell>
          <cell r="H22237" t="str">
            <v>g__unclassified_c__Clostridia</v>
          </cell>
          <cell r="I22237" t="str">
            <v>s__unclassified_c__Clostridia</v>
          </cell>
        </row>
        <row r="22238">
          <cell r="G22238" t="str">
            <v>ASV6905</v>
          </cell>
          <cell r="H22238" t="str">
            <v>g__Enterococcus</v>
          </cell>
          <cell r="I22238" t="str">
            <v>s__unclassified_g__Enterococcus</v>
          </cell>
        </row>
        <row r="22239">
          <cell r="G22239" t="str">
            <v>ASV22714</v>
          </cell>
          <cell r="H22239" t="str">
            <v>g__UCG-002</v>
          </cell>
          <cell r="I22239" t="str">
            <v>s__uncultured_bacterium_g__UCG-002</v>
          </cell>
        </row>
        <row r="22240">
          <cell r="G22240" t="str">
            <v>ASV6881</v>
          </cell>
          <cell r="H22240" t="str">
            <v>g__unclassified_f__Anaerovoracaceae</v>
          </cell>
          <cell r="I22240" t="str">
            <v>s__unclassified_f__Anaerovoracaceae</v>
          </cell>
        </row>
        <row r="22241">
          <cell r="G22241" t="str">
            <v>ASV8674</v>
          </cell>
          <cell r="H22241" t="str">
            <v>g__Paracoccus</v>
          </cell>
          <cell r="I22241" t="str">
            <v>s__unclassified_g__Paracoccus</v>
          </cell>
        </row>
        <row r="22242">
          <cell r="G22242" t="str">
            <v>ASV6277</v>
          </cell>
          <cell r="H22242" t="str">
            <v>g__unclassified_c__Clostridia</v>
          </cell>
          <cell r="I22242" t="str">
            <v>s__unclassified_c__Clostridia</v>
          </cell>
        </row>
        <row r="22243">
          <cell r="G22243" t="str">
            <v>ASV5215</v>
          </cell>
          <cell r="H22243" t="str">
            <v>g__unclassified_c__Bacilli</v>
          </cell>
          <cell r="I22243" t="str">
            <v>s__unclassified_c__Bacilli</v>
          </cell>
        </row>
        <row r="22244">
          <cell r="G22244" t="str">
            <v>ASV13067</v>
          </cell>
          <cell r="H22244" t="str">
            <v>g__norank_f__Selenomonadaceae</v>
          </cell>
          <cell r="I22244" t="str">
            <v>s__swine_fecal_bacterium_SD-Cel5</v>
          </cell>
        </row>
        <row r="22245">
          <cell r="G22245" t="str">
            <v>ASV20299</v>
          </cell>
          <cell r="H22245" t="str">
            <v>g__Bacteroides</v>
          </cell>
          <cell r="I22245" t="str">
            <v>s__unclassified_g__Bacteroides</v>
          </cell>
        </row>
        <row r="22246">
          <cell r="G22246" t="str">
            <v>ASV3350</v>
          </cell>
          <cell r="H22246" t="str">
            <v>g__Colidextribacter</v>
          </cell>
          <cell r="I22246" t="str">
            <v>s__uncultured_bacterium_g__Colidextribacter</v>
          </cell>
        </row>
        <row r="22247">
          <cell r="G22247" t="str">
            <v>ASV7302</v>
          </cell>
          <cell r="H22247" t="str">
            <v>g__unclassified_p__Proteobacteria</v>
          </cell>
          <cell r="I22247" t="str">
            <v>s__unclassified_p__Proteobacteria</v>
          </cell>
        </row>
        <row r="22248">
          <cell r="G22248" t="str">
            <v>ASV22853</v>
          </cell>
          <cell r="H22248" t="str">
            <v>g__unclassified_c__Clostridia</v>
          </cell>
          <cell r="I22248" t="str">
            <v>s__unclassified_c__Clostridia</v>
          </cell>
        </row>
        <row r="22249">
          <cell r="G22249" t="str">
            <v>ASV16685</v>
          </cell>
          <cell r="H22249" t="str">
            <v>g__norank_f__norank_o__Bradymonadales</v>
          </cell>
          <cell r="I22249" t="str">
            <v>s__unclassified_g__norank_f__norank_o__Bradymonadales</v>
          </cell>
        </row>
        <row r="22250">
          <cell r="G22250" t="str">
            <v>ASV5212</v>
          </cell>
          <cell r="H22250" t="str">
            <v>g__norank_f__Erysipelotrichaceae</v>
          </cell>
          <cell r="I22250" t="str">
            <v>s__uncultured_bacterium_g__norank_f__Erysipelotrichaceae</v>
          </cell>
        </row>
        <row r="22251">
          <cell r="G22251" t="str">
            <v>ASV18256</v>
          </cell>
          <cell r="H22251" t="str">
            <v>g__unclassified_k__norank_d__Bacteria</v>
          </cell>
          <cell r="I22251" t="str">
            <v>s__unclassified_k__norank_d__Bacteria</v>
          </cell>
        </row>
        <row r="22252">
          <cell r="G22252" t="str">
            <v>ASV21513</v>
          </cell>
          <cell r="H22252" t="str">
            <v>g__norank_f__Muribaculaceae</v>
          </cell>
          <cell r="I22252" t="str">
            <v>s__unclassified_g__norank_f__Muribaculaceae</v>
          </cell>
        </row>
        <row r="22253">
          <cell r="G22253" t="str">
            <v>ASV1219</v>
          </cell>
          <cell r="H22253" t="str">
            <v>g__unclassified_k__norank_d__Bacteria</v>
          </cell>
          <cell r="I22253" t="str">
            <v>s__unclassified_k__norank_d__Bacteria</v>
          </cell>
        </row>
        <row r="22254">
          <cell r="G22254" t="str">
            <v>ASV8112</v>
          </cell>
          <cell r="H22254" t="str">
            <v>g__norank_f__UCG-011</v>
          </cell>
          <cell r="I22254" t="str">
            <v>s__uncultured_bacterium_g__norank_f__UCG-011</v>
          </cell>
        </row>
        <row r="22255">
          <cell r="G22255" t="str">
            <v>ASV11017</v>
          </cell>
          <cell r="H22255" t="str">
            <v>g__Clostridium_sensu_stricto_1</v>
          </cell>
          <cell r="I22255" t="str">
            <v>s__uncultured_bacterium_g__Clostridium_sensu_stricto_1</v>
          </cell>
        </row>
        <row r="22256">
          <cell r="G22256" t="str">
            <v>ASV15606</v>
          </cell>
          <cell r="H22256" t="str">
            <v>g__Christensenellaceae_R-7_group</v>
          </cell>
          <cell r="I22256" t="str">
            <v>s__unclassified_g__Christensenellaceae_R-7_group</v>
          </cell>
        </row>
        <row r="22257">
          <cell r="G22257" t="str">
            <v>ASV18386</v>
          </cell>
          <cell r="H22257" t="str">
            <v>g__unclassified_c__Clostridia</v>
          </cell>
          <cell r="I22257" t="str">
            <v>s__unclassified_c__Clostridia</v>
          </cell>
        </row>
        <row r="22258">
          <cell r="G22258" t="str">
            <v>ASV13609</v>
          </cell>
          <cell r="H22258" t="str">
            <v>g__unclassified_f__Lachnospiraceae</v>
          </cell>
          <cell r="I22258" t="str">
            <v>s__unclassified_f__Lachnospiraceae</v>
          </cell>
        </row>
        <row r="22259">
          <cell r="G22259" t="str">
            <v>ASV23644</v>
          </cell>
          <cell r="H22259" t="str">
            <v>g__unclassified_f__Oscillospiraceae</v>
          </cell>
          <cell r="I22259" t="str">
            <v>s__unclassified_f__Oscillospiraceae</v>
          </cell>
        </row>
        <row r="22260">
          <cell r="G22260" t="str">
            <v>ASV16133</v>
          </cell>
          <cell r="H22260" t="str">
            <v>g__unclassified_c__Clostridia</v>
          </cell>
          <cell r="I22260" t="str">
            <v>s__unclassified_c__Clostridia</v>
          </cell>
        </row>
        <row r="22261">
          <cell r="G22261" t="str">
            <v>ASV7397</v>
          </cell>
          <cell r="H22261" t="str">
            <v>g__unclassified_k__norank_d__Bacteria</v>
          </cell>
          <cell r="I22261" t="str">
            <v>s__unclassified_k__norank_d__Bacteria</v>
          </cell>
        </row>
        <row r="22262">
          <cell r="G22262" t="str">
            <v>ASV9866</v>
          </cell>
          <cell r="H22262" t="str">
            <v>g__Arthrobacter</v>
          </cell>
          <cell r="I22262" t="str">
            <v>s__unclassified_g__Arthrobacter</v>
          </cell>
        </row>
        <row r="22263">
          <cell r="G22263" t="str">
            <v>ASV10985</v>
          </cell>
          <cell r="H22263" t="str">
            <v>g__Subdoligranulum</v>
          </cell>
          <cell r="I22263" t="str">
            <v>s__uncultured_bacterium_g__Subdoligranulum</v>
          </cell>
        </row>
        <row r="22264">
          <cell r="G22264" t="str">
            <v>ASV1161</v>
          </cell>
          <cell r="H22264" t="str">
            <v>g__unclassified_p__Firmicutes</v>
          </cell>
          <cell r="I22264" t="str">
            <v>s__unclassified_p__Firmicutes</v>
          </cell>
        </row>
        <row r="22265">
          <cell r="G22265" t="str">
            <v>ASV1288</v>
          </cell>
          <cell r="H22265" t="str">
            <v>g__Eubacterium_oxidoreducens_group</v>
          </cell>
          <cell r="I22265" t="str">
            <v>s__uncultured_bacterium_g__Eubacterium_oxidoreducens_group</v>
          </cell>
        </row>
        <row r="22266">
          <cell r="G22266" t="str">
            <v>ASV17046</v>
          </cell>
          <cell r="H22266" t="str">
            <v>g__norank_f__Eubacterium_coprostanoligenes_group</v>
          </cell>
          <cell r="I22266" t="str">
            <v>s__unclassified_g__norank_f__Eubacterium_coprostanoligenes_group</v>
          </cell>
        </row>
        <row r="22267">
          <cell r="G22267" t="str">
            <v>ASV22554</v>
          </cell>
          <cell r="H22267" t="str">
            <v>g__unclassified_k__norank_d__Bacteria</v>
          </cell>
          <cell r="I22267" t="str">
            <v>s__unclassified_k__norank_d__Bacteria</v>
          </cell>
        </row>
        <row r="22268">
          <cell r="G22268" t="str">
            <v>ASV18401</v>
          </cell>
          <cell r="H22268" t="str">
            <v>g__Bacteroides</v>
          </cell>
          <cell r="I22268" t="str">
            <v>s__unclassified_g__Bacteroides</v>
          </cell>
        </row>
        <row r="22269">
          <cell r="G22269" t="str">
            <v>ASV4318</v>
          </cell>
          <cell r="H22269" t="str">
            <v>g__unclassified_o__Oscillospirales</v>
          </cell>
          <cell r="I22269" t="str">
            <v>s__unclassified_o__Oscillospirales</v>
          </cell>
        </row>
        <row r="22270">
          <cell r="G22270" t="str">
            <v>ASV3315</v>
          </cell>
          <cell r="H22270" t="str">
            <v>g__unclassified_f__Lachnospiraceae</v>
          </cell>
          <cell r="I22270" t="str">
            <v>s__unclassified_f__Lachnospiraceae</v>
          </cell>
        </row>
        <row r="22271">
          <cell r="G22271" t="str">
            <v>ASV16157</v>
          </cell>
          <cell r="H22271" t="str">
            <v>g__unclassified_f__Lachnospiraceae</v>
          </cell>
          <cell r="I22271" t="str">
            <v>s__unclassified_f__Lachnospiraceae</v>
          </cell>
        </row>
        <row r="22272">
          <cell r="G22272" t="str">
            <v>ASV18469</v>
          </cell>
          <cell r="H22272" t="str">
            <v>g__unclassified_f__Oscillospiraceae</v>
          </cell>
          <cell r="I22272" t="str">
            <v>s__unclassified_f__Oscillospiraceae</v>
          </cell>
        </row>
        <row r="22273">
          <cell r="G22273" t="str">
            <v>ASV5293</v>
          </cell>
          <cell r="H22273" t="str">
            <v>g__Lactobacillus</v>
          </cell>
          <cell r="I22273" t="str">
            <v>s__unclassified_g__Lactobacillus</v>
          </cell>
        </row>
        <row r="22274">
          <cell r="G22274" t="str">
            <v>ASV1438</v>
          </cell>
          <cell r="H22274" t="str">
            <v>g__unclassified_p__Firmicutes</v>
          </cell>
          <cell r="I22274" t="str">
            <v>s__unclassified_p__Firmicutes</v>
          </cell>
        </row>
        <row r="22275">
          <cell r="G22275" t="str">
            <v>ASV8576</v>
          </cell>
          <cell r="H22275" t="str">
            <v>g__Mitsuokella</v>
          </cell>
          <cell r="I22275" t="str">
            <v>s__unclassified_g__Mitsuokella</v>
          </cell>
        </row>
        <row r="22276">
          <cell r="G22276" t="str">
            <v>ASV8579</v>
          </cell>
          <cell r="H22276" t="str">
            <v>g__Escherichia-Shigella</v>
          </cell>
          <cell r="I22276" t="str">
            <v>s__unclassified_g__Escherichia-Shigella</v>
          </cell>
        </row>
        <row r="22277">
          <cell r="G22277" t="str">
            <v>ASV20991</v>
          </cell>
          <cell r="H22277" t="str">
            <v>g__unclassified_p__Firmicutes</v>
          </cell>
          <cell r="I22277" t="str">
            <v>s__unclassified_p__Firmicutes</v>
          </cell>
        </row>
        <row r="22278">
          <cell r="G22278" t="str">
            <v>ASV18352</v>
          </cell>
          <cell r="H22278" t="str">
            <v>g__Desulfovibrio</v>
          </cell>
          <cell r="I22278" t="str">
            <v>s__unclassified_g__Desulfovibrio</v>
          </cell>
        </row>
        <row r="22279">
          <cell r="G22279" t="str">
            <v>ASV16605</v>
          </cell>
          <cell r="H22279" t="str">
            <v>g__unclassified_c__Clostridia</v>
          </cell>
          <cell r="I22279" t="str">
            <v>s__unclassified_c__Clostridia</v>
          </cell>
        </row>
        <row r="22280">
          <cell r="G22280" t="str">
            <v>ASV4206</v>
          </cell>
          <cell r="H22280" t="str">
            <v>g__Prevotellaceae_NK3B31_group</v>
          </cell>
          <cell r="I22280" t="str">
            <v>s__metagenome_g__Prevotellaceae_NK3B31_group</v>
          </cell>
        </row>
        <row r="22281">
          <cell r="G22281" t="str">
            <v>ASV24373</v>
          </cell>
          <cell r="H22281" t="str">
            <v>g__unclassified_f__Lachnospiraceae</v>
          </cell>
          <cell r="I22281" t="str">
            <v>s__unclassified_f__Lachnospiraceae</v>
          </cell>
        </row>
        <row r="22282">
          <cell r="G22282" t="str">
            <v>ASV9643</v>
          </cell>
          <cell r="H22282" t="str">
            <v>g__norank_f__Muribaculaceae</v>
          </cell>
          <cell r="I22282" t="str">
            <v>s__uncultured_bacterium_g__norank_f__Muribaculaceae</v>
          </cell>
        </row>
        <row r="22283">
          <cell r="G22283" t="str">
            <v>ASV9050</v>
          </cell>
          <cell r="H22283" t="str">
            <v>g__norank_f__norank_o__norank_c__Gracilibacteria</v>
          </cell>
          <cell r="I22283" t="str">
            <v>s__Gracilibacteria_bacterium_canine_oral_taxon_394</v>
          </cell>
        </row>
        <row r="22284">
          <cell r="G22284" t="str">
            <v>ASV22831</v>
          </cell>
          <cell r="H22284" t="str">
            <v>g__Eubacterium_oxidoreducens_group</v>
          </cell>
          <cell r="I22284" t="str">
            <v>s__uncultured_bacterium_g__Eubacterium_oxidoreducens_group</v>
          </cell>
        </row>
        <row r="22285">
          <cell r="G22285" t="str">
            <v>ASV12300</v>
          </cell>
          <cell r="H22285" t="str">
            <v>g__norank_f__norank_o__Clostridia_UCG-014</v>
          </cell>
          <cell r="I22285" t="str">
            <v>s__unclassified_g__norank_f__norank_o__Clostridia_UCG-014</v>
          </cell>
        </row>
        <row r="22286">
          <cell r="G22286" t="str">
            <v>ASV2513</v>
          </cell>
          <cell r="H22286" t="str">
            <v>g__unclassified_p__Firmicutes</v>
          </cell>
          <cell r="I22286" t="str">
            <v>s__unclassified_p__Firmicutes</v>
          </cell>
        </row>
        <row r="22287">
          <cell r="G22287" t="str">
            <v>ASV12148</v>
          </cell>
          <cell r="H22287" t="str">
            <v>g__unclassified_c__Clostridia</v>
          </cell>
          <cell r="I22287" t="str">
            <v>s__unclassified_c__Clostridia</v>
          </cell>
        </row>
        <row r="22288">
          <cell r="G22288" t="str">
            <v>ASV1787</v>
          </cell>
          <cell r="H22288" t="str">
            <v>g__unclassified_p__Firmicutes</v>
          </cell>
          <cell r="I22288" t="str">
            <v>s__unclassified_p__Firmicutes</v>
          </cell>
        </row>
        <row r="22289">
          <cell r="G22289" t="str">
            <v>ASV14620</v>
          </cell>
          <cell r="H22289" t="str">
            <v>g__unclassified_c__Clostridia</v>
          </cell>
          <cell r="I22289" t="str">
            <v>s__unclassified_c__Clostridia</v>
          </cell>
        </row>
        <row r="22290">
          <cell r="G22290" t="str">
            <v>ASV6324</v>
          </cell>
          <cell r="H22290" t="str">
            <v>g__unclassified_o__Bacteroidales</v>
          </cell>
          <cell r="I22290" t="str">
            <v>s__unclassified_o__Bacteroidales</v>
          </cell>
        </row>
        <row r="22291">
          <cell r="G22291" t="str">
            <v>ASV14618</v>
          </cell>
          <cell r="H22291" t="str">
            <v>g__unclassified_k__norank_d__Bacteria</v>
          </cell>
          <cell r="I22291" t="str">
            <v>s__unclassified_k__norank_d__Bacteria</v>
          </cell>
        </row>
        <row r="22292">
          <cell r="G22292" t="str">
            <v>ASV1128</v>
          </cell>
          <cell r="H22292" t="str">
            <v>g__unclassified_c__Bacilli</v>
          </cell>
          <cell r="I22292" t="str">
            <v>s__unclassified_c__Bacilli</v>
          </cell>
        </row>
        <row r="22293">
          <cell r="G22293" t="str">
            <v>ASV17075</v>
          </cell>
          <cell r="H22293" t="str">
            <v>g__Lactobacillus</v>
          </cell>
          <cell r="I22293" t="str">
            <v>s__unclassified_g__Lactobacillus</v>
          </cell>
        </row>
        <row r="22294">
          <cell r="G22294" t="str">
            <v>ASV16999</v>
          </cell>
          <cell r="H22294" t="str">
            <v>g__unclassified_f__Lachnospiraceae</v>
          </cell>
          <cell r="I22294" t="str">
            <v>s__unclassified_f__Lachnospiraceae</v>
          </cell>
        </row>
        <row r="22295">
          <cell r="G22295" t="str">
            <v>ASV13097</v>
          </cell>
          <cell r="H22295" t="str">
            <v>g__unclassified_c__Clostridia</v>
          </cell>
          <cell r="I22295" t="str">
            <v>s__unclassified_c__Clostridia</v>
          </cell>
        </row>
        <row r="22296">
          <cell r="G22296" t="str">
            <v>ASV19002</v>
          </cell>
          <cell r="H22296" t="str">
            <v>g__Parabacteroides</v>
          </cell>
          <cell r="I22296" t="str">
            <v>s__unclassified_g__Parabacteroides</v>
          </cell>
        </row>
        <row r="22297">
          <cell r="G22297" t="str">
            <v>ASV23560</v>
          </cell>
          <cell r="H22297" t="str">
            <v>g__unclassified_c__Clostridia</v>
          </cell>
          <cell r="I22297" t="str">
            <v>s__unclassified_c__Clostridia</v>
          </cell>
        </row>
        <row r="22298">
          <cell r="G22298" t="str">
            <v>ASV8211</v>
          </cell>
          <cell r="H22298" t="str">
            <v>g__unclassified_f__Lachnospiraceae</v>
          </cell>
          <cell r="I22298" t="str">
            <v>s__unclassified_f__Lachnospiraceae</v>
          </cell>
        </row>
        <row r="22299">
          <cell r="G22299" t="str">
            <v>ASV22565</v>
          </cell>
          <cell r="H22299" t="str">
            <v>g__Monoglobus</v>
          </cell>
          <cell r="I22299" t="str">
            <v>s__unclassified_g__Monoglobus</v>
          </cell>
        </row>
        <row r="22300">
          <cell r="G22300" t="str">
            <v>ASV4235</v>
          </cell>
          <cell r="H22300" t="str">
            <v>g__Escherichia-Shigella</v>
          </cell>
          <cell r="I22300" t="str">
            <v>s__unclassified_g__Escherichia-Shigella</v>
          </cell>
        </row>
        <row r="22301">
          <cell r="G22301" t="str">
            <v>ASV8566</v>
          </cell>
          <cell r="H22301" t="str">
            <v>g__Lactobacillus</v>
          </cell>
          <cell r="I22301" t="str">
            <v>s__unclassified_g__Lactobacillus</v>
          </cell>
        </row>
        <row r="22302">
          <cell r="G22302" t="str">
            <v>ASV22868</v>
          </cell>
          <cell r="H22302" t="str">
            <v>g__Mogibacterium</v>
          </cell>
          <cell r="I22302" t="str">
            <v>s__Mobilibacterium_timonense</v>
          </cell>
        </row>
        <row r="22303">
          <cell r="G22303" t="str">
            <v>ASV21315</v>
          </cell>
          <cell r="H22303" t="str">
            <v>g__Lachnospiraceae_UCG-004</v>
          </cell>
          <cell r="I22303" t="str">
            <v>s__unclassified_g__Lachnospiraceae_UCG-004</v>
          </cell>
        </row>
        <row r="22304">
          <cell r="G22304" t="str">
            <v>ASV16724</v>
          </cell>
          <cell r="H22304" t="str">
            <v>g__norank_f__Butyricicoccaceae</v>
          </cell>
          <cell r="I22304" t="str">
            <v>s__uncultured_bacterium_g__norank_f__Butyricicoccaceae</v>
          </cell>
        </row>
        <row r="22305">
          <cell r="G22305" t="str">
            <v>ASV21324</v>
          </cell>
          <cell r="H22305" t="str">
            <v>g__unclassified_f__Lachnospiraceae</v>
          </cell>
          <cell r="I22305" t="str">
            <v>s__unclassified_f__Lachnospiraceae</v>
          </cell>
        </row>
        <row r="22306">
          <cell r="G22306" t="str">
            <v>ASV9615</v>
          </cell>
          <cell r="H22306" t="str">
            <v>g__Rikenellaceae_RC9_gut_group</v>
          </cell>
          <cell r="I22306" t="str">
            <v>s__uncultured_bacterium_g__Rikenellaceae_RC9_gut_group</v>
          </cell>
        </row>
        <row r="22307">
          <cell r="G22307" t="str">
            <v>ASV21015</v>
          </cell>
          <cell r="H22307" t="str">
            <v>g__unclassified_c__Clostridia</v>
          </cell>
          <cell r="I22307" t="str">
            <v>s__unclassified_c__Clostridia</v>
          </cell>
        </row>
        <row r="22308">
          <cell r="G22308" t="str">
            <v>ASV5356</v>
          </cell>
          <cell r="H22308" t="str">
            <v>g__Enterococcus</v>
          </cell>
          <cell r="I22308" t="str">
            <v>s__unclassified_g__Enterococcus</v>
          </cell>
        </row>
        <row r="22309">
          <cell r="G22309" t="str">
            <v>ASV12994</v>
          </cell>
          <cell r="H22309" t="str">
            <v>g__norank_f__F082</v>
          </cell>
          <cell r="I22309" t="str">
            <v>s__uncultured_bacterium_g__norank_f__F082</v>
          </cell>
        </row>
        <row r="22310">
          <cell r="G22310" t="str">
            <v>ASV15703</v>
          </cell>
          <cell r="H22310" t="str">
            <v>g__Alloprevotella</v>
          </cell>
          <cell r="I22310" t="str">
            <v>s__uncultured_bacterium_g__Alloprevotella</v>
          </cell>
        </row>
        <row r="22311">
          <cell r="G22311" t="str">
            <v>ASV13027</v>
          </cell>
          <cell r="H22311" t="str">
            <v>g__Rikenellaceae_RC9_gut_group</v>
          </cell>
          <cell r="I22311" t="str">
            <v>s__unclassified_g__Rikenellaceae_RC9_gut_group</v>
          </cell>
        </row>
        <row r="22312">
          <cell r="G22312" t="str">
            <v>ASV10935</v>
          </cell>
          <cell r="H22312" t="str">
            <v>g__unclassified_c__Bacilli</v>
          </cell>
          <cell r="I22312" t="str">
            <v>s__unclassified_c__Bacilli</v>
          </cell>
        </row>
        <row r="22313">
          <cell r="G22313" t="str">
            <v>ASV8163</v>
          </cell>
          <cell r="H22313" t="str">
            <v>g__Holdemanella</v>
          </cell>
          <cell r="I22313" t="str">
            <v>s__unclassified_g__Holdemanella</v>
          </cell>
        </row>
        <row r="22314">
          <cell r="G22314" t="str">
            <v>ASV22542</v>
          </cell>
          <cell r="H22314" t="str">
            <v>g__Rikenellaceae_RC9_gut_group</v>
          </cell>
          <cell r="I22314" t="str">
            <v>s__uncultured_bacterium_g__Rikenellaceae_RC9_gut_group</v>
          </cell>
        </row>
        <row r="22315">
          <cell r="G22315" t="str">
            <v>ASV5140</v>
          </cell>
          <cell r="H22315" t="str">
            <v>g__unclassified_k__norank_d__Bacteria</v>
          </cell>
          <cell r="I22315" t="str">
            <v>s__unclassified_k__norank_d__Bacteria</v>
          </cell>
        </row>
        <row r="22316">
          <cell r="G22316" t="str">
            <v>ASV8310</v>
          </cell>
          <cell r="H22316" t="str">
            <v>g__Fusobacterium</v>
          </cell>
          <cell r="I22316" t="str">
            <v>s__unclassified_g__Fusobacterium</v>
          </cell>
        </row>
        <row r="22317">
          <cell r="G22317" t="str">
            <v>ASV6316</v>
          </cell>
          <cell r="H22317" t="str">
            <v>g__unclassified_c__Clostridia</v>
          </cell>
          <cell r="I22317" t="str">
            <v>s__unclassified_c__Clostridia</v>
          </cell>
        </row>
        <row r="22318">
          <cell r="G22318" t="str">
            <v>ASV2963</v>
          </cell>
          <cell r="H22318" t="str">
            <v>g__Jeotgalicoccus</v>
          </cell>
          <cell r="I22318" t="str">
            <v>s__unclassified_g__Jeotgalicoccus</v>
          </cell>
        </row>
        <row r="22319">
          <cell r="G22319" t="str">
            <v>ASV9810</v>
          </cell>
          <cell r="H22319" t="str">
            <v>g__Lactobacillus</v>
          </cell>
          <cell r="I22319" t="str">
            <v>s__unclassified_g__Lactobacillus</v>
          </cell>
        </row>
        <row r="22320">
          <cell r="G22320" t="str">
            <v>ASV9053</v>
          </cell>
          <cell r="H22320" t="str">
            <v>g__Tannerella</v>
          </cell>
          <cell r="I22320" t="str">
            <v>s__unclassified_g__Tannerella</v>
          </cell>
        </row>
        <row r="22321">
          <cell r="G22321" t="str">
            <v>ASV9745</v>
          </cell>
          <cell r="H22321" t="str">
            <v>g__norank_f__Eubacterium_coprostanoligenes_group</v>
          </cell>
          <cell r="I22321" t="str">
            <v>s__uncultured_bacterium_g__norank_f__Eubacterium_coprostanoligenes_group</v>
          </cell>
        </row>
        <row r="22322">
          <cell r="G22322" t="str">
            <v>ASV21073</v>
          </cell>
          <cell r="H22322" t="str">
            <v>g__norank_f__Eubacterium_coprostanoligenes_group</v>
          </cell>
          <cell r="I22322" t="str">
            <v>s__unclassified_g__norank_f__Eubacterium_coprostanoligenes_group</v>
          </cell>
        </row>
        <row r="22323">
          <cell r="G22323" t="str">
            <v>ASV8303</v>
          </cell>
          <cell r="H22323" t="str">
            <v>g__Olsenella</v>
          </cell>
          <cell r="I22323" t="str">
            <v>s__unclassified_g__Olsenella</v>
          </cell>
        </row>
        <row r="22324">
          <cell r="G22324" t="str">
            <v>ASV9066</v>
          </cell>
          <cell r="H22324" t="str">
            <v>g__Lactobacillus</v>
          </cell>
          <cell r="I22324" t="str">
            <v>s__unclassified_g__Lactobacillus</v>
          </cell>
        </row>
        <row r="22325">
          <cell r="G22325" t="str">
            <v>ASV1757</v>
          </cell>
          <cell r="H22325" t="str">
            <v>g__Terrisporobacter</v>
          </cell>
          <cell r="I22325" t="str">
            <v>s__unclassified_g__Terrisporobacter</v>
          </cell>
        </row>
        <row r="22326">
          <cell r="G22326" t="str">
            <v>ASV9679</v>
          </cell>
          <cell r="H22326" t="str">
            <v>g__unclassified_p__Firmicutes</v>
          </cell>
          <cell r="I22326" t="str">
            <v>s__unclassified_p__Firmicutes</v>
          </cell>
        </row>
        <row r="22327">
          <cell r="G22327" t="str">
            <v>ASV4211</v>
          </cell>
          <cell r="H22327" t="str">
            <v>g__Barnesiella</v>
          </cell>
          <cell r="I22327" t="str">
            <v>s__unclassified_g__Barnesiella</v>
          </cell>
        </row>
        <row r="22328">
          <cell r="G22328" t="str">
            <v>ASV8196</v>
          </cell>
          <cell r="H22328" t="str">
            <v>g__unclassified_f__Peptostreptococcaceae</v>
          </cell>
          <cell r="I22328" t="str">
            <v>s__unclassified_f__Peptostreptococcaceae</v>
          </cell>
        </row>
        <row r="22329">
          <cell r="G22329" t="str">
            <v>ASV13110</v>
          </cell>
          <cell r="H22329" t="str">
            <v>g__unclassified_f__Lachnospiraceae</v>
          </cell>
          <cell r="I22329" t="str">
            <v>s__unclassified_f__Lachnospiraceae</v>
          </cell>
        </row>
        <row r="22330">
          <cell r="G22330" t="str">
            <v>ASV8255</v>
          </cell>
          <cell r="H22330" t="str">
            <v>g__Streptococcus</v>
          </cell>
          <cell r="I22330" t="str">
            <v>s__unclassified_g__Streptococcus</v>
          </cell>
        </row>
        <row r="22331">
          <cell r="G22331" t="str">
            <v>ASV13579</v>
          </cell>
          <cell r="H22331" t="str">
            <v>g__unclassified_f__Anaerovoracaceae</v>
          </cell>
          <cell r="I22331" t="str">
            <v>s__unclassified_f__Anaerovoracaceae</v>
          </cell>
        </row>
        <row r="22332">
          <cell r="G22332" t="str">
            <v>ASV22800</v>
          </cell>
          <cell r="H22332" t="str">
            <v>g__unclassified_o__Oscillospirales</v>
          </cell>
          <cell r="I22332" t="str">
            <v>s__unclassified_o__Oscillospirales</v>
          </cell>
        </row>
        <row r="22333">
          <cell r="G22333" t="str">
            <v>ASV21322</v>
          </cell>
          <cell r="H22333" t="str">
            <v>g__norank_f__Muribaculaceae</v>
          </cell>
          <cell r="I22333" t="str">
            <v>s__uncultured_bacterium_g__norank_f__Muribaculaceae</v>
          </cell>
        </row>
        <row r="22334">
          <cell r="G22334" t="str">
            <v>ASV19190</v>
          </cell>
          <cell r="H22334" t="str">
            <v>g__Terrisporobacter</v>
          </cell>
          <cell r="I22334" t="str">
            <v>s__uncultured_bacterium_g__Terrisporobacter</v>
          </cell>
        </row>
        <row r="22335">
          <cell r="G22335" t="str">
            <v>ASV12255</v>
          </cell>
          <cell r="H22335" t="str">
            <v>g__Enterococcus</v>
          </cell>
          <cell r="I22335" t="str">
            <v>s__unclassified_g__Enterococcus</v>
          </cell>
        </row>
        <row r="22336">
          <cell r="G22336" t="str">
            <v>ASV24037</v>
          </cell>
          <cell r="H22336" t="str">
            <v>g__unclassified_f__Lachnospiraceae</v>
          </cell>
          <cell r="I22336" t="str">
            <v>s__unclassified_f__Lachnospiraceae</v>
          </cell>
        </row>
        <row r="22337">
          <cell r="G22337" t="str">
            <v>ASV17338</v>
          </cell>
          <cell r="H22337" t="str">
            <v>g__unclassified_f__Peptostreptococcaceae</v>
          </cell>
          <cell r="I22337" t="str">
            <v>s__unclassified_f__Peptostreptococcaceae</v>
          </cell>
        </row>
        <row r="22338">
          <cell r="G22338" t="str">
            <v>ASV20034</v>
          </cell>
          <cell r="H22338" t="str">
            <v>g__Eubacterium_oxidoreducens_group</v>
          </cell>
          <cell r="I22338" t="str">
            <v>s__uncultured_bacterium_g__Eubacterium_oxidoreducens_group</v>
          </cell>
        </row>
        <row r="22339">
          <cell r="G22339" t="str">
            <v>ASV21113</v>
          </cell>
          <cell r="H22339" t="str">
            <v>g__unclassified_f__Lachnospiraceae</v>
          </cell>
          <cell r="I22339" t="str">
            <v>s__unclassified_f__Lachnospiraceae</v>
          </cell>
        </row>
        <row r="22340">
          <cell r="G22340" t="str">
            <v>ASV23649</v>
          </cell>
          <cell r="H22340" t="str">
            <v>g__unclassified_c__Bacilli</v>
          </cell>
          <cell r="I22340" t="str">
            <v>s__unclassified_c__Bacilli</v>
          </cell>
        </row>
        <row r="22341">
          <cell r="G22341" t="str">
            <v>ASV20972</v>
          </cell>
          <cell r="H22341" t="str">
            <v>g__unclassified_f__Ruminococcaceae</v>
          </cell>
          <cell r="I22341" t="str">
            <v>s__unclassified_f__Ruminococcaceae</v>
          </cell>
        </row>
        <row r="22342">
          <cell r="G22342" t="str">
            <v>ASV4238</v>
          </cell>
          <cell r="H22342" t="str">
            <v>g__unclassified_c__Clostridia</v>
          </cell>
          <cell r="I22342" t="str">
            <v>s__unclassified_c__Clostridia</v>
          </cell>
        </row>
        <row r="22343">
          <cell r="G22343" t="str">
            <v>ASV20010</v>
          </cell>
          <cell r="H22343" t="str">
            <v>g__unclassified_c__Clostridia</v>
          </cell>
          <cell r="I22343" t="str">
            <v>s__unclassified_c__Clostridia</v>
          </cell>
        </row>
        <row r="22344">
          <cell r="G22344" t="str">
            <v>ASV14688</v>
          </cell>
          <cell r="H22344" t="str">
            <v>g__Eubacterium_oxidoreducens_group</v>
          </cell>
          <cell r="I22344" t="str">
            <v>s__uncultured_bacterium_g__Eubacterium_oxidoreducens_group</v>
          </cell>
        </row>
        <row r="22345">
          <cell r="G22345" t="str">
            <v>ASV21001</v>
          </cell>
          <cell r="H22345" t="str">
            <v>g__norank_f__Erysipelotrichaceae</v>
          </cell>
          <cell r="I22345" t="str">
            <v>s__uncultured_bacterium_g__norank_f__Erysipelotrichaceae</v>
          </cell>
        </row>
        <row r="22346">
          <cell r="G22346" t="str">
            <v>ASV10984</v>
          </cell>
          <cell r="H22346" t="str">
            <v>g__unclassified_c__Clostridia</v>
          </cell>
          <cell r="I22346" t="str">
            <v>s__unclassified_c__Clostridia</v>
          </cell>
        </row>
        <row r="22347">
          <cell r="G22347" t="str">
            <v>ASV5299</v>
          </cell>
          <cell r="H22347" t="str">
            <v>g__unclassified_f__Peptostreptococcaceae</v>
          </cell>
          <cell r="I22347" t="str">
            <v>s__unclassified_f__Peptostreptococcaceae</v>
          </cell>
        </row>
        <row r="22348">
          <cell r="G22348" t="str">
            <v>ASV22840</v>
          </cell>
          <cell r="H22348" t="str">
            <v>g__unclassified_c__Bacilli</v>
          </cell>
          <cell r="I22348" t="str">
            <v>s__unclassified_c__Bacilli</v>
          </cell>
        </row>
        <row r="22349">
          <cell r="G22349" t="str">
            <v>ASV24002</v>
          </cell>
          <cell r="H22349" t="str">
            <v>g__unclassified_f__Prevotellaceae</v>
          </cell>
          <cell r="I22349" t="str">
            <v>s__unclassified_f__Prevotellaceae</v>
          </cell>
        </row>
        <row r="22350">
          <cell r="G22350" t="str">
            <v>ASV18674</v>
          </cell>
          <cell r="H22350" t="str">
            <v>g__Escherichia-Shigella</v>
          </cell>
          <cell r="I22350" t="str">
            <v>s__unclassified_g__Escherichia-Shigella</v>
          </cell>
        </row>
        <row r="22351">
          <cell r="G22351" t="str">
            <v>ASV24010</v>
          </cell>
          <cell r="H22351" t="str">
            <v>g__Phascolarctobacterium</v>
          </cell>
          <cell r="I22351" t="str">
            <v>s__unclassified_g__Phascolarctobacterium</v>
          </cell>
        </row>
        <row r="22352">
          <cell r="G22352" t="str">
            <v>ASV6187</v>
          </cell>
          <cell r="H22352" t="str">
            <v>g__norank_f__Erysipelotrichaceae</v>
          </cell>
          <cell r="I22352" t="str">
            <v>s__uncultured_bacterium_g__norank_f__Erysipelotrichaceae</v>
          </cell>
        </row>
        <row r="22353">
          <cell r="G22353" t="str">
            <v>ASV17103</v>
          </cell>
          <cell r="H22353" t="str">
            <v>g__Lactobacillus</v>
          </cell>
          <cell r="I22353" t="str">
            <v>s__unclassified_g__Lactobacillus</v>
          </cell>
        </row>
        <row r="22354">
          <cell r="G22354" t="str">
            <v>ASV13621</v>
          </cell>
          <cell r="H22354" t="str">
            <v>g__unclassified_c__Clostridia</v>
          </cell>
          <cell r="I22354" t="str">
            <v>s__unclassified_c__Clostridia</v>
          </cell>
        </row>
        <row r="22355">
          <cell r="G22355" t="str">
            <v>ASV16652</v>
          </cell>
          <cell r="H22355" t="str">
            <v>g__norank_f__Oscillospiraceae</v>
          </cell>
          <cell r="I22355" t="str">
            <v>s__unclassified_g__norank_f__Oscillospiraceae</v>
          </cell>
        </row>
        <row r="22356">
          <cell r="G22356" t="str">
            <v>ASV2503</v>
          </cell>
          <cell r="H22356" t="str">
            <v>g__unclassified_c__Bacilli</v>
          </cell>
          <cell r="I22356" t="str">
            <v>s__unclassified_c__Bacilli</v>
          </cell>
        </row>
        <row r="22357">
          <cell r="G22357" t="str">
            <v>ASV14720</v>
          </cell>
          <cell r="H22357" t="str">
            <v>g__Bacteroides</v>
          </cell>
          <cell r="I22357" t="str">
            <v>s__unclassified_g__Bacteroides</v>
          </cell>
        </row>
        <row r="22358">
          <cell r="G22358" t="str">
            <v>ASV6284</v>
          </cell>
          <cell r="H22358" t="str">
            <v>g__norank_f__norank_o__Clostridia_vadinBB60_group</v>
          </cell>
          <cell r="I22358" t="str">
            <v>s__metagenome_g__norank_f__norank_o__Clostridia_vadinBB60_group</v>
          </cell>
        </row>
        <row r="22359">
          <cell r="G22359" t="str">
            <v>ASV12348</v>
          </cell>
          <cell r="H22359" t="str">
            <v>g__unclassified_o__Oscillospirales</v>
          </cell>
          <cell r="I22359" t="str">
            <v>s__unclassified_o__Oscillospirales</v>
          </cell>
        </row>
        <row r="22360">
          <cell r="G22360" t="str">
            <v>ASV14952</v>
          </cell>
          <cell r="H22360" t="str">
            <v>g__Lactobacillus</v>
          </cell>
          <cell r="I22360" t="str">
            <v>s__unclassified_g__Lactobacillus</v>
          </cell>
        </row>
        <row r="22361">
          <cell r="G22361" t="str">
            <v>ASV16091</v>
          </cell>
          <cell r="H22361" t="str">
            <v>g__Fusobacterium</v>
          </cell>
          <cell r="I22361" t="str">
            <v>s__unclassified_g__Fusobacterium</v>
          </cell>
        </row>
        <row r="22362">
          <cell r="G22362" t="str">
            <v>ASV1410</v>
          </cell>
          <cell r="H22362" t="str">
            <v>g__unclassified_p__Firmicutes</v>
          </cell>
          <cell r="I22362" t="str">
            <v>s__unclassified_p__Firmicutes</v>
          </cell>
        </row>
        <row r="22363">
          <cell r="G22363" t="str">
            <v>ASV18268</v>
          </cell>
          <cell r="H22363" t="str">
            <v>g__unclassified_f__Oscillospiraceae</v>
          </cell>
          <cell r="I22363" t="str">
            <v>s__unclassified_f__Oscillospiraceae</v>
          </cell>
        </row>
        <row r="22364">
          <cell r="G22364" t="str">
            <v>ASV6462</v>
          </cell>
          <cell r="H22364" t="str">
            <v>g__Escherichia-Shigella</v>
          </cell>
          <cell r="I22364" t="str">
            <v>s__unclassified_g__Escherichia-Shigella</v>
          </cell>
        </row>
        <row r="22365">
          <cell r="G22365" t="str">
            <v>ASV16717</v>
          </cell>
          <cell r="H22365" t="str">
            <v>g__unclassified_f__Christensenellaceae</v>
          </cell>
          <cell r="I22365" t="str">
            <v>s__unclassified_f__Christensenellaceae</v>
          </cell>
        </row>
        <row r="22366">
          <cell r="G22366" t="str">
            <v>ASV14920</v>
          </cell>
          <cell r="H22366" t="str">
            <v>g__unclassified_c__Clostridia</v>
          </cell>
          <cell r="I22366" t="str">
            <v>s__unclassified_c__Clostridia</v>
          </cell>
        </row>
        <row r="22367">
          <cell r="G22367" t="str">
            <v>ASV21020</v>
          </cell>
          <cell r="H22367" t="str">
            <v>g__unclassified_f__Lachnospiraceae</v>
          </cell>
          <cell r="I22367" t="str">
            <v>s__unclassified_f__Lachnospiraceae</v>
          </cell>
        </row>
        <row r="22368">
          <cell r="G22368" t="str">
            <v>ASV1825</v>
          </cell>
          <cell r="H22368" t="str">
            <v>g__unclassified_o__Lactobacillales</v>
          </cell>
          <cell r="I22368" t="str">
            <v>s__unclassified_o__Lactobacillales</v>
          </cell>
        </row>
        <row r="22369">
          <cell r="G22369" t="str">
            <v>ASV9819</v>
          </cell>
          <cell r="H22369" t="str">
            <v>g__unclassified_c__Clostridia</v>
          </cell>
          <cell r="I22369" t="str">
            <v>s__unclassified_c__Clostridia</v>
          </cell>
        </row>
        <row r="22370">
          <cell r="G22370" t="str">
            <v>ASV17389</v>
          </cell>
          <cell r="H22370" t="str">
            <v>g__Veillonella</v>
          </cell>
          <cell r="I22370" t="str">
            <v>s__unclassified_g__Veillonella</v>
          </cell>
        </row>
        <row r="22371">
          <cell r="G22371" t="str">
            <v>ASV1244</v>
          </cell>
          <cell r="H22371" t="str">
            <v>g__unclassified_o__Oscillospirales</v>
          </cell>
          <cell r="I22371" t="str">
            <v>s__unclassified_o__Oscillospirales</v>
          </cell>
        </row>
        <row r="22372">
          <cell r="G22372" t="str">
            <v>ASV3277</v>
          </cell>
          <cell r="H22372" t="str">
            <v>g__unclassified_k__norank_d__Bacteria</v>
          </cell>
          <cell r="I22372" t="str">
            <v>s__unclassified_k__norank_d__Bacteria</v>
          </cell>
        </row>
        <row r="22373">
          <cell r="G22373" t="str">
            <v>ASV1198</v>
          </cell>
          <cell r="H22373" t="str">
            <v>g__unclassified_p__Firmicutes</v>
          </cell>
          <cell r="I22373" t="str">
            <v>s__unclassified_p__Firmicutes</v>
          </cell>
        </row>
        <row r="22374">
          <cell r="G22374" t="str">
            <v>ASV1365</v>
          </cell>
          <cell r="H22374" t="str">
            <v>g__norank_f__Ruminococcaceae</v>
          </cell>
          <cell r="I22374" t="str">
            <v>s__unclassified_g__norank_f__Ruminococcaceae</v>
          </cell>
        </row>
        <row r="22375">
          <cell r="G22375" t="str">
            <v>ASV8114</v>
          </cell>
          <cell r="H22375" t="str">
            <v>g__unclassified_f__Ruminococcaceae</v>
          </cell>
          <cell r="I22375" t="str">
            <v>s__unclassified_f__Ruminococcaceae</v>
          </cell>
        </row>
        <row r="22376">
          <cell r="G22376" t="str">
            <v>ASV6327</v>
          </cell>
          <cell r="H22376" t="str">
            <v>g__Bacteroides</v>
          </cell>
          <cell r="I22376" t="str">
            <v>s__unclassified_g__Bacteroides</v>
          </cell>
        </row>
        <row r="22377">
          <cell r="G22377" t="str">
            <v>ASV6380</v>
          </cell>
          <cell r="H22377" t="str">
            <v>g__Escherichia-Shigella</v>
          </cell>
          <cell r="I22377" t="str">
            <v>s__unclassified_g__Escherichia-Shigella</v>
          </cell>
        </row>
        <row r="22378">
          <cell r="G22378" t="str">
            <v>ASV19896</v>
          </cell>
          <cell r="H22378" t="str">
            <v>g__unclassified_o__Peptostreptococcales-Tissierellales</v>
          </cell>
          <cell r="I22378" t="str">
            <v>s__unclassified_o__Peptostreptococcales-Tissierellales</v>
          </cell>
        </row>
        <row r="22379">
          <cell r="G22379" t="str">
            <v>ASV19912</v>
          </cell>
          <cell r="H22379" t="str">
            <v>g__Rikenellaceae_RC9_gut_group</v>
          </cell>
          <cell r="I22379" t="str">
            <v>s__uncultured_bacterium_g__Rikenellaceae_RC9_gut_group</v>
          </cell>
        </row>
        <row r="22380">
          <cell r="G22380" t="str">
            <v>ASV15673</v>
          </cell>
          <cell r="H22380" t="str">
            <v>g__norank_f__Erysipelotrichaceae</v>
          </cell>
          <cell r="I22380" t="str">
            <v>s__uncultured_bacterium_g__norank_f__Erysipelotrichaceae</v>
          </cell>
        </row>
        <row r="22381">
          <cell r="G22381" t="str">
            <v>ASV6228</v>
          </cell>
          <cell r="H22381" t="str">
            <v>g__unclassified_c__Clostridia</v>
          </cell>
          <cell r="I22381" t="str">
            <v>s__unclassified_c__Clostridia</v>
          </cell>
        </row>
        <row r="22382">
          <cell r="G22382" t="str">
            <v>ASV23505</v>
          </cell>
          <cell r="H22382" t="str">
            <v>g__Parabacteroides</v>
          </cell>
          <cell r="I22382" t="str">
            <v>s__Porphyromonadaceae_bacterium_DJF_B175</v>
          </cell>
        </row>
        <row r="22383">
          <cell r="G22383" t="str">
            <v>ASV22855</v>
          </cell>
          <cell r="H22383" t="str">
            <v>g__unclassified_c__Clostridia</v>
          </cell>
          <cell r="I22383" t="str">
            <v>s__unclassified_c__Clostridia</v>
          </cell>
        </row>
        <row r="22384">
          <cell r="G22384" t="str">
            <v>ASV2537</v>
          </cell>
          <cell r="H22384" t="str">
            <v>g__unclassified_f__Lachnospiraceae</v>
          </cell>
          <cell r="I22384" t="str">
            <v>s__unclassified_f__Lachnospiraceae</v>
          </cell>
        </row>
        <row r="22385">
          <cell r="G22385" t="str">
            <v>ASV16674</v>
          </cell>
          <cell r="H22385" t="str">
            <v>g__unclassified_o__Bacteroidales</v>
          </cell>
          <cell r="I22385" t="str">
            <v>s__unclassified_o__Bacteroidales</v>
          </cell>
        </row>
        <row r="22386">
          <cell r="G22386" t="str">
            <v>ASV10231</v>
          </cell>
          <cell r="H22386" t="str">
            <v>g__Bacteroides</v>
          </cell>
          <cell r="I22386" t="str">
            <v>s__unclassified_g__Bacteroides</v>
          </cell>
        </row>
        <row r="22387">
          <cell r="G22387" t="str">
            <v>ASV14628</v>
          </cell>
          <cell r="H22387" t="str">
            <v>g__unclassified_f__Lachnospiraceae</v>
          </cell>
          <cell r="I22387" t="str">
            <v>s__unclassified_f__Lachnospiraceae</v>
          </cell>
        </row>
        <row r="22388">
          <cell r="G22388" t="str">
            <v>ASV22947</v>
          </cell>
          <cell r="H22388" t="str">
            <v>g__Globicatella</v>
          </cell>
          <cell r="I22388" t="str">
            <v>s__uncultured_bacterium_g__Globicatella</v>
          </cell>
        </row>
        <row r="22389">
          <cell r="G22389" t="str">
            <v>ASV24045</v>
          </cell>
          <cell r="H22389" t="str">
            <v>g__Lactobacillus</v>
          </cell>
          <cell r="I22389" t="str">
            <v>s__unclassified_g__Lactobacillus</v>
          </cell>
        </row>
        <row r="22390">
          <cell r="G22390" t="str">
            <v>ASV6253</v>
          </cell>
          <cell r="H22390" t="str">
            <v>g__unclassified_c__Bacilli</v>
          </cell>
          <cell r="I22390" t="str">
            <v>s__unclassified_c__Bacilli</v>
          </cell>
        </row>
        <row r="22391">
          <cell r="G22391" t="str">
            <v>ASV8580</v>
          </cell>
          <cell r="H22391" t="str">
            <v>g__Acidaminococcus</v>
          </cell>
          <cell r="I22391" t="str">
            <v>s__Acidaminococcus_fermentans</v>
          </cell>
        </row>
        <row r="22392">
          <cell r="G22392" t="str">
            <v>ASV23564</v>
          </cell>
          <cell r="H22392" t="str">
            <v>g__norank_f__Peptococcaceae</v>
          </cell>
          <cell r="I22392" t="str">
            <v>s__uncultured_bacterium_g__norank_f__Peptococcaceae</v>
          </cell>
        </row>
        <row r="22393">
          <cell r="G22393" t="str">
            <v>ASV10934</v>
          </cell>
          <cell r="H22393" t="str">
            <v>g__unclassified_c__Clostridia</v>
          </cell>
          <cell r="I22393" t="str">
            <v>s__unclassified_c__Clostridia</v>
          </cell>
        </row>
        <row r="22394">
          <cell r="G22394" t="str">
            <v>ASV9787</v>
          </cell>
          <cell r="H22394" t="str">
            <v>g__unclassified_f__Lachnospiraceae</v>
          </cell>
          <cell r="I22394" t="str">
            <v>s__unclassified_f__Lachnospiraceae</v>
          </cell>
        </row>
        <row r="22395">
          <cell r="G22395" t="str">
            <v>ASV17047</v>
          </cell>
          <cell r="H22395" t="str">
            <v>g__Lactobacillus</v>
          </cell>
          <cell r="I22395" t="str">
            <v>s__unclassified_g__Lactobacillus</v>
          </cell>
        </row>
        <row r="22396">
          <cell r="G22396" t="str">
            <v>ASV9681</v>
          </cell>
          <cell r="H22396" t="str">
            <v>g__Streptococcus</v>
          </cell>
          <cell r="I22396" t="str">
            <v>s__unclassified_g__Streptococcus</v>
          </cell>
        </row>
        <row r="22397">
          <cell r="G22397" t="str">
            <v>ASV20171</v>
          </cell>
          <cell r="H22397" t="str">
            <v>g__unclassified_f__Lachnospiraceae</v>
          </cell>
          <cell r="I22397" t="str">
            <v>s__unclassified_f__Lachnospiraceae</v>
          </cell>
        </row>
        <row r="22398">
          <cell r="G22398" t="str">
            <v>ASV22985</v>
          </cell>
          <cell r="H22398" t="str">
            <v>g__Lactobacillus</v>
          </cell>
          <cell r="I22398" t="str">
            <v>s__unclassified_g__Lactobacillus</v>
          </cell>
        </row>
        <row r="22399">
          <cell r="G22399" t="str">
            <v>ASV17008</v>
          </cell>
          <cell r="H22399" t="str">
            <v>g__Prevotellaceae_NK3B31_group</v>
          </cell>
          <cell r="I22399" t="str">
            <v>s__uncultured_bacterium_g__Prevotellaceae_NK3B31_group</v>
          </cell>
        </row>
        <row r="22400">
          <cell r="G22400" t="str">
            <v>ASV23511</v>
          </cell>
          <cell r="H22400" t="str">
            <v>g__norank_f__UCG-010</v>
          </cell>
          <cell r="I22400" t="str">
            <v>s__unclassified_g__norank_f__UCG-010</v>
          </cell>
        </row>
        <row r="22401">
          <cell r="G22401" t="str">
            <v>ASV23524</v>
          </cell>
          <cell r="H22401" t="str">
            <v>g__unclassified_c__Clostridia</v>
          </cell>
          <cell r="I22401" t="str">
            <v>s__unclassified_c__Clostridia</v>
          </cell>
        </row>
        <row r="22402">
          <cell r="G22402" t="str">
            <v>ASV23605</v>
          </cell>
          <cell r="H22402" t="str">
            <v>g__unclassified_p__Firmicutes</v>
          </cell>
          <cell r="I22402" t="str">
            <v>s__unclassified_p__Firmicutes</v>
          </cell>
        </row>
        <row r="22403">
          <cell r="G22403" t="str">
            <v>ASV1455</v>
          </cell>
          <cell r="H22403" t="str">
            <v>g__unclassified_f__Prevotellaceae</v>
          </cell>
          <cell r="I22403" t="str">
            <v>s__unclassified_f__Prevotellaceae</v>
          </cell>
        </row>
        <row r="22404">
          <cell r="G22404" t="str">
            <v>ASV13854</v>
          </cell>
          <cell r="H22404" t="str">
            <v>g__Clostridium_sensu_stricto_1</v>
          </cell>
          <cell r="I22404" t="str">
            <v>s__unclassified_g__Clostridium_sensu_stricto_1</v>
          </cell>
        </row>
        <row r="22405">
          <cell r="G22405" t="str">
            <v>ASV14821</v>
          </cell>
          <cell r="H22405" t="str">
            <v>g__Subdoligranulum</v>
          </cell>
          <cell r="I22405" t="str">
            <v>s__unclassified_g__Subdoligranulum</v>
          </cell>
        </row>
        <row r="22406">
          <cell r="G22406" t="str">
            <v>ASV22860</v>
          </cell>
          <cell r="H22406" t="str">
            <v>g__unclassified_f__Lachnospiraceae</v>
          </cell>
          <cell r="I22406" t="str">
            <v>s__unclassified_f__Lachnospiraceae</v>
          </cell>
        </row>
        <row r="22407">
          <cell r="G22407" t="str">
            <v>ASV23708</v>
          </cell>
          <cell r="H22407" t="str">
            <v>g__unclassified_c__Clostridia</v>
          </cell>
          <cell r="I22407" t="str">
            <v>s__unclassified_c__Clostridia</v>
          </cell>
        </row>
        <row r="22408">
          <cell r="G22408" t="str">
            <v>ASV12224</v>
          </cell>
          <cell r="H22408" t="str">
            <v>g__unclassified_p__Firmicutes</v>
          </cell>
          <cell r="I22408" t="str">
            <v>s__unclassified_p__Firmicutes</v>
          </cell>
        </row>
        <row r="22409">
          <cell r="G22409" t="str">
            <v>ASV6182</v>
          </cell>
          <cell r="H22409" t="str">
            <v>g__unclassified_p__Firmicutes</v>
          </cell>
          <cell r="I22409" t="str">
            <v>s__unclassified_p__Firmicutes</v>
          </cell>
        </row>
        <row r="22410">
          <cell r="G22410" t="str">
            <v>ASV24308</v>
          </cell>
          <cell r="H22410" t="str">
            <v>g__unclassified_c__Clostridia</v>
          </cell>
          <cell r="I22410" t="str">
            <v>s__unclassified_c__Clostridia</v>
          </cell>
        </row>
        <row r="22411">
          <cell r="G22411" t="str">
            <v>ASV8029</v>
          </cell>
          <cell r="H22411" t="str">
            <v>g__Eubacterium_oxidoreducens_group</v>
          </cell>
          <cell r="I22411" t="str">
            <v>s__uncultured_bacterium_g__Eubacterium_oxidoreducens_group</v>
          </cell>
        </row>
        <row r="22412">
          <cell r="G22412" t="str">
            <v>ASV22534</v>
          </cell>
          <cell r="H22412" t="str">
            <v>g__unclassified_c__Clostridia</v>
          </cell>
          <cell r="I22412" t="str">
            <v>s__unclassified_c__Clostridia</v>
          </cell>
        </row>
        <row r="22413">
          <cell r="G22413" t="str">
            <v>ASV13147</v>
          </cell>
          <cell r="H22413" t="str">
            <v>g__Intestinimonas</v>
          </cell>
          <cell r="I22413" t="str">
            <v>s__unclassified_g__Intestinimonas</v>
          </cell>
        </row>
        <row r="22414">
          <cell r="G22414" t="str">
            <v>ASV2967</v>
          </cell>
          <cell r="H22414" t="str">
            <v>g__unclassified_f__Planococcaceae</v>
          </cell>
          <cell r="I22414" t="str">
            <v>s__unclassified_f__Planococcaceae</v>
          </cell>
        </row>
        <row r="22415">
          <cell r="G22415" t="str">
            <v>ASV5236</v>
          </cell>
          <cell r="H22415" t="str">
            <v>g__unclassified_f__Lachnospiraceae</v>
          </cell>
          <cell r="I22415" t="str">
            <v>s__unclassified_f__Lachnospiraceae</v>
          </cell>
        </row>
        <row r="22416">
          <cell r="G22416" t="str">
            <v>ASV17065</v>
          </cell>
          <cell r="H22416" t="str">
            <v>g__Lactobacillus</v>
          </cell>
          <cell r="I22416" t="str">
            <v>s__uncultured_bacterium_g__Lactobacillus</v>
          </cell>
        </row>
        <row r="22417">
          <cell r="G22417" t="str">
            <v>ASV20175</v>
          </cell>
          <cell r="H22417" t="str">
            <v>g__Lactobacillus</v>
          </cell>
          <cell r="I22417" t="str">
            <v>s__unclassified_g__Lactobacillus</v>
          </cell>
        </row>
        <row r="22418">
          <cell r="G22418" t="str">
            <v>ASV10865</v>
          </cell>
          <cell r="H22418" t="str">
            <v>g__norank_f__Ruminococcaceae</v>
          </cell>
          <cell r="I22418" t="str">
            <v>s__unclassified_g__norank_f__Ruminococcaceae</v>
          </cell>
        </row>
        <row r="22419">
          <cell r="G22419" t="str">
            <v>ASV15659</v>
          </cell>
          <cell r="H22419" t="str">
            <v>g__Phascolarctobacterium</v>
          </cell>
          <cell r="I22419" t="str">
            <v>s__unclassified_g__Phascolarctobacterium</v>
          </cell>
        </row>
        <row r="22420">
          <cell r="G22420" t="str">
            <v>ASV14643</v>
          </cell>
          <cell r="H22420" t="str">
            <v>g__unclassified_f__Lachnospiraceae</v>
          </cell>
          <cell r="I22420" t="str">
            <v>s__unclassified_f__Lachnospiraceae</v>
          </cell>
        </row>
        <row r="22421">
          <cell r="G22421" t="str">
            <v>ASV6891</v>
          </cell>
          <cell r="H22421" t="str">
            <v>g__unclassified_c__Clostridia</v>
          </cell>
          <cell r="I22421" t="str">
            <v>s__unclassified_c__Clostridia</v>
          </cell>
        </row>
        <row r="22422">
          <cell r="G22422" t="str">
            <v>ASV23859</v>
          </cell>
          <cell r="H22422" t="str">
            <v>g__Escherichia-Shigella</v>
          </cell>
          <cell r="I22422" t="str">
            <v>s__unclassified_g__Escherichia-Shigella</v>
          </cell>
        </row>
        <row r="22423">
          <cell r="G22423" t="str">
            <v>ASV12430</v>
          </cell>
          <cell r="H22423" t="str">
            <v>g__unclassified_p__Firmicutes</v>
          </cell>
          <cell r="I22423" t="str">
            <v>s__unclassified_p__Firmicutes</v>
          </cell>
        </row>
        <row r="22424">
          <cell r="G22424" t="str">
            <v>ASV17527</v>
          </cell>
          <cell r="H22424" t="str">
            <v>g__unclassified_f__Clostridiaceae</v>
          </cell>
          <cell r="I22424" t="str">
            <v>s__unclassified_f__Clostridiaceae</v>
          </cell>
        </row>
        <row r="22425">
          <cell r="G22425" t="str">
            <v>ASV24051</v>
          </cell>
          <cell r="H22425" t="str">
            <v>g__unclassified_f__Lachnospiraceae</v>
          </cell>
          <cell r="I22425" t="str">
            <v>s__unclassified_f__Lachnospiraceae</v>
          </cell>
        </row>
        <row r="22426">
          <cell r="G22426" t="str">
            <v>ASV18329</v>
          </cell>
          <cell r="H22426" t="str">
            <v>g__unclassified_f__Ruminococcaceae</v>
          </cell>
          <cell r="I22426" t="str">
            <v>s__unclassified_f__Ruminococcaceae</v>
          </cell>
        </row>
        <row r="22427">
          <cell r="G22427" t="str">
            <v>ASV3545</v>
          </cell>
          <cell r="H22427" t="str">
            <v>g__Escherichia-Shigella</v>
          </cell>
          <cell r="I22427" t="str">
            <v>s__unclassified_g__Escherichia-Shigella</v>
          </cell>
        </row>
        <row r="22428">
          <cell r="G22428" t="str">
            <v>ASV22722</v>
          </cell>
          <cell r="H22428" t="str">
            <v>g__Megasphaera</v>
          </cell>
          <cell r="I22428" t="str">
            <v>s__unclassified_g__Megasphaera</v>
          </cell>
        </row>
        <row r="22429">
          <cell r="G22429" t="str">
            <v>ASV10242</v>
          </cell>
          <cell r="H22429" t="str">
            <v>g__unclassified_k__norank_d__Bacteria</v>
          </cell>
          <cell r="I22429" t="str">
            <v>s__unclassified_k__norank_d__Bacteria</v>
          </cell>
        </row>
        <row r="22430">
          <cell r="G22430" t="str">
            <v>ASV15609</v>
          </cell>
          <cell r="H22430" t="str">
            <v>g__unclassified_o__Oscillospirales</v>
          </cell>
          <cell r="I22430" t="str">
            <v>s__unclassified_o__Oscillospirales</v>
          </cell>
        </row>
        <row r="22431">
          <cell r="G22431" t="str">
            <v>ASV6331</v>
          </cell>
          <cell r="H22431" t="str">
            <v>g__Lachnospiraceae_NC2004_group</v>
          </cell>
          <cell r="I22431" t="str">
            <v>s__uncultured_bacterium_g__Lachnospiraceae_NC2004_group</v>
          </cell>
        </row>
        <row r="22432">
          <cell r="G22432" t="str">
            <v>ASV13019</v>
          </cell>
          <cell r="H22432" t="str">
            <v>g__unclassified_k__norank_d__Bacteria</v>
          </cell>
          <cell r="I22432" t="str">
            <v>s__unclassified_k__norank_d__Bacteria</v>
          </cell>
        </row>
        <row r="22433">
          <cell r="G22433" t="str">
            <v>ASV3525</v>
          </cell>
          <cell r="H22433" t="str">
            <v>g__Patulibacter</v>
          </cell>
          <cell r="I22433" t="str">
            <v>s__unclassified_g__Patulibacter</v>
          </cell>
        </row>
        <row r="22434">
          <cell r="G22434" t="str">
            <v>ASV6878</v>
          </cell>
          <cell r="H22434" t="str">
            <v>g__unclassified_f__Ruminococcaceae</v>
          </cell>
          <cell r="I22434" t="str">
            <v>s__unclassified_f__Ruminococcaceae</v>
          </cell>
        </row>
        <row r="22435">
          <cell r="G22435" t="str">
            <v>ASV22759</v>
          </cell>
          <cell r="H22435" t="str">
            <v>g__Fournierella</v>
          </cell>
          <cell r="I22435" t="str">
            <v>s__uncultured_bacterium_g__Fournierella</v>
          </cell>
        </row>
        <row r="22436">
          <cell r="G22436" t="str">
            <v>ASV10964</v>
          </cell>
          <cell r="H22436" t="str">
            <v>g__unclassified_c__Clostridia</v>
          </cell>
          <cell r="I22436" t="str">
            <v>s__unclassified_c__Clostridia</v>
          </cell>
        </row>
        <row r="22437">
          <cell r="G22437" t="str">
            <v>ASV17340</v>
          </cell>
          <cell r="H22437" t="str">
            <v>g__Lactobacillus</v>
          </cell>
          <cell r="I22437" t="str">
            <v>s__unclassified_g__Lactobacillus</v>
          </cell>
        </row>
        <row r="22438">
          <cell r="G22438" t="str">
            <v>ASV24365</v>
          </cell>
          <cell r="H22438" t="str">
            <v>g__unclassified_o__Coriobacteriales</v>
          </cell>
          <cell r="I22438" t="str">
            <v>s__unclassified_o__Coriobacteriales</v>
          </cell>
        </row>
        <row r="22439">
          <cell r="G22439" t="str">
            <v>ASV14906</v>
          </cell>
          <cell r="H22439" t="str">
            <v>g__Eubacterium_oxidoreducens_group</v>
          </cell>
          <cell r="I22439" t="str">
            <v>s__uncultured_bacterium_g__Eubacterium_oxidoreducens_group</v>
          </cell>
        </row>
        <row r="22440">
          <cell r="G22440" t="str">
            <v>ASV17070</v>
          </cell>
          <cell r="H22440" t="str">
            <v>g__unclassified_p__Firmicutes</v>
          </cell>
          <cell r="I22440" t="str">
            <v>s__unclassified_p__Firmicutes</v>
          </cell>
        </row>
        <row r="22441">
          <cell r="G22441" t="str">
            <v>ASV10263</v>
          </cell>
          <cell r="H22441" t="str">
            <v>g__Lactobacillus</v>
          </cell>
          <cell r="I22441" t="str">
            <v>s__unclassified_g__Lactobacillus</v>
          </cell>
        </row>
        <row r="22442">
          <cell r="G22442" t="str">
            <v>ASV12220</v>
          </cell>
          <cell r="H22442" t="str">
            <v>g__unclassified_f__Lachnospiraceae</v>
          </cell>
          <cell r="I22442" t="str">
            <v>s__unclassified_f__Lachnospiraceae</v>
          </cell>
        </row>
        <row r="22443">
          <cell r="G22443" t="str">
            <v>ASV13753</v>
          </cell>
          <cell r="H22443" t="str">
            <v>g__Lactobacillus</v>
          </cell>
          <cell r="I22443" t="str">
            <v>s__unclassified_g__Lactobacillus</v>
          </cell>
        </row>
        <row r="22444">
          <cell r="G22444" t="str">
            <v>ASV8094</v>
          </cell>
          <cell r="H22444" t="str">
            <v>g__unclassified_o__Oscillospirales</v>
          </cell>
          <cell r="I22444" t="str">
            <v>s__unclassified_o__Oscillospirales</v>
          </cell>
        </row>
        <row r="22445">
          <cell r="G22445" t="str">
            <v>ASV22543</v>
          </cell>
          <cell r="H22445" t="str">
            <v>g__unclassified_f__Ruminococcaceae</v>
          </cell>
          <cell r="I22445" t="str">
            <v>s__unclassified_f__Ruminococcaceae</v>
          </cell>
        </row>
        <row r="22446">
          <cell r="G22446" t="str">
            <v>ASV19922</v>
          </cell>
          <cell r="H22446" t="str">
            <v>g__norank_f__norank_o__Clostridia_UCG-014</v>
          </cell>
          <cell r="I22446" t="str">
            <v>s__uncultured_bacterium_g__norank_f__norank_o__Clostridia_UCG-014</v>
          </cell>
        </row>
        <row r="22447">
          <cell r="G22447" t="str">
            <v>ASV6362</v>
          </cell>
          <cell r="H22447" t="str">
            <v>g__Bacteroides</v>
          </cell>
          <cell r="I22447" t="str">
            <v>s__unclassified_g__Bacteroides</v>
          </cell>
        </row>
        <row r="22448">
          <cell r="G22448" t="str">
            <v>ASV24316</v>
          </cell>
          <cell r="H22448" t="str">
            <v>g__Actinobacillus</v>
          </cell>
          <cell r="I22448" t="str">
            <v>s__unclassified_g__Actinobacillus</v>
          </cell>
        </row>
        <row r="22449">
          <cell r="G22449" t="str">
            <v>ASV24268</v>
          </cell>
          <cell r="H22449" t="str">
            <v>g__unclassified_f__Lachnospiraceae</v>
          </cell>
          <cell r="I22449" t="str">
            <v>s__unclassified_f__Lachnospiraceae</v>
          </cell>
        </row>
        <row r="22450">
          <cell r="G22450" t="str">
            <v>ASV22763</v>
          </cell>
          <cell r="H22450" t="str">
            <v>g__norank_f__Eubacterium_coprostanoligenes_group</v>
          </cell>
          <cell r="I22450" t="str">
            <v>s__Eubacterium_coprostanoligenes</v>
          </cell>
        </row>
        <row r="22451">
          <cell r="G22451" t="str">
            <v>ASV7431</v>
          </cell>
          <cell r="H22451" t="str">
            <v>g__Bacillus</v>
          </cell>
          <cell r="I22451" t="str">
            <v>s__Lactobacillus_vaginalis_g__Bacillus</v>
          </cell>
        </row>
        <row r="22452">
          <cell r="G22452" t="str">
            <v>ASV13593</v>
          </cell>
          <cell r="H22452" t="str">
            <v>g__unclassified_c__Bacilli</v>
          </cell>
          <cell r="I22452" t="str">
            <v>s__unclassified_c__Bacilli</v>
          </cell>
        </row>
        <row r="22453">
          <cell r="G22453" t="str">
            <v>ASV1217</v>
          </cell>
          <cell r="H22453" t="str">
            <v>g__unclassified_f__Lachnospiraceae</v>
          </cell>
          <cell r="I22453" t="str">
            <v>s__unclassified_f__Lachnospiraceae</v>
          </cell>
        </row>
        <row r="22454">
          <cell r="G22454" t="str">
            <v>ASV9700</v>
          </cell>
          <cell r="H22454" t="str">
            <v>g__unclassified_c__Clostridia</v>
          </cell>
          <cell r="I22454" t="str">
            <v>s__unclassified_c__Clostridia</v>
          </cell>
        </row>
        <row r="22455">
          <cell r="G22455" t="str">
            <v>ASV12120</v>
          </cell>
          <cell r="H22455" t="str">
            <v>g__unclassified_c__Clostridia</v>
          </cell>
          <cell r="I22455" t="str">
            <v>s__unclassified_c__Clostridia</v>
          </cell>
        </row>
        <row r="22456">
          <cell r="G22456" t="str">
            <v>ASV6387</v>
          </cell>
          <cell r="H22456" t="str">
            <v>g__unclassified_f__Ruminococcaceae</v>
          </cell>
          <cell r="I22456" t="str">
            <v>s__unclassified_f__Ruminococcaceae</v>
          </cell>
        </row>
        <row r="22457">
          <cell r="G22457" t="str">
            <v>ASV12393</v>
          </cell>
          <cell r="H22457" t="str">
            <v>g__unclassified_o__Oscillospirales</v>
          </cell>
          <cell r="I22457" t="str">
            <v>s__unclassified_o__Oscillospirales</v>
          </cell>
        </row>
        <row r="22458">
          <cell r="G22458" t="str">
            <v>ASV13178</v>
          </cell>
          <cell r="H22458" t="str">
            <v>g__norank_f__UCG-010</v>
          </cell>
          <cell r="I22458" t="str">
            <v>s__uncultured_bacterium_g__norank_f__UCG-010</v>
          </cell>
        </row>
        <row r="22459">
          <cell r="G22459" t="str">
            <v>ASV23636</v>
          </cell>
          <cell r="H22459" t="str">
            <v>g__Lactobacillus</v>
          </cell>
          <cell r="I22459" t="str">
            <v>s__unclassified_g__Lactobacillus</v>
          </cell>
        </row>
        <row r="22460">
          <cell r="G22460" t="str">
            <v>ASV17626</v>
          </cell>
          <cell r="H22460" t="str">
            <v>g__unclassified_f__Lachnospiraceae</v>
          </cell>
          <cell r="I22460" t="str">
            <v>s__unclassified_f__Lachnospiraceae</v>
          </cell>
        </row>
        <row r="22461">
          <cell r="G22461" t="str">
            <v>ASV21361</v>
          </cell>
          <cell r="H22461" t="str">
            <v>g__Lactobacillus</v>
          </cell>
          <cell r="I22461" t="str">
            <v>s__unclassified_g__Lactobacillus</v>
          </cell>
        </row>
        <row r="22462">
          <cell r="G22462" t="str">
            <v>ASV13023</v>
          </cell>
          <cell r="H22462" t="str">
            <v>g__unclassified_f__Prevotellaceae</v>
          </cell>
          <cell r="I22462" t="str">
            <v>s__unclassified_f__Prevotellaceae</v>
          </cell>
        </row>
        <row r="22463">
          <cell r="G22463" t="str">
            <v>ASV10933</v>
          </cell>
          <cell r="H22463" t="str">
            <v>g__Rikenellaceae_RC9_gut_group</v>
          </cell>
          <cell r="I22463" t="str">
            <v>s__uncultured_bacterium_g__Rikenellaceae_RC9_gut_group</v>
          </cell>
        </row>
        <row r="22464">
          <cell r="G22464" t="str">
            <v>ASV2426</v>
          </cell>
          <cell r="H22464" t="str">
            <v>g__unclassified_f__Lachnospiraceae</v>
          </cell>
          <cell r="I22464" t="str">
            <v>s__unclassified_f__Lachnospiraceae</v>
          </cell>
        </row>
        <row r="22465">
          <cell r="G22465" t="str">
            <v>ASV9807</v>
          </cell>
          <cell r="H22465" t="str">
            <v>g__unclassified_c__Clostridia</v>
          </cell>
          <cell r="I22465" t="str">
            <v>s__unclassified_c__Clostridia</v>
          </cell>
        </row>
        <row r="22466">
          <cell r="G22466" t="str">
            <v>ASV17096</v>
          </cell>
          <cell r="H22466" t="str">
            <v>g__Prevotella</v>
          </cell>
          <cell r="I22466" t="str">
            <v>s__unclassified_g__Prevotella</v>
          </cell>
        </row>
        <row r="22467">
          <cell r="G22467" t="str">
            <v>ASV22680</v>
          </cell>
          <cell r="H22467" t="str">
            <v>g__unclassified_f__Lachnospiraceae</v>
          </cell>
          <cell r="I22467" t="str">
            <v>s__unclassified_f__Lachnospiraceae</v>
          </cell>
        </row>
        <row r="22468">
          <cell r="G22468" t="str">
            <v>ASV22849</v>
          </cell>
          <cell r="H22468" t="str">
            <v>g__Enterococcus</v>
          </cell>
          <cell r="I22468" t="str">
            <v>s__unclassified_g__Enterococcus</v>
          </cell>
        </row>
        <row r="22469">
          <cell r="G22469" t="str">
            <v>ASV22688</v>
          </cell>
          <cell r="H22469" t="str">
            <v>g__Lactobacillus</v>
          </cell>
          <cell r="I22469" t="str">
            <v>s__unclassified_g__Lactobacillus</v>
          </cell>
        </row>
        <row r="22470">
          <cell r="G22470" t="str">
            <v>ASV4236</v>
          </cell>
          <cell r="H22470" t="str">
            <v>g__unclassified_c__Clostridia</v>
          </cell>
          <cell r="I22470" t="str">
            <v>s__unclassified_c__Clostridia</v>
          </cell>
        </row>
        <row r="22471">
          <cell r="G22471" t="str">
            <v>ASV8731</v>
          </cell>
          <cell r="H22471" t="str">
            <v>g__unclassified_f__Christensenellaceae</v>
          </cell>
          <cell r="I22471" t="str">
            <v>s__unclassified_f__Christensenellaceae</v>
          </cell>
        </row>
        <row r="22472">
          <cell r="G22472" t="str">
            <v>ASV23736</v>
          </cell>
          <cell r="H22472" t="str">
            <v>g__unclassified_f__Oscillospiraceae</v>
          </cell>
          <cell r="I22472" t="str">
            <v>s__unclassified_f__Oscillospiraceae</v>
          </cell>
        </row>
        <row r="22473">
          <cell r="G22473" t="str">
            <v>ASV9728</v>
          </cell>
          <cell r="H22473" t="str">
            <v>g__norank_f__Eubacterium_coprostanoligenes_group</v>
          </cell>
          <cell r="I22473" t="str">
            <v>s__unclassified_g__norank_f__Eubacterium_coprostanoligenes_group</v>
          </cell>
        </row>
        <row r="22474">
          <cell r="G22474" t="str">
            <v>ASV15844</v>
          </cell>
          <cell r="H22474" t="str">
            <v>g__Enterococcus</v>
          </cell>
          <cell r="I22474" t="str">
            <v>s__unclassified_g__Enterococcus</v>
          </cell>
        </row>
        <row r="22475">
          <cell r="G22475" t="str">
            <v>ASV12283</v>
          </cell>
          <cell r="H22475" t="str">
            <v>g__unclassified_c__Clostridia</v>
          </cell>
          <cell r="I22475" t="str">
            <v>s__unclassified_c__Clostridia</v>
          </cell>
        </row>
        <row r="22476">
          <cell r="G22476" t="str">
            <v>ASV17633</v>
          </cell>
          <cell r="H22476" t="str">
            <v>g__Lactobacillus</v>
          </cell>
          <cell r="I22476" t="str">
            <v>s__unclassified_g__Lactobacillus</v>
          </cell>
        </row>
        <row r="22477">
          <cell r="G22477" t="str">
            <v>ASV6990</v>
          </cell>
          <cell r="H22477" t="str">
            <v>g__unclassified_f__Lachnospiraceae</v>
          </cell>
          <cell r="I22477" t="str">
            <v>s__unclassified_f__Lachnospiraceae</v>
          </cell>
        </row>
        <row r="22478">
          <cell r="G22478" t="str">
            <v>ASV10868</v>
          </cell>
          <cell r="H22478" t="str">
            <v>g__Rikenellaceae_RC9_gut_group</v>
          </cell>
          <cell r="I22478" t="str">
            <v>s__uncultured_bacterium_g__Rikenellaceae_RC9_gut_group</v>
          </cell>
        </row>
        <row r="22479">
          <cell r="G22479" t="str">
            <v>ASV17071</v>
          </cell>
          <cell r="H22479" t="str">
            <v>g__unclassified_f__Lachnospiraceae</v>
          </cell>
          <cell r="I22479" t="str">
            <v>s__unclassified_f__Lachnospiraceae</v>
          </cell>
        </row>
        <row r="22480">
          <cell r="G22480" t="str">
            <v>ASV8369</v>
          </cell>
          <cell r="H22480" t="str">
            <v>g__norank_f__norank_o__Clostridia_UCG-014</v>
          </cell>
          <cell r="I22480" t="str">
            <v>s__unclassified_g__norank_f__norank_o__Clostridia_UCG-014</v>
          </cell>
        </row>
        <row r="22481">
          <cell r="G22481" t="str">
            <v>ASV16147</v>
          </cell>
          <cell r="H22481" t="str">
            <v>g__Lactobacillus</v>
          </cell>
          <cell r="I22481" t="str">
            <v>s__unclassified_g__Lactobacillus</v>
          </cell>
        </row>
        <row r="22482">
          <cell r="G22482" t="str">
            <v>ASV16659</v>
          </cell>
          <cell r="H22482" t="str">
            <v>g__Butyricicoccus</v>
          </cell>
          <cell r="I22482" t="str">
            <v>s__unclassified_g__Butyricicoccus</v>
          </cell>
        </row>
        <row r="22483">
          <cell r="G22483" t="str">
            <v>ASV12338</v>
          </cell>
          <cell r="H22483" t="str">
            <v>g__Prevotellaceae_UCG-003</v>
          </cell>
          <cell r="I22483" t="str">
            <v>s__uncultured_bacterium_g__Prevotellaceae_UCG-003</v>
          </cell>
        </row>
        <row r="22484">
          <cell r="G22484" t="str">
            <v>ASV14857</v>
          </cell>
          <cell r="H22484" t="str">
            <v>g__unclassified_c__Clostridia</v>
          </cell>
          <cell r="I22484" t="str">
            <v>s__unclassified_c__Clostridia</v>
          </cell>
        </row>
        <row r="22485">
          <cell r="G22485" t="str">
            <v>ASV23576</v>
          </cell>
          <cell r="H22485" t="str">
            <v>g__unclassified_c__Clostridia</v>
          </cell>
          <cell r="I22485" t="str">
            <v>s__unclassified_c__Clostridia</v>
          </cell>
        </row>
        <row r="22486">
          <cell r="G22486" t="str">
            <v>ASV19024</v>
          </cell>
          <cell r="H22486" t="str">
            <v>g__unclassified_f__Lachnospiraceae</v>
          </cell>
          <cell r="I22486" t="str">
            <v>s__unclassified_f__Lachnospiraceae</v>
          </cell>
        </row>
        <row r="22487">
          <cell r="G22487" t="str">
            <v>ASV24020</v>
          </cell>
          <cell r="H22487" t="str">
            <v>g__Clostridium_sensu_stricto_1</v>
          </cell>
          <cell r="I22487" t="str">
            <v>s__unclassified_g__Clostridium_sensu_stricto_1</v>
          </cell>
        </row>
        <row r="22488">
          <cell r="G22488" t="str">
            <v>ASV20070</v>
          </cell>
          <cell r="H22488" t="str">
            <v>g__unclassified_o__Oscillospirales</v>
          </cell>
          <cell r="I22488" t="str">
            <v>s__unclassified_o__Oscillospirales</v>
          </cell>
        </row>
        <row r="22489">
          <cell r="G22489" t="str">
            <v>ASV14672</v>
          </cell>
          <cell r="H22489" t="str">
            <v>g__unclassified_f__Peptostreptococcaceae</v>
          </cell>
          <cell r="I22489" t="str">
            <v>s__unclassified_f__Peptostreptococcaceae</v>
          </cell>
        </row>
        <row r="22490">
          <cell r="G22490" t="str">
            <v>ASV10958</v>
          </cell>
          <cell r="H22490" t="str">
            <v>g__unclassified_c__Clostridia</v>
          </cell>
          <cell r="I22490" t="str">
            <v>s__unclassified_c__Clostridia</v>
          </cell>
        </row>
        <row r="22491">
          <cell r="G22491" t="str">
            <v>ASV8583</v>
          </cell>
          <cell r="H22491" t="str">
            <v>g__unclassified_p__Firmicutes</v>
          </cell>
          <cell r="I22491" t="str">
            <v>s__unclassified_p__Firmicutes</v>
          </cell>
        </row>
        <row r="22492">
          <cell r="G22492" t="str">
            <v>ASV22838</v>
          </cell>
          <cell r="H22492" t="str">
            <v>g__norank_f__Eubacterium_coprostanoligenes_group</v>
          </cell>
          <cell r="I22492" t="str">
            <v>s__Eubacterium_coprostanoligenes</v>
          </cell>
        </row>
        <row r="22493">
          <cell r="G22493" t="str">
            <v>ASV21697</v>
          </cell>
          <cell r="H22493" t="str">
            <v>g__Colidextribacter</v>
          </cell>
          <cell r="I22493" t="str">
            <v>s__unclassified_g__Colidextribacter</v>
          </cell>
        </row>
        <row r="22494">
          <cell r="G22494" t="str">
            <v>ASV19915</v>
          </cell>
          <cell r="H22494" t="str">
            <v>g__norank_f__Muribaculaceae</v>
          </cell>
          <cell r="I22494" t="str">
            <v>s__uncultured_bacterium_g__norank_f__Muribaculaceae</v>
          </cell>
        </row>
        <row r="22495">
          <cell r="G22495" t="str">
            <v>ASV9104</v>
          </cell>
          <cell r="H22495" t="str">
            <v>g__norank_f__norank_o__Clostridia_UCG-014</v>
          </cell>
          <cell r="I22495" t="str">
            <v>s__uncultured_bacterium_g__norank_f__norank_o__Clostridia_UCG-014</v>
          </cell>
        </row>
        <row r="22496">
          <cell r="G22496" t="str">
            <v>ASV15655</v>
          </cell>
          <cell r="H22496" t="str">
            <v>g__unclassified_c__Clostridia</v>
          </cell>
          <cell r="I22496" t="str">
            <v>s__unclassified_c__Clostridia</v>
          </cell>
        </row>
        <row r="22497">
          <cell r="G22497" t="str">
            <v>ASV6374</v>
          </cell>
          <cell r="H22497" t="str">
            <v>g__norank_f__Ruminococcaceae</v>
          </cell>
          <cell r="I22497" t="str">
            <v>s__uncultured_bacterium_g__norank_f__Ruminococcaceae</v>
          </cell>
        </row>
        <row r="22498">
          <cell r="G22498" t="str">
            <v>ASV9715</v>
          </cell>
          <cell r="H22498" t="str">
            <v>g__unclassified_f__Lachnospiraceae</v>
          </cell>
          <cell r="I22498" t="str">
            <v>s__unclassified_f__Lachnospiraceae</v>
          </cell>
        </row>
        <row r="22499">
          <cell r="G22499" t="str">
            <v>ASV21773</v>
          </cell>
          <cell r="H22499" t="str">
            <v>g__Lactobacillus</v>
          </cell>
          <cell r="I22499" t="str">
            <v>s__unclassified_g__Lactobacillus</v>
          </cell>
        </row>
        <row r="22500">
          <cell r="G22500" t="str">
            <v>ASV11002</v>
          </cell>
          <cell r="H22500" t="str">
            <v>g__unclassified_c__Bacilli</v>
          </cell>
          <cell r="I22500" t="str">
            <v>s__unclassified_c__Bacilli</v>
          </cell>
        </row>
        <row r="22501">
          <cell r="G22501" t="str">
            <v>ASV17682</v>
          </cell>
          <cell r="H22501" t="str">
            <v>g__unclassified_c__Bacilli</v>
          </cell>
          <cell r="I22501" t="str">
            <v>s__unclassified_c__Bacilli</v>
          </cell>
        </row>
        <row r="22502">
          <cell r="G22502" t="str">
            <v>ASV1325</v>
          </cell>
          <cell r="H22502" t="str">
            <v>g__unclassified_o__Oscillospirales</v>
          </cell>
          <cell r="I22502" t="str">
            <v>s__unclassified_o__Oscillospirales</v>
          </cell>
        </row>
        <row r="22503">
          <cell r="G22503" t="str">
            <v>ASV23863</v>
          </cell>
          <cell r="H22503" t="str">
            <v>g__Denitrobacterium</v>
          </cell>
          <cell r="I22503" t="str">
            <v>s__Eggerthellaceae_bacterium_AT8</v>
          </cell>
        </row>
        <row r="22504">
          <cell r="G22504" t="str">
            <v>ASV15852</v>
          </cell>
          <cell r="H22504" t="str">
            <v>g__unclassified_f__Oscillospiraceae</v>
          </cell>
          <cell r="I22504" t="str">
            <v>s__unclassified_f__Oscillospiraceae</v>
          </cell>
        </row>
        <row r="22505">
          <cell r="G22505" t="str">
            <v>ASV19970</v>
          </cell>
          <cell r="H22505" t="str">
            <v>g__unclassified_f__Oscillospiraceae</v>
          </cell>
          <cell r="I22505" t="str">
            <v>s__unclassified_f__Oscillospiraceae</v>
          </cell>
        </row>
        <row r="22506">
          <cell r="G22506" t="str">
            <v>ASV23510</v>
          </cell>
          <cell r="H22506" t="str">
            <v>g__norank_f__Erysipelotrichaceae</v>
          </cell>
          <cell r="I22506" t="str">
            <v>s__uncultured_bacterium_g__norank_f__Erysipelotrichaceae</v>
          </cell>
        </row>
        <row r="22507">
          <cell r="G22507" t="str">
            <v>ASV5395</v>
          </cell>
          <cell r="H22507" t="str">
            <v>g__unclassified_c__Clostridia</v>
          </cell>
          <cell r="I22507" t="str">
            <v>s__unclassified_c__Clostridia</v>
          </cell>
        </row>
        <row r="22508">
          <cell r="G22508" t="str">
            <v>ASV9774</v>
          </cell>
          <cell r="H22508" t="str">
            <v>g__Eubacterium_oxidoreducens_group</v>
          </cell>
          <cell r="I22508" t="str">
            <v>s__uncultured_bacterium_g__Eubacterium_oxidoreducens_group</v>
          </cell>
        </row>
        <row r="22509">
          <cell r="G22509" t="str">
            <v>ASV9702</v>
          </cell>
          <cell r="H22509" t="str">
            <v>g__unclassified_c__Clostridia</v>
          </cell>
          <cell r="I22509" t="str">
            <v>s__unclassified_c__Clostridia</v>
          </cell>
        </row>
        <row r="22510">
          <cell r="G22510" t="str">
            <v>ASV23797</v>
          </cell>
          <cell r="H22510" t="str">
            <v>g__norank_f__Ruminococcaceae</v>
          </cell>
          <cell r="I22510" t="str">
            <v>s__unclassified_g__norank_f__Ruminococcaceae</v>
          </cell>
        </row>
        <row r="22511">
          <cell r="G22511" t="str">
            <v>ASV21093</v>
          </cell>
          <cell r="H22511" t="str">
            <v>g__UCG-002</v>
          </cell>
          <cell r="I22511" t="str">
            <v>s__uncultured_bacterium_g__UCG-002</v>
          </cell>
        </row>
        <row r="22512">
          <cell r="G22512" t="str">
            <v>ASV15722</v>
          </cell>
          <cell r="H22512" t="str">
            <v>g__unclassified_c__Clostridia</v>
          </cell>
          <cell r="I22512" t="str">
            <v>s__unclassified_c__Clostridia</v>
          </cell>
        </row>
        <row r="22513">
          <cell r="G22513" t="str">
            <v>ASV24398</v>
          </cell>
          <cell r="H22513" t="str">
            <v>g__Actinomyces</v>
          </cell>
          <cell r="I22513" t="str">
            <v>s__unclassified_g__Actinomyces</v>
          </cell>
        </row>
        <row r="22514">
          <cell r="G22514" t="str">
            <v>ASV6952</v>
          </cell>
          <cell r="H22514" t="str">
            <v>g__unclassified_k__norank_d__Bacteria</v>
          </cell>
          <cell r="I22514" t="str">
            <v>s__unclassified_k__norank_d__Bacteria</v>
          </cell>
        </row>
        <row r="22515">
          <cell r="G22515" t="str">
            <v>ASV14922</v>
          </cell>
          <cell r="H22515" t="str">
            <v>g__unclassified_o__Oscillospirales</v>
          </cell>
          <cell r="I22515" t="str">
            <v>s__unclassified_o__Oscillospirales</v>
          </cell>
        </row>
        <row r="22516">
          <cell r="G22516" t="str">
            <v>ASV18461</v>
          </cell>
          <cell r="H22516" t="str">
            <v>g__Peptococcus</v>
          </cell>
          <cell r="I22516" t="str">
            <v>s__uncultured_bacterium_g__Peptococcus</v>
          </cell>
        </row>
        <row r="22517">
          <cell r="G22517" t="str">
            <v>ASV15743</v>
          </cell>
          <cell r="H22517" t="str">
            <v>g__unclassified_f__Lachnospiraceae</v>
          </cell>
          <cell r="I22517" t="str">
            <v>s__unclassified_f__Lachnospiraceae</v>
          </cell>
        </row>
        <row r="22518">
          <cell r="G22518" t="str">
            <v>ASV15661</v>
          </cell>
          <cell r="H22518" t="str">
            <v>g__norank_f__Eggerthellaceae</v>
          </cell>
          <cell r="I22518" t="str">
            <v>s__uncultured_bacterium_g__norank_f__Eggerthellaceae</v>
          </cell>
        </row>
        <row r="22519">
          <cell r="G22519" t="str">
            <v>ASV13096</v>
          </cell>
          <cell r="H22519" t="str">
            <v>g__unclassified_f__Lachnospiraceae</v>
          </cell>
          <cell r="I22519" t="str">
            <v>s__unclassified_f__Lachnospiraceae</v>
          </cell>
        </row>
        <row r="22520">
          <cell r="G22520" t="str">
            <v>ASV10993</v>
          </cell>
          <cell r="H22520" t="str">
            <v>g__unclassified_f__Peptostreptococcaceae</v>
          </cell>
          <cell r="I22520" t="str">
            <v>s__unclassified_f__Peptostreptococcaceae</v>
          </cell>
        </row>
        <row r="22521">
          <cell r="G22521" t="str">
            <v>ASV8192</v>
          </cell>
          <cell r="H22521" t="str">
            <v>g__Bifidobacterium</v>
          </cell>
          <cell r="I22521" t="str">
            <v>s__unclassified_g__Bifidobacterium</v>
          </cell>
        </row>
        <row r="22522">
          <cell r="G22522" t="str">
            <v>ASV13065</v>
          </cell>
          <cell r="H22522" t="str">
            <v>g__unclassified_c__Clostridia</v>
          </cell>
          <cell r="I22522" t="str">
            <v>s__unclassified_c__Clostridia</v>
          </cell>
        </row>
        <row r="22523">
          <cell r="G22523" t="str">
            <v>ASV24313</v>
          </cell>
          <cell r="H22523" t="str">
            <v>g__unclassified_o__Lactobacillales</v>
          </cell>
          <cell r="I22523" t="str">
            <v>s__unclassified_o__Lactobacillales</v>
          </cell>
        </row>
        <row r="22524">
          <cell r="G22524" t="str">
            <v>ASV14747</v>
          </cell>
          <cell r="H22524" t="str">
            <v>g__NK4A214_group</v>
          </cell>
          <cell r="I22524" t="str">
            <v>s__uncultured_bacterium_g__NK4A214_group</v>
          </cell>
        </row>
        <row r="22525">
          <cell r="G22525" t="str">
            <v>ASV23623</v>
          </cell>
          <cell r="H22525" t="str">
            <v>g__unclassified_c__Clostridia</v>
          </cell>
          <cell r="I22525" t="str">
            <v>s__unclassified_c__Clostridia</v>
          </cell>
        </row>
        <row r="22526">
          <cell r="G22526" t="str">
            <v>ASV4265</v>
          </cell>
          <cell r="H22526" t="str">
            <v>g__Christensenellaceae_R-7_group</v>
          </cell>
          <cell r="I22526" t="str">
            <v>s__unclassified_g__Christensenellaceae_R-7_group</v>
          </cell>
        </row>
        <row r="22527">
          <cell r="G22527" t="str">
            <v>ASV17049</v>
          </cell>
          <cell r="H22527" t="str">
            <v>g__Lactobacillus</v>
          </cell>
          <cell r="I22527" t="str">
            <v>s__unclassified_g__Lactobacillus</v>
          </cell>
        </row>
        <row r="22528">
          <cell r="G22528" t="str">
            <v>ASV13183</v>
          </cell>
          <cell r="H22528" t="str">
            <v>g__Lactobacillus</v>
          </cell>
          <cell r="I22528" t="str">
            <v>s__unclassified_g__Lactobacillus</v>
          </cell>
        </row>
        <row r="22529">
          <cell r="G22529" t="str">
            <v>ASV20007</v>
          </cell>
          <cell r="H22529" t="str">
            <v>g__Christensenellaceae_R-7_group</v>
          </cell>
          <cell r="I22529" t="str">
            <v>s__uncultured_spirochete_g__Christensenellaceae_R-7_group</v>
          </cell>
        </row>
        <row r="22530">
          <cell r="G22530" t="str">
            <v>ASV15737</v>
          </cell>
          <cell r="H22530" t="str">
            <v>g__unclassified_c__Clostridia</v>
          </cell>
          <cell r="I22530" t="str">
            <v>s__unclassified_c__Clostridia</v>
          </cell>
        </row>
        <row r="22531">
          <cell r="G22531" t="str">
            <v>ASV22761</v>
          </cell>
          <cell r="H22531" t="str">
            <v>g__Eubacterium_oxidoreducens_group</v>
          </cell>
          <cell r="I22531" t="str">
            <v>s__uncultured_bacterium_g__Eubacterium_oxidoreducens_group</v>
          </cell>
        </row>
        <row r="22532">
          <cell r="G22532" t="str">
            <v>ASV6928</v>
          </cell>
          <cell r="H22532" t="str">
            <v>g__unclassified_f__Peptostreptococcaceae</v>
          </cell>
          <cell r="I22532" t="str">
            <v>s__unclassified_f__Peptostreptococcaceae</v>
          </cell>
        </row>
        <row r="22533">
          <cell r="G22533" t="str">
            <v>ASV6980</v>
          </cell>
          <cell r="H22533" t="str">
            <v>g__unclassified_p__Firmicutes</v>
          </cell>
          <cell r="I22533" t="str">
            <v>s__unclassified_p__Firmicutes</v>
          </cell>
        </row>
        <row r="22534">
          <cell r="G22534" t="str">
            <v>ASV23794</v>
          </cell>
          <cell r="H22534" t="str">
            <v>g__Eubacterium_ruminantium_group</v>
          </cell>
          <cell r="I22534" t="str">
            <v>s__uncultured_bacterium_g__Eubacterium_ruminantium_group</v>
          </cell>
        </row>
        <row r="22535">
          <cell r="G22535" t="str">
            <v>ASV6473</v>
          </cell>
          <cell r="H22535" t="str">
            <v>g__norank_f__Muribaculaceae</v>
          </cell>
          <cell r="I22535" t="str">
            <v>s__uncultured_bacterium_g__norank_f__Muribaculaceae</v>
          </cell>
        </row>
        <row r="22536">
          <cell r="G22536" t="str">
            <v>ASV12250</v>
          </cell>
          <cell r="H22536" t="str">
            <v>g__norank_f__Eubacterium_coprostanoligenes_group</v>
          </cell>
          <cell r="I22536" t="str">
            <v>s__unclassified_g__norank_f__Eubacterium_coprostanoligenes_group</v>
          </cell>
        </row>
        <row r="22537">
          <cell r="G22537" t="str">
            <v>ASV18665</v>
          </cell>
          <cell r="H22537" t="str">
            <v>g__unclassified_c__Bacilli</v>
          </cell>
          <cell r="I22537" t="str">
            <v>s__unclassified_c__Bacilli</v>
          </cell>
        </row>
        <row r="22538">
          <cell r="G22538" t="str">
            <v>ASV16666</v>
          </cell>
          <cell r="H22538" t="str">
            <v>g__unclassified_c__Clostridia</v>
          </cell>
          <cell r="I22538" t="str">
            <v>s__unclassified_c__Clostridia</v>
          </cell>
        </row>
        <row r="22539">
          <cell r="G22539" t="str">
            <v>ASV22702</v>
          </cell>
          <cell r="H22539" t="str">
            <v>g__unclassified_c__Clostridia</v>
          </cell>
          <cell r="I22539" t="str">
            <v>s__unclassified_c__Clostridia</v>
          </cell>
        </row>
        <row r="22540">
          <cell r="G22540" t="str">
            <v>ASV14692</v>
          </cell>
          <cell r="H22540" t="str">
            <v>g__Candidatus_Soleaferrea</v>
          </cell>
          <cell r="I22540" t="str">
            <v>s__uncultured_bacterium_g__Candidatus_Soleaferrea</v>
          </cell>
        </row>
        <row r="22541">
          <cell r="G22541" t="str">
            <v>ASV17080</v>
          </cell>
          <cell r="H22541" t="str">
            <v>g__Lactobacillus</v>
          </cell>
          <cell r="I22541" t="str">
            <v>s__unclassified_g__Lactobacillus</v>
          </cell>
        </row>
        <row r="22542">
          <cell r="G22542" t="str">
            <v>ASV8134</v>
          </cell>
          <cell r="H22542" t="str">
            <v>g__unclassified_c__Bacilli</v>
          </cell>
          <cell r="I22542" t="str">
            <v>s__unclassified_c__Bacilli</v>
          </cell>
        </row>
        <row r="22543">
          <cell r="G22543" t="str">
            <v>ASV12489</v>
          </cell>
          <cell r="H22543" t="str">
            <v>g__unclassified_f__Lachnospiraceae</v>
          </cell>
          <cell r="I22543" t="str">
            <v>s__unclassified_f__Lachnospiraceae</v>
          </cell>
        </row>
        <row r="22544">
          <cell r="G22544" t="str">
            <v>ASV6403</v>
          </cell>
          <cell r="H22544" t="str">
            <v>g__Eubacterium</v>
          </cell>
          <cell r="I22544" t="str">
            <v>s__unclassified_g__Eubacterium</v>
          </cell>
        </row>
        <row r="22545">
          <cell r="G22545" t="str">
            <v>ASV20956</v>
          </cell>
          <cell r="H22545" t="str">
            <v>g__Alistipes</v>
          </cell>
          <cell r="I22545" t="str">
            <v>s__unclassified_g__Alistipes</v>
          </cell>
        </row>
        <row r="22546">
          <cell r="G22546" t="str">
            <v>ASV4207</v>
          </cell>
          <cell r="H22546" t="str">
            <v>g__Campylobacter</v>
          </cell>
          <cell r="I22546" t="str">
            <v>s__unclassified_g__Campylobacter</v>
          </cell>
        </row>
        <row r="22547">
          <cell r="G22547" t="str">
            <v>ASV24277</v>
          </cell>
          <cell r="H22547" t="str">
            <v>g__unclassified_f__Pasteurellaceae</v>
          </cell>
          <cell r="I22547" t="str">
            <v>s__unclassified_f__Pasteurellaceae</v>
          </cell>
        </row>
        <row r="22548">
          <cell r="G22548" t="str">
            <v>ASV9096</v>
          </cell>
          <cell r="H22548" t="str">
            <v>g__unclassified_f__Leptotrichiaceae</v>
          </cell>
          <cell r="I22548" t="str">
            <v>s__unclassified_f__Leptotrichiaceae</v>
          </cell>
        </row>
        <row r="22549">
          <cell r="G22549" t="str">
            <v>ASV3530</v>
          </cell>
          <cell r="H22549" t="str">
            <v>g__unclassified_k__norank_d__Bacteria</v>
          </cell>
          <cell r="I22549" t="str">
            <v>s__unclassified_k__norank_d__Bacteria</v>
          </cell>
        </row>
        <row r="22550">
          <cell r="G22550" t="str">
            <v>ASV4346</v>
          </cell>
          <cell r="H22550" t="str">
            <v>g__Escherichia-Shigella</v>
          </cell>
          <cell r="I22550" t="str">
            <v>s__unclassified_g__Escherichia-Shigella</v>
          </cell>
        </row>
        <row r="22551">
          <cell r="G22551" t="str">
            <v>ASV4343</v>
          </cell>
          <cell r="H22551" t="str">
            <v>g__norank_f__Oscillospiraceae</v>
          </cell>
          <cell r="I22551" t="str">
            <v>s__unclassified_g__norank_f__Oscillospiraceae</v>
          </cell>
        </row>
        <row r="22552">
          <cell r="G22552" t="str">
            <v>ASV1334</v>
          </cell>
          <cell r="H22552" t="str">
            <v>g__Lachnospiraceae_UCG-004</v>
          </cell>
          <cell r="I22552" t="str">
            <v>s__uncultured_bacterium_g__Lachnospiraceae_UCG-004</v>
          </cell>
        </row>
        <row r="22553">
          <cell r="G22553" t="str">
            <v>ASV18452</v>
          </cell>
          <cell r="H22553" t="str">
            <v>g__unclassified_o__Oscillospirales</v>
          </cell>
          <cell r="I22553" t="str">
            <v>s__unclassified_o__Oscillospirales</v>
          </cell>
        </row>
        <row r="22554">
          <cell r="G22554" t="str">
            <v>ASV21654</v>
          </cell>
          <cell r="H22554" t="str">
            <v>g__unclassified_o__Burkholderiales</v>
          </cell>
          <cell r="I22554" t="str">
            <v>s__unclassified_o__Burkholderiales</v>
          </cell>
        </row>
        <row r="22555">
          <cell r="G22555" t="str">
            <v>ASV10059</v>
          </cell>
          <cell r="H22555" t="str">
            <v>g__Christensenellaceae_R-7_group</v>
          </cell>
          <cell r="I22555" t="str">
            <v>s__unclassified_g__Christensenellaceae_R-7_group</v>
          </cell>
        </row>
        <row r="22556">
          <cell r="G22556" t="str">
            <v>ASV22839</v>
          </cell>
          <cell r="H22556" t="str">
            <v>g__unclassified_f__Ruminococcaceae</v>
          </cell>
          <cell r="I22556" t="str">
            <v>s__unclassified_f__Ruminococcaceae</v>
          </cell>
        </row>
        <row r="22557">
          <cell r="G22557" t="str">
            <v>ASV20031</v>
          </cell>
          <cell r="H22557" t="str">
            <v>g__unclassified_p__Firmicutes</v>
          </cell>
          <cell r="I22557" t="str">
            <v>s__unclassified_p__Firmicutes</v>
          </cell>
        </row>
        <row r="22558">
          <cell r="G22558" t="str">
            <v>ASV6364</v>
          </cell>
          <cell r="H22558" t="str">
            <v>g__unclassified_p__Firmicutes</v>
          </cell>
          <cell r="I22558" t="str">
            <v>s__unclassified_p__Firmicutes</v>
          </cell>
        </row>
        <row r="22559">
          <cell r="G22559" t="str">
            <v>ASV15679</v>
          </cell>
          <cell r="H22559" t="str">
            <v>g__Enterococcus</v>
          </cell>
          <cell r="I22559" t="str">
            <v>s__unclassified_g__Enterococcus</v>
          </cell>
        </row>
        <row r="22560">
          <cell r="G22560" t="str">
            <v>ASV23514</v>
          </cell>
          <cell r="H22560" t="str">
            <v>g__Bifidobacterium</v>
          </cell>
          <cell r="I22560" t="str">
            <v>s__unclassified_g__Bifidobacterium</v>
          </cell>
        </row>
        <row r="22561">
          <cell r="G22561" t="str">
            <v>ASV18440</v>
          </cell>
          <cell r="H22561" t="str">
            <v>g__unclassified_k__norank_d__Bacteria</v>
          </cell>
          <cell r="I22561" t="str">
            <v>s__unclassified_k__norank_d__Bacteria</v>
          </cell>
        </row>
        <row r="22562">
          <cell r="G22562" t="str">
            <v>ASV9694</v>
          </cell>
          <cell r="H22562" t="str">
            <v>g__Lactobacillus</v>
          </cell>
          <cell r="I22562" t="str">
            <v>s__unclassified_g__Lactobacillus</v>
          </cell>
        </row>
        <row r="22563">
          <cell r="G22563" t="str">
            <v>ASV14615</v>
          </cell>
          <cell r="H22563" t="str">
            <v>g__unclassified_k__norank_d__Bacteria</v>
          </cell>
          <cell r="I22563" t="str">
            <v>s__unclassified_k__norank_d__Bacteria</v>
          </cell>
        </row>
        <row r="22564">
          <cell r="G22564" t="str">
            <v>ASV18387</v>
          </cell>
          <cell r="H22564" t="str">
            <v>g__unclassified_c__Clostridia</v>
          </cell>
          <cell r="I22564" t="str">
            <v>s__unclassified_c__Clostridia</v>
          </cell>
        </row>
        <row r="22565">
          <cell r="G22565" t="str">
            <v>ASV12042</v>
          </cell>
          <cell r="H22565" t="str">
            <v>g__Rikenellaceae_RC9_gut_group</v>
          </cell>
          <cell r="I22565" t="str">
            <v>s__unclassified_g__Rikenellaceae_RC9_gut_group</v>
          </cell>
        </row>
        <row r="22566">
          <cell r="G22566" t="str">
            <v>ASV21668</v>
          </cell>
          <cell r="H22566" t="str">
            <v>g__Lactobacillus</v>
          </cell>
          <cell r="I22566" t="str">
            <v>s__unclassified_g__Lactobacillus</v>
          </cell>
        </row>
        <row r="22567">
          <cell r="G22567" t="str">
            <v>ASV12104</v>
          </cell>
          <cell r="H22567" t="str">
            <v>g__unclassified_p__Firmicutes</v>
          </cell>
          <cell r="I22567" t="str">
            <v>s__unclassified_p__Firmicutes</v>
          </cell>
        </row>
        <row r="22568">
          <cell r="G22568" t="str">
            <v>ASV18250</v>
          </cell>
          <cell r="H22568" t="str">
            <v>g__Peptococcus</v>
          </cell>
          <cell r="I22568" t="str">
            <v>s__unclassified_g__Peptococcus</v>
          </cell>
        </row>
        <row r="22569">
          <cell r="G22569" t="str">
            <v>ASV8218</v>
          </cell>
          <cell r="H22569" t="str">
            <v>g__unclassified_o__Peptostreptococcales-Tissierellales</v>
          </cell>
          <cell r="I22569" t="str">
            <v>s__unclassified_o__Peptostreptococcales-Tissierellales</v>
          </cell>
        </row>
        <row r="22570">
          <cell r="G22570" t="str">
            <v>ASV2496</v>
          </cell>
          <cell r="H22570" t="str">
            <v>g__unclassified_p__Firmicutes</v>
          </cell>
          <cell r="I22570" t="str">
            <v>s__unclassified_p__Firmicutes</v>
          </cell>
        </row>
        <row r="22571">
          <cell r="G22571" t="str">
            <v>ASV22834</v>
          </cell>
          <cell r="H22571" t="str">
            <v>g__Christensenellaceae_R-7_group</v>
          </cell>
          <cell r="I22571" t="str">
            <v>s__unclassified_g__Christensenellaceae_R-7_group</v>
          </cell>
        </row>
        <row r="22572">
          <cell r="G22572" t="str">
            <v>ASV20143</v>
          </cell>
          <cell r="H22572" t="str">
            <v>g__unclassified_f__Lachnospiraceae</v>
          </cell>
          <cell r="I22572" t="str">
            <v>s__unclassified_f__Lachnospiraceae</v>
          </cell>
        </row>
        <row r="22573">
          <cell r="G22573" t="str">
            <v>ASV12315</v>
          </cell>
          <cell r="H22573" t="str">
            <v>g__norank_f__Muribaculaceae</v>
          </cell>
          <cell r="I22573" t="str">
            <v>s__unclassified_g__norank_f__Muribaculaceae</v>
          </cell>
        </row>
        <row r="22574">
          <cell r="G22574" t="str">
            <v>ASV5134</v>
          </cell>
          <cell r="H22574" t="str">
            <v>g__unclassified_o__Bacteroidales</v>
          </cell>
          <cell r="I22574" t="str">
            <v>s__unclassified_o__Bacteroidales</v>
          </cell>
        </row>
        <row r="22575">
          <cell r="G22575" t="str">
            <v>ASV9829</v>
          </cell>
          <cell r="H22575" t="str">
            <v>g__unclassified_f__Ruminococcaceae</v>
          </cell>
          <cell r="I22575" t="str">
            <v>s__unclassified_f__Ruminococcaceae</v>
          </cell>
        </row>
        <row r="22576">
          <cell r="G22576" t="str">
            <v>ASV9680</v>
          </cell>
          <cell r="H22576" t="str">
            <v>g__unclassified_p__Firmicutes</v>
          </cell>
          <cell r="I22576" t="str">
            <v>s__unclassified_p__Firmicutes</v>
          </cell>
        </row>
        <row r="22577">
          <cell r="G22577" t="str">
            <v>ASV23617</v>
          </cell>
          <cell r="H22577" t="str">
            <v>g__unclassified_c__Clostridia</v>
          </cell>
          <cell r="I22577" t="str">
            <v>s__unclassified_c__Clostridia</v>
          </cell>
        </row>
        <row r="22578">
          <cell r="G22578" t="str">
            <v>ASV10351</v>
          </cell>
          <cell r="H22578" t="str">
            <v>g__Eubacterium</v>
          </cell>
          <cell r="I22578" t="str">
            <v>s__unclassified_g__Eubacterium</v>
          </cell>
        </row>
        <row r="22579">
          <cell r="G22579" t="str">
            <v>ASV12344</v>
          </cell>
          <cell r="H22579" t="str">
            <v>g__Escherichia-Shigella</v>
          </cell>
          <cell r="I22579" t="str">
            <v>s__unclassified_g__Escherichia-Shigella</v>
          </cell>
        </row>
        <row r="22580">
          <cell r="G22580" t="str">
            <v>ASV2497</v>
          </cell>
          <cell r="H22580" t="str">
            <v>g__unclassified_c__Clostridia</v>
          </cell>
          <cell r="I22580" t="str">
            <v>s__unclassified_c__Clostridia</v>
          </cell>
        </row>
        <row r="22581">
          <cell r="G22581" t="str">
            <v>ASV19974</v>
          </cell>
          <cell r="H22581" t="str">
            <v>g__unclassified_p__Firmicutes</v>
          </cell>
          <cell r="I22581" t="str">
            <v>s__unclassified_p__Firmicutes</v>
          </cell>
        </row>
        <row r="22582">
          <cell r="G22582" t="str">
            <v>ASV1470</v>
          </cell>
          <cell r="H22582" t="str">
            <v>g__unclassified_f__Lachnospiraceae</v>
          </cell>
          <cell r="I22582" t="str">
            <v>s__unclassified_f__Lachnospiraceae</v>
          </cell>
        </row>
        <row r="22583">
          <cell r="G22583" t="str">
            <v>ASV19890</v>
          </cell>
          <cell r="H22583" t="str">
            <v>g__Treponema</v>
          </cell>
          <cell r="I22583" t="str">
            <v>s__unidentified_rumen_bacterium_RFN95</v>
          </cell>
        </row>
        <row r="22584">
          <cell r="G22584" t="str">
            <v>ASV17381</v>
          </cell>
          <cell r="H22584" t="str">
            <v>g__Parabacteroides</v>
          </cell>
          <cell r="I22584" t="str">
            <v>s__Porphyromonadaceae_bacterium_DJF_B175</v>
          </cell>
        </row>
        <row r="22585">
          <cell r="G22585" t="str">
            <v>ASV5270</v>
          </cell>
          <cell r="H22585" t="str">
            <v>g__Bacteroides</v>
          </cell>
          <cell r="I22585" t="str">
            <v>s__unclassified_g__Bacteroides</v>
          </cell>
        </row>
        <row r="22586">
          <cell r="G22586" t="str">
            <v>ASV24303</v>
          </cell>
          <cell r="H22586" t="str">
            <v>g__unclassified_f__Lachnospiraceae</v>
          </cell>
          <cell r="I22586" t="str">
            <v>s__unclassified_f__Lachnospiraceae</v>
          </cell>
        </row>
        <row r="22587">
          <cell r="G22587" t="str">
            <v>ASV18710</v>
          </cell>
          <cell r="H22587" t="str">
            <v>g__Lactobacillus</v>
          </cell>
          <cell r="I22587" t="str">
            <v>s__unclassified_g__Lactobacillus</v>
          </cell>
        </row>
        <row r="22588">
          <cell r="G22588" t="str">
            <v>ASV5275</v>
          </cell>
          <cell r="H22588" t="str">
            <v>g__unclassified_o__Oscillospirales</v>
          </cell>
          <cell r="I22588" t="str">
            <v>s__unclassified_o__Oscillospirales</v>
          </cell>
        </row>
        <row r="22589">
          <cell r="G22589" t="str">
            <v>ASV20500</v>
          </cell>
          <cell r="H22589" t="str">
            <v>g__Ornithinicoccus</v>
          </cell>
          <cell r="I22589" t="str">
            <v>s__uncultured_bacterium_g__Ornithinicoccus</v>
          </cell>
        </row>
        <row r="22590">
          <cell r="G22590" t="str">
            <v>ASV18410</v>
          </cell>
          <cell r="H22590" t="str">
            <v>g__Monoglobus</v>
          </cell>
          <cell r="I22590" t="str">
            <v>s__unclassified_g__Monoglobus</v>
          </cell>
        </row>
        <row r="22591">
          <cell r="G22591" t="str">
            <v>ASV19123</v>
          </cell>
          <cell r="H22591" t="str">
            <v>g__Fusobacterium</v>
          </cell>
          <cell r="I22591" t="str">
            <v>s__unclassified_g__Fusobacterium</v>
          </cell>
        </row>
        <row r="22592">
          <cell r="G22592" t="str">
            <v>ASV12212</v>
          </cell>
          <cell r="H22592" t="str">
            <v>g__unclassified_c__Clostridia</v>
          </cell>
          <cell r="I22592" t="str">
            <v>s__unclassified_c__Clostridia</v>
          </cell>
        </row>
        <row r="22593">
          <cell r="G22593" t="str">
            <v>ASV17433</v>
          </cell>
          <cell r="H22593" t="str">
            <v>g__unclassified_f__Lachnospiraceae</v>
          </cell>
          <cell r="I22593" t="str">
            <v>s__unclassified_f__Lachnospiraceae</v>
          </cell>
        </row>
        <row r="22594">
          <cell r="G22594" t="str">
            <v>ASV7389</v>
          </cell>
          <cell r="H22594" t="str">
            <v>g__Lachnoclostridium</v>
          </cell>
          <cell r="I22594" t="str">
            <v>s__unclassified_g__Lachnoclostridium</v>
          </cell>
        </row>
        <row r="22595">
          <cell r="G22595" t="str">
            <v>ASV1327</v>
          </cell>
          <cell r="H22595" t="str">
            <v>g__unclassified_c__Clostridia</v>
          </cell>
          <cell r="I22595" t="str">
            <v>s__unclassified_c__Clostridia</v>
          </cell>
        </row>
        <row r="22596">
          <cell r="G22596" t="str">
            <v>ASV5175</v>
          </cell>
          <cell r="H22596" t="str">
            <v>g__Butyricimonas</v>
          </cell>
          <cell r="I22596" t="str">
            <v>s__unclassified_g__Butyricimonas</v>
          </cell>
        </row>
        <row r="22597">
          <cell r="G22597" t="str">
            <v>ASV14894</v>
          </cell>
          <cell r="H22597" t="str">
            <v>g__unclassified_c__Clostridia</v>
          </cell>
          <cell r="I22597" t="str">
            <v>s__unclassified_c__Clostridia</v>
          </cell>
        </row>
        <row r="22598">
          <cell r="G22598" t="str">
            <v>ASV15762</v>
          </cell>
          <cell r="H22598" t="str">
            <v>g__Christensenellaceae_R-7_group</v>
          </cell>
          <cell r="I22598" t="str">
            <v>s__unclassified_g__Christensenellaceae_R-7_group</v>
          </cell>
        </row>
        <row r="22599">
          <cell r="G22599" t="str">
            <v>ASV9115</v>
          </cell>
          <cell r="H22599" t="str">
            <v>g__unclassified_f__Lachnospiraceae</v>
          </cell>
          <cell r="I22599" t="str">
            <v>s__unclassified_f__Lachnospiraceae</v>
          </cell>
        </row>
        <row r="22600">
          <cell r="G22600" t="str">
            <v>ASV14671</v>
          </cell>
          <cell r="H22600" t="str">
            <v>g__norank_f__Atopobiaceae</v>
          </cell>
          <cell r="I22600" t="str">
            <v>s__uncultured_bacterium_g__norank_f__Atopobiaceae</v>
          </cell>
        </row>
        <row r="22601">
          <cell r="G22601" t="str">
            <v>ASV10249</v>
          </cell>
          <cell r="H22601" t="str">
            <v>g__unclassified_p__Firmicutes</v>
          </cell>
          <cell r="I22601" t="str">
            <v>s__unclassified_p__Firmicutes</v>
          </cell>
        </row>
        <row r="22602">
          <cell r="G22602" t="str">
            <v>ASV18422</v>
          </cell>
          <cell r="H22602" t="str">
            <v>g__unclassified_c__Clostridia</v>
          </cell>
          <cell r="I22602" t="str">
            <v>s__unclassified_c__Clostridia</v>
          </cell>
        </row>
        <row r="22603">
          <cell r="G22603" t="str">
            <v>ASV12290</v>
          </cell>
          <cell r="H22603" t="str">
            <v>g__Prevotella</v>
          </cell>
          <cell r="I22603" t="str">
            <v>s__uncultured_bacterium_g__Prevotella</v>
          </cell>
        </row>
        <row r="22604">
          <cell r="G22604" t="str">
            <v>ASV1233</v>
          </cell>
          <cell r="H22604" t="str">
            <v>g__Colidextribacter</v>
          </cell>
          <cell r="I22604" t="str">
            <v>s__unclassified_g__Colidextribacter</v>
          </cell>
        </row>
        <row r="22605">
          <cell r="G22605" t="str">
            <v>ASV23499</v>
          </cell>
          <cell r="H22605" t="str">
            <v>g__Ruminococcus</v>
          </cell>
          <cell r="I22605" t="str">
            <v>s__unclassified_g__Ruminococcus</v>
          </cell>
        </row>
        <row r="22606">
          <cell r="G22606" t="str">
            <v>ASV8037</v>
          </cell>
          <cell r="H22606" t="str">
            <v>g__Megasphaera</v>
          </cell>
          <cell r="I22606" t="str">
            <v>s__unclassified_g__Megasphaera</v>
          </cell>
        </row>
        <row r="22607">
          <cell r="G22607" t="str">
            <v>ASV5332</v>
          </cell>
          <cell r="H22607" t="str">
            <v>g__unclassified_f__Lachnospiraceae</v>
          </cell>
          <cell r="I22607" t="str">
            <v>s__unclassified_f__Lachnospiraceae</v>
          </cell>
        </row>
        <row r="22608">
          <cell r="G22608" t="str">
            <v>ASV14780</v>
          </cell>
          <cell r="H22608" t="str">
            <v>g__norank_f__Erysipelotrichaceae</v>
          </cell>
          <cell r="I22608" t="str">
            <v>s__uncultured_bacterium_g__norank_f__Erysipelotrichaceae</v>
          </cell>
        </row>
        <row r="22609">
          <cell r="G22609" t="str">
            <v>ASV6305</v>
          </cell>
          <cell r="H22609" t="str">
            <v>g__unclassified_f__Lachnospiraceae</v>
          </cell>
          <cell r="I22609" t="str">
            <v>s__unclassified_f__Lachnospiraceae</v>
          </cell>
        </row>
        <row r="22610">
          <cell r="G22610" t="str">
            <v>ASV12472</v>
          </cell>
          <cell r="H22610" t="str">
            <v>g__unclassified_f__Lachnospiraceae</v>
          </cell>
          <cell r="I22610" t="str">
            <v>s__unclassified_f__Lachnospiraceae</v>
          </cell>
        </row>
        <row r="22611">
          <cell r="G22611" t="str">
            <v>ASV21368</v>
          </cell>
          <cell r="H22611" t="str">
            <v>g__Lactobacillus</v>
          </cell>
          <cell r="I22611" t="str">
            <v>s__unclassified_g__Lactobacillus</v>
          </cell>
        </row>
        <row r="22612">
          <cell r="G22612" t="str">
            <v>ASV8868</v>
          </cell>
          <cell r="H22612" t="str">
            <v>g__Parabacteroides</v>
          </cell>
          <cell r="I22612" t="str">
            <v>s__unclassified_g__Parabacteroides</v>
          </cell>
        </row>
        <row r="22613">
          <cell r="G22613" t="str">
            <v>ASV20303</v>
          </cell>
          <cell r="H22613" t="str">
            <v>g__unclassified_p__Firmicutes</v>
          </cell>
          <cell r="I22613" t="str">
            <v>s__unclassified_p__Firmicutes</v>
          </cell>
        </row>
        <row r="22614">
          <cell r="G22614" t="str">
            <v>ASV21686</v>
          </cell>
          <cell r="H22614" t="str">
            <v>g__unclassified_c__Bacilli</v>
          </cell>
          <cell r="I22614" t="str">
            <v>s__unclassified_c__Bacilli</v>
          </cell>
        </row>
        <row r="22615">
          <cell r="G22615" t="str">
            <v>ASV8224</v>
          </cell>
          <cell r="H22615" t="str">
            <v>g__unclassified_p__Firmicutes</v>
          </cell>
          <cell r="I22615" t="str">
            <v>s__unclassified_p__Firmicutes</v>
          </cell>
        </row>
        <row r="22616">
          <cell r="G22616" t="str">
            <v>ASV9737</v>
          </cell>
          <cell r="H22616" t="str">
            <v>g__unclassified_p__Firmicutes</v>
          </cell>
          <cell r="I22616" t="str">
            <v>s__unclassified_p__Firmicutes</v>
          </cell>
        </row>
        <row r="22617">
          <cell r="G22617" t="str">
            <v>ASV1774</v>
          </cell>
          <cell r="H22617" t="str">
            <v>g__norank_f__Ruminococcaceae</v>
          </cell>
          <cell r="I22617" t="str">
            <v>s__unclassified_g__norank_f__Ruminococcaceae</v>
          </cell>
        </row>
        <row r="22618">
          <cell r="G22618" t="str">
            <v>ASV13835</v>
          </cell>
          <cell r="H22618" t="str">
            <v>g__unclassified_k__norank_d__Bacteria</v>
          </cell>
          <cell r="I22618" t="str">
            <v>s__unclassified_k__norank_d__Bacteria</v>
          </cell>
        </row>
        <row r="22619">
          <cell r="G22619" t="str">
            <v>ASV22938</v>
          </cell>
          <cell r="H22619" t="str">
            <v>g__Monoglobus</v>
          </cell>
          <cell r="I22619" t="str">
            <v>s__unclassified_g__Monoglobus</v>
          </cell>
        </row>
        <row r="22620">
          <cell r="G22620" t="str">
            <v>ASV1317</v>
          </cell>
          <cell r="H22620" t="str">
            <v>g__Mitsuokella</v>
          </cell>
          <cell r="I22620" t="str">
            <v>s__unclassified_g__Mitsuokella</v>
          </cell>
        </row>
        <row r="22621">
          <cell r="G22621" t="str">
            <v>ASV18317</v>
          </cell>
          <cell r="H22621" t="str">
            <v>g__unclassified_f__Ruminococcaceae</v>
          </cell>
          <cell r="I22621" t="str">
            <v>s__unclassified_f__Ruminococcaceae</v>
          </cell>
        </row>
        <row r="22622">
          <cell r="G22622" t="str">
            <v>ASV16655</v>
          </cell>
          <cell r="H22622" t="str">
            <v>g__unclassified_c__Clostridia</v>
          </cell>
          <cell r="I22622" t="str">
            <v>s__unclassified_c__Clostridia</v>
          </cell>
        </row>
        <row r="22623">
          <cell r="G22623" t="str">
            <v>ASV6399</v>
          </cell>
          <cell r="H22623" t="str">
            <v>g__CAG-873</v>
          </cell>
          <cell r="I22623" t="str">
            <v>s__Bacteroidales_bacterium_H4</v>
          </cell>
        </row>
        <row r="22624">
          <cell r="G22624" t="str">
            <v>ASV13152</v>
          </cell>
          <cell r="H22624" t="str">
            <v>g__norank_f__norank_o__WCHB1-41</v>
          </cell>
          <cell r="I22624" t="str">
            <v>s__uncultured_bacterium_g__norank_f__norank_o__WCHB1-41</v>
          </cell>
        </row>
        <row r="22625">
          <cell r="G22625" t="str">
            <v>ASV12992</v>
          </cell>
          <cell r="H22625" t="str">
            <v>g__Prevotella</v>
          </cell>
          <cell r="I22625" t="str">
            <v>s__unclassified_g__Prevotella</v>
          </cell>
        </row>
        <row r="22626">
          <cell r="G22626" t="str">
            <v>ASV11018</v>
          </cell>
          <cell r="H22626" t="str">
            <v>g__unclassified_c__Clostridia</v>
          </cell>
          <cell r="I22626" t="str">
            <v>s__unclassified_c__Clostridia</v>
          </cell>
        </row>
        <row r="22627">
          <cell r="G22627" t="str">
            <v>ASV14709</v>
          </cell>
          <cell r="H22627" t="str">
            <v>g__norank_f__Eubacterium_coprostanoligenes_group</v>
          </cell>
          <cell r="I22627" t="str">
            <v>s__uncultured_bacterium_g__norank_f__Eubacterium_coprostanoligenes_group</v>
          </cell>
        </row>
        <row r="22628">
          <cell r="G22628" t="str">
            <v>ASV6461</v>
          </cell>
          <cell r="H22628" t="str">
            <v>g__Bacteroides</v>
          </cell>
          <cell r="I22628" t="str">
            <v>s__unclassified_g__Bacteroides</v>
          </cell>
        </row>
        <row r="22629">
          <cell r="G22629" t="str">
            <v>ASV12408</v>
          </cell>
          <cell r="H22629" t="str">
            <v>g__unclassified_f__Acidaminococcaceae</v>
          </cell>
          <cell r="I22629" t="str">
            <v>s__unclassified_f__Acidaminococcaceae</v>
          </cell>
        </row>
        <row r="22630">
          <cell r="G22630" t="str">
            <v>ASV6186</v>
          </cell>
          <cell r="H22630" t="str">
            <v>g__Bacteroides</v>
          </cell>
          <cell r="I22630" t="str">
            <v>s__unclassified_g__Bacteroides</v>
          </cell>
        </row>
        <row r="22631">
          <cell r="G22631" t="str">
            <v>ASV10990</v>
          </cell>
          <cell r="H22631" t="str">
            <v>g__unclassified_c__Clostridia</v>
          </cell>
          <cell r="I22631" t="str">
            <v>s__unclassified_c__Clostridia</v>
          </cell>
        </row>
        <row r="22632">
          <cell r="G22632" t="str">
            <v>ASV21060</v>
          </cell>
          <cell r="H22632" t="str">
            <v>g__Christensenellaceae_R-7_group</v>
          </cell>
          <cell r="I22632" t="str">
            <v>s__unclassified_g__Christensenellaceae_R-7_group</v>
          </cell>
        </row>
        <row r="22633">
          <cell r="G22633" t="str">
            <v>ASV2958</v>
          </cell>
          <cell r="H22633" t="str">
            <v>g__unclassified_f__Lachnospiraceae</v>
          </cell>
          <cell r="I22633" t="str">
            <v>s__unclassified_f__Lachnospiraceae</v>
          </cell>
        </row>
        <row r="22634">
          <cell r="G22634" t="str">
            <v>ASV9609</v>
          </cell>
          <cell r="H22634" t="str">
            <v>g__unclassified_k__norank_d__Bacteria</v>
          </cell>
          <cell r="I22634" t="str">
            <v>s__unclassified_k__norank_d__Bacteria</v>
          </cell>
        </row>
        <row r="22635">
          <cell r="G22635" t="str">
            <v>ASV6429</v>
          </cell>
          <cell r="H22635" t="str">
            <v>g__UBA1819</v>
          </cell>
          <cell r="I22635" t="str">
            <v>s__unclassified_g__UBA1819</v>
          </cell>
        </row>
        <row r="22636">
          <cell r="G22636" t="str">
            <v>ASV8107</v>
          </cell>
          <cell r="H22636" t="str">
            <v>g__Ruminococcus</v>
          </cell>
          <cell r="I22636" t="str">
            <v>s__uncultured_bacterium_g__Ruminococcus</v>
          </cell>
        </row>
        <row r="22637">
          <cell r="G22637" t="str">
            <v>ASV14900</v>
          </cell>
          <cell r="H22637" t="str">
            <v>g__unclassified_f__Lachnospiraceae</v>
          </cell>
          <cell r="I22637" t="str">
            <v>s__unclassified_f__Lachnospiraceae</v>
          </cell>
        </row>
        <row r="22638">
          <cell r="G22638" t="str">
            <v>ASV21041</v>
          </cell>
          <cell r="H22638" t="str">
            <v>g__unclassified_f__Lachnospiraceae</v>
          </cell>
          <cell r="I22638" t="str">
            <v>s__unclassified_f__Lachnospiraceae</v>
          </cell>
        </row>
        <row r="22639">
          <cell r="G22639" t="str">
            <v>ASV24014</v>
          </cell>
          <cell r="H22639" t="str">
            <v>g__Desulfovibrio</v>
          </cell>
          <cell r="I22639" t="str">
            <v>s__unclassified_g__Desulfovibrio</v>
          </cell>
        </row>
        <row r="22640">
          <cell r="G22640" t="str">
            <v>ASV21094</v>
          </cell>
          <cell r="H22640" t="str">
            <v>g__unclassified_o__Peptostreptococcales-Tissierellales</v>
          </cell>
          <cell r="I22640" t="str">
            <v>s__unclassified_o__Peptostreptococcales-Tissierellales</v>
          </cell>
        </row>
        <row r="22641">
          <cell r="G22641" t="str">
            <v>ASV3540</v>
          </cell>
          <cell r="H22641" t="str">
            <v>g__unclassified_c__Bacilli</v>
          </cell>
          <cell r="I22641" t="str">
            <v>s__unclassified_c__Bacilli</v>
          </cell>
        </row>
        <row r="22642">
          <cell r="G22642" t="str">
            <v>ASV1806</v>
          </cell>
          <cell r="H22642" t="str">
            <v>g__Ruminococcus_torques_group</v>
          </cell>
          <cell r="I22642" t="str">
            <v>s__unclassified_g__Ruminococcus_torques_group</v>
          </cell>
        </row>
        <row r="22643">
          <cell r="G22643" t="str">
            <v>ASV15650</v>
          </cell>
          <cell r="H22643" t="str">
            <v>g__Eubacterium_oxidoreducens_group</v>
          </cell>
          <cell r="I22643" t="str">
            <v>s__uncultured_bacterium_g__Eubacterium_oxidoreducens_group</v>
          </cell>
        </row>
        <row r="22644">
          <cell r="G22644" t="str">
            <v>ASV10919</v>
          </cell>
          <cell r="H22644" t="str">
            <v>g__unclassified_c__Bacilli</v>
          </cell>
          <cell r="I22644" t="str">
            <v>s__unclassified_c__Bacilli</v>
          </cell>
        </row>
        <row r="22645">
          <cell r="G22645" t="str">
            <v>ASV23667</v>
          </cell>
          <cell r="H22645" t="str">
            <v>g__Lactobacillus</v>
          </cell>
          <cell r="I22645" t="str">
            <v>s__unclassified_g__Lactobacillus</v>
          </cell>
        </row>
        <row r="22646">
          <cell r="G22646" t="str">
            <v>ASV1228</v>
          </cell>
          <cell r="H22646" t="str">
            <v>g__unclassified_o__Oscillospirales</v>
          </cell>
          <cell r="I22646" t="str">
            <v>s__unclassified_o__Oscillospirales</v>
          </cell>
        </row>
        <row r="22647">
          <cell r="G22647" t="str">
            <v>ASV13589</v>
          </cell>
          <cell r="H22647" t="str">
            <v>g__unclassified_f__Lachnospiraceae</v>
          </cell>
          <cell r="I22647" t="str">
            <v>s__unclassified_f__Lachnospiraceae</v>
          </cell>
        </row>
        <row r="22648">
          <cell r="G22648" t="str">
            <v>ASV5290</v>
          </cell>
          <cell r="H22648" t="str">
            <v>g__Collinsella</v>
          </cell>
          <cell r="I22648" t="str">
            <v>s__unclassified_g__Collinsella</v>
          </cell>
        </row>
        <row r="22649">
          <cell r="G22649" t="str">
            <v>ASV10227</v>
          </cell>
          <cell r="H22649" t="str">
            <v>g__Bacteroides</v>
          </cell>
          <cell r="I22649" t="str">
            <v>s__unclassified_g__Bacteroides</v>
          </cell>
        </row>
        <row r="22650">
          <cell r="G22650" t="str">
            <v>ASV12243</v>
          </cell>
          <cell r="H22650" t="str">
            <v>g__Treponema</v>
          </cell>
          <cell r="I22650" t="str">
            <v>s__unclassified_g__Treponema</v>
          </cell>
        </row>
        <row r="22651">
          <cell r="G22651" t="str">
            <v>ASV2490</v>
          </cell>
          <cell r="H22651" t="str">
            <v>g__unclassified_o__Oscillospirales</v>
          </cell>
          <cell r="I22651" t="str">
            <v>s__unclassified_o__Oscillospirales</v>
          </cell>
        </row>
        <row r="22652">
          <cell r="G22652" t="str">
            <v>ASV10951</v>
          </cell>
          <cell r="H22652" t="str">
            <v>g__unclassified_f__Lachnospiraceae</v>
          </cell>
          <cell r="I22652" t="str">
            <v>s__unclassified_f__Lachnospiraceae</v>
          </cell>
        </row>
        <row r="22653">
          <cell r="G22653" t="str">
            <v>ASV6236</v>
          </cell>
          <cell r="H22653" t="str">
            <v>g__norank_f__norank_o__RF39</v>
          </cell>
          <cell r="I22653" t="str">
            <v>s__uncultured_bacterium_g__norank_f__norank_o__RF39</v>
          </cell>
        </row>
        <row r="22654">
          <cell r="G22654" t="str">
            <v>ASV22589</v>
          </cell>
          <cell r="H22654" t="str">
            <v>g__unclassified_c__Clostridia</v>
          </cell>
          <cell r="I22654" t="str">
            <v>s__unclassified_c__Clostridia</v>
          </cell>
        </row>
        <row r="22655">
          <cell r="G22655" t="str">
            <v>ASV22805</v>
          </cell>
          <cell r="H22655" t="str">
            <v>g__unclassified_c__Clostridia</v>
          </cell>
          <cell r="I22655" t="str">
            <v>s__unclassified_c__Clostridia</v>
          </cell>
        </row>
        <row r="22656">
          <cell r="G22656" t="str">
            <v>ASV8549</v>
          </cell>
          <cell r="H22656" t="str">
            <v>g__unclassified_f__Pasteurellaceae</v>
          </cell>
          <cell r="I22656" t="str">
            <v>s__unclassified_f__Pasteurellaceae</v>
          </cell>
        </row>
        <row r="22657">
          <cell r="G22657" t="str">
            <v>ASV9753</v>
          </cell>
          <cell r="H22657" t="str">
            <v>g__unclassified_k__norank_d__Bacteria</v>
          </cell>
          <cell r="I22657" t="str">
            <v>s__unclassified_k__norank_d__Bacteria</v>
          </cell>
        </row>
        <row r="22658">
          <cell r="G22658" t="str">
            <v>ASV23788</v>
          </cell>
          <cell r="H22658" t="str">
            <v>g__unclassified_f__Peptostreptococcaceae</v>
          </cell>
          <cell r="I22658" t="str">
            <v>s__unclassified_f__Peptostreptococcaceae</v>
          </cell>
        </row>
        <row r="22659">
          <cell r="G22659" t="str">
            <v>ASV9726</v>
          </cell>
          <cell r="H22659" t="str">
            <v>g__Lachnoclostridium</v>
          </cell>
          <cell r="I22659" t="str">
            <v>s__unclassified_g__Lachnoclostridium</v>
          </cell>
        </row>
        <row r="22660">
          <cell r="G22660" t="str">
            <v>ASV13845</v>
          </cell>
          <cell r="H22660" t="str">
            <v>g__unclassified_f__Peptostreptococcaceae</v>
          </cell>
          <cell r="I22660" t="str">
            <v>s__unclassified_f__Peptostreptococcaceae</v>
          </cell>
        </row>
        <row r="22661">
          <cell r="G22661" t="str">
            <v>ASV12121</v>
          </cell>
          <cell r="H22661" t="str">
            <v>g__unclassified_c__Clostridia</v>
          </cell>
          <cell r="I22661" t="str">
            <v>s__unclassified_c__Clostridia</v>
          </cell>
        </row>
        <row r="22662">
          <cell r="G22662" t="str">
            <v>ASV9697</v>
          </cell>
          <cell r="H22662" t="str">
            <v>g__unclassified_c__Negativicutes</v>
          </cell>
          <cell r="I22662" t="str">
            <v>s__unclassified_c__Negativicutes</v>
          </cell>
        </row>
        <row r="22663">
          <cell r="G22663" t="str">
            <v>ASV19913</v>
          </cell>
          <cell r="H22663" t="str">
            <v>g__unclassified_f__Ruminococcaceae</v>
          </cell>
          <cell r="I22663" t="str">
            <v>s__unclassified_f__Ruminococcaceae</v>
          </cell>
        </row>
        <row r="22664">
          <cell r="G22664" t="str">
            <v>ASV16096</v>
          </cell>
          <cell r="H22664" t="str">
            <v>g__unclassified_c__Clostridia</v>
          </cell>
          <cell r="I22664" t="str">
            <v>s__unclassified_c__Clostridia</v>
          </cell>
        </row>
        <row r="22665">
          <cell r="G22665" t="str">
            <v>ASV6895</v>
          </cell>
          <cell r="H22665" t="str">
            <v>g__unclassified_f__Lachnospiraceae</v>
          </cell>
          <cell r="I22665" t="str">
            <v>s__unclassified_f__Lachnospiraceae</v>
          </cell>
        </row>
        <row r="22666">
          <cell r="G22666" t="str">
            <v>ASV3529</v>
          </cell>
          <cell r="H22666" t="str">
            <v>g__Escherichia-Shigella</v>
          </cell>
          <cell r="I22666" t="str">
            <v>s__unclassified_g__Escherichia-Shigella</v>
          </cell>
        </row>
        <row r="22667">
          <cell r="G22667" t="str">
            <v>ASV2485</v>
          </cell>
          <cell r="H22667" t="str">
            <v>g__unclassified_o__Lachnospirales</v>
          </cell>
          <cell r="I22667" t="str">
            <v>s__unclassified_o__Lachnospirales</v>
          </cell>
        </row>
        <row r="22668">
          <cell r="G22668" t="str">
            <v>ASV18988</v>
          </cell>
          <cell r="H22668" t="str">
            <v>g__unclassified_k__norank_d__Bacteria</v>
          </cell>
          <cell r="I22668" t="str">
            <v>s__unclassified_k__norank_d__Bacteria</v>
          </cell>
        </row>
        <row r="22669">
          <cell r="G22669" t="str">
            <v>ASV8587</v>
          </cell>
          <cell r="H22669" t="str">
            <v>g__Megasphaera</v>
          </cell>
          <cell r="I22669" t="str">
            <v>s__unclassified_g__Megasphaera</v>
          </cell>
        </row>
        <row r="22670">
          <cell r="G22670" t="str">
            <v>ASV21698</v>
          </cell>
          <cell r="H22670" t="str">
            <v>g__unclassified_f__Lachnospiraceae</v>
          </cell>
          <cell r="I22670" t="str">
            <v>s__unclassified_f__Lachnospiraceae</v>
          </cell>
        </row>
        <row r="22671">
          <cell r="G22671" t="str">
            <v>ASV1353</v>
          </cell>
          <cell r="H22671" t="str">
            <v>g__Ruminococcus</v>
          </cell>
          <cell r="I22671" t="str">
            <v>s__uncultured_bacterium_g__Ruminococcus</v>
          </cell>
        </row>
        <row r="22672">
          <cell r="G22672" t="str">
            <v>ASV23691</v>
          </cell>
          <cell r="H22672" t="str">
            <v>g__Clostridium_sensu_stricto_1</v>
          </cell>
          <cell r="I22672" t="str">
            <v>s__unclassified_g__Clostridium_sensu_stricto_1</v>
          </cell>
        </row>
        <row r="22673">
          <cell r="G22673" t="str">
            <v>ASV24033</v>
          </cell>
          <cell r="H22673" t="str">
            <v>g__Megasphaera</v>
          </cell>
          <cell r="I22673" t="str">
            <v>s__unclassified_g__Megasphaera</v>
          </cell>
        </row>
        <row r="22674">
          <cell r="G22674" t="str">
            <v>ASV16669</v>
          </cell>
          <cell r="H22674" t="str">
            <v>g__Escherichia-Shigella</v>
          </cell>
          <cell r="I22674" t="str">
            <v>s__unclassified_g__Escherichia-Shigella</v>
          </cell>
        </row>
        <row r="22675">
          <cell r="G22675" t="str">
            <v>ASV14597</v>
          </cell>
          <cell r="H22675" t="str">
            <v>g__unclassified_k__norank_d__Bacteria</v>
          </cell>
          <cell r="I22675" t="str">
            <v>s__unclassified_k__norank_d__Bacteria</v>
          </cell>
        </row>
        <row r="22676">
          <cell r="G22676" t="str">
            <v>ASV22867</v>
          </cell>
          <cell r="H22676" t="str">
            <v>g__unclassified_c__Clostridia</v>
          </cell>
          <cell r="I22676" t="str">
            <v>s__unclassified_c__Clostridia</v>
          </cell>
        </row>
        <row r="22677">
          <cell r="G22677" t="str">
            <v>ASV18367</v>
          </cell>
          <cell r="H22677" t="str">
            <v>g__unclassified_f__Oscillospiraceae</v>
          </cell>
          <cell r="I22677" t="str">
            <v>s__unclassified_f__Oscillospiraceae</v>
          </cell>
        </row>
        <row r="22678">
          <cell r="G22678" t="str">
            <v>ASV13199</v>
          </cell>
          <cell r="H22678" t="str">
            <v>g__unclassified_c__Clostridia</v>
          </cell>
          <cell r="I22678" t="str">
            <v>s__unclassified_c__Clostridia</v>
          </cell>
        </row>
        <row r="22679">
          <cell r="G22679" t="str">
            <v>ASV19975</v>
          </cell>
          <cell r="H22679" t="str">
            <v>g__unclassified_p__Firmicutes</v>
          </cell>
          <cell r="I22679" t="str">
            <v>s__unclassified_p__Firmicutes</v>
          </cell>
        </row>
        <row r="22680">
          <cell r="G22680" t="str">
            <v>ASV16627</v>
          </cell>
          <cell r="H22680" t="str">
            <v>g__unclassified_c__Clostridia</v>
          </cell>
          <cell r="I22680" t="str">
            <v>s__unclassified_c__Clostridia</v>
          </cell>
        </row>
        <row r="22681">
          <cell r="G22681" t="str">
            <v>ASV1493</v>
          </cell>
          <cell r="H22681" t="str">
            <v>g__unclassified_k__norank_d__Bacteria</v>
          </cell>
          <cell r="I22681" t="str">
            <v>s__unclassified_k__norank_d__Bacteria</v>
          </cell>
        </row>
        <row r="22682">
          <cell r="G22682" t="str">
            <v>ASV10250</v>
          </cell>
          <cell r="H22682" t="str">
            <v>g__unclassified_f__Anaerovoracaceae</v>
          </cell>
          <cell r="I22682" t="str">
            <v>s__unclassified_f__Anaerovoracaceae</v>
          </cell>
        </row>
        <row r="22683">
          <cell r="G22683" t="str">
            <v>ASV20494</v>
          </cell>
          <cell r="H22683" t="str">
            <v>g__Undibacterium</v>
          </cell>
          <cell r="I22683" t="str">
            <v>s__unclassified_g__Undibacterium</v>
          </cell>
        </row>
        <row r="22684">
          <cell r="G22684" t="str">
            <v>ASV1218</v>
          </cell>
          <cell r="H22684" t="str">
            <v>g__unclassified_p__Firmicutes</v>
          </cell>
          <cell r="I22684" t="str">
            <v>s__unclassified_p__Firmicutes</v>
          </cell>
        </row>
        <row r="22685">
          <cell r="G22685" t="str">
            <v>ASV1480</v>
          </cell>
          <cell r="H22685" t="str">
            <v>g__Lactobacillus</v>
          </cell>
          <cell r="I22685" t="str">
            <v>s__unclassified_g__Lactobacillus</v>
          </cell>
        </row>
        <row r="22686">
          <cell r="G22686" t="str">
            <v>ASV21110</v>
          </cell>
          <cell r="H22686" t="str">
            <v>g__unclassified_f__Lachnospiraceae</v>
          </cell>
          <cell r="I22686" t="str">
            <v>s__unclassified_f__Lachnospiraceae</v>
          </cell>
        </row>
        <row r="22687">
          <cell r="G22687" t="str">
            <v>ASV9633</v>
          </cell>
          <cell r="H22687" t="str">
            <v>g__unclassified_c__Clostridia</v>
          </cell>
          <cell r="I22687" t="str">
            <v>s__unclassified_c__Clostridia</v>
          </cell>
        </row>
        <row r="22688">
          <cell r="G22688" t="str">
            <v>ASV4294</v>
          </cell>
          <cell r="H22688" t="str">
            <v>g__Phascolarctobacterium</v>
          </cell>
          <cell r="I22688" t="str">
            <v>s__Ruminococcus_sp._N15.MGS-57_g__Phascolarctobacterium</v>
          </cell>
        </row>
        <row r="22689">
          <cell r="G22689" t="str">
            <v>ASV21533</v>
          </cell>
          <cell r="H22689" t="str">
            <v>g__unclassified_c__Bacilli</v>
          </cell>
          <cell r="I22689" t="str">
            <v>s__unclassified_c__Bacilli</v>
          </cell>
        </row>
        <row r="22690">
          <cell r="G22690" t="str">
            <v>ASV19928</v>
          </cell>
          <cell r="H22690" t="str">
            <v>g__Anaerovibrio</v>
          </cell>
          <cell r="I22690" t="str">
            <v>s__Anaerovibrio_sp._765</v>
          </cell>
        </row>
        <row r="22691">
          <cell r="G22691" t="str">
            <v>ASV5350</v>
          </cell>
          <cell r="H22691" t="str">
            <v>g__norank_f__norank_o__WCHB1-41</v>
          </cell>
          <cell r="I22691" t="str">
            <v>s__uncultured_bacterium_g__norank_f__norank_o__WCHB1-41</v>
          </cell>
        </row>
        <row r="22692">
          <cell r="G22692" t="str">
            <v>ASV5402</v>
          </cell>
          <cell r="H22692" t="str">
            <v>g__unclassified_f__Lachnospiraceae</v>
          </cell>
          <cell r="I22692" t="str">
            <v>s__unclassified_f__Lachnospiraceae</v>
          </cell>
        </row>
        <row r="22693">
          <cell r="G22693" t="str">
            <v>ASV10124</v>
          </cell>
          <cell r="H22693" t="str">
            <v>g__Corynebacterium</v>
          </cell>
          <cell r="I22693" t="str">
            <v>s__unclassified_g__Corynebacterium</v>
          </cell>
        </row>
        <row r="22694">
          <cell r="G22694" t="str">
            <v>ASV20038</v>
          </cell>
          <cell r="H22694" t="str">
            <v>g__unclassified_p__Firmicutes</v>
          </cell>
          <cell r="I22694" t="str">
            <v>s__unclassified_p__Firmicutes</v>
          </cell>
        </row>
        <row r="22695">
          <cell r="G22695" t="str">
            <v>ASV5368</v>
          </cell>
          <cell r="H22695" t="str">
            <v>g__norank_f__Eubacterium_coprostanoligenes_group</v>
          </cell>
          <cell r="I22695" t="str">
            <v>s__uncultured_bacterium_g__norank_f__Eubacterium_coprostanoligenes_group</v>
          </cell>
        </row>
        <row r="22696">
          <cell r="G22696" t="str">
            <v>ASV10054</v>
          </cell>
          <cell r="H22696" t="str">
            <v>g__norank_f__norank_o__Clostridia_vadinBB60_group</v>
          </cell>
          <cell r="I22696" t="str">
            <v>s__uncultured_bacterium_g__norank_f__norank_o__Clostridia_vadinBB60_group</v>
          </cell>
        </row>
        <row r="22697">
          <cell r="G22697" t="str">
            <v>ASV13011</v>
          </cell>
          <cell r="H22697" t="str">
            <v>g__unclassified_c__Clostridia</v>
          </cell>
          <cell r="I22697" t="str">
            <v>s__unclassified_c__Clostridia</v>
          </cell>
        </row>
        <row r="22698">
          <cell r="G22698" t="str">
            <v>ASV6975</v>
          </cell>
          <cell r="H22698" t="str">
            <v>g__unclassified_f__Peptostreptococcaceae</v>
          </cell>
          <cell r="I22698" t="str">
            <v>s__unclassified_f__Peptostreptococcaceae</v>
          </cell>
        </row>
        <row r="22699">
          <cell r="G22699" t="str">
            <v>ASV13034</v>
          </cell>
          <cell r="H22699" t="str">
            <v>g__unclassified_c__Bacilli</v>
          </cell>
          <cell r="I22699" t="str">
            <v>s__unclassified_c__Bacilli</v>
          </cell>
        </row>
        <row r="22700">
          <cell r="G22700" t="str">
            <v>ASV16616</v>
          </cell>
          <cell r="H22700" t="str">
            <v>g__unclassified_f__Peptostreptococcaceae</v>
          </cell>
          <cell r="I22700" t="str">
            <v>s__unclassified_f__Peptostreptococcaceae</v>
          </cell>
        </row>
        <row r="22701">
          <cell r="G22701" t="str">
            <v>ASV24053</v>
          </cell>
          <cell r="H22701" t="str">
            <v>g__Allisonella</v>
          </cell>
          <cell r="I22701" t="str">
            <v>s__uncultured_bacterium_g__Allisonella</v>
          </cell>
        </row>
        <row r="22702">
          <cell r="G22702" t="str">
            <v>ASV21692</v>
          </cell>
          <cell r="H22702" t="str">
            <v>g__unclassified_f__Lachnospiraceae</v>
          </cell>
          <cell r="I22702" t="str">
            <v>s__unclassified_f__Lachnospiraceae</v>
          </cell>
        </row>
        <row r="22703">
          <cell r="G22703" t="str">
            <v>ASV12991</v>
          </cell>
          <cell r="H22703" t="str">
            <v>g__unclassified_f__Lachnospiraceae</v>
          </cell>
          <cell r="I22703" t="str">
            <v>s__unclassified_f__Lachnospiraceae</v>
          </cell>
        </row>
        <row r="22704">
          <cell r="G22704" t="str">
            <v>ASV19211</v>
          </cell>
          <cell r="H22704" t="str">
            <v>g__Clostridium_sensu_stricto_1</v>
          </cell>
          <cell r="I22704" t="str">
            <v>s__unclassified_g__Clostridium_sensu_stricto_1</v>
          </cell>
        </row>
        <row r="22705">
          <cell r="G22705" t="str">
            <v>ASV23612</v>
          </cell>
          <cell r="H22705" t="str">
            <v>g__unclassified_p__Firmicutes</v>
          </cell>
          <cell r="I22705" t="str">
            <v>s__unclassified_p__Firmicutes</v>
          </cell>
        </row>
        <row r="22706">
          <cell r="G22706" t="str">
            <v>ASV16628</v>
          </cell>
          <cell r="H22706" t="str">
            <v>g__Bilophila</v>
          </cell>
          <cell r="I22706" t="str">
            <v>s__unclassified_g__Bilophila</v>
          </cell>
        </row>
        <row r="22707">
          <cell r="G22707" t="str">
            <v>ASV1768</v>
          </cell>
          <cell r="H22707" t="str">
            <v>g__norank_f__norank_o__Clostridia_UCG-014</v>
          </cell>
          <cell r="I22707" t="str">
            <v>s__Clostridiales_bacterium_canine_oral_taxon_100</v>
          </cell>
        </row>
        <row r="22708">
          <cell r="G22708" t="str">
            <v>ASV14822</v>
          </cell>
          <cell r="H22708" t="str">
            <v>g__unclassified_f__Ruminococcaceae</v>
          </cell>
          <cell r="I22708" t="str">
            <v>s__unclassified_f__Ruminococcaceae</v>
          </cell>
        </row>
        <row r="22709">
          <cell r="G22709" t="str">
            <v>ASV14957</v>
          </cell>
          <cell r="H22709" t="str">
            <v>g__Clostridium_sensu_stricto_1</v>
          </cell>
          <cell r="I22709" t="str">
            <v>s__unclassified_g__Clostridium_sensu_stricto_1</v>
          </cell>
        </row>
        <row r="22710">
          <cell r="G22710" t="str">
            <v>ASV23567</v>
          </cell>
          <cell r="H22710" t="str">
            <v>g__Lactobacillus</v>
          </cell>
          <cell r="I22710" t="str">
            <v>s__unclassified_g__Lactobacillus</v>
          </cell>
        </row>
        <row r="22711">
          <cell r="G22711" t="str">
            <v>ASV1402</v>
          </cell>
          <cell r="H22711" t="str">
            <v>g__unclassified_f__Ruminococcaceae</v>
          </cell>
          <cell r="I22711" t="str">
            <v>s__unclassified_f__Ruminococcaceae</v>
          </cell>
        </row>
        <row r="22712">
          <cell r="G22712" t="str">
            <v>ASV6343</v>
          </cell>
          <cell r="H22712" t="str">
            <v>g__Veillonella</v>
          </cell>
          <cell r="I22712" t="str">
            <v>s__unclassified_g__Veillonella</v>
          </cell>
        </row>
        <row r="22713">
          <cell r="G22713" t="str">
            <v>ASV22572</v>
          </cell>
          <cell r="H22713" t="str">
            <v>g__norank_f__Peptococcaceae</v>
          </cell>
          <cell r="I22713" t="str">
            <v>s__uncultured_bacterium_g__norank_f__Peptococcaceae</v>
          </cell>
        </row>
        <row r="22714">
          <cell r="G22714" t="str">
            <v>ASV20334</v>
          </cell>
          <cell r="H22714" t="str">
            <v>g__unclassified_f__Lachnospiraceae</v>
          </cell>
          <cell r="I22714" t="str">
            <v>s__unclassified_f__Lachnospiraceae</v>
          </cell>
        </row>
        <row r="22715">
          <cell r="G22715" t="str">
            <v>ASV16737</v>
          </cell>
          <cell r="H22715" t="str">
            <v>g__Bacteroides</v>
          </cell>
          <cell r="I22715" t="str">
            <v>s__unclassified_g__Bacteroides</v>
          </cell>
        </row>
        <row r="22716">
          <cell r="G22716" t="str">
            <v>ASV20027</v>
          </cell>
          <cell r="H22716" t="str">
            <v>g__unclassified_c__Clostridia</v>
          </cell>
          <cell r="I22716" t="str">
            <v>s__unclassified_c__Clostridia</v>
          </cell>
        </row>
        <row r="22717">
          <cell r="G22717" t="str">
            <v>ASV15870</v>
          </cell>
          <cell r="H22717" t="str">
            <v>g__Lactobacillus</v>
          </cell>
          <cell r="I22717" t="str">
            <v>s__unclassified_g__Lactobacillus</v>
          </cell>
        </row>
        <row r="22718">
          <cell r="G22718" t="str">
            <v>ASV1419</v>
          </cell>
          <cell r="H22718" t="str">
            <v>g__Lactobacillus</v>
          </cell>
          <cell r="I22718" t="str">
            <v>s__unclassified_g__Lactobacillus</v>
          </cell>
        </row>
        <row r="22719">
          <cell r="G22719" t="str">
            <v>ASV16793</v>
          </cell>
          <cell r="H22719" t="str">
            <v>g__Bifidobacterium</v>
          </cell>
          <cell r="I22719" t="str">
            <v>s__unclassified_g__Bifidobacterium</v>
          </cell>
        </row>
        <row r="22720">
          <cell r="G22720" t="str">
            <v>ASV18377</v>
          </cell>
          <cell r="H22720" t="str">
            <v>g__unclassified_f__Synergistaceae</v>
          </cell>
          <cell r="I22720" t="str">
            <v>s__unclassified_f__Synergistaceae</v>
          </cell>
        </row>
        <row r="22721">
          <cell r="G22721" t="str">
            <v>ASV12488</v>
          </cell>
          <cell r="H22721" t="str">
            <v>g__unclassified_f__Lachnospiraceae</v>
          </cell>
          <cell r="I22721" t="str">
            <v>s__unclassified_f__Lachnospiraceae</v>
          </cell>
        </row>
        <row r="22722">
          <cell r="G22722" t="str">
            <v>ASV12318</v>
          </cell>
          <cell r="H22722" t="str">
            <v>g__unclassified_o__Oscillospirales</v>
          </cell>
          <cell r="I22722" t="str">
            <v>s__unclassified_o__Oscillospirales</v>
          </cell>
        </row>
        <row r="22723">
          <cell r="G22723" t="str">
            <v>ASV15837</v>
          </cell>
          <cell r="H22723" t="str">
            <v>g__Phascolarctobacterium</v>
          </cell>
          <cell r="I22723" t="str">
            <v>s__unclassified_g__Phascolarctobacterium</v>
          </cell>
        </row>
        <row r="22724">
          <cell r="G22724" t="str">
            <v>ASV23709</v>
          </cell>
          <cell r="H22724" t="str">
            <v>g__unclassified_c__Bacilli</v>
          </cell>
          <cell r="I22724" t="str">
            <v>s__unclassified_c__Bacilli</v>
          </cell>
        </row>
        <row r="22725">
          <cell r="G22725" t="str">
            <v>ASV12192</v>
          </cell>
          <cell r="H22725" t="str">
            <v>g__Lachnospiraceae_NC2004_group</v>
          </cell>
          <cell r="I22725" t="str">
            <v>s__uncultured_bacterium_g__Lachnospiraceae_NC2004_group</v>
          </cell>
        </row>
        <row r="22726">
          <cell r="G22726" t="str">
            <v>ASV16593</v>
          </cell>
          <cell r="H22726" t="str">
            <v>g__Treponema</v>
          </cell>
          <cell r="I22726" t="str">
            <v>s__unclassified_g__Treponema</v>
          </cell>
        </row>
        <row r="22727">
          <cell r="G22727" t="str">
            <v>ASV9831</v>
          </cell>
          <cell r="H22727" t="str">
            <v>g__Lactobacillus</v>
          </cell>
          <cell r="I22727" t="str">
            <v>s__unclassified_g__Lactobacillus</v>
          </cell>
        </row>
        <row r="22728">
          <cell r="G22728" t="str">
            <v>ASV1216</v>
          </cell>
          <cell r="H22728" t="str">
            <v>g__unclassified_f__Ruminococcaceae</v>
          </cell>
          <cell r="I22728" t="str">
            <v>s__unclassified_f__Ruminococcaceae</v>
          </cell>
        </row>
        <row r="22729">
          <cell r="G22729" t="str">
            <v>ASV8090</v>
          </cell>
          <cell r="H22729" t="str">
            <v>g__Eubacterium_oxidoreducens_group</v>
          </cell>
          <cell r="I22729" t="str">
            <v>s__uncultured_bacterium_g__Eubacterium_oxidoreducens_group</v>
          </cell>
        </row>
        <row r="22730">
          <cell r="G22730" t="str">
            <v>ASV4262</v>
          </cell>
          <cell r="H22730" t="str">
            <v>g__unclassified_c__Clostridia</v>
          </cell>
          <cell r="I22730" t="str">
            <v>s__unclassified_c__Clostridia</v>
          </cell>
        </row>
        <row r="22731">
          <cell r="G22731" t="str">
            <v>ASV8589</v>
          </cell>
          <cell r="H22731" t="str">
            <v>g__unclassified_o__Veillonellales-Selenomonadales</v>
          </cell>
          <cell r="I22731" t="str">
            <v>s__unclassified_o__Veillonellales-Selenomonadales</v>
          </cell>
        </row>
        <row r="22732">
          <cell r="G22732" t="str">
            <v>ASV4220</v>
          </cell>
          <cell r="H22732" t="str">
            <v>g__unclassified_f__Lachnospiraceae</v>
          </cell>
          <cell r="I22732" t="str">
            <v>s__unclassified_f__Lachnospiraceae</v>
          </cell>
        </row>
        <row r="22733">
          <cell r="G22733" t="str">
            <v>ASV13746</v>
          </cell>
          <cell r="H22733" t="str">
            <v>g__unclassified_p__Firmicutes</v>
          </cell>
          <cell r="I22733" t="str">
            <v>s__unclassified_p__Firmicutes</v>
          </cell>
        </row>
        <row r="22734">
          <cell r="G22734" t="str">
            <v>ASV6264</v>
          </cell>
          <cell r="H22734" t="str">
            <v>g__unclassified_c__Bacilli</v>
          </cell>
          <cell r="I22734" t="str">
            <v>s__unclassified_c__Bacilli</v>
          </cell>
        </row>
        <row r="22735">
          <cell r="G22735" t="str">
            <v>ASV10938</v>
          </cell>
          <cell r="H22735" t="str">
            <v>g__unclassified_c__Clostridia</v>
          </cell>
          <cell r="I22735" t="str">
            <v>s__unclassified_c__Clostridia</v>
          </cell>
        </row>
        <row r="22736">
          <cell r="G22736" t="str">
            <v>ASV2558</v>
          </cell>
          <cell r="H22736" t="str">
            <v>g__Ruminococcus</v>
          </cell>
          <cell r="I22736" t="str">
            <v>s__uncultured_bacterium_g__Ruminococcus</v>
          </cell>
        </row>
        <row r="22737">
          <cell r="G22737" t="str">
            <v>ASV2491</v>
          </cell>
          <cell r="H22737" t="str">
            <v>g__unclassified_f__Lachnospiraceae</v>
          </cell>
          <cell r="I22737" t="str">
            <v>s__unclassified_f__Lachnospiraceae</v>
          </cell>
        </row>
        <row r="22738">
          <cell r="G22738" t="str">
            <v>ASV19894</v>
          </cell>
          <cell r="H22738" t="str">
            <v>g__Ruminococcus</v>
          </cell>
          <cell r="I22738" t="str">
            <v>s__unclassified_g__Ruminococcus</v>
          </cell>
        </row>
        <row r="22739">
          <cell r="G22739" t="str">
            <v>ASV14713</v>
          </cell>
          <cell r="H22739" t="str">
            <v>g__Turicibacter</v>
          </cell>
          <cell r="I22739" t="str">
            <v>s__uncultured_bacterium_g__Turicibacter</v>
          </cell>
        </row>
        <row r="22740">
          <cell r="G22740" t="str">
            <v>ASV2422</v>
          </cell>
          <cell r="H22740" t="str">
            <v>g__unclassified_p__Firmicutes</v>
          </cell>
          <cell r="I22740" t="str">
            <v>s__unclassified_p__Firmicutes</v>
          </cell>
        </row>
        <row r="22741">
          <cell r="G22741" t="str">
            <v>ASV10916</v>
          </cell>
          <cell r="H22741" t="str">
            <v>g__unclassified_c__Clostridia</v>
          </cell>
          <cell r="I22741" t="str">
            <v>s__unclassified_c__Clostridia</v>
          </cell>
        </row>
        <row r="22742">
          <cell r="G22742" t="str">
            <v>ASV22902</v>
          </cell>
          <cell r="H22742" t="str">
            <v>g__Bacillus</v>
          </cell>
          <cell r="I22742" t="str">
            <v>s__Lactobacillus_vaginalis_g__Bacillus</v>
          </cell>
        </row>
        <row r="22743">
          <cell r="G22743" t="str">
            <v>ASV21099</v>
          </cell>
          <cell r="H22743" t="str">
            <v>g__Ruminococcus</v>
          </cell>
          <cell r="I22743" t="str">
            <v>s__unclassified_g__Ruminococcus</v>
          </cell>
        </row>
        <row r="22744">
          <cell r="G22744" t="str">
            <v>ASV10257</v>
          </cell>
          <cell r="H22744" t="str">
            <v>g__unclassified_f__Peptostreptococcaceae</v>
          </cell>
          <cell r="I22744" t="str">
            <v>s__unclassified_f__Peptostreptococcaceae</v>
          </cell>
        </row>
        <row r="22745">
          <cell r="G22745" t="str">
            <v>ASV4355</v>
          </cell>
          <cell r="H22745" t="str">
            <v>g__Harryflintia</v>
          </cell>
          <cell r="I22745" t="str">
            <v>s__unclassified_g__Harryflintia</v>
          </cell>
        </row>
        <row r="22746">
          <cell r="G22746" t="str">
            <v>ASV21320</v>
          </cell>
          <cell r="H22746" t="str">
            <v>g__unclassified_k__norank_d__Bacteria</v>
          </cell>
          <cell r="I22746" t="str">
            <v>s__unclassified_k__norank_d__Bacteria</v>
          </cell>
        </row>
        <row r="22747">
          <cell r="G22747" t="str">
            <v>ASV5431</v>
          </cell>
          <cell r="H22747" t="str">
            <v>g__norank_f__UCG-010</v>
          </cell>
          <cell r="I22747" t="str">
            <v>s__unclassified_g__norank_f__UCG-010</v>
          </cell>
        </row>
        <row r="22748">
          <cell r="G22748" t="str">
            <v>ASV13113</v>
          </cell>
          <cell r="H22748" t="str">
            <v>g__unclassified_c__Clostridia</v>
          </cell>
          <cell r="I22748" t="str">
            <v>s__unclassified_c__Clostridia</v>
          </cell>
        </row>
        <row r="22749">
          <cell r="G22749" t="str">
            <v>ASV18288</v>
          </cell>
          <cell r="H22749" t="str">
            <v>g__norank_f__UCG-010</v>
          </cell>
          <cell r="I22749" t="str">
            <v>s__uncultured_bacterium_g__norank_f__UCG-010</v>
          </cell>
        </row>
        <row r="22750">
          <cell r="G22750" t="str">
            <v>ASV19927</v>
          </cell>
          <cell r="H22750" t="str">
            <v>g__Prevotella</v>
          </cell>
          <cell r="I22750" t="str">
            <v>s__unclassified_g__Prevotella</v>
          </cell>
        </row>
        <row r="22751">
          <cell r="G22751" t="str">
            <v>ASV9075</v>
          </cell>
          <cell r="H22751" t="str">
            <v>g__Lactobacillus</v>
          </cell>
          <cell r="I22751" t="str">
            <v>s__unclassified_g__Lactobacillus</v>
          </cell>
        </row>
        <row r="22752">
          <cell r="G22752" t="str">
            <v>ASV20059</v>
          </cell>
          <cell r="H22752" t="str">
            <v>g__norank_f__Eubacterium_coprostanoligenes_group</v>
          </cell>
          <cell r="I22752" t="str">
            <v>s__uncultured_bacterium_g__norank_f__Eubacterium_coprostanoligenes_group</v>
          </cell>
        </row>
        <row r="22753">
          <cell r="G22753" t="str">
            <v>ASV1356</v>
          </cell>
          <cell r="H22753" t="str">
            <v>g__unclassified_f__Lachnospiraceae</v>
          </cell>
          <cell r="I22753" t="str">
            <v>s__unclassified_f__Lachnospiraceae</v>
          </cell>
        </row>
        <row r="22754">
          <cell r="G22754" t="str">
            <v>ASV2543</v>
          </cell>
          <cell r="H22754" t="str">
            <v>g__unclassified_o__Oscillospirales</v>
          </cell>
          <cell r="I22754" t="str">
            <v>s__unclassified_o__Oscillospirales</v>
          </cell>
        </row>
        <row r="22755">
          <cell r="G22755" t="str">
            <v>ASV2456</v>
          </cell>
          <cell r="H22755" t="str">
            <v>g__unclassified_c__Clostridia</v>
          </cell>
          <cell r="I22755" t="str">
            <v>s__unclassified_c__Clostridia</v>
          </cell>
        </row>
        <row r="22756">
          <cell r="G22756" t="str">
            <v>ASV14585</v>
          </cell>
          <cell r="H22756" t="str">
            <v>g__unclassified_k__norank_d__Bacteria</v>
          </cell>
          <cell r="I22756" t="str">
            <v>s__unclassified_k__norank_d__Bacteria</v>
          </cell>
        </row>
        <row r="22757">
          <cell r="G22757" t="str">
            <v>ASV21762</v>
          </cell>
          <cell r="H22757" t="str">
            <v>g__Sphingomonas</v>
          </cell>
          <cell r="I22757" t="str">
            <v>s__unclassified_g__Sphingomonas</v>
          </cell>
        </row>
        <row r="22758">
          <cell r="G22758" t="str">
            <v>ASV14676</v>
          </cell>
          <cell r="H22758" t="str">
            <v>g__unclassified_o__Bacteroidales</v>
          </cell>
          <cell r="I22758" t="str">
            <v>s__unclassified_o__Bacteroidales</v>
          </cell>
        </row>
        <row r="22759">
          <cell r="G22759" t="str">
            <v>ASV1169</v>
          </cell>
          <cell r="H22759" t="str">
            <v>g__Streptococcus</v>
          </cell>
          <cell r="I22759" t="str">
            <v>s__unclassified_g__Streptococcus</v>
          </cell>
        </row>
        <row r="22760">
          <cell r="G22760" t="str">
            <v>ASV9791</v>
          </cell>
          <cell r="H22760" t="str">
            <v>g__Holdemanella</v>
          </cell>
          <cell r="I22760" t="str">
            <v>s__unclassified_g__Holdemanella</v>
          </cell>
        </row>
        <row r="22761">
          <cell r="G22761" t="str">
            <v>ASV17104</v>
          </cell>
          <cell r="H22761" t="str">
            <v>g__unclassified_c__Clostridia</v>
          </cell>
          <cell r="I22761" t="str">
            <v>s__unclassified_c__Clostridia</v>
          </cell>
        </row>
        <row r="22762">
          <cell r="G22762" t="str">
            <v>ASV3539</v>
          </cell>
          <cell r="H22762" t="str">
            <v>g__unclassified_f__Enterobacteriaceae</v>
          </cell>
          <cell r="I22762" t="str">
            <v>s__unclassified_f__Enterobacteriaceae</v>
          </cell>
        </row>
        <row r="22763">
          <cell r="G22763" t="str">
            <v>ASV14730</v>
          </cell>
          <cell r="H22763" t="str">
            <v>g__unclassified_c__Clostridia</v>
          </cell>
          <cell r="I22763" t="str">
            <v>s__unclassified_c__Clostridia</v>
          </cell>
        </row>
        <row r="22764">
          <cell r="G22764" t="str">
            <v>ASV18417</v>
          </cell>
          <cell r="H22764" t="str">
            <v>g__unclassified_f__Lachnospiraceae</v>
          </cell>
          <cell r="I22764" t="str">
            <v>s__unclassified_f__Lachnospiraceae</v>
          </cell>
        </row>
        <row r="22765">
          <cell r="G22765" t="str">
            <v>ASV2415</v>
          </cell>
          <cell r="H22765" t="str">
            <v>g__norank_f__norank_o__RF39</v>
          </cell>
          <cell r="I22765" t="str">
            <v>s__uncultured_bacterium_g__norank_f__norank_o__RF39</v>
          </cell>
        </row>
        <row r="22766">
          <cell r="G22766" t="str">
            <v>ASV8216</v>
          </cell>
          <cell r="H22766" t="str">
            <v>g__unclassified_c__Clostridia</v>
          </cell>
          <cell r="I22766" t="str">
            <v>s__unclassified_c__Clostridia</v>
          </cell>
        </row>
        <row r="22767">
          <cell r="G22767" t="str">
            <v>ASV21032</v>
          </cell>
          <cell r="H22767" t="str">
            <v>g__Monoglobus</v>
          </cell>
          <cell r="I22767" t="str">
            <v>s__uncultured_organism_g__Monoglobus</v>
          </cell>
        </row>
        <row r="22768">
          <cell r="G22768" t="str">
            <v>ASV17000</v>
          </cell>
          <cell r="H22768" t="str">
            <v>g__unclassified_c__Bacilli</v>
          </cell>
          <cell r="I22768" t="str">
            <v>s__unclassified_c__Bacilli</v>
          </cell>
        </row>
        <row r="22769">
          <cell r="G22769" t="str">
            <v>ASV8253</v>
          </cell>
          <cell r="H22769" t="str">
            <v>g__unclassified_c__Clostridia</v>
          </cell>
          <cell r="I22769" t="str">
            <v>s__unclassified_c__Clostridia</v>
          </cell>
        </row>
        <row r="22770">
          <cell r="G22770" t="str">
            <v>ASV5384</v>
          </cell>
          <cell r="H22770" t="str">
            <v>g__norank_f__norank_o__Gastranaerophilales</v>
          </cell>
          <cell r="I22770" t="str">
            <v>s__uncultured_bacterium_g__norank_f__norank_o__Gastranaerophilales</v>
          </cell>
        </row>
        <row r="22771">
          <cell r="G22771" t="str">
            <v>ASV10963</v>
          </cell>
          <cell r="H22771" t="str">
            <v>g__UCG-002</v>
          </cell>
          <cell r="I22771" t="str">
            <v>s__unclassified_g__UCG-002</v>
          </cell>
        </row>
        <row r="22772">
          <cell r="G22772" t="str">
            <v>ASV1235</v>
          </cell>
          <cell r="H22772" t="str">
            <v>g__unclassified_c__Clostridia</v>
          </cell>
          <cell r="I22772" t="str">
            <v>s__unclassified_c__Clostridia</v>
          </cell>
        </row>
        <row r="22773">
          <cell r="G22773" t="str">
            <v>ASV6444</v>
          </cell>
          <cell r="H22773" t="str">
            <v>g__unclassified_f__Lachnospiraceae</v>
          </cell>
          <cell r="I22773" t="str">
            <v>s__unclassified_f__Lachnospiraceae</v>
          </cell>
        </row>
        <row r="22774">
          <cell r="G22774" t="str">
            <v>ASV17086</v>
          </cell>
          <cell r="H22774" t="str">
            <v>g__Prevotella</v>
          </cell>
          <cell r="I22774" t="str">
            <v>s__unclassified_g__Prevotella</v>
          </cell>
        </row>
        <row r="22775">
          <cell r="G22775" t="str">
            <v>ASV14622</v>
          </cell>
          <cell r="H22775" t="str">
            <v>g__unclassified_k__norank_d__Bacteria</v>
          </cell>
          <cell r="I22775" t="str">
            <v>s__unclassified_k__norank_d__Bacteria</v>
          </cell>
        </row>
        <row r="22776">
          <cell r="G22776" t="str">
            <v>ASV6368</v>
          </cell>
          <cell r="H22776" t="str">
            <v>g__Bacteroides</v>
          </cell>
          <cell r="I22776" t="str">
            <v>s__unclassified_g__Bacteroides</v>
          </cell>
        </row>
        <row r="22777">
          <cell r="G22777" t="str">
            <v>ASV17051</v>
          </cell>
          <cell r="H22777" t="str">
            <v>g__Christensenellaceae_R-7_group</v>
          </cell>
          <cell r="I22777" t="str">
            <v>s__unclassified_g__Christensenellaceae_R-7_group</v>
          </cell>
        </row>
        <row r="22778">
          <cell r="G22778" t="str">
            <v>ASV18657</v>
          </cell>
          <cell r="H22778" t="str">
            <v>g__Alistipes</v>
          </cell>
          <cell r="I22778" t="str">
            <v>s__unclassified_g__Alistipes</v>
          </cell>
        </row>
        <row r="22779">
          <cell r="G22779" t="str">
            <v>ASV6979</v>
          </cell>
          <cell r="H22779" t="str">
            <v>g__unclassified_p__Firmicutes</v>
          </cell>
          <cell r="I22779" t="str">
            <v>s__unclassified_p__Firmicutes</v>
          </cell>
        </row>
        <row r="22780">
          <cell r="G22780" t="str">
            <v>ASV22522</v>
          </cell>
          <cell r="H22780" t="str">
            <v>g__unclassified_f__Lachnospiraceae</v>
          </cell>
          <cell r="I22780" t="str">
            <v>s__unclassified_f__Lachnospiraceae</v>
          </cell>
        </row>
        <row r="22781">
          <cell r="G22781" t="str">
            <v>ASV1824</v>
          </cell>
          <cell r="H22781" t="str">
            <v>g__unclassified_f__Peptostreptococcaceae</v>
          </cell>
          <cell r="I22781" t="str">
            <v>s__unclassified_f__Peptostreptococcaceae</v>
          </cell>
        </row>
        <row r="22782">
          <cell r="G22782" t="str">
            <v>ASV10264</v>
          </cell>
          <cell r="H22782" t="str">
            <v>g__Lactobacillus</v>
          </cell>
          <cell r="I22782" t="str">
            <v>s__unclassified_g__Lactobacillus</v>
          </cell>
        </row>
        <row r="22783">
          <cell r="G22783" t="str">
            <v>ASV24292</v>
          </cell>
          <cell r="H22783" t="str">
            <v>g__norank_f__Muribaculaceae</v>
          </cell>
          <cell r="I22783" t="str">
            <v>s__uncultured_bacterium_g__norank_f__Muribaculaceae</v>
          </cell>
        </row>
        <row r="22784">
          <cell r="G22784" t="str">
            <v>ASV13156</v>
          </cell>
          <cell r="H22784" t="str">
            <v>g__dgA-11_gut_group</v>
          </cell>
          <cell r="I22784" t="str">
            <v>s__uncultured_Bacteroidales_bacterium_g__dgA-11_gut_group</v>
          </cell>
        </row>
        <row r="22785">
          <cell r="G22785" t="str">
            <v>ASV14681</v>
          </cell>
          <cell r="H22785" t="str">
            <v>g__Prevotella</v>
          </cell>
          <cell r="I22785" t="str">
            <v>s__unclassified_g__Prevotella</v>
          </cell>
        </row>
        <row r="22786">
          <cell r="G22786" t="str">
            <v>ASV2481</v>
          </cell>
          <cell r="H22786" t="str">
            <v>g__unclassified_c__Clostridia</v>
          </cell>
          <cell r="I22786" t="str">
            <v>s__unclassified_c__Clostridia</v>
          </cell>
        </row>
        <row r="22787">
          <cell r="G22787" t="str">
            <v>ASV23503</v>
          </cell>
          <cell r="H22787" t="str">
            <v>g__unclassified_c__Actinobacteria</v>
          </cell>
          <cell r="I22787" t="str">
            <v>s__unclassified_c__Actinobacteria</v>
          </cell>
        </row>
        <row r="22788">
          <cell r="G22788" t="str">
            <v>ASV13123</v>
          </cell>
          <cell r="H22788" t="str">
            <v>g__unclassified_c__Clostridia</v>
          </cell>
          <cell r="I22788" t="str">
            <v>s__unclassified_c__Clostridia</v>
          </cell>
        </row>
        <row r="22789">
          <cell r="G22789" t="str">
            <v>ASV1227</v>
          </cell>
          <cell r="H22789" t="str">
            <v>g__Veillonella</v>
          </cell>
          <cell r="I22789" t="str">
            <v>s__unclassified_g__Veillonella</v>
          </cell>
        </row>
        <row r="22790">
          <cell r="G22790" t="str">
            <v>ASV13568</v>
          </cell>
          <cell r="H22790" t="str">
            <v>g__Actinomyces</v>
          </cell>
          <cell r="I22790" t="str">
            <v>s__unclassified_g__Actinomyces</v>
          </cell>
        </row>
        <row r="22791">
          <cell r="G22791" t="str">
            <v>ASV11006</v>
          </cell>
          <cell r="H22791" t="str">
            <v>g__Enterococcus</v>
          </cell>
          <cell r="I22791" t="str">
            <v>s__unclassified_g__Enterococcus</v>
          </cell>
        </row>
        <row r="22792">
          <cell r="G22792" t="str">
            <v>ASV1262</v>
          </cell>
          <cell r="H22792" t="str">
            <v>g__unclassified_f__Christensenellaceae</v>
          </cell>
          <cell r="I22792" t="str">
            <v>s__unclassified_f__Christensenellaceae</v>
          </cell>
        </row>
        <row r="22793">
          <cell r="G22793" t="str">
            <v>ASV18368</v>
          </cell>
          <cell r="H22793" t="str">
            <v>g__norank_f__Ruminococcaceae</v>
          </cell>
          <cell r="I22793" t="str">
            <v>s__unclassified_g__norank_f__Ruminococcaceae</v>
          </cell>
        </row>
        <row r="22794">
          <cell r="G22794" t="str">
            <v>ASV23719</v>
          </cell>
          <cell r="H22794" t="str">
            <v>g__norank_f__UCG-011</v>
          </cell>
          <cell r="I22794" t="str">
            <v>s__uncultured_bacterium_g__norank_f__UCG-011</v>
          </cell>
        </row>
        <row r="22795">
          <cell r="G22795" t="str">
            <v>ASV4364</v>
          </cell>
          <cell r="H22795" t="str">
            <v>g__Bacteroides</v>
          </cell>
          <cell r="I22795" t="str">
            <v>s__unclassified_g__Bacteroides</v>
          </cell>
        </row>
        <row r="22796">
          <cell r="G22796" t="str">
            <v>ASV1420</v>
          </cell>
          <cell r="H22796" t="str">
            <v>g__Eubacterium_oxidoreducens_group</v>
          </cell>
          <cell r="I22796" t="str">
            <v>s__uncultured_bacterium_g__Eubacterium_oxidoreducens_group</v>
          </cell>
        </row>
        <row r="22797">
          <cell r="G22797" t="str">
            <v>ASV20148</v>
          </cell>
          <cell r="H22797" t="str">
            <v>g__unclassified_o__Oscillospirales</v>
          </cell>
          <cell r="I22797" t="str">
            <v>s__unclassified_o__Oscillospirales</v>
          </cell>
        </row>
        <row r="22798">
          <cell r="G22798" t="str">
            <v>ASV14700</v>
          </cell>
          <cell r="H22798" t="str">
            <v>g__unclassified_c__Clostridia</v>
          </cell>
          <cell r="I22798" t="str">
            <v>s__unclassified_c__Clostridia</v>
          </cell>
        </row>
        <row r="22799">
          <cell r="G22799" t="str">
            <v>ASV14651</v>
          </cell>
          <cell r="H22799" t="str">
            <v>g__Alloprevotella</v>
          </cell>
          <cell r="I22799" t="str">
            <v>s__uncultured_bacterium_g__Alloprevotella</v>
          </cell>
        </row>
        <row r="22800">
          <cell r="G22800" t="str">
            <v>ASV14726</v>
          </cell>
          <cell r="H22800" t="str">
            <v>g__unclassified_k__norank_d__Bacteria</v>
          </cell>
          <cell r="I22800" t="str">
            <v>s__unclassified_k__norank_d__Bacteria</v>
          </cell>
        </row>
        <row r="22801">
          <cell r="G22801" t="str">
            <v>ASV12371</v>
          </cell>
          <cell r="H22801" t="str">
            <v>g__unclassified_c__Clostridia</v>
          </cell>
          <cell r="I22801" t="str">
            <v>s__unclassified_c__Clostridia</v>
          </cell>
        </row>
        <row r="22802">
          <cell r="G22802" t="str">
            <v>ASV5234</v>
          </cell>
          <cell r="H22802" t="str">
            <v>g__Ruminococcus</v>
          </cell>
          <cell r="I22802" t="str">
            <v>s__unclassified_g__Ruminococcus</v>
          </cell>
        </row>
        <row r="22803">
          <cell r="G22803" t="str">
            <v>ASV15591</v>
          </cell>
          <cell r="H22803" t="str">
            <v>g__unclassified_k__norank_d__Bacteria</v>
          </cell>
          <cell r="I22803" t="str">
            <v>s__unclassified_k__norank_d__Bacteria</v>
          </cell>
        </row>
        <row r="22804">
          <cell r="G22804" t="str">
            <v>ASV13196</v>
          </cell>
          <cell r="H22804" t="str">
            <v>g__Ruminococcus</v>
          </cell>
          <cell r="I22804" t="str">
            <v>s__unclassified_g__Ruminococcus</v>
          </cell>
        </row>
        <row r="22805">
          <cell r="G22805" t="str">
            <v>ASV1308</v>
          </cell>
          <cell r="H22805" t="str">
            <v>g__Streptococcus</v>
          </cell>
          <cell r="I22805" t="str">
            <v>s__unclassified_g__Streptococcus</v>
          </cell>
        </row>
        <row r="22806">
          <cell r="G22806" t="str">
            <v>ASV22562</v>
          </cell>
          <cell r="H22806" t="str">
            <v>g__Lachnospiraceae_UCG-004</v>
          </cell>
          <cell r="I22806" t="str">
            <v>s__unclassified_g__Lachnospiraceae_UCG-004</v>
          </cell>
        </row>
        <row r="22807">
          <cell r="G22807" t="str">
            <v>ASV9759</v>
          </cell>
          <cell r="H22807" t="str">
            <v>g__Eubacterium_oxidoreducens_group</v>
          </cell>
          <cell r="I22807" t="str">
            <v>s__uncultured_bacterium_g__Eubacterium_oxidoreducens_group</v>
          </cell>
        </row>
        <row r="22808">
          <cell r="G22808" t="str">
            <v>ASV20990</v>
          </cell>
          <cell r="H22808" t="str">
            <v>g__unclassified_c__Clostridia</v>
          </cell>
          <cell r="I22808" t="str">
            <v>s__unclassified_c__Clostridia</v>
          </cell>
        </row>
        <row r="22809">
          <cell r="G22809" t="str">
            <v>ASV12231</v>
          </cell>
          <cell r="H22809" t="str">
            <v>g__Rikenellaceae_RC9_gut_group</v>
          </cell>
          <cell r="I22809" t="str">
            <v>s__unclassified_g__Rikenellaceae_RC9_gut_group</v>
          </cell>
        </row>
        <row r="22810">
          <cell r="G22810" t="str">
            <v>ASV3288</v>
          </cell>
          <cell r="H22810" t="str">
            <v>g__Lactobacillus</v>
          </cell>
          <cell r="I22810" t="str">
            <v>s__unclassified_g__Lactobacillus</v>
          </cell>
        </row>
        <row r="22811">
          <cell r="G22811" t="str">
            <v>ASV6283</v>
          </cell>
          <cell r="H22811" t="str">
            <v>g__unclassified_f__Rikenellaceae</v>
          </cell>
          <cell r="I22811" t="str">
            <v>s__unclassified_f__Rikenellaceae</v>
          </cell>
        </row>
        <row r="22812">
          <cell r="G22812" t="str">
            <v>ASV16650</v>
          </cell>
          <cell r="H22812" t="str">
            <v>g__unclassified_c__Clostridia</v>
          </cell>
          <cell r="I22812" t="str">
            <v>s__unclassified_c__Clostridia</v>
          </cell>
        </row>
        <row r="22813">
          <cell r="G22813" t="str">
            <v>ASV3396</v>
          </cell>
          <cell r="H22813" t="str">
            <v>g__norank_f__norank_o__Clostridia_UCG-014</v>
          </cell>
          <cell r="I22813" t="str">
            <v>s__unclassified_g__norank_f__norank_o__Clostridia_UCG-014</v>
          </cell>
        </row>
        <row r="22814">
          <cell r="G22814" t="str">
            <v>ASV6906</v>
          </cell>
          <cell r="H22814" t="str">
            <v>g__unclassified_f__Lachnospiraceae</v>
          </cell>
          <cell r="I22814" t="str">
            <v>s__unclassified_f__Lachnospiraceae</v>
          </cell>
        </row>
        <row r="22815">
          <cell r="G22815" t="str">
            <v>ASV20960</v>
          </cell>
          <cell r="H22815" t="str">
            <v>g__unclassified_f__Lachnospiraceae</v>
          </cell>
          <cell r="I22815" t="str">
            <v>s__unclassified_f__Lachnospiraceae</v>
          </cell>
        </row>
        <row r="22816">
          <cell r="G22816" t="str">
            <v>ASV5263</v>
          </cell>
          <cell r="H22816" t="str">
            <v>g__norank_f__Ruminococcaceae</v>
          </cell>
          <cell r="I22816" t="str">
            <v>s__unclassified_g__norank_f__Ruminococcaceae</v>
          </cell>
        </row>
        <row r="22817">
          <cell r="G22817" t="str">
            <v>ASV18334</v>
          </cell>
          <cell r="H22817" t="str">
            <v>g__unclassified_c__Clostridia</v>
          </cell>
          <cell r="I22817" t="str">
            <v>s__unclassified_c__Clostridia</v>
          </cell>
        </row>
        <row r="22818">
          <cell r="G22818" t="str">
            <v>ASV4274</v>
          </cell>
          <cell r="H22818" t="str">
            <v>g__unclassified_k__norank_d__Bacteria</v>
          </cell>
          <cell r="I22818" t="str">
            <v>s__unclassified_k__norank_d__Bacteria</v>
          </cell>
        </row>
        <row r="22819">
          <cell r="G22819" t="str">
            <v>ASV5208</v>
          </cell>
          <cell r="H22819" t="str">
            <v>g__Terrisporobacter</v>
          </cell>
          <cell r="I22819" t="str">
            <v>s__unclassified_g__Terrisporobacter</v>
          </cell>
        </row>
        <row r="22820">
          <cell r="G22820" t="str">
            <v>ASV22553</v>
          </cell>
          <cell r="H22820" t="str">
            <v>g__unclassified_f__Ruminococcaceae</v>
          </cell>
          <cell r="I22820" t="str">
            <v>s__unclassified_f__Ruminococcaceae</v>
          </cell>
        </row>
        <row r="22821">
          <cell r="G22821" t="str">
            <v>ASV11015</v>
          </cell>
          <cell r="H22821" t="str">
            <v>g__Lactobacillus</v>
          </cell>
          <cell r="I22821" t="str">
            <v>s__unclassified_g__Lactobacillus</v>
          </cell>
        </row>
        <row r="22822">
          <cell r="G22822" t="str">
            <v>ASV9734</v>
          </cell>
          <cell r="H22822" t="str">
            <v>g__unclassified_f__Ruminococcaceae</v>
          </cell>
          <cell r="I22822" t="str">
            <v>s__unclassified_f__Ruminococcaceae</v>
          </cell>
        </row>
        <row r="22823">
          <cell r="G22823" t="str">
            <v>ASV17030</v>
          </cell>
          <cell r="H22823" t="str">
            <v>g__Prevotella</v>
          </cell>
          <cell r="I22823" t="str">
            <v>s__unclassified_g__Prevotella</v>
          </cell>
        </row>
        <row r="22824">
          <cell r="G22824" t="str">
            <v>ASV15653</v>
          </cell>
          <cell r="H22824" t="str">
            <v>g__norank_f__Erysipelotrichaceae</v>
          </cell>
          <cell r="I22824" t="str">
            <v>s__uncultured_bacterium_g__norank_f__Erysipelotrichaceae</v>
          </cell>
        </row>
        <row r="22825">
          <cell r="G22825" t="str">
            <v>ASV12372</v>
          </cell>
          <cell r="H22825" t="str">
            <v>g__Sharpea</v>
          </cell>
          <cell r="I22825" t="str">
            <v>s__unclassified_g__Sharpea</v>
          </cell>
        </row>
        <row r="22826">
          <cell r="G22826" t="str">
            <v>ASV16182</v>
          </cell>
          <cell r="H22826" t="str">
            <v>g__Brevundimonas</v>
          </cell>
          <cell r="I22826" t="str">
            <v>s__unclassified_g__Brevundimonas</v>
          </cell>
        </row>
        <row r="22827">
          <cell r="G22827" t="str">
            <v>ASV10861</v>
          </cell>
          <cell r="H22827" t="str">
            <v>g__unclassified_c__Clostridia</v>
          </cell>
          <cell r="I22827" t="str">
            <v>s__unclassified_c__Clostridia</v>
          </cell>
        </row>
        <row r="22828">
          <cell r="G22828" t="str">
            <v>ASV14735</v>
          </cell>
          <cell r="H22828" t="str">
            <v>g__unclassified_p__Firmicutes</v>
          </cell>
          <cell r="I22828" t="str">
            <v>s__unclassified_p__Firmicutes</v>
          </cell>
        </row>
        <row r="22829">
          <cell r="G22829" t="str">
            <v>ASV1214</v>
          </cell>
          <cell r="H22829" t="str">
            <v>g__unclassified_c__Clostridia</v>
          </cell>
          <cell r="I22829" t="str">
            <v>s__unclassified_c__Clostridia</v>
          </cell>
        </row>
        <row r="22830">
          <cell r="G22830" t="str">
            <v>ASV9827</v>
          </cell>
          <cell r="H22830" t="str">
            <v>g__unclassified_f__Enterobacteriaceae</v>
          </cell>
          <cell r="I22830" t="str">
            <v>s__unclassified_f__Enterobacteriaceae</v>
          </cell>
        </row>
        <row r="22831">
          <cell r="G22831" t="str">
            <v>ASV9673</v>
          </cell>
          <cell r="H22831" t="str">
            <v>g__unclassified_c__Clostridia</v>
          </cell>
          <cell r="I22831" t="str">
            <v>s__unclassified_c__Clostridia</v>
          </cell>
        </row>
        <row r="22832">
          <cell r="G22832" t="str">
            <v>ASV2574</v>
          </cell>
          <cell r="H22832" t="str">
            <v>g__unclassified_f__Lachnospiraceae</v>
          </cell>
          <cell r="I22832" t="str">
            <v>s__unclassified_f__Lachnospiraceae</v>
          </cell>
        </row>
        <row r="22833">
          <cell r="G22833" t="str">
            <v>ASV14844</v>
          </cell>
          <cell r="H22833" t="str">
            <v>g__unclassified_c__Clostridia</v>
          </cell>
          <cell r="I22833" t="str">
            <v>s__unclassified_c__Clostridia</v>
          </cell>
        </row>
        <row r="22834">
          <cell r="G22834" t="str">
            <v>ASV14599</v>
          </cell>
          <cell r="H22834" t="str">
            <v>g__unclassified_c__Clostridia</v>
          </cell>
          <cell r="I22834" t="str">
            <v>s__unclassified_c__Clostridia</v>
          </cell>
        </row>
        <row r="22835">
          <cell r="G22835" t="str">
            <v>ASV2454</v>
          </cell>
          <cell r="H22835" t="str">
            <v>g__unclassified_f__Oscillospiraceae</v>
          </cell>
          <cell r="I22835" t="str">
            <v>s__unclassified_f__Oscillospiraceae</v>
          </cell>
        </row>
        <row r="22836">
          <cell r="G22836" t="str">
            <v>ASV9749</v>
          </cell>
          <cell r="H22836" t="str">
            <v>g__unclassified_c__Clostridia</v>
          </cell>
          <cell r="I22836" t="str">
            <v>s__unclassified_c__Clostridia</v>
          </cell>
        </row>
        <row r="22837">
          <cell r="G22837" t="str">
            <v>ASV1256</v>
          </cell>
          <cell r="H22837" t="str">
            <v>g__unclassified_o__Peptostreptococcales-Tissierellales</v>
          </cell>
          <cell r="I22837" t="str">
            <v>s__unclassified_o__Peptostreptococcales-Tissierellales</v>
          </cell>
        </row>
        <row r="22838">
          <cell r="G22838" t="str">
            <v>ASV16754</v>
          </cell>
          <cell r="H22838" t="str">
            <v>g__CAG-873</v>
          </cell>
          <cell r="I22838" t="str">
            <v>s__unclassified_g__CAG-873</v>
          </cell>
        </row>
        <row r="22839">
          <cell r="G22839" t="str">
            <v>ASV5282</v>
          </cell>
          <cell r="H22839" t="str">
            <v>g__Rikenellaceae_RC9_gut_group</v>
          </cell>
          <cell r="I22839" t="str">
            <v>s__uncultured_bacterium_g__Rikenellaceae_RC9_gut_group</v>
          </cell>
        </row>
        <row r="22840">
          <cell r="G22840" t="str">
            <v>ASV18337</v>
          </cell>
          <cell r="H22840" t="str">
            <v>g__unclassified_f__Lachnospiraceae</v>
          </cell>
          <cell r="I22840" t="str">
            <v>s__unclassified_f__Lachnospiraceae</v>
          </cell>
        </row>
        <row r="22841">
          <cell r="G22841" t="str">
            <v>ASV24329</v>
          </cell>
          <cell r="H22841" t="str">
            <v>g__Bacteroides</v>
          </cell>
          <cell r="I22841" t="str">
            <v>s__unclassified_g__Bacteroides</v>
          </cell>
        </row>
        <row r="22842">
          <cell r="G22842" t="str">
            <v>ASV20150</v>
          </cell>
          <cell r="H22842" t="str">
            <v>g__norank_f__Eubacterium_coprostanoligenes_group</v>
          </cell>
          <cell r="I22842" t="str">
            <v>s__uncultured_bacterium_g__norank_f__Eubacterium_coprostanoligenes_group</v>
          </cell>
        </row>
        <row r="22843">
          <cell r="G22843" t="str">
            <v>ASV16134</v>
          </cell>
          <cell r="H22843" t="str">
            <v>g__unclassified_o__Lactobacillales</v>
          </cell>
          <cell r="I22843" t="str">
            <v>s__unclassified_o__Lactobacillales</v>
          </cell>
        </row>
        <row r="22844">
          <cell r="G22844" t="str">
            <v>ASV5366</v>
          </cell>
          <cell r="H22844" t="str">
            <v>g__Christensenellaceae_R-7_group</v>
          </cell>
          <cell r="I22844" t="str">
            <v>s__unclassified_g__Christensenellaceae_R-7_group</v>
          </cell>
        </row>
        <row r="22845">
          <cell r="G22845" t="str">
            <v>ASV9647</v>
          </cell>
          <cell r="H22845" t="str">
            <v>g__Faecalibacterium</v>
          </cell>
          <cell r="I22845" t="str">
            <v>s__unclassified_g__Faecalibacterium</v>
          </cell>
        </row>
        <row r="22846">
          <cell r="G22846" t="str">
            <v>ASV10920</v>
          </cell>
          <cell r="H22846" t="str">
            <v>g__unclassified_c__Clostridia</v>
          </cell>
          <cell r="I22846" t="str">
            <v>s__unclassified_c__Clostridia</v>
          </cell>
        </row>
        <row r="22847">
          <cell r="G22847" t="str">
            <v>ASV23531</v>
          </cell>
          <cell r="H22847" t="str">
            <v>g__unclassified_c__Clostridia</v>
          </cell>
          <cell r="I22847" t="str">
            <v>s__unclassified_c__Clostridia</v>
          </cell>
        </row>
        <row r="22848">
          <cell r="G22848" t="str">
            <v>ASV2787</v>
          </cell>
          <cell r="H22848" t="str">
            <v>g__UBA1819</v>
          </cell>
          <cell r="I22848" t="str">
            <v>s__unclassified_g__UBA1819</v>
          </cell>
        </row>
        <row r="22849">
          <cell r="G22849" t="str">
            <v>ASV1139</v>
          </cell>
          <cell r="H22849" t="str">
            <v>g__unclassified_f__Christensenellaceae</v>
          </cell>
          <cell r="I22849" t="str">
            <v>s__unclassified_f__Christensenellaceae</v>
          </cell>
        </row>
        <row r="22850">
          <cell r="G22850" t="str">
            <v>ASV21694</v>
          </cell>
          <cell r="H22850" t="str">
            <v>g__Escherichia-Shigella</v>
          </cell>
          <cell r="I22850" t="str">
            <v>s__unclassified_g__Escherichia-Shigella</v>
          </cell>
        </row>
        <row r="22851">
          <cell r="G22851" t="str">
            <v>ASV14701</v>
          </cell>
          <cell r="H22851" t="str">
            <v>g__norank_f__Eubacterium_coprostanoligenes_group</v>
          </cell>
          <cell r="I22851" t="str">
            <v>s__unclassified_g__norank_f__Eubacterium_coprostanoligenes_group</v>
          </cell>
        </row>
        <row r="22852">
          <cell r="G22852" t="str">
            <v>ASV9793</v>
          </cell>
          <cell r="H22852" t="str">
            <v>g__unclassified_f__Lachnospiraceae</v>
          </cell>
          <cell r="I22852" t="str">
            <v>s__unclassified_f__Lachnospiraceae</v>
          </cell>
        </row>
        <row r="22853">
          <cell r="G22853" t="str">
            <v>ASV9636</v>
          </cell>
          <cell r="H22853" t="str">
            <v>g__Escherichia-Shigella</v>
          </cell>
          <cell r="I22853" t="str">
            <v>s__unclassified_g__Escherichia-Shigella</v>
          </cell>
        </row>
        <row r="22854">
          <cell r="G22854" t="str">
            <v>ASV8099</v>
          </cell>
          <cell r="H22854" t="str">
            <v>g__Lactobacillus</v>
          </cell>
          <cell r="I22854" t="str">
            <v>s__unclassified_g__Lactobacillus</v>
          </cell>
        </row>
        <row r="22855">
          <cell r="G22855" t="str">
            <v>ASV1473</v>
          </cell>
          <cell r="H22855" t="str">
            <v>g__unclassified_c__Clostridia</v>
          </cell>
          <cell r="I22855" t="str">
            <v>s__unclassified_c__Clostridia</v>
          </cell>
        </row>
        <row r="22856">
          <cell r="G22856" t="str">
            <v>ASV10338</v>
          </cell>
          <cell r="H22856" t="str">
            <v>g__Denitrobacterium</v>
          </cell>
          <cell r="I22856" t="str">
            <v>s__Eggerthellaceae_bacterium_AT8</v>
          </cell>
        </row>
        <row r="22857">
          <cell r="G22857" t="str">
            <v>ASV9696</v>
          </cell>
          <cell r="H22857" t="str">
            <v>g__unclassified_p__Firmicutes</v>
          </cell>
          <cell r="I22857" t="str">
            <v>s__unclassified_p__Firmicutes</v>
          </cell>
        </row>
        <row r="22858">
          <cell r="G22858" t="str">
            <v>ASV1446</v>
          </cell>
          <cell r="H22858" t="str">
            <v>g__unclassified_f__Lachnospiraceae</v>
          </cell>
          <cell r="I22858" t="str">
            <v>s__unclassified_f__Lachnospiraceae</v>
          </cell>
        </row>
        <row r="22859">
          <cell r="G22859" t="str">
            <v>ASV8588</v>
          </cell>
          <cell r="H22859" t="str">
            <v>g__Howardella</v>
          </cell>
          <cell r="I22859" t="str">
            <v>s__unclassified_g__Howardella</v>
          </cell>
        </row>
        <row r="22860">
          <cell r="G22860" t="str">
            <v>ASV12167</v>
          </cell>
          <cell r="H22860" t="str">
            <v>g__unclassified_k__norank_d__Bacteria</v>
          </cell>
          <cell r="I22860" t="str">
            <v>s__unclassified_k__norank_d__Bacteria</v>
          </cell>
        </row>
        <row r="22861">
          <cell r="G22861" t="str">
            <v>ASV21552</v>
          </cell>
          <cell r="H22861" t="str">
            <v>g__Lachnospiraceae_UCG-010</v>
          </cell>
          <cell r="I22861" t="str">
            <v>s__uncultured_bacterium_g__Lachnospiraceae_UCG-010</v>
          </cell>
        </row>
        <row r="22862">
          <cell r="G22862" t="str">
            <v>ASV18443</v>
          </cell>
          <cell r="H22862" t="str">
            <v>g__unclassified_c__Clostridia</v>
          </cell>
          <cell r="I22862" t="str">
            <v>s__unclassified_c__Clostridia</v>
          </cell>
        </row>
        <row r="22863">
          <cell r="G22863" t="str">
            <v>ASV21684</v>
          </cell>
          <cell r="H22863" t="str">
            <v>g__Lactobacillus</v>
          </cell>
          <cell r="I22863" t="str">
            <v>s__unclassified_g__Lactobacillus</v>
          </cell>
        </row>
        <row r="22864">
          <cell r="G22864" t="str">
            <v>ASV16703</v>
          </cell>
          <cell r="H22864" t="str">
            <v>g__unclassified_c__Clostridia</v>
          </cell>
          <cell r="I22864" t="str">
            <v>s__unclassified_c__Clostridia</v>
          </cell>
        </row>
        <row r="22865">
          <cell r="G22865" t="str">
            <v>ASV16658</v>
          </cell>
          <cell r="H22865" t="str">
            <v>g__Rikenellaceae_RC9_gut_group</v>
          </cell>
          <cell r="I22865" t="str">
            <v>s__uncultured_bacterium_g__Rikenellaceae_RC9_gut_group</v>
          </cell>
        </row>
        <row r="22866">
          <cell r="G22866" t="str">
            <v>ASV12354</v>
          </cell>
          <cell r="H22866" t="str">
            <v>g__unclassified_f__Ruminococcaceae</v>
          </cell>
          <cell r="I22866" t="str">
            <v>s__unclassified_f__Ruminococcaceae</v>
          </cell>
        </row>
        <row r="22867">
          <cell r="G22867" t="str">
            <v>ASV12349</v>
          </cell>
          <cell r="H22867" t="str">
            <v>g__unclassified_f__Oscillospiraceae</v>
          </cell>
          <cell r="I22867" t="str">
            <v>s__unclassified_f__Oscillospiraceae</v>
          </cell>
        </row>
        <row r="22868">
          <cell r="G22868" t="str">
            <v>ASV18659</v>
          </cell>
          <cell r="H22868" t="str">
            <v>g__Parabacteroides</v>
          </cell>
          <cell r="I22868" t="str">
            <v>s__unclassified_g__Parabacteroides</v>
          </cell>
        </row>
        <row r="22869">
          <cell r="G22869" t="str">
            <v>ASV17562</v>
          </cell>
          <cell r="H22869" t="str">
            <v>g__Lactobacillus</v>
          </cell>
          <cell r="I22869" t="str">
            <v>s__unclassified_g__Lactobacillus</v>
          </cell>
        </row>
        <row r="22870">
          <cell r="G22870" t="str">
            <v>ASV18772</v>
          </cell>
          <cell r="H22870" t="str">
            <v>g__unclassified_f__Lachnospiraceae</v>
          </cell>
          <cell r="I22870" t="str">
            <v>s__unclassified_f__Lachnospiraceae</v>
          </cell>
        </row>
        <row r="22871">
          <cell r="G22871" t="str">
            <v>ASV2982</v>
          </cell>
          <cell r="H22871" t="str">
            <v>g__Streptococcus</v>
          </cell>
          <cell r="I22871" t="str">
            <v>s__unclassified_g__Streptococcus</v>
          </cell>
        </row>
        <row r="22872">
          <cell r="G22872" t="str">
            <v>ASV20323</v>
          </cell>
          <cell r="H22872" t="str">
            <v>g__unclassified_o__Lactobacillales</v>
          </cell>
          <cell r="I22872" t="str">
            <v>s__unclassified_o__Lactobacillales</v>
          </cell>
        </row>
        <row r="22873">
          <cell r="G22873" t="str">
            <v>ASV13136</v>
          </cell>
          <cell r="H22873" t="str">
            <v>g__Eubacterium_siraeum_group</v>
          </cell>
          <cell r="I22873" t="str">
            <v>s__uncultured_bacterium_g__Eubacterium_siraeum_group</v>
          </cell>
        </row>
        <row r="22874">
          <cell r="G22874" t="str">
            <v>ASV10855</v>
          </cell>
          <cell r="H22874" t="str">
            <v>g__Anaerococcus</v>
          </cell>
          <cell r="I22874" t="str">
            <v>s__unclassified_g__Anaerococcus</v>
          </cell>
        </row>
        <row r="22875">
          <cell r="G22875" t="str">
            <v>ASV18767</v>
          </cell>
          <cell r="H22875" t="str">
            <v>g__unclassified_f__Ruminococcaceae</v>
          </cell>
          <cell r="I22875" t="str">
            <v>s__unclassified_f__Ruminococcaceae</v>
          </cell>
        </row>
        <row r="22876">
          <cell r="G22876" t="str">
            <v>ASV9722</v>
          </cell>
          <cell r="H22876" t="str">
            <v>g__UCG-002</v>
          </cell>
          <cell r="I22876" t="str">
            <v>s__uncultured_bacterium_g__UCG-002</v>
          </cell>
        </row>
        <row r="22877">
          <cell r="G22877" t="str">
            <v>ASV16686</v>
          </cell>
          <cell r="H22877" t="str">
            <v>g__unclassified_f__Lachnospiraceae</v>
          </cell>
          <cell r="I22877" t="str">
            <v>s__unclassified_f__Lachnospiraceae</v>
          </cell>
        </row>
        <row r="22878">
          <cell r="G22878" t="str">
            <v>ASV10860</v>
          </cell>
          <cell r="H22878" t="str">
            <v>g__unclassified_f__Spirochaetaceae</v>
          </cell>
          <cell r="I22878" t="str">
            <v>s__unclassified_f__Spirochaetaceae</v>
          </cell>
        </row>
        <row r="22879">
          <cell r="G22879" t="str">
            <v>ASV18662</v>
          </cell>
          <cell r="H22879" t="str">
            <v>g__unclassified_k__norank_d__Bacteria</v>
          </cell>
          <cell r="I22879" t="str">
            <v>s__unclassified_k__norank_d__Bacteria</v>
          </cell>
        </row>
        <row r="22880">
          <cell r="G22880" t="str">
            <v>ASV13585</v>
          </cell>
          <cell r="H22880" t="str">
            <v>g__unclassified_c__Clostridia</v>
          </cell>
          <cell r="I22880" t="str">
            <v>s__unclassified_c__Clostridia</v>
          </cell>
        </row>
        <row r="22881">
          <cell r="G22881" t="str">
            <v>ASV6360</v>
          </cell>
          <cell r="H22881" t="str">
            <v>g__unclassified_c__Clostridia</v>
          </cell>
          <cell r="I22881" t="str">
            <v>s__unclassified_c__Clostridia</v>
          </cell>
        </row>
        <row r="22882">
          <cell r="G22882" t="str">
            <v>ASV14716</v>
          </cell>
          <cell r="H22882" t="str">
            <v>g__unclassified_o__Oscillospirales</v>
          </cell>
          <cell r="I22882" t="str">
            <v>s__unclassified_o__Oscillospirales</v>
          </cell>
        </row>
        <row r="22883">
          <cell r="G22883" t="str">
            <v>ASV24331</v>
          </cell>
          <cell r="H22883" t="str">
            <v>g__unclassified_c__Clostridia</v>
          </cell>
          <cell r="I22883" t="str">
            <v>s__unclassified_c__Clostridia</v>
          </cell>
        </row>
        <row r="22884">
          <cell r="G22884" t="str">
            <v>ASV15632</v>
          </cell>
          <cell r="H22884" t="str">
            <v>g__SP3-e08</v>
          </cell>
          <cell r="I22884" t="str">
            <v>s__uncultured_bacterium_g__SP3-e08</v>
          </cell>
        </row>
        <row r="22885">
          <cell r="G22885" t="str">
            <v>ASV1158</v>
          </cell>
          <cell r="H22885" t="str">
            <v>g__unclassified_k__norank_d__Bacteria</v>
          </cell>
          <cell r="I22885" t="str">
            <v>s__unclassified_k__norank_d__Bacteria</v>
          </cell>
        </row>
        <row r="22886">
          <cell r="G22886" t="str">
            <v>ASV10981</v>
          </cell>
          <cell r="H22886" t="str">
            <v>g__unclassified_f__Anaerovoracaceae</v>
          </cell>
          <cell r="I22886" t="str">
            <v>s__unclassified_f__Anaerovoracaceae</v>
          </cell>
        </row>
        <row r="22887">
          <cell r="G22887" t="str">
            <v>ASV9087</v>
          </cell>
          <cell r="H22887" t="str">
            <v>g__Alloprevotella</v>
          </cell>
          <cell r="I22887" t="str">
            <v>s__Prevotella_sp._canine_oral_taxon_282</v>
          </cell>
        </row>
        <row r="22888">
          <cell r="G22888" t="str">
            <v>ASV19957</v>
          </cell>
          <cell r="H22888" t="str">
            <v>g__Clostridium_sensu_stricto_1</v>
          </cell>
          <cell r="I22888" t="str">
            <v>s__unclassified_g__Clostridium_sensu_stricto_1</v>
          </cell>
        </row>
        <row r="22889">
          <cell r="G22889" t="str">
            <v>ASV1510</v>
          </cell>
          <cell r="H22889" t="str">
            <v>g__unclassified_c__Clostridia</v>
          </cell>
          <cell r="I22889" t="str">
            <v>s__unclassified_c__Clostridia</v>
          </cell>
        </row>
        <row r="22890">
          <cell r="G22890" t="str">
            <v>ASV19115</v>
          </cell>
          <cell r="H22890" t="str">
            <v>g__unclassified_f__Lachnospiraceae</v>
          </cell>
          <cell r="I22890" t="str">
            <v>s__unclassified_f__Lachnospiraceae</v>
          </cell>
        </row>
        <row r="22891">
          <cell r="G22891" t="str">
            <v>ASV13605</v>
          </cell>
          <cell r="H22891" t="str">
            <v>g__unclassified_f__Lachnospiraceae</v>
          </cell>
          <cell r="I22891" t="str">
            <v>s__unclassified_f__Lachnospiraceae</v>
          </cell>
        </row>
        <row r="22892">
          <cell r="G22892" t="str">
            <v>ASV12206</v>
          </cell>
          <cell r="H22892" t="str">
            <v>g__unclassified_p__Firmicutes</v>
          </cell>
          <cell r="I22892" t="str">
            <v>s__unclassified_p__Firmicutes</v>
          </cell>
        </row>
        <row r="22893">
          <cell r="G22893" t="str">
            <v>ASV12200</v>
          </cell>
          <cell r="H22893" t="str">
            <v>g__unclassified_o__Oscillospirales</v>
          </cell>
          <cell r="I22893" t="str">
            <v>s__unclassified_o__Oscillospirales</v>
          </cell>
        </row>
        <row r="22894">
          <cell r="G22894" t="str">
            <v>ASV22588</v>
          </cell>
          <cell r="H22894" t="str">
            <v>g__norank_f__Eubacterium_coprostanoligenes_group</v>
          </cell>
          <cell r="I22894" t="str">
            <v>s__uncultured_bacterium_g__norank_f__Eubacterium_coprostanoligenes_group</v>
          </cell>
        </row>
        <row r="22895">
          <cell r="G22895" t="str">
            <v>ASV13617</v>
          </cell>
          <cell r="H22895" t="str">
            <v>g__unclassified_f__Clostridiaceae</v>
          </cell>
          <cell r="I22895" t="str">
            <v>s__unclassified_f__Clostridiaceae</v>
          </cell>
        </row>
        <row r="22896">
          <cell r="G22896" t="str">
            <v>ASV20161</v>
          </cell>
          <cell r="H22896" t="str">
            <v>g__unclassified_c__Clostridia</v>
          </cell>
          <cell r="I22896" t="str">
            <v>s__unclassified_c__Clostridia</v>
          </cell>
        </row>
        <row r="22897">
          <cell r="G22897" t="str">
            <v>ASV6893</v>
          </cell>
          <cell r="H22897" t="str">
            <v>g__unclassified_f__Synergistaceae</v>
          </cell>
          <cell r="I22897" t="str">
            <v>s__unclassified_f__Synergistaceae</v>
          </cell>
        </row>
        <row r="22898">
          <cell r="G22898" t="str">
            <v>ASV6321</v>
          </cell>
          <cell r="H22898" t="str">
            <v>g__unclassified_c__Clostridia</v>
          </cell>
          <cell r="I22898" t="str">
            <v>s__unclassified_c__Clostridia</v>
          </cell>
        </row>
        <row r="22899">
          <cell r="G22899" t="str">
            <v>ASV14812</v>
          </cell>
          <cell r="H22899" t="str">
            <v>g__unclassified_k__norank_d__Bacteria</v>
          </cell>
          <cell r="I22899" t="str">
            <v>s__unclassified_k__norank_d__Bacteria</v>
          </cell>
        </row>
        <row r="22900">
          <cell r="G22900" t="str">
            <v>ASV1297</v>
          </cell>
          <cell r="H22900" t="str">
            <v>g__norank_f__Muribaculaceae</v>
          </cell>
          <cell r="I22900" t="str">
            <v>s__uncultured_bacterium_g__norank_f__Muribaculaceae</v>
          </cell>
        </row>
        <row r="22901">
          <cell r="G22901" t="str">
            <v>ASV16758</v>
          </cell>
          <cell r="H22901" t="str">
            <v>g__unclassified_k__norank_d__Bacteria</v>
          </cell>
          <cell r="I22901" t="str">
            <v>s__unclassified_k__norank_d__Bacteria</v>
          </cell>
        </row>
        <row r="22902">
          <cell r="G22902" t="str">
            <v>ASV2433</v>
          </cell>
          <cell r="H22902" t="str">
            <v>g__Turicibacter</v>
          </cell>
          <cell r="I22902" t="str">
            <v>s__uncultured_bacterium_g__Turicibacter</v>
          </cell>
        </row>
        <row r="22903">
          <cell r="G22903" t="str">
            <v>ASV12141</v>
          </cell>
          <cell r="H22903" t="str">
            <v>g__unclassified_k__norank_d__Bacteria</v>
          </cell>
          <cell r="I22903" t="str">
            <v>s__unclassified_k__norank_d__Bacteria</v>
          </cell>
        </row>
        <row r="22904">
          <cell r="G22904" t="str">
            <v>ASV21318</v>
          </cell>
          <cell r="H22904" t="str">
            <v>g__Peptococcus</v>
          </cell>
          <cell r="I22904" t="str">
            <v>s__uncultured_bacterium_g__Peptococcus</v>
          </cell>
        </row>
        <row r="22905">
          <cell r="G22905" t="str">
            <v>ASV1190</v>
          </cell>
          <cell r="H22905" t="str">
            <v>g__unclassified_c__Clostridia</v>
          </cell>
          <cell r="I22905" t="str">
            <v>s__unclassified_c__Clostridia</v>
          </cell>
        </row>
        <row r="22906">
          <cell r="G22906" t="str">
            <v>ASV12475</v>
          </cell>
          <cell r="H22906" t="str">
            <v>g__norank_f__Muribaculaceae</v>
          </cell>
          <cell r="I22906" t="str">
            <v>s__unclassified_g__norank_f__Muribaculaceae</v>
          </cell>
        </row>
        <row r="22907">
          <cell r="G22907" t="str">
            <v>ASV13865</v>
          </cell>
          <cell r="H22907" t="str">
            <v>g__Peptostreptococcus</v>
          </cell>
          <cell r="I22907" t="str">
            <v>s__unclassified_g__Peptostreptococcus</v>
          </cell>
        </row>
        <row r="22908">
          <cell r="G22908" t="str">
            <v>ASV9607</v>
          </cell>
          <cell r="H22908" t="str">
            <v>g__unclassified_k__norank_d__Bacteria</v>
          </cell>
          <cell r="I22908" t="str">
            <v>s__unclassified_k__norank_d__Bacteria</v>
          </cell>
        </row>
        <row r="22909">
          <cell r="G22909" t="str">
            <v>ASV6440</v>
          </cell>
          <cell r="H22909" t="str">
            <v>g__unclassified_k__norank_d__Bacteria</v>
          </cell>
          <cell r="I22909" t="str">
            <v>s__unclassified_k__norank_d__Bacteria</v>
          </cell>
        </row>
        <row r="22910">
          <cell r="G22910" t="str">
            <v>ASV3309</v>
          </cell>
          <cell r="H22910" t="str">
            <v>g__Fusobacterium</v>
          </cell>
          <cell r="I22910" t="str">
            <v>s__unclassified_g__Fusobacterium</v>
          </cell>
        </row>
        <row r="22911">
          <cell r="G22911" t="str">
            <v>ASV13851</v>
          </cell>
          <cell r="H22911" t="str">
            <v>g__unclassified_f__Lachnospiraceae</v>
          </cell>
          <cell r="I22911" t="str">
            <v>s__unclassified_f__Lachnospiraceae</v>
          </cell>
        </row>
        <row r="22912">
          <cell r="G22912" t="str">
            <v>ASV16581</v>
          </cell>
          <cell r="H22912" t="str">
            <v>g__unclassified_o__Bacteroidales</v>
          </cell>
          <cell r="I22912" t="str">
            <v>s__unclassified_o__Bacteroidales</v>
          </cell>
        </row>
        <row r="22913">
          <cell r="G22913" t="str">
            <v>ASV23889</v>
          </cell>
          <cell r="H22913" t="str">
            <v>g__unclassified_f__Oscillospiraceae</v>
          </cell>
          <cell r="I22913" t="str">
            <v>s__unclassified_f__Oscillospiraceae</v>
          </cell>
        </row>
        <row r="22914">
          <cell r="G22914" t="str">
            <v>ASV14823</v>
          </cell>
          <cell r="H22914" t="str">
            <v>g__Veillonella</v>
          </cell>
          <cell r="I22914" t="str">
            <v>s__unclassified_g__Veillonella</v>
          </cell>
        </row>
        <row r="22915">
          <cell r="G22915" t="str">
            <v>ASV24295</v>
          </cell>
          <cell r="H22915" t="str">
            <v>g__unclassified_c__Clostridia</v>
          </cell>
          <cell r="I22915" t="str">
            <v>s__unclassified_c__Clostridia</v>
          </cell>
        </row>
        <row r="22916">
          <cell r="G22916" t="str">
            <v>ASV13205</v>
          </cell>
          <cell r="H22916" t="str">
            <v>g__unclassified_c__Clostridia</v>
          </cell>
          <cell r="I22916" t="str">
            <v>s__unclassified_c__Clostridia</v>
          </cell>
        </row>
        <row r="22917">
          <cell r="G22917" t="str">
            <v>ASV9806</v>
          </cell>
          <cell r="H22917" t="str">
            <v>g__unclassified_p__Firmicutes</v>
          </cell>
          <cell r="I22917" t="str">
            <v>s__unclassified_p__Firmicutes</v>
          </cell>
        </row>
        <row r="22918">
          <cell r="G22918" t="str">
            <v>ASV20151</v>
          </cell>
          <cell r="H22918" t="str">
            <v>g__unclassified_c__Clostridia</v>
          </cell>
          <cell r="I22918" t="str">
            <v>s__unclassified_c__Clostridia</v>
          </cell>
        </row>
        <row r="22919">
          <cell r="G22919" t="str">
            <v>ASV5397</v>
          </cell>
          <cell r="H22919" t="str">
            <v>g__Eubacterium_ventriosum_group</v>
          </cell>
          <cell r="I22919" t="str">
            <v>s__uncultured_bacterium_g__Eubacterium_ventriosum_group</v>
          </cell>
        </row>
        <row r="22920">
          <cell r="G22920" t="str">
            <v>ASV9094</v>
          </cell>
          <cell r="H22920" t="str">
            <v>g__unclassified_f__Pasteurellaceae</v>
          </cell>
          <cell r="I22920" t="str">
            <v>s__unclassified_f__Pasteurellaceae</v>
          </cell>
        </row>
        <row r="22921">
          <cell r="G22921" t="str">
            <v>ASV13046</v>
          </cell>
          <cell r="H22921" t="str">
            <v>g__norank_f__norank_o__Clostridia_vadinBB60_group</v>
          </cell>
          <cell r="I22921" t="str">
            <v>s__uncultured_bacterium_g__norank_f__norank_o__Clostridia_vadinBB60_group</v>
          </cell>
        </row>
        <row r="22922">
          <cell r="G22922" t="str">
            <v>ASV1783</v>
          </cell>
          <cell r="H22922" t="str">
            <v>g__Lactobacillus</v>
          </cell>
          <cell r="I22922" t="str">
            <v>s__unclassified_g__Lactobacillus</v>
          </cell>
        </row>
        <row r="22923">
          <cell r="G22923" t="str">
            <v>ASV24336</v>
          </cell>
          <cell r="H22923" t="str">
            <v>g__Coprococcus</v>
          </cell>
          <cell r="I22923" t="str">
            <v>s__unclassified_g__Coprococcus</v>
          </cell>
        </row>
        <row r="22924">
          <cell r="G22924" t="str">
            <v>ASV14785</v>
          </cell>
          <cell r="H22924" t="str">
            <v>g__unclassified_f__Lachnospiraceae</v>
          </cell>
          <cell r="I22924" t="str">
            <v>s__unclassified_f__Lachnospiraceae</v>
          </cell>
        </row>
        <row r="22925">
          <cell r="G22925" t="str">
            <v>ASV8048</v>
          </cell>
          <cell r="H22925" t="str">
            <v>g__unclassified_f__Lachnospiraceae</v>
          </cell>
          <cell r="I22925" t="str">
            <v>s__unclassified_f__Lachnospiraceae</v>
          </cell>
        </row>
        <row r="22926">
          <cell r="G22926" t="str">
            <v>ASV8884</v>
          </cell>
          <cell r="H22926" t="str">
            <v>g__Pedobacter</v>
          </cell>
          <cell r="I22926" t="str">
            <v>s__unclassified_g__Pedobacter</v>
          </cell>
        </row>
        <row r="22927">
          <cell r="G22927" t="str">
            <v>ASV22626</v>
          </cell>
          <cell r="H22927" t="str">
            <v>g__unclassified_f__Lachnospiraceae</v>
          </cell>
          <cell r="I22927" t="str">
            <v>s__unclassified_f__Lachnospiraceae</v>
          </cell>
        </row>
        <row r="22928">
          <cell r="G22928" t="str">
            <v>ASV18953</v>
          </cell>
          <cell r="H22928" t="str">
            <v>g__unclassified_p__Firmicutes</v>
          </cell>
          <cell r="I22928" t="str">
            <v>s__unclassified_p__Firmicutes</v>
          </cell>
        </row>
        <row r="22929">
          <cell r="G22929" t="str">
            <v>ASV18402</v>
          </cell>
          <cell r="H22929" t="str">
            <v>g__unclassified_k__norank_d__Bacteria</v>
          </cell>
          <cell r="I22929" t="str">
            <v>s__unclassified_k__norank_d__Bacteria</v>
          </cell>
        </row>
        <row r="22930">
          <cell r="G22930" t="str">
            <v>ASV5316</v>
          </cell>
          <cell r="H22930" t="str">
            <v>g__unclassified_c__Clostridia</v>
          </cell>
          <cell r="I22930" t="str">
            <v>s__unclassified_c__Clostridia</v>
          </cell>
        </row>
        <row r="22931">
          <cell r="G22931" t="str">
            <v>ASV17330</v>
          </cell>
          <cell r="H22931" t="str">
            <v>g__Lactobacillus</v>
          </cell>
          <cell r="I22931" t="str">
            <v>s__unclassified_g__Lactobacillus</v>
          </cell>
        </row>
        <row r="22932">
          <cell r="G22932" t="str">
            <v>ASV21759</v>
          </cell>
          <cell r="H22932" t="str">
            <v>g__Phenylobacterium</v>
          </cell>
          <cell r="I22932" t="str">
            <v>s__unclassified_g__Phenylobacterium</v>
          </cell>
        </row>
        <row r="22933">
          <cell r="G22933" t="str">
            <v>ASV6208</v>
          </cell>
          <cell r="H22933" t="str">
            <v>g__unclassified_c__Clostridia</v>
          </cell>
          <cell r="I22933" t="str">
            <v>s__unclassified_c__Clostridia</v>
          </cell>
        </row>
        <row r="22934">
          <cell r="G22934" t="str">
            <v>ASV7118</v>
          </cell>
          <cell r="H22934" t="str">
            <v>g__Megasphaera</v>
          </cell>
          <cell r="I22934" t="str">
            <v>s__unclassified_g__Megasphaera</v>
          </cell>
        </row>
        <row r="22935">
          <cell r="G22935" t="str">
            <v>ASV23541</v>
          </cell>
          <cell r="H22935" t="str">
            <v>g__unclassified_c__Clostridia</v>
          </cell>
          <cell r="I22935" t="str">
            <v>s__unclassified_c__Clostridia</v>
          </cell>
        </row>
        <row r="22936">
          <cell r="G22936" t="str">
            <v>ASV15759</v>
          </cell>
          <cell r="H22936" t="str">
            <v>g__unclassified_f__Spirochaetaceae</v>
          </cell>
          <cell r="I22936" t="str">
            <v>s__unclassified_f__Spirochaetaceae</v>
          </cell>
        </row>
        <row r="22937">
          <cell r="G22937" t="str">
            <v>ASV3323</v>
          </cell>
          <cell r="H22937" t="str">
            <v>g__Lactobacillus</v>
          </cell>
          <cell r="I22937" t="str">
            <v>s__unclassified_g__Lactobacillus</v>
          </cell>
        </row>
        <row r="22938">
          <cell r="G22938" t="str">
            <v>ASV6436</v>
          </cell>
          <cell r="H22938" t="str">
            <v>g__unclassified_f__Lachnospiraceae</v>
          </cell>
          <cell r="I22938" t="str">
            <v>s__unclassified_f__Lachnospiraceae</v>
          </cell>
        </row>
        <row r="22939">
          <cell r="G22939" t="str">
            <v>ASV8160</v>
          </cell>
          <cell r="H22939" t="str">
            <v>g__Subdoligranulum</v>
          </cell>
          <cell r="I22939" t="str">
            <v>s__unclassified_g__Subdoligranulum</v>
          </cell>
        </row>
        <row r="22940">
          <cell r="G22940" t="str">
            <v>ASV17003</v>
          </cell>
          <cell r="H22940" t="str">
            <v>g__Parabacteroides</v>
          </cell>
          <cell r="I22940" t="str">
            <v>s__uncultured_bacterium_g__Parabacteroides</v>
          </cell>
        </row>
        <row r="22941">
          <cell r="G22941" t="str">
            <v>ASV1132</v>
          </cell>
          <cell r="H22941" t="str">
            <v>g__unclassified_c__Clostridia</v>
          </cell>
          <cell r="I22941" t="str">
            <v>s__unclassified_c__Clostridia</v>
          </cell>
        </row>
        <row r="22942">
          <cell r="G22942" t="str">
            <v>ASV17053</v>
          </cell>
          <cell r="H22942" t="str">
            <v>g__Lactobacillus</v>
          </cell>
          <cell r="I22942" t="str">
            <v>s__unclassified_g__Lactobacillus</v>
          </cell>
        </row>
        <row r="22943">
          <cell r="G22943" t="str">
            <v>ASV8220</v>
          </cell>
          <cell r="H22943" t="str">
            <v>g__unclassified_f__Lachnospiraceae</v>
          </cell>
          <cell r="I22943" t="str">
            <v>s__unclassified_f__Lachnospiraceae</v>
          </cell>
        </row>
        <row r="22944">
          <cell r="G22944" t="str">
            <v>ASV16644</v>
          </cell>
          <cell r="H22944" t="str">
            <v>g__Turicibacter</v>
          </cell>
          <cell r="I22944" t="str">
            <v>s__unclassified_g__Turicibacter</v>
          </cell>
        </row>
        <row r="22945">
          <cell r="G22945" t="str">
            <v>ASV22826</v>
          </cell>
          <cell r="H22945" t="str">
            <v>g__unclassified_f__Oscillospiraceae</v>
          </cell>
          <cell r="I22945" t="str">
            <v>s__unclassified_f__Oscillospiraceae</v>
          </cell>
        </row>
        <row r="22946">
          <cell r="G22946" t="str">
            <v>ASV6215</v>
          </cell>
          <cell r="H22946" t="str">
            <v>g__unclassified_c__Clostridia</v>
          </cell>
          <cell r="I22946" t="str">
            <v>s__unclassified_c__Clostridia</v>
          </cell>
        </row>
        <row r="22947">
          <cell r="G22947" t="str">
            <v>ASV19025</v>
          </cell>
          <cell r="H22947" t="str">
            <v>g__unclassified_f__Lachnospiraceae</v>
          </cell>
          <cell r="I22947" t="str">
            <v>s__unclassified_f__Lachnospiraceae</v>
          </cell>
        </row>
        <row r="22948">
          <cell r="G22948" t="str">
            <v>ASV2498</v>
          </cell>
          <cell r="H22948" t="str">
            <v>g__unclassified_f__Lachnospiraceae</v>
          </cell>
          <cell r="I22948" t="str">
            <v>s__unclassified_f__Lachnospiraceae</v>
          </cell>
        </row>
        <row r="22949">
          <cell r="G22949" t="str">
            <v>ASV5291</v>
          </cell>
          <cell r="H22949" t="str">
            <v>g__unclassified_c__Clostridia</v>
          </cell>
          <cell r="I22949" t="str">
            <v>s__unclassified_c__Clostridia</v>
          </cell>
        </row>
        <row r="22950">
          <cell r="G22950" t="str">
            <v>ASV1495</v>
          </cell>
          <cell r="H22950" t="str">
            <v>g__unclassified_o__Oscillospirales</v>
          </cell>
          <cell r="I22950" t="str">
            <v>s__unclassified_o__Oscillospirales</v>
          </cell>
        </row>
        <row r="22951">
          <cell r="G22951" t="str">
            <v>ASV2437</v>
          </cell>
          <cell r="H22951" t="str">
            <v>g__unclassified_c__Clostridia</v>
          </cell>
          <cell r="I22951" t="str">
            <v>s__unclassified_c__Clostridia</v>
          </cell>
        </row>
        <row r="22952">
          <cell r="G22952" t="str">
            <v>ASV14762</v>
          </cell>
          <cell r="H22952" t="str">
            <v>g__unclassified_f__Oscillospiraceae</v>
          </cell>
          <cell r="I22952" t="str">
            <v>s__unclassified_f__Oscillospiraceae</v>
          </cell>
        </row>
        <row r="22953">
          <cell r="G22953" t="str">
            <v>ASV14606</v>
          </cell>
          <cell r="H22953" t="str">
            <v>g__unclassified_k__norank_d__Bacteria</v>
          </cell>
          <cell r="I22953" t="str">
            <v>s__unclassified_k__norank_d__Bacteria</v>
          </cell>
        </row>
        <row r="22954">
          <cell r="G22954" t="str">
            <v>ASV6474</v>
          </cell>
          <cell r="H22954" t="str">
            <v>g__unclassified_f__Lachnospiraceae</v>
          </cell>
          <cell r="I22954" t="str">
            <v>s__unclassified_f__Lachnospiraceae</v>
          </cell>
        </row>
        <row r="22955">
          <cell r="G22955" t="str">
            <v>ASV23801</v>
          </cell>
          <cell r="H22955" t="str">
            <v>g__Streptococcus</v>
          </cell>
          <cell r="I22955" t="str">
            <v>s__unclassified_g__Streptococcus</v>
          </cell>
        </row>
        <row r="22956">
          <cell r="G22956" t="str">
            <v>ASV16137</v>
          </cell>
          <cell r="H22956" t="str">
            <v>g__Eubacterium_oxidoreducens_group</v>
          </cell>
          <cell r="I22956" t="str">
            <v>s__uncultured_bacterium_g__Eubacterium_oxidoreducens_group</v>
          </cell>
        </row>
        <row r="22957">
          <cell r="G22957" t="str">
            <v>ASV6921</v>
          </cell>
          <cell r="H22957" t="str">
            <v>g__unclassified_c__Clostridia</v>
          </cell>
          <cell r="I22957" t="str">
            <v>s__unclassified_c__Clostridia</v>
          </cell>
        </row>
        <row r="22958">
          <cell r="G22958" t="str">
            <v>ASV24018</v>
          </cell>
          <cell r="H22958" t="str">
            <v>g__Olsenella</v>
          </cell>
          <cell r="I22958" t="str">
            <v>s__unclassified_g__Olsenella</v>
          </cell>
        </row>
        <row r="22959">
          <cell r="G22959" t="str">
            <v>ASV19134</v>
          </cell>
          <cell r="H22959" t="str">
            <v>g__unclassified_f__Lachnospiraceae</v>
          </cell>
          <cell r="I22959" t="str">
            <v>s__unclassified_f__Lachnospiraceae</v>
          </cell>
        </row>
        <row r="22960">
          <cell r="G22960" t="str">
            <v>ASV8108</v>
          </cell>
          <cell r="H22960" t="str">
            <v>g__unclassified_f__Lachnospiraceae</v>
          </cell>
          <cell r="I22960" t="str">
            <v>s__unclassified_f__Lachnospiraceae</v>
          </cell>
        </row>
        <row r="22961">
          <cell r="G22961" t="str">
            <v>ASV18339</v>
          </cell>
          <cell r="H22961" t="str">
            <v>g__norank_f__norank_o__Clostridia_UCG-014</v>
          </cell>
          <cell r="I22961" t="str">
            <v>s__uncultured_bacterium_g__norank_f__norank_o__Clostridia_UCG-014</v>
          </cell>
        </row>
        <row r="22962">
          <cell r="G22962" t="str">
            <v>ASV10932</v>
          </cell>
          <cell r="H22962" t="str">
            <v>g__unclassified_f__Lachnospiraceae</v>
          </cell>
          <cell r="I22962" t="str">
            <v>s__unclassified_f__Lachnospiraceae</v>
          </cell>
        </row>
        <row r="22963">
          <cell r="G22963" t="str">
            <v>ASV13540</v>
          </cell>
          <cell r="H22963" t="str">
            <v>g__Clostridium_sensu_stricto_1</v>
          </cell>
          <cell r="I22963" t="str">
            <v>s__unclassified_g__Clostridium_sensu_stricto_1</v>
          </cell>
        </row>
        <row r="22964">
          <cell r="G22964" t="str">
            <v>ASV18360</v>
          </cell>
          <cell r="H22964" t="str">
            <v>g__unclassified_c__Clostridia</v>
          </cell>
          <cell r="I22964" t="str">
            <v>s__unclassified_c__Clostridia</v>
          </cell>
        </row>
        <row r="22965">
          <cell r="G22965" t="str">
            <v>ASV9844</v>
          </cell>
          <cell r="H22965" t="str">
            <v>g__unclassified_f__Lachnospiraceae</v>
          </cell>
          <cell r="I22965" t="str">
            <v>s__unclassified_f__Lachnospiraceae</v>
          </cell>
        </row>
        <row r="22966">
          <cell r="G22966" t="str">
            <v>ASV1343</v>
          </cell>
          <cell r="H22966" t="str">
            <v>g__unclassified_c__Clostridia</v>
          </cell>
          <cell r="I22966" t="str">
            <v>s__unclassified_c__Clostridia</v>
          </cell>
        </row>
        <row r="22967">
          <cell r="G22967" t="str">
            <v>ASV2427</v>
          </cell>
          <cell r="H22967" t="str">
            <v>g__unclassified_c__Clostridia</v>
          </cell>
          <cell r="I22967" t="str">
            <v>s__unclassified_c__Clostridia</v>
          </cell>
        </row>
        <row r="22968">
          <cell r="G22968" t="str">
            <v>ASV10362</v>
          </cell>
          <cell r="H22968" t="str">
            <v>g__Veillonella</v>
          </cell>
          <cell r="I22968" t="str">
            <v>s__unclassified_g__Veillonella</v>
          </cell>
        </row>
        <row r="22969">
          <cell r="G22969" t="str">
            <v>ASV1751</v>
          </cell>
          <cell r="H22969" t="str">
            <v>g__Treponema</v>
          </cell>
          <cell r="I22969" t="str">
            <v>s__unclassified_g__Treponema</v>
          </cell>
        </row>
        <row r="22970">
          <cell r="G22970" t="str">
            <v>ASV5373</v>
          </cell>
          <cell r="H22970" t="str">
            <v>g__Lachnospiraceae_NC2004_group</v>
          </cell>
          <cell r="I22970" t="str">
            <v>s__unclassified_g__Lachnospiraceae_NC2004_group</v>
          </cell>
        </row>
        <row r="22971">
          <cell r="G22971" t="str">
            <v>ASV18684</v>
          </cell>
          <cell r="H22971" t="str">
            <v>g__unclassified_c__Negativicutes</v>
          </cell>
          <cell r="I22971" t="str">
            <v>s__unclassified_c__Negativicutes</v>
          </cell>
        </row>
        <row r="22972">
          <cell r="G22972" t="str">
            <v>ASV22870</v>
          </cell>
          <cell r="H22972" t="str">
            <v>g__unclassified_o__Oscillospirales</v>
          </cell>
          <cell r="I22972" t="str">
            <v>s__unclassified_o__Oscillospirales</v>
          </cell>
        </row>
        <row r="22973">
          <cell r="G22973" t="str">
            <v>ASV16731</v>
          </cell>
          <cell r="H22973" t="str">
            <v>g__Clostridium_sensu_stricto_1</v>
          </cell>
          <cell r="I22973" t="str">
            <v>s__unclassified_g__Clostridium_sensu_stricto_1</v>
          </cell>
        </row>
        <row r="22974">
          <cell r="G22974" t="str">
            <v>ASV4309</v>
          </cell>
          <cell r="H22974" t="str">
            <v>g__Lactobacillus</v>
          </cell>
          <cell r="I22974" t="str">
            <v>s__unclassified_g__Lactobacillus</v>
          </cell>
        </row>
        <row r="22975">
          <cell r="G22975" t="str">
            <v>ASV10057</v>
          </cell>
          <cell r="H22975" t="str">
            <v>g__Angelakisella</v>
          </cell>
          <cell r="I22975" t="str">
            <v>s__unclassified_g__Angelakisella</v>
          </cell>
        </row>
        <row r="22976">
          <cell r="G22976" t="str">
            <v>ASV13055</v>
          </cell>
          <cell r="H22976" t="str">
            <v>g__unclassified_f__Pasteurellaceae</v>
          </cell>
          <cell r="I22976" t="str">
            <v>s__unclassified_f__Pasteurellaceae</v>
          </cell>
        </row>
        <row r="22977">
          <cell r="G22977" t="str">
            <v>ASV6185</v>
          </cell>
          <cell r="H22977" t="str">
            <v>g__unclassified_o__Oscillospirales</v>
          </cell>
          <cell r="I22977" t="str">
            <v>s__unclassified_o__Oscillospirales</v>
          </cell>
        </row>
        <row r="22978">
          <cell r="G22978" t="str">
            <v>ASV17630</v>
          </cell>
          <cell r="H22978" t="str">
            <v>g__Propionivibrio</v>
          </cell>
          <cell r="I22978" t="str">
            <v>s__Propionivibrio_sp._canine_oral_taxon_223</v>
          </cell>
        </row>
        <row r="22979">
          <cell r="G22979" t="str">
            <v>ASV20100</v>
          </cell>
          <cell r="H22979" t="str">
            <v>g__norank_f__Ruminococcaceae</v>
          </cell>
          <cell r="I22979" t="str">
            <v>s__unclassified_g__norank_f__Ruminococcaceae</v>
          </cell>
        </row>
        <row r="22980">
          <cell r="G22980" t="str">
            <v>ASV18728</v>
          </cell>
          <cell r="H22980" t="str">
            <v>g__Lactobacillus</v>
          </cell>
          <cell r="I22980" t="str">
            <v>s__unclassified_g__Lactobacillus</v>
          </cell>
        </row>
        <row r="22981">
          <cell r="G22981" t="str">
            <v>ASV23517</v>
          </cell>
          <cell r="H22981" t="str">
            <v>g__unclassified_f__Lachnospiraceae</v>
          </cell>
          <cell r="I22981" t="str">
            <v>s__unclassified_f__Lachnospiraceae</v>
          </cell>
        </row>
        <row r="22982">
          <cell r="G22982" t="str">
            <v>ASV21338</v>
          </cell>
          <cell r="H22982" t="str">
            <v>g__unclassified_c__Bacilli</v>
          </cell>
          <cell r="I22982" t="str">
            <v>s__unclassified_c__Bacilli</v>
          </cell>
        </row>
        <row r="22983">
          <cell r="G22983" t="str">
            <v>ASV2523</v>
          </cell>
          <cell r="H22983" t="str">
            <v>g__unclassified_c__Clostridia</v>
          </cell>
          <cell r="I22983" t="str">
            <v>s__unclassified_c__Clostridia</v>
          </cell>
        </row>
        <row r="22984">
          <cell r="G22984" t="str">
            <v>ASV21379</v>
          </cell>
          <cell r="H22984" t="str">
            <v>g__unclassified_c__Clostridia</v>
          </cell>
          <cell r="I22984" t="str">
            <v>s__unclassified_c__Clostridia</v>
          </cell>
        </row>
        <row r="22985">
          <cell r="G22985" t="str">
            <v>ASV20343</v>
          </cell>
          <cell r="H22985" t="str">
            <v>g__Streptococcus</v>
          </cell>
          <cell r="I22985" t="str">
            <v>s__unclassified_g__Streptococcus</v>
          </cell>
        </row>
        <row r="22986">
          <cell r="G22986" t="str">
            <v>ASV13223</v>
          </cell>
          <cell r="H22986" t="str">
            <v>g__unclassified_o__Oscillospirales</v>
          </cell>
          <cell r="I22986" t="str">
            <v>s__unclassified_o__Oscillospirales</v>
          </cell>
        </row>
        <row r="22987">
          <cell r="G22987" t="str">
            <v>ASV21127</v>
          </cell>
          <cell r="H22987" t="str">
            <v>g__unclassified_c__Clostridia</v>
          </cell>
          <cell r="I22987" t="str">
            <v>s__unclassified_c__Clostridia</v>
          </cell>
        </row>
        <row r="22988">
          <cell r="G22988" t="str">
            <v>ASV14679</v>
          </cell>
          <cell r="H22988" t="str">
            <v>g__unclassified_f__Ruminococcaceae</v>
          </cell>
          <cell r="I22988" t="str">
            <v>s__unclassified_f__Ruminococcaceae</v>
          </cell>
        </row>
        <row r="22989">
          <cell r="G22989" t="str">
            <v>ASV18718</v>
          </cell>
          <cell r="H22989" t="str">
            <v>g__unclassified_f__Anaerovoracaceae</v>
          </cell>
          <cell r="I22989" t="str">
            <v>s__unclassified_f__Anaerovoracaceae</v>
          </cell>
        </row>
        <row r="22990">
          <cell r="G22990" t="str">
            <v>ASV4368</v>
          </cell>
          <cell r="H22990" t="str">
            <v>g__norank_f__Eubacterium_coprostanoligenes_group</v>
          </cell>
          <cell r="I22990" t="str">
            <v>s__uncultured_bacterium_g__norank_f__Eubacterium_coprostanoligenes_group</v>
          </cell>
        </row>
        <row r="22991">
          <cell r="G22991" t="str">
            <v>ASV23558</v>
          </cell>
          <cell r="H22991" t="str">
            <v>g__unclassified_f__Ruminococcaceae</v>
          </cell>
          <cell r="I22991" t="str">
            <v>s__unclassified_f__Ruminococcaceae</v>
          </cell>
        </row>
        <row r="22992">
          <cell r="G22992" t="str">
            <v>ASV17091</v>
          </cell>
          <cell r="H22992" t="str">
            <v>g__Lactobacillus</v>
          </cell>
          <cell r="I22992" t="str">
            <v>s__unclassified_g__Lactobacillus</v>
          </cell>
        </row>
        <row r="22993">
          <cell r="G22993" t="str">
            <v>ASV1326</v>
          </cell>
          <cell r="H22993" t="str">
            <v>g__unclassified_c__Clostridia</v>
          </cell>
          <cell r="I22993" t="str">
            <v>s__unclassified_c__Clostridia</v>
          </cell>
        </row>
        <row r="22994">
          <cell r="G22994" t="str">
            <v>ASV1826</v>
          </cell>
          <cell r="H22994" t="str">
            <v>g__Escherichia-Shigella</v>
          </cell>
          <cell r="I22994" t="str">
            <v>s__unclassified_g__Escherichia-Shigella</v>
          </cell>
        </row>
        <row r="22995">
          <cell r="G22995" t="str">
            <v>ASV12038</v>
          </cell>
          <cell r="H22995" t="str">
            <v>g__unclassified_k__norank_d__Bacteria</v>
          </cell>
          <cell r="I22995" t="str">
            <v>s__unclassified_k__norank_d__Bacteria</v>
          </cell>
        </row>
        <row r="22996">
          <cell r="G22996" t="str">
            <v>ASV14914</v>
          </cell>
          <cell r="H22996" t="str">
            <v>g__norank_f__Muribaculaceae</v>
          </cell>
          <cell r="I22996" t="str">
            <v>s__uncultured_bacterium_g__norank_f__Muribaculaceae</v>
          </cell>
        </row>
        <row r="22997">
          <cell r="G22997" t="str">
            <v>ASV8150</v>
          </cell>
          <cell r="H22997" t="str">
            <v>g__Streptococcus</v>
          </cell>
          <cell r="I22997" t="str">
            <v>s__unclassified_g__Streptococcus</v>
          </cell>
        </row>
        <row r="22998">
          <cell r="G22998" t="str">
            <v>ASV24286</v>
          </cell>
          <cell r="H22998" t="str">
            <v>g__unclassified_c__Bacilli</v>
          </cell>
          <cell r="I22998" t="str">
            <v>s__unclassified_c__Bacilli</v>
          </cell>
        </row>
        <row r="22999">
          <cell r="G22999" t="str">
            <v>ASV2795</v>
          </cell>
          <cell r="H22999" t="str">
            <v>g__Lactococcus</v>
          </cell>
          <cell r="I22999" t="str">
            <v>s__Lactococcus_raffinolactis</v>
          </cell>
        </row>
        <row r="23000">
          <cell r="G23000" t="str">
            <v>ASV1421</v>
          </cell>
          <cell r="H23000" t="str">
            <v>g__unclassified_f__Peptostreptococcaceae</v>
          </cell>
          <cell r="I23000" t="str">
            <v>s__unclassified_f__Peptostreptococcaceae</v>
          </cell>
        </row>
        <row r="23001">
          <cell r="G23001" t="str">
            <v>ASV20069</v>
          </cell>
          <cell r="H23001" t="str">
            <v>g__Lachnospiraceae_NC2004_group</v>
          </cell>
          <cell r="I23001" t="str">
            <v>s__uncultured_bacterium_g__Lachnospiraceae_NC2004_group</v>
          </cell>
        </row>
        <row r="23002">
          <cell r="G23002" t="str">
            <v>ASV8088</v>
          </cell>
          <cell r="H23002" t="str">
            <v>g__norank_f__UCG-010</v>
          </cell>
          <cell r="I23002" t="str">
            <v>s__uncultured_bacterium_g__norank_f__UCG-010</v>
          </cell>
        </row>
        <row r="23003">
          <cell r="G23003" t="str">
            <v>ASV18244</v>
          </cell>
          <cell r="H23003" t="str">
            <v>g__Bacteroides</v>
          </cell>
          <cell r="I23003" t="str">
            <v>s__unclassified_g__Bacteroides</v>
          </cell>
        </row>
        <row r="23004">
          <cell r="G23004" t="str">
            <v>ASV6310</v>
          </cell>
          <cell r="H23004" t="str">
            <v>g__Escherichia-Shigella</v>
          </cell>
          <cell r="I23004" t="str">
            <v>s__unclassified_g__Escherichia-Shigella</v>
          </cell>
        </row>
        <row r="23005">
          <cell r="G23005" t="str">
            <v>ASV1385</v>
          </cell>
          <cell r="H23005" t="str">
            <v>g__unclassified_f__Oscillospiraceae</v>
          </cell>
          <cell r="I23005" t="str">
            <v>s__unclassified_f__Oscillospiraceae</v>
          </cell>
        </row>
        <row r="23006">
          <cell r="G23006" t="str">
            <v>ASV15617</v>
          </cell>
          <cell r="H23006" t="str">
            <v>g__Turicibacter</v>
          </cell>
          <cell r="I23006" t="str">
            <v>s__unclassified_g__Turicibacter</v>
          </cell>
        </row>
        <row r="23007">
          <cell r="G23007" t="str">
            <v>ASV6366</v>
          </cell>
          <cell r="H23007" t="str">
            <v>g__unclassified_f__Anaerovoracaceae</v>
          </cell>
          <cell r="I23007" t="str">
            <v>s__unclassified_f__Anaerovoracaceae</v>
          </cell>
        </row>
        <row r="23008">
          <cell r="G23008" t="str">
            <v>ASV23671</v>
          </cell>
          <cell r="H23008" t="str">
            <v>g__unclassified_c__Clostridia</v>
          </cell>
          <cell r="I23008" t="str">
            <v>s__unclassified_c__Clostridia</v>
          </cell>
        </row>
        <row r="23009">
          <cell r="G23009" t="str">
            <v>ASV1101</v>
          </cell>
          <cell r="H23009" t="str">
            <v>g__Actinomyces</v>
          </cell>
          <cell r="I23009" t="str">
            <v>s__unclassified_g__Actinomyces</v>
          </cell>
        </row>
        <row r="23010">
          <cell r="G23010" t="str">
            <v>ASV8214</v>
          </cell>
          <cell r="H23010" t="str">
            <v>g__Romboutsia</v>
          </cell>
          <cell r="I23010" t="str">
            <v>s__unclassified_g__Romboutsia</v>
          </cell>
        </row>
        <row r="23011">
          <cell r="G23011" t="str">
            <v>ASV12355</v>
          </cell>
          <cell r="H23011" t="str">
            <v>g__unclassified_f__Lachnospiraceae</v>
          </cell>
          <cell r="I23011" t="str">
            <v>s__unclassified_f__Lachnospiraceae</v>
          </cell>
        </row>
        <row r="23012">
          <cell r="G23012" t="str">
            <v>ASV22686</v>
          </cell>
          <cell r="H23012" t="str">
            <v>g__unclassified_c__Clostridia</v>
          </cell>
          <cell r="I23012" t="str">
            <v>s__unclassified_c__Clostridia</v>
          </cell>
        </row>
        <row r="23013">
          <cell r="G23013" t="str">
            <v>ASV14834</v>
          </cell>
          <cell r="H23013" t="str">
            <v>g__unclassified_f__Lachnospiraceae</v>
          </cell>
          <cell r="I23013" t="str">
            <v>s__unclassified_f__Lachnospiraceae</v>
          </cell>
        </row>
        <row r="23014">
          <cell r="G23014" t="str">
            <v>ASV21757</v>
          </cell>
          <cell r="H23014" t="str">
            <v>g__Luteimonas</v>
          </cell>
          <cell r="I23014" t="str">
            <v>s__unclassified_g__Luteimonas</v>
          </cell>
        </row>
        <row r="23015">
          <cell r="G23015" t="str">
            <v>ASV10999</v>
          </cell>
          <cell r="H23015" t="str">
            <v>g__norank_f__Eubacterium_coprostanoligenes_group</v>
          </cell>
          <cell r="I23015" t="str">
            <v>s__uncultured_bacterium_g__norank_f__Eubacterium_coprostanoligenes_group</v>
          </cell>
        </row>
        <row r="23016">
          <cell r="G23016" t="str">
            <v>ASV23565</v>
          </cell>
          <cell r="H23016" t="str">
            <v>g__Clostridium_sensu_stricto_1</v>
          </cell>
          <cell r="I23016" t="str">
            <v>s__unclassified_g__Clostridium_sensu_stricto_1</v>
          </cell>
        </row>
        <row r="23017">
          <cell r="G23017" t="str">
            <v>ASV12164</v>
          </cell>
          <cell r="H23017" t="str">
            <v>g__Monoglobus</v>
          </cell>
          <cell r="I23017" t="str">
            <v>s__unclassified_g__Monoglobus</v>
          </cell>
        </row>
        <row r="23018">
          <cell r="G23018" t="str">
            <v>ASV13169</v>
          </cell>
          <cell r="H23018" t="str">
            <v>g__Collinsella</v>
          </cell>
          <cell r="I23018" t="str">
            <v>s__unclassified_g__Collinsella</v>
          </cell>
        </row>
        <row r="23019">
          <cell r="G23019" t="str">
            <v>ASV2462</v>
          </cell>
          <cell r="H23019" t="str">
            <v>g__unclassified_c__Clostridia</v>
          </cell>
          <cell r="I23019" t="str">
            <v>s__unclassified_c__Clostridia</v>
          </cell>
        </row>
        <row r="23020">
          <cell r="G23020" t="str">
            <v>ASV15097</v>
          </cell>
          <cell r="H23020" t="str">
            <v>g__unclassified_k__norank_d__Bacteria</v>
          </cell>
          <cell r="I23020" t="str">
            <v>s__unclassified_k__norank_d__Bacteria</v>
          </cell>
        </row>
        <row r="23021">
          <cell r="G23021" t="str">
            <v>ASV12999</v>
          </cell>
          <cell r="H23021" t="str">
            <v>g__norank_f__UCG-011</v>
          </cell>
          <cell r="I23021" t="str">
            <v>s__uncultured_bacterium_g__norank_f__UCG-011</v>
          </cell>
        </row>
        <row r="23022">
          <cell r="G23022" t="str">
            <v>ASV22726</v>
          </cell>
          <cell r="H23022" t="str">
            <v>g__unclassified_f__Clostridiaceae</v>
          </cell>
          <cell r="I23022" t="str">
            <v>s__unclassified_f__Clostridiaceae</v>
          </cell>
        </row>
        <row r="23023">
          <cell r="G23023" t="str">
            <v>ASV14843</v>
          </cell>
          <cell r="H23023" t="str">
            <v>g__Ruminococcus</v>
          </cell>
          <cell r="I23023" t="str">
            <v>s__unclassified_g__Ruminococcus</v>
          </cell>
        </row>
        <row r="23024">
          <cell r="G23024" t="str">
            <v>ASV8898</v>
          </cell>
          <cell r="H23024" t="str">
            <v>g__unclassified_f__Comamonadaceae</v>
          </cell>
          <cell r="I23024" t="str">
            <v>s__unclassified_f__Comamonadaceae</v>
          </cell>
        </row>
        <row r="23025">
          <cell r="G23025" t="str">
            <v>ASV20113</v>
          </cell>
          <cell r="H23025" t="str">
            <v>g__unclassified_c__Bacilli</v>
          </cell>
          <cell r="I23025" t="str">
            <v>s__unclassified_c__Bacilli</v>
          </cell>
        </row>
        <row r="23026">
          <cell r="G23026" t="str">
            <v>ASV17576</v>
          </cell>
          <cell r="H23026" t="str">
            <v>g__norank_f__JG30-KF-CM45</v>
          </cell>
          <cell r="I23026" t="str">
            <v>s__unclassified_g__norank_f__JG30-KF-CM45</v>
          </cell>
        </row>
        <row r="23027">
          <cell r="G23027" t="str">
            <v>ASV6168</v>
          </cell>
          <cell r="H23027" t="str">
            <v>g__Faecalibacterium</v>
          </cell>
          <cell r="I23027" t="str">
            <v>s__unclassified_g__Faecalibacterium</v>
          </cell>
        </row>
        <row r="23028">
          <cell r="G23028" t="str">
            <v>ASV8049</v>
          </cell>
          <cell r="H23028" t="str">
            <v>g__unclassified_c__Clostridia</v>
          </cell>
          <cell r="I23028" t="str">
            <v>s__unclassified_c__Clostridia</v>
          </cell>
        </row>
        <row r="23029">
          <cell r="G23029" t="str">
            <v>ASV14742</v>
          </cell>
          <cell r="H23029" t="str">
            <v>g__Lactobacillus</v>
          </cell>
          <cell r="I23029" t="str">
            <v>s__unclassified_g__Lactobacillus</v>
          </cell>
        </row>
        <row r="23030">
          <cell r="G23030" t="str">
            <v>ASV3278</v>
          </cell>
          <cell r="H23030" t="str">
            <v>g__unclassified_p__Firmicutes</v>
          </cell>
          <cell r="I23030" t="str">
            <v>s__unclassified_p__Firmicutes</v>
          </cell>
        </row>
        <row r="23031">
          <cell r="G23031" t="str">
            <v>ASV18398</v>
          </cell>
          <cell r="H23031" t="str">
            <v>g__unclassified_c__Clostridia</v>
          </cell>
          <cell r="I23031" t="str">
            <v>s__unclassified_c__Clostridia</v>
          </cell>
        </row>
        <row r="23032">
          <cell r="G23032" t="str">
            <v>ASV16580</v>
          </cell>
          <cell r="H23032" t="str">
            <v>g__unclassified_c__Clostridia</v>
          </cell>
          <cell r="I23032" t="str">
            <v>s__unclassified_c__Clostridia</v>
          </cell>
        </row>
        <row r="23033">
          <cell r="G23033" t="str">
            <v>ASV16136</v>
          </cell>
          <cell r="H23033" t="str">
            <v>g__Subdoligranulum</v>
          </cell>
          <cell r="I23033" t="str">
            <v>s__unclassified_g__Subdoligranulum</v>
          </cell>
        </row>
        <row r="23034">
          <cell r="G23034" t="str">
            <v>ASV22628</v>
          </cell>
          <cell r="H23034" t="str">
            <v>g__unclassified_c__Clostridia</v>
          </cell>
          <cell r="I23034" t="str">
            <v>s__unclassified_c__Clostridia</v>
          </cell>
        </row>
        <row r="23035">
          <cell r="G23035" t="str">
            <v>ASV5141</v>
          </cell>
          <cell r="H23035" t="str">
            <v>g__norank_f__Eubacterium_coprostanoligenes_group</v>
          </cell>
          <cell r="I23035" t="str">
            <v>s__uncultured_bacterium_g__norank_f__Eubacterium_coprostanoligenes_group</v>
          </cell>
        </row>
        <row r="23036">
          <cell r="G23036" t="str">
            <v>ASV19869</v>
          </cell>
          <cell r="H23036" t="str">
            <v>g__Actinomyces</v>
          </cell>
          <cell r="I23036" t="str">
            <v>s__unclassified_g__Actinomyces</v>
          </cell>
        </row>
        <row r="23037">
          <cell r="G23037" t="str">
            <v>ASV9719</v>
          </cell>
          <cell r="H23037" t="str">
            <v>g__norank_f__Erysipelotrichaceae</v>
          </cell>
          <cell r="I23037" t="str">
            <v>s__uncultured_bacterium_g__norank_f__Erysipelotrichaceae</v>
          </cell>
        </row>
        <row r="23038">
          <cell r="G23038" t="str">
            <v>ASV22635</v>
          </cell>
          <cell r="H23038" t="str">
            <v>g__Lactobacillus</v>
          </cell>
          <cell r="I23038" t="str">
            <v>s__unclassified_g__Lactobacillus</v>
          </cell>
        </row>
        <row r="23039">
          <cell r="G23039" t="str">
            <v>ASV1771</v>
          </cell>
          <cell r="H23039" t="str">
            <v>g__norank_f__Eubacterium_coprostanoligenes_group</v>
          </cell>
          <cell r="I23039" t="str">
            <v>s__uncultured_bacterium_g__norank_f__Eubacterium_coprostanoligenes_group</v>
          </cell>
        </row>
        <row r="23040">
          <cell r="G23040" t="str">
            <v>ASV16098</v>
          </cell>
          <cell r="H23040" t="str">
            <v>g__unclassified_p__Firmicutes</v>
          </cell>
          <cell r="I23040" t="str">
            <v>s__unclassified_p__Firmicutes</v>
          </cell>
        </row>
        <row r="23041">
          <cell r="G23041" t="str">
            <v>ASV1358</v>
          </cell>
          <cell r="H23041" t="str">
            <v>g__Turicibacter</v>
          </cell>
          <cell r="I23041" t="str">
            <v>s__uncultured_bacterium_g__Turicibacter</v>
          </cell>
        </row>
        <row r="23042">
          <cell r="G23042" t="str">
            <v>ASV18672</v>
          </cell>
          <cell r="H23042" t="str">
            <v>g__Fusobacterium</v>
          </cell>
          <cell r="I23042" t="str">
            <v>s__unclassified_g__Fusobacterium</v>
          </cell>
        </row>
        <row r="23043">
          <cell r="G23043" t="str">
            <v>ASV6851</v>
          </cell>
          <cell r="H23043" t="str">
            <v>g__unclassified_p__Firmicutes</v>
          </cell>
          <cell r="I23043" t="str">
            <v>s__unclassified_p__Firmicutes</v>
          </cell>
        </row>
        <row r="23044">
          <cell r="G23044" t="str">
            <v>ASV2512</v>
          </cell>
          <cell r="H23044" t="str">
            <v>g__unclassified_f__Selenomonadaceae</v>
          </cell>
          <cell r="I23044" t="str">
            <v>s__unclassified_f__Selenomonadaceae</v>
          </cell>
        </row>
        <row r="23045">
          <cell r="G23045" t="str">
            <v>ASV3353</v>
          </cell>
          <cell r="H23045" t="str">
            <v>g__Collinsella</v>
          </cell>
          <cell r="I23045" t="str">
            <v>s__unclassified_g__Collinsella</v>
          </cell>
        </row>
        <row r="23046">
          <cell r="G23046" t="str">
            <v>ASV20176</v>
          </cell>
          <cell r="H23046" t="str">
            <v>g__unclassified_o__Bacteroidales</v>
          </cell>
          <cell r="I23046" t="str">
            <v>s__unclassified_o__Bacteroidales</v>
          </cell>
        </row>
        <row r="23047">
          <cell r="G23047" t="str">
            <v>ASV22709</v>
          </cell>
          <cell r="H23047" t="str">
            <v>g__unclassified_c__Clostridia</v>
          </cell>
          <cell r="I23047" t="str">
            <v>s__unclassified_c__Clostridia</v>
          </cell>
        </row>
        <row r="23048">
          <cell r="G23048" t="str">
            <v>ASV13839</v>
          </cell>
          <cell r="H23048" t="str">
            <v>g__unclassified_p__Firmicutes</v>
          </cell>
          <cell r="I23048" t="str">
            <v>s__unclassified_p__Firmicutes</v>
          </cell>
        </row>
        <row r="23049">
          <cell r="G23049" t="str">
            <v>ASV16728</v>
          </cell>
          <cell r="H23049" t="str">
            <v>g__unclassified_f__Oscillospiraceae</v>
          </cell>
          <cell r="I23049" t="str">
            <v>s__unclassified_f__Oscillospiraceae</v>
          </cell>
        </row>
        <row r="23050">
          <cell r="G23050" t="str">
            <v>ASV1413</v>
          </cell>
          <cell r="H23050" t="str">
            <v>g__Eubacterium_oxidoreducens_group</v>
          </cell>
          <cell r="I23050" t="str">
            <v>s__uncultured_bacterium_g__Eubacterium_oxidoreducens_group</v>
          </cell>
        </row>
        <row r="23051">
          <cell r="G23051" t="str">
            <v>ASV4300</v>
          </cell>
          <cell r="H23051" t="str">
            <v>g__unclassified_f__Prevotellaceae</v>
          </cell>
          <cell r="I23051" t="str">
            <v>s__unclassified_f__Prevotellaceae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63"/>
  <sheetViews>
    <sheetView tabSelected="1" topLeftCell="A55" workbookViewId="0">
      <selection activeCell="D71" sqref="D71"/>
    </sheetView>
  </sheetViews>
  <sheetFormatPr defaultColWidth="9.02654867256637" defaultRowHeight="13.5"/>
  <cols>
    <col min="2" max="3" width="12.7964601769912"/>
    <col min="6" max="42" width="12.7964601769912"/>
    <col min="43" max="43" width="11.6637168141593"/>
    <col min="44" max="46" width="12.7964601769912"/>
    <col min="47" max="47" width="11.6637168141593"/>
  </cols>
  <sheetData>
    <row r="1" spans="2:47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s="22" t="s">
        <v>42</v>
      </c>
      <c r="AS1" s="22" t="s">
        <v>43</v>
      </c>
      <c r="AT1" s="23" t="s">
        <v>44</v>
      </c>
      <c r="AU1" s="23" t="s">
        <v>45</v>
      </c>
    </row>
    <row r="2" spans="1:47">
      <c r="A2" t="s">
        <v>46</v>
      </c>
      <c r="B2">
        <v>1.534493305</v>
      </c>
      <c r="C2">
        <v>1.552724953</v>
      </c>
      <c r="D2">
        <v>0</v>
      </c>
      <c r="E2">
        <v>1.095624457</v>
      </c>
      <c r="F2">
        <v>1.100300903</v>
      </c>
      <c r="G2">
        <v>1.518749091</v>
      </c>
      <c r="H2">
        <v>1.559194631</v>
      </c>
      <c r="I2">
        <v>1.529664803</v>
      </c>
      <c r="J2">
        <v>1.23506207</v>
      </c>
      <c r="K2">
        <v>1.384437477</v>
      </c>
      <c r="L2">
        <v>0.86034145</v>
      </c>
      <c r="M2">
        <v>1.418329847</v>
      </c>
      <c r="N2">
        <v>1.178963893</v>
      </c>
      <c r="O2">
        <v>1.119021518</v>
      </c>
      <c r="P2">
        <v>1.115887297</v>
      </c>
      <c r="Q2">
        <v>0.457275548</v>
      </c>
      <c r="R2">
        <v>1.208842924</v>
      </c>
      <c r="S2">
        <v>1.044384855</v>
      </c>
      <c r="T2">
        <v>1.121476758</v>
      </c>
      <c r="U2">
        <v>1.552148951</v>
      </c>
      <c r="V2">
        <v>0.509284228</v>
      </c>
      <c r="W2">
        <v>0.889900396</v>
      </c>
      <c r="X2">
        <v>1.281806365</v>
      </c>
      <c r="Y2">
        <v>0.945444234</v>
      </c>
      <c r="Z2">
        <v>0.517712976</v>
      </c>
      <c r="AA2">
        <v>0.326216844</v>
      </c>
      <c r="AB2">
        <v>1.068537829</v>
      </c>
      <c r="AC2">
        <v>1.070551173</v>
      </c>
      <c r="AD2">
        <v>1.620527843</v>
      </c>
      <c r="AE2">
        <v>1.527847325</v>
      </c>
      <c r="AF2">
        <v>1.25266769</v>
      </c>
      <c r="AG2">
        <v>1.67837617</v>
      </c>
      <c r="AH2">
        <v>1.597018402</v>
      </c>
      <c r="AI2">
        <v>1.4902614</v>
      </c>
      <c r="AJ2">
        <v>0.929822589</v>
      </c>
      <c r="AK2">
        <v>1.364296081</v>
      </c>
      <c r="AL2">
        <v>1.274511457</v>
      </c>
      <c r="AM2">
        <v>1.798510801</v>
      </c>
      <c r="AN2">
        <v>0.844339096</v>
      </c>
      <c r="AO2">
        <v>0.754926873</v>
      </c>
      <c r="AP2">
        <v>1.684311807</v>
      </c>
      <c r="AQ2">
        <v>0.880846873</v>
      </c>
      <c r="AR2">
        <v>0.824203329</v>
      </c>
      <c r="AS2">
        <v>0.847612247</v>
      </c>
      <c r="AT2">
        <v>0.72913694</v>
      </c>
      <c r="AU2">
        <v>0.728899253</v>
      </c>
    </row>
    <row r="3" spans="1:47">
      <c r="A3" t="s">
        <v>47</v>
      </c>
      <c r="B3">
        <v>1.105657285</v>
      </c>
      <c r="C3">
        <v>0.441915228</v>
      </c>
      <c r="D3">
        <v>1.327664497</v>
      </c>
      <c r="E3">
        <v>0</v>
      </c>
      <c r="F3">
        <v>0.449656493</v>
      </c>
      <c r="G3">
        <v>0.331130559</v>
      </c>
      <c r="H3">
        <v>0.418200661</v>
      </c>
      <c r="I3">
        <v>1.094758251</v>
      </c>
      <c r="J3">
        <v>0.493878566</v>
      </c>
      <c r="K3">
        <v>0.348299414</v>
      </c>
      <c r="L3">
        <v>0.747774481</v>
      </c>
      <c r="M3">
        <v>0.261503299</v>
      </c>
      <c r="N3">
        <v>0.237111856</v>
      </c>
      <c r="O3">
        <v>0.837261066</v>
      </c>
      <c r="P3">
        <v>1.054861258</v>
      </c>
      <c r="Q3">
        <v>1.63685379</v>
      </c>
      <c r="R3">
        <v>0.668316591</v>
      </c>
      <c r="S3">
        <v>0.952156968</v>
      </c>
      <c r="T3">
        <v>0.939241786</v>
      </c>
      <c r="U3">
        <v>0.441873112</v>
      </c>
      <c r="V3">
        <v>1.316601448</v>
      </c>
      <c r="W3">
        <v>0.946394499</v>
      </c>
      <c r="X3">
        <v>0.80780773</v>
      </c>
      <c r="Y3">
        <v>0.83513347</v>
      </c>
      <c r="Z3">
        <v>1.293171255</v>
      </c>
      <c r="AA3">
        <v>1.565343466</v>
      </c>
      <c r="AB3">
        <v>1.036747102</v>
      </c>
      <c r="AC3">
        <v>1.055835897</v>
      </c>
      <c r="AD3">
        <v>0.304170037</v>
      </c>
      <c r="AE3">
        <v>0.418534261</v>
      </c>
      <c r="AF3">
        <v>0.465672134</v>
      </c>
      <c r="AG3">
        <v>0.275587795</v>
      </c>
      <c r="AH3">
        <v>0.564255402</v>
      </c>
      <c r="AI3">
        <v>0.937562261</v>
      </c>
      <c r="AJ3">
        <v>0.963514197</v>
      </c>
      <c r="AK3">
        <v>0.633902093</v>
      </c>
      <c r="AL3">
        <v>0.656988222</v>
      </c>
      <c r="AM3">
        <v>0.574166527</v>
      </c>
      <c r="AN3">
        <v>0.766514567</v>
      </c>
      <c r="AO3">
        <v>1.131170284</v>
      </c>
      <c r="AP3">
        <v>0.26299282</v>
      </c>
      <c r="AQ3">
        <v>0.719515582</v>
      </c>
      <c r="AR3">
        <v>1.095302467</v>
      </c>
      <c r="AS3">
        <v>1.07553091</v>
      </c>
      <c r="AT3">
        <v>1.209384858</v>
      </c>
      <c r="AU3">
        <v>1.211784364</v>
      </c>
    </row>
    <row r="4" spans="1:47">
      <c r="A4" t="s">
        <v>48</v>
      </c>
      <c r="B4">
        <v>0.465506695</v>
      </c>
      <c r="C4">
        <v>0.447275047</v>
      </c>
      <c r="D4">
        <v>0</v>
      </c>
      <c r="E4">
        <v>0.904375543</v>
      </c>
      <c r="F4">
        <v>0.899699097</v>
      </c>
      <c r="G4">
        <v>0.481250909</v>
      </c>
      <c r="H4">
        <v>0.440805369</v>
      </c>
      <c r="I4">
        <v>0.470335197</v>
      </c>
      <c r="J4">
        <v>0.76493793</v>
      </c>
      <c r="K4">
        <v>0.615562523</v>
      </c>
      <c r="L4">
        <v>1.13965855</v>
      </c>
      <c r="M4">
        <v>0.581670153</v>
      </c>
      <c r="N4">
        <v>0.821036107</v>
      </c>
      <c r="O4">
        <v>0.880978482</v>
      </c>
      <c r="P4">
        <v>0.884112703</v>
      </c>
      <c r="Q4">
        <v>1.542724452</v>
      </c>
      <c r="R4">
        <v>0.791157076</v>
      </c>
      <c r="S4">
        <v>0.955615145</v>
      </c>
      <c r="T4">
        <v>0.878523242</v>
      </c>
      <c r="U4">
        <v>0.447851049</v>
      </c>
      <c r="V4">
        <v>1.490715772</v>
      </c>
      <c r="W4">
        <v>1.110099604</v>
      </c>
      <c r="X4">
        <v>0.718193635</v>
      </c>
      <c r="Y4">
        <v>1.054555766</v>
      </c>
      <c r="Z4">
        <v>1.482287024</v>
      </c>
      <c r="AA4">
        <v>1.673783156</v>
      </c>
      <c r="AB4">
        <v>0.931462171</v>
      </c>
      <c r="AC4">
        <v>0.929448827</v>
      </c>
      <c r="AD4">
        <v>0.379472157</v>
      </c>
      <c r="AE4">
        <v>0.472152675</v>
      </c>
      <c r="AF4">
        <v>0.74733231</v>
      </c>
      <c r="AG4">
        <v>0.32162383</v>
      </c>
      <c r="AH4">
        <v>0.402981598</v>
      </c>
      <c r="AI4">
        <v>0.5097386</v>
      </c>
      <c r="AJ4">
        <v>1.070177411</v>
      </c>
      <c r="AK4">
        <v>0.635703919</v>
      </c>
      <c r="AL4">
        <v>0.725488543</v>
      </c>
      <c r="AM4">
        <v>0.201489199</v>
      </c>
      <c r="AN4">
        <v>1.155660904</v>
      </c>
      <c r="AO4">
        <v>1.245073127</v>
      </c>
      <c r="AP4">
        <v>0.315688193</v>
      </c>
      <c r="AQ4">
        <v>1.119153127</v>
      </c>
      <c r="AR4">
        <v>1.175796671</v>
      </c>
      <c r="AS4">
        <v>1.152387753</v>
      </c>
      <c r="AT4">
        <v>1.27086306</v>
      </c>
      <c r="AU4">
        <v>1.271100747</v>
      </c>
    </row>
    <row r="5" spans="1:47">
      <c r="A5" t="s">
        <v>49</v>
      </c>
      <c r="B5">
        <v>0.894342715</v>
      </c>
      <c r="C5">
        <v>1.558084772</v>
      </c>
      <c r="D5">
        <v>0.672335503</v>
      </c>
      <c r="E5">
        <v>0</v>
      </c>
      <c r="F5">
        <v>1.550343507</v>
      </c>
      <c r="G5">
        <v>1.668869441</v>
      </c>
      <c r="H5">
        <v>1.581799339</v>
      </c>
      <c r="I5">
        <v>0.905241749</v>
      </c>
      <c r="J5">
        <v>1.506121434</v>
      </c>
      <c r="K5">
        <v>1.651700586</v>
      </c>
      <c r="L5">
        <v>1.252225519</v>
      </c>
      <c r="M5">
        <v>1.738496701</v>
      </c>
      <c r="N5">
        <v>1.762888144</v>
      </c>
      <c r="O5">
        <v>1.162738934</v>
      </c>
      <c r="P5">
        <v>0.945138742</v>
      </c>
      <c r="Q5">
        <v>0.36314621</v>
      </c>
      <c r="R5">
        <v>1.331683409</v>
      </c>
      <c r="S5">
        <v>1.047843032</v>
      </c>
      <c r="T5">
        <v>1.060758214</v>
      </c>
      <c r="U5">
        <v>1.558126888</v>
      </c>
      <c r="V5">
        <v>0.683398552</v>
      </c>
      <c r="W5">
        <v>1.053605501</v>
      </c>
      <c r="X5">
        <v>1.19219227</v>
      </c>
      <c r="Y5">
        <v>1.16486653</v>
      </c>
      <c r="Z5">
        <v>0.706828745</v>
      </c>
      <c r="AA5">
        <v>0.434656534</v>
      </c>
      <c r="AB5">
        <v>0.963252898</v>
      </c>
      <c r="AC5">
        <v>0.944164103</v>
      </c>
      <c r="AD5">
        <v>1.695829963</v>
      </c>
      <c r="AE5">
        <v>1.581465739</v>
      </c>
      <c r="AF5">
        <v>1.534327866</v>
      </c>
      <c r="AG5">
        <v>1.724412205</v>
      </c>
      <c r="AH5">
        <v>1.435744598</v>
      </c>
      <c r="AI5">
        <v>1.062437739</v>
      </c>
      <c r="AJ5">
        <v>1.036485803</v>
      </c>
      <c r="AK5">
        <v>1.366097907</v>
      </c>
      <c r="AL5">
        <v>1.343011778</v>
      </c>
      <c r="AM5">
        <v>1.425833473</v>
      </c>
      <c r="AN5">
        <v>1.233485433</v>
      </c>
      <c r="AO5">
        <v>0.868829716</v>
      </c>
      <c r="AP5">
        <v>1.73700718</v>
      </c>
      <c r="AQ5">
        <v>1.280484418</v>
      </c>
      <c r="AR5">
        <v>0.904697533</v>
      </c>
      <c r="AS5">
        <v>0.92446909</v>
      </c>
      <c r="AT5">
        <v>0.790615142</v>
      </c>
      <c r="AU5">
        <v>0.788215636</v>
      </c>
    </row>
    <row r="6" spans="1:47">
      <c r="A6" t="s">
        <v>50</v>
      </c>
      <c r="B6">
        <v>0.514691377</v>
      </c>
      <c r="C6">
        <v>1.277586162</v>
      </c>
      <c r="D6">
        <v>0</v>
      </c>
      <c r="E6">
        <v>0</v>
      </c>
      <c r="F6">
        <v>2.2324906</v>
      </c>
      <c r="G6">
        <v>1.793359211</v>
      </c>
      <c r="H6">
        <v>1.701085762</v>
      </c>
      <c r="I6">
        <v>0.525342632</v>
      </c>
      <c r="J6">
        <v>1.046992423</v>
      </c>
      <c r="K6">
        <v>1.672414212</v>
      </c>
      <c r="L6">
        <v>1.044137601</v>
      </c>
      <c r="M6">
        <v>1.807739932</v>
      </c>
      <c r="N6">
        <v>1.798997558</v>
      </c>
      <c r="O6">
        <v>0.871044248</v>
      </c>
      <c r="P6">
        <v>0.793793421</v>
      </c>
      <c r="Q6">
        <v>0.216432509</v>
      </c>
      <c r="R6">
        <v>1.695285969</v>
      </c>
      <c r="S6">
        <v>0.822515328</v>
      </c>
      <c r="T6">
        <v>1.925398725</v>
      </c>
      <c r="U6">
        <v>1.274281192</v>
      </c>
      <c r="V6">
        <v>0.311467741</v>
      </c>
      <c r="W6">
        <v>0.364624139</v>
      </c>
      <c r="X6">
        <v>1.064668513</v>
      </c>
      <c r="Y6">
        <v>0.760342097</v>
      </c>
      <c r="Z6">
        <v>0.318694019</v>
      </c>
      <c r="AA6">
        <v>0.206024297</v>
      </c>
      <c r="AB6">
        <v>0.519820108</v>
      </c>
      <c r="AC6">
        <v>0.509728548</v>
      </c>
      <c r="AD6">
        <v>1.768081196</v>
      </c>
      <c r="AE6">
        <v>1.441668003</v>
      </c>
      <c r="AF6">
        <v>1.743282334</v>
      </c>
      <c r="AG6">
        <v>1.253687604</v>
      </c>
      <c r="AH6">
        <v>1.704075364</v>
      </c>
      <c r="AI6">
        <v>1.863372093</v>
      </c>
      <c r="AJ6">
        <v>0.778674609</v>
      </c>
      <c r="AK6">
        <v>1.881372582</v>
      </c>
      <c r="AL6">
        <v>1.843151448</v>
      </c>
      <c r="AM6">
        <v>0.785046729</v>
      </c>
      <c r="AN6">
        <v>0.971277038</v>
      </c>
      <c r="AO6">
        <v>0.595052856</v>
      </c>
      <c r="AP6">
        <v>1.972937046</v>
      </c>
      <c r="AQ6">
        <v>1.042238943</v>
      </c>
      <c r="AR6">
        <v>1.075281021</v>
      </c>
      <c r="AS6">
        <v>1.097373987</v>
      </c>
      <c r="AT6">
        <v>0.950892912</v>
      </c>
      <c r="AU6">
        <v>0.941365577</v>
      </c>
    </row>
    <row r="7" spans="1:47">
      <c r="A7" t="s">
        <v>51</v>
      </c>
      <c r="B7">
        <v>1.750628638</v>
      </c>
      <c r="C7">
        <v>0.761433348</v>
      </c>
      <c r="D7">
        <v>0</v>
      </c>
      <c r="E7">
        <v>0</v>
      </c>
      <c r="F7">
        <v>0.353377415</v>
      </c>
      <c r="G7">
        <v>0.122234035</v>
      </c>
      <c r="H7">
        <v>0.45786628</v>
      </c>
      <c r="I7">
        <v>1.734814695</v>
      </c>
      <c r="J7">
        <v>0.455268328</v>
      </c>
      <c r="K7">
        <v>0.253799946</v>
      </c>
      <c r="L7">
        <v>1.144305212</v>
      </c>
      <c r="M7">
        <v>0.145128639</v>
      </c>
      <c r="N7">
        <v>0.413828557</v>
      </c>
      <c r="O7">
        <v>1.615362832</v>
      </c>
      <c r="P7">
        <v>0.927918648</v>
      </c>
      <c r="Q7">
        <v>2.804078487</v>
      </c>
      <c r="R7">
        <v>0.898754821</v>
      </c>
      <c r="S7">
        <v>1.3480238</v>
      </c>
      <c r="T7">
        <v>0.80722073</v>
      </c>
      <c r="U7">
        <v>0.761171195</v>
      </c>
      <c r="V7">
        <v>1.681839444</v>
      </c>
      <c r="W7">
        <v>1.142023847</v>
      </c>
      <c r="X7">
        <v>1.164684802</v>
      </c>
      <c r="Y7">
        <v>0.735761799</v>
      </c>
      <c r="Z7">
        <v>1.663825484</v>
      </c>
      <c r="AA7">
        <v>2.003439286</v>
      </c>
      <c r="AB7">
        <v>1.302597626</v>
      </c>
      <c r="AC7">
        <v>1.309707485</v>
      </c>
      <c r="AD7">
        <v>0.121686779</v>
      </c>
      <c r="AE7">
        <v>0.728019246</v>
      </c>
      <c r="AF7">
        <v>0.290523821</v>
      </c>
      <c r="AG7">
        <v>0.720132851</v>
      </c>
      <c r="AH7">
        <v>0.538193733</v>
      </c>
      <c r="AI7">
        <v>1.140063425</v>
      </c>
      <c r="AJ7">
        <v>1.446909903</v>
      </c>
      <c r="AK7">
        <v>0.711019274</v>
      </c>
      <c r="AL7">
        <v>0.807683742</v>
      </c>
      <c r="AM7">
        <v>1.448511862</v>
      </c>
      <c r="AN7">
        <v>0.893447075</v>
      </c>
      <c r="AO7">
        <v>1.943411367</v>
      </c>
      <c r="AP7">
        <v>0.164831794</v>
      </c>
      <c r="AQ7">
        <v>1.570285441</v>
      </c>
      <c r="AR7">
        <v>1.416697588</v>
      </c>
      <c r="AS7">
        <v>1.392007402</v>
      </c>
      <c r="AT7">
        <v>1.578408994</v>
      </c>
      <c r="AU7">
        <v>1.575404251</v>
      </c>
    </row>
    <row r="8" spans="1:47">
      <c r="A8" t="s">
        <v>52</v>
      </c>
      <c r="B8">
        <v>1.072505244</v>
      </c>
      <c r="C8">
        <v>0.781127406</v>
      </c>
      <c r="D8">
        <v>0</v>
      </c>
      <c r="E8">
        <v>0</v>
      </c>
      <c r="F8">
        <v>0.463632828</v>
      </c>
      <c r="G8">
        <v>0.163868767</v>
      </c>
      <c r="H8">
        <v>0.918633786</v>
      </c>
      <c r="I8">
        <v>1.080636877</v>
      </c>
      <c r="J8">
        <v>0.31045558</v>
      </c>
      <c r="K8">
        <v>0.060896423</v>
      </c>
      <c r="L8">
        <v>1.267299864</v>
      </c>
      <c r="M8">
        <v>0.118713025</v>
      </c>
      <c r="N8">
        <v>0.216167588</v>
      </c>
      <c r="O8">
        <v>1.096353982</v>
      </c>
      <c r="P8">
        <v>1.943062526</v>
      </c>
      <c r="Q8">
        <v>0.83626771</v>
      </c>
      <c r="R8">
        <v>0.738972775</v>
      </c>
      <c r="S8">
        <v>1.265039253</v>
      </c>
      <c r="T8">
        <v>0.349648992</v>
      </c>
      <c r="U8">
        <v>0.782590346</v>
      </c>
      <c r="V8">
        <v>0.795653269</v>
      </c>
      <c r="W8">
        <v>1.646984817</v>
      </c>
      <c r="X8">
        <v>0.70528006</v>
      </c>
      <c r="Y8">
        <v>0.504909724</v>
      </c>
      <c r="Z8">
        <v>0.782432823</v>
      </c>
      <c r="AA8">
        <v>1.507294614</v>
      </c>
      <c r="AB8">
        <v>1.791944165</v>
      </c>
      <c r="AC8">
        <v>1.786893447</v>
      </c>
      <c r="AD8">
        <v>0.041343669</v>
      </c>
      <c r="AE8">
        <v>0.719422614</v>
      </c>
      <c r="AF8">
        <v>0.455023873</v>
      </c>
      <c r="AG8">
        <v>0.283481489</v>
      </c>
      <c r="AH8">
        <v>0.642330535</v>
      </c>
      <c r="AI8">
        <v>0.433756166</v>
      </c>
      <c r="AJ8">
        <v>0.781653016</v>
      </c>
      <c r="AK8">
        <v>0.621320416</v>
      </c>
      <c r="AL8">
        <v>0.466481069</v>
      </c>
      <c r="AM8">
        <v>0.772393961</v>
      </c>
      <c r="AN8">
        <v>0.630435477</v>
      </c>
      <c r="AO8">
        <v>1.004361023</v>
      </c>
      <c r="AP8">
        <v>0.146698933</v>
      </c>
      <c r="AQ8">
        <v>0.655599347</v>
      </c>
      <c r="AR8">
        <v>0.559336462</v>
      </c>
      <c r="AS8">
        <v>0.539742686</v>
      </c>
      <c r="AT8">
        <v>0.645972438</v>
      </c>
      <c r="AU8">
        <v>0.660476944</v>
      </c>
    </row>
    <row r="9" spans="1:47">
      <c r="A9" t="s">
        <v>53</v>
      </c>
      <c r="B9">
        <v>0.662174741</v>
      </c>
      <c r="C9">
        <v>1.179853084</v>
      </c>
      <c r="D9">
        <v>0</v>
      </c>
      <c r="E9">
        <v>0</v>
      </c>
      <c r="F9">
        <v>0.950499157</v>
      </c>
      <c r="G9">
        <v>1.920537988</v>
      </c>
      <c r="H9">
        <v>0.922414172</v>
      </c>
      <c r="I9">
        <v>0.659205796</v>
      </c>
      <c r="J9">
        <v>2.18728367</v>
      </c>
      <c r="K9">
        <v>2.012889419</v>
      </c>
      <c r="L9">
        <v>0.544257323</v>
      </c>
      <c r="M9">
        <v>1.928418404</v>
      </c>
      <c r="N9">
        <v>1.571006297</v>
      </c>
      <c r="O9">
        <v>0.417238938</v>
      </c>
      <c r="P9">
        <v>0.335225405</v>
      </c>
      <c r="Q9">
        <v>0.143221293</v>
      </c>
      <c r="R9">
        <v>0.666986435</v>
      </c>
      <c r="S9">
        <v>0.564421619</v>
      </c>
      <c r="T9">
        <v>0.917731552</v>
      </c>
      <c r="U9">
        <v>1.181957267</v>
      </c>
      <c r="V9">
        <v>1.211039545</v>
      </c>
      <c r="W9">
        <v>0.846367198</v>
      </c>
      <c r="X9">
        <v>1.065366626</v>
      </c>
      <c r="Y9">
        <v>1.998986379</v>
      </c>
      <c r="Z9">
        <v>1.235047674</v>
      </c>
      <c r="AA9">
        <v>0.283241804</v>
      </c>
      <c r="AB9">
        <v>0.385638102</v>
      </c>
      <c r="AC9">
        <v>0.393670519</v>
      </c>
      <c r="AD9">
        <v>2.068888356</v>
      </c>
      <c r="AE9">
        <v>1.110890136</v>
      </c>
      <c r="AF9">
        <v>1.511169972</v>
      </c>
      <c r="AG9">
        <v>1.742698056</v>
      </c>
      <c r="AH9">
        <v>1.115400369</v>
      </c>
      <c r="AI9">
        <v>0.562808316</v>
      </c>
      <c r="AJ9">
        <v>0.992762472</v>
      </c>
      <c r="AK9">
        <v>0.786287727</v>
      </c>
      <c r="AL9">
        <v>0.882683742</v>
      </c>
      <c r="AM9">
        <v>0.994047448</v>
      </c>
      <c r="AN9">
        <v>1.50484041</v>
      </c>
      <c r="AO9">
        <v>0.457174755</v>
      </c>
      <c r="AP9">
        <v>1.715532227</v>
      </c>
      <c r="AQ9">
        <v>0.731876269</v>
      </c>
      <c r="AR9">
        <v>0.948684929</v>
      </c>
      <c r="AS9">
        <v>0.970875925</v>
      </c>
      <c r="AT9">
        <v>0.824725657</v>
      </c>
      <c r="AU9">
        <v>0.822753227</v>
      </c>
    </row>
    <row r="10" spans="1:47">
      <c r="A10" t="s">
        <v>54</v>
      </c>
      <c r="B10">
        <v>0.21333008</v>
      </c>
      <c r="C10">
        <v>1.108559499</v>
      </c>
      <c r="D10">
        <v>0</v>
      </c>
      <c r="E10">
        <v>0.467438042</v>
      </c>
      <c r="F10">
        <v>2.15070922</v>
      </c>
      <c r="G10">
        <v>4.949419849</v>
      </c>
      <c r="H10">
        <v>1.059213479</v>
      </c>
      <c r="I10">
        <v>0.220557879</v>
      </c>
      <c r="J10">
        <v>1.995915318</v>
      </c>
      <c r="K10">
        <v>5.146539666</v>
      </c>
      <c r="L10">
        <v>1.481321776</v>
      </c>
      <c r="M10">
        <v>4.93016182</v>
      </c>
      <c r="N10">
        <v>3.405745439</v>
      </c>
      <c r="O10">
        <v>1.04392284</v>
      </c>
      <c r="P10">
        <v>0.562843476</v>
      </c>
      <c r="Q10">
        <v>0.139777678</v>
      </c>
      <c r="R10">
        <v>1.979077189</v>
      </c>
      <c r="S10">
        <v>0.76583682</v>
      </c>
      <c r="T10">
        <v>2.837799271</v>
      </c>
      <c r="U10">
        <v>1.108194765</v>
      </c>
      <c r="V10">
        <v>0.970588235</v>
      </c>
      <c r="W10">
        <v>0.423860029</v>
      </c>
      <c r="X10">
        <v>0.828349241</v>
      </c>
      <c r="Y10">
        <v>1.780347341</v>
      </c>
      <c r="Z10">
        <v>1.010196278</v>
      </c>
      <c r="AA10">
        <v>0.090549592</v>
      </c>
      <c r="AB10">
        <v>0.246026223</v>
      </c>
      <c r="AC10">
        <v>0.242925631</v>
      </c>
      <c r="AD10">
        <v>5.343662578</v>
      </c>
      <c r="AE10">
        <v>3.070413223</v>
      </c>
      <c r="AF10">
        <v>4.460833115</v>
      </c>
      <c r="AG10">
        <v>3.130933418</v>
      </c>
      <c r="AH10">
        <v>0.691974417</v>
      </c>
      <c r="AI10">
        <v>1.625921993</v>
      </c>
      <c r="AJ10">
        <v>0.799629357</v>
      </c>
      <c r="AK10">
        <v>2.038995027</v>
      </c>
      <c r="AL10">
        <v>2.10776628</v>
      </c>
      <c r="AM10">
        <v>0.419438722</v>
      </c>
      <c r="AN10">
        <v>0.438457428</v>
      </c>
      <c r="AO10">
        <v>1.129738744</v>
      </c>
      <c r="AP10">
        <v>5.080768271</v>
      </c>
      <c r="AQ10">
        <v>1.321793485</v>
      </c>
      <c r="AR10">
        <v>1.214155979</v>
      </c>
      <c r="AS10">
        <v>1.278536776</v>
      </c>
      <c r="AT10">
        <v>1.027482735</v>
      </c>
      <c r="AU10">
        <v>1.023943063</v>
      </c>
    </row>
    <row r="11" spans="1:47">
      <c r="A11" t="s">
        <v>55</v>
      </c>
      <c r="B11">
        <v>1.67049551</v>
      </c>
      <c r="C11">
        <v>0.70664202</v>
      </c>
      <c r="D11">
        <v>0</v>
      </c>
      <c r="E11">
        <v>0</v>
      </c>
      <c r="F11">
        <v>0.766688334</v>
      </c>
      <c r="G11">
        <v>0.462834777</v>
      </c>
      <c r="H11">
        <v>0.417939734</v>
      </c>
      <c r="I11">
        <v>1.658763028</v>
      </c>
      <c r="J11">
        <v>0.641705638</v>
      </c>
      <c r="K11">
        <v>0.517520794</v>
      </c>
      <c r="L11">
        <v>1.582250079</v>
      </c>
      <c r="M11">
        <v>0.49070632</v>
      </c>
      <c r="N11">
        <v>0.869653976</v>
      </c>
      <c r="O11">
        <v>1.609063877</v>
      </c>
      <c r="P11">
        <v>1.763312583</v>
      </c>
      <c r="Q11">
        <v>2.018353033</v>
      </c>
      <c r="R11">
        <v>1.034681972</v>
      </c>
      <c r="S11">
        <v>1.242340967</v>
      </c>
      <c r="T11">
        <v>1.203754538</v>
      </c>
      <c r="U11">
        <v>0.707017011</v>
      </c>
      <c r="V11">
        <v>2.031904705</v>
      </c>
      <c r="W11">
        <v>1.418249601</v>
      </c>
      <c r="X11">
        <v>0.927988153</v>
      </c>
      <c r="Y11">
        <v>0.900894743</v>
      </c>
      <c r="Z11">
        <v>2.001626898</v>
      </c>
      <c r="AA11">
        <v>1.606442277</v>
      </c>
      <c r="AB11">
        <v>1.646784789</v>
      </c>
      <c r="AC11">
        <v>1.624837721</v>
      </c>
      <c r="AD11">
        <v>0.324737345</v>
      </c>
      <c r="AE11">
        <v>0.666044226</v>
      </c>
      <c r="AF11">
        <v>0.672582576</v>
      </c>
      <c r="AG11">
        <v>1.338570735</v>
      </c>
      <c r="AH11">
        <v>0.846599766</v>
      </c>
      <c r="AI11">
        <v>1.493273862</v>
      </c>
      <c r="AJ11">
        <v>2.269956128</v>
      </c>
      <c r="AK11">
        <v>0.957238469</v>
      </c>
      <c r="AL11">
        <v>1.035058475</v>
      </c>
      <c r="AM11">
        <v>1.10519216</v>
      </c>
      <c r="AN11">
        <v>0.787625102</v>
      </c>
      <c r="AO11">
        <v>1.497563617</v>
      </c>
      <c r="AP11">
        <v>0.395460644</v>
      </c>
      <c r="AQ11">
        <v>1.048990933</v>
      </c>
      <c r="AR11">
        <v>1.435390787</v>
      </c>
      <c r="AS11">
        <v>1.412801471</v>
      </c>
      <c r="AT11">
        <v>1.60482098</v>
      </c>
      <c r="AU11">
        <v>1.603235542</v>
      </c>
    </row>
    <row r="12" spans="1:47">
      <c r="A12" t="s">
        <v>56</v>
      </c>
      <c r="B12">
        <v>0.118254646</v>
      </c>
      <c r="C12">
        <v>0.209364748</v>
      </c>
      <c r="D12">
        <v>0</v>
      </c>
      <c r="E12">
        <v>0.20944414</v>
      </c>
      <c r="F12">
        <v>0.322916667</v>
      </c>
      <c r="G12">
        <v>0.595696744</v>
      </c>
      <c r="H12">
        <v>0.220833477</v>
      </c>
      <c r="I12">
        <v>0.127666331</v>
      </c>
      <c r="J12">
        <v>0.274072229</v>
      </c>
      <c r="K12">
        <v>0.583694132</v>
      </c>
      <c r="L12">
        <v>1.343380121</v>
      </c>
      <c r="M12">
        <v>0.636208785</v>
      </c>
      <c r="N12">
        <v>0.761794926</v>
      </c>
      <c r="O12">
        <v>1.233505905</v>
      </c>
      <c r="P12">
        <v>0.9292184</v>
      </c>
      <c r="Q12">
        <v>0.471533724</v>
      </c>
      <c r="R12">
        <v>0.574993402</v>
      </c>
      <c r="S12">
        <v>0.833522957</v>
      </c>
      <c r="T12">
        <v>0.48707785</v>
      </c>
      <c r="U12">
        <v>0.210275147</v>
      </c>
      <c r="V12">
        <v>0.325063939</v>
      </c>
      <c r="W12">
        <v>0.150499342</v>
      </c>
      <c r="X12">
        <v>0.423995469</v>
      </c>
      <c r="Y12">
        <v>0.203275443</v>
      </c>
      <c r="Z12">
        <v>0.327810349</v>
      </c>
      <c r="AA12">
        <v>0.259058994</v>
      </c>
      <c r="AB12">
        <v>0.200428695</v>
      </c>
      <c r="AC12">
        <v>0.195743686</v>
      </c>
      <c r="AD12">
        <v>0.391435335</v>
      </c>
      <c r="AE12">
        <v>0.481322314</v>
      </c>
      <c r="AF12">
        <v>0.928215876</v>
      </c>
      <c r="AG12">
        <v>0.58489965</v>
      </c>
      <c r="AH12">
        <v>0.19781308</v>
      </c>
      <c r="AI12">
        <v>0.278793445</v>
      </c>
      <c r="AJ12">
        <v>0.327060102</v>
      </c>
      <c r="AK12">
        <v>0.506935357</v>
      </c>
      <c r="AL12">
        <v>0.701996446</v>
      </c>
      <c r="AM12">
        <v>0.060180338</v>
      </c>
      <c r="AN12">
        <v>0.240203064</v>
      </c>
      <c r="AO12">
        <v>0.189438577</v>
      </c>
      <c r="AP12">
        <v>0.509753056</v>
      </c>
      <c r="AQ12">
        <v>0.592859719</v>
      </c>
      <c r="AR12">
        <v>1.196419305</v>
      </c>
      <c r="AS12">
        <v>1.214353427</v>
      </c>
      <c r="AT12">
        <v>1.208372037</v>
      </c>
      <c r="AU12">
        <v>1.207925579</v>
      </c>
    </row>
    <row r="13" spans="1:47">
      <c r="A13" t="s">
        <v>57</v>
      </c>
      <c r="B13">
        <v>0.902151302</v>
      </c>
      <c r="C13">
        <v>1.767288749</v>
      </c>
      <c r="D13">
        <v>0</v>
      </c>
      <c r="E13">
        <v>0</v>
      </c>
      <c r="F13">
        <v>1.454022701</v>
      </c>
      <c r="G13">
        <v>1.820461711</v>
      </c>
      <c r="H13">
        <v>1.596556212</v>
      </c>
      <c r="I13">
        <v>0.917706235</v>
      </c>
      <c r="J13">
        <v>1.710924565</v>
      </c>
      <c r="K13">
        <v>1.746498524</v>
      </c>
      <c r="L13">
        <v>0.690488994</v>
      </c>
      <c r="M13">
        <v>1.881104168</v>
      </c>
      <c r="N13">
        <v>1.673165255</v>
      </c>
      <c r="O13">
        <v>0.68506088</v>
      </c>
      <c r="P13">
        <v>0.575624146</v>
      </c>
      <c r="Q13">
        <v>0.195545409</v>
      </c>
      <c r="R13">
        <v>1.197236015</v>
      </c>
      <c r="S13">
        <v>0.490890585</v>
      </c>
      <c r="T13">
        <v>0.665545028</v>
      </c>
      <c r="U13">
        <v>1.766555286</v>
      </c>
      <c r="V13">
        <v>0.608045014</v>
      </c>
      <c r="W13">
        <v>1.068524765</v>
      </c>
      <c r="X13">
        <v>1.148847049</v>
      </c>
      <c r="Y13">
        <v>1.371007829</v>
      </c>
      <c r="Z13">
        <v>0.633586406</v>
      </c>
      <c r="AA13">
        <v>0.282827741</v>
      </c>
      <c r="AB13">
        <v>0.660158601</v>
      </c>
      <c r="AC13">
        <v>0.648178328</v>
      </c>
      <c r="AD13">
        <v>1.888388593</v>
      </c>
      <c r="AE13">
        <v>1.386191646</v>
      </c>
      <c r="AF13">
        <v>1.232762871</v>
      </c>
      <c r="AG13">
        <v>1.933329289</v>
      </c>
      <c r="AH13">
        <v>1.273041699</v>
      </c>
      <c r="AI13">
        <v>0.80998363</v>
      </c>
      <c r="AJ13">
        <v>0.805424192</v>
      </c>
      <c r="AK13">
        <v>1.254656952</v>
      </c>
      <c r="AL13">
        <v>1.153503879</v>
      </c>
      <c r="AM13">
        <v>1.247864152</v>
      </c>
      <c r="AN13">
        <v>1.60772959</v>
      </c>
      <c r="AO13">
        <v>0.523822415</v>
      </c>
      <c r="AP13">
        <v>1.599284436</v>
      </c>
      <c r="AQ13">
        <v>0.777639661</v>
      </c>
      <c r="AR13">
        <v>0.923463838</v>
      </c>
      <c r="AS13">
        <v>0.938243813</v>
      </c>
      <c r="AT13">
        <v>0.80201005</v>
      </c>
      <c r="AU13">
        <v>0.807866868</v>
      </c>
    </row>
    <row r="14" spans="1:47">
      <c r="A14" t="s">
        <v>58</v>
      </c>
      <c r="B14">
        <v>0.20843033</v>
      </c>
      <c r="C14">
        <v>0.320878869</v>
      </c>
      <c r="D14">
        <v>0</v>
      </c>
      <c r="E14">
        <v>0</v>
      </c>
      <c r="F14">
        <v>0.404217466</v>
      </c>
      <c r="G14">
        <v>2.054509009</v>
      </c>
      <c r="H14">
        <v>0.279445428</v>
      </c>
      <c r="I14">
        <v>0.217282259</v>
      </c>
      <c r="J14">
        <v>0.316687474</v>
      </c>
      <c r="K14">
        <v>1.864243943</v>
      </c>
      <c r="L14">
        <v>0.580319322</v>
      </c>
      <c r="M14">
        <v>1.646768508</v>
      </c>
      <c r="N14">
        <v>0.865763682</v>
      </c>
      <c r="O14">
        <v>0.669920925</v>
      </c>
      <c r="P14">
        <v>0.41068371</v>
      </c>
      <c r="Q14">
        <v>0.141789189</v>
      </c>
      <c r="R14">
        <v>0.347792529</v>
      </c>
      <c r="S14">
        <v>0.555673434</v>
      </c>
      <c r="T14">
        <v>0.495422055</v>
      </c>
      <c r="U14">
        <v>0.321371306</v>
      </c>
      <c r="V14">
        <v>0.116339752</v>
      </c>
      <c r="W14">
        <v>0.104173083</v>
      </c>
      <c r="X14">
        <v>0.734746331</v>
      </c>
      <c r="Y14">
        <v>0.201312963</v>
      </c>
      <c r="Z14">
        <v>0.119362445</v>
      </c>
      <c r="AA14">
        <v>0.09398756</v>
      </c>
      <c r="AB14">
        <v>0.16465519</v>
      </c>
      <c r="AC14">
        <v>0.158136483</v>
      </c>
      <c r="AD14">
        <v>1.652555478</v>
      </c>
      <c r="AE14">
        <v>0.573684304</v>
      </c>
      <c r="AF14">
        <v>1.321763879</v>
      </c>
      <c r="AG14">
        <v>0.890660952</v>
      </c>
      <c r="AH14">
        <v>0.207768707</v>
      </c>
      <c r="AI14">
        <v>0.244025531</v>
      </c>
      <c r="AJ14">
        <v>0.345808796</v>
      </c>
      <c r="AK14">
        <v>0.4436248</v>
      </c>
      <c r="AL14">
        <v>0.50228429</v>
      </c>
      <c r="AM14">
        <v>0.16558527</v>
      </c>
      <c r="AN14">
        <v>0.184399031</v>
      </c>
      <c r="AO14">
        <v>0.163060341</v>
      </c>
      <c r="AP14">
        <v>1.561097422</v>
      </c>
      <c r="AQ14">
        <v>0.487837632</v>
      </c>
      <c r="AR14">
        <v>0.466312194</v>
      </c>
      <c r="AS14">
        <v>0.486349914</v>
      </c>
      <c r="AT14">
        <v>0.39227241</v>
      </c>
      <c r="AU14">
        <v>0.39377709</v>
      </c>
    </row>
    <row r="15" spans="1:47">
      <c r="A15" t="s">
        <v>59</v>
      </c>
      <c r="B15">
        <v>1.264848311</v>
      </c>
      <c r="C15">
        <v>0.736682497</v>
      </c>
      <c r="D15">
        <v>0</v>
      </c>
      <c r="E15">
        <v>0</v>
      </c>
      <c r="F15">
        <v>0.774789388</v>
      </c>
      <c r="G15">
        <v>0.109986105</v>
      </c>
      <c r="H15">
        <v>0.607653436</v>
      </c>
      <c r="I15">
        <v>1.255759326</v>
      </c>
      <c r="J15">
        <v>0.479747538</v>
      </c>
      <c r="K15">
        <v>0.136904762</v>
      </c>
      <c r="L15">
        <v>1.371823069</v>
      </c>
      <c r="M15">
        <v>0.111780259</v>
      </c>
      <c r="N15">
        <v>0.252174871</v>
      </c>
      <c r="O15">
        <v>1.180642606</v>
      </c>
      <c r="P15">
        <v>1.515028735</v>
      </c>
      <c r="Q15">
        <v>2.328774362</v>
      </c>
      <c r="R15">
        <v>1.400390132</v>
      </c>
      <c r="S15">
        <v>1.462361962</v>
      </c>
      <c r="T15">
        <v>0.939207765</v>
      </c>
      <c r="U15">
        <v>0.73619913</v>
      </c>
      <c r="V15">
        <v>1.880780997</v>
      </c>
      <c r="W15">
        <v>1.357714814</v>
      </c>
      <c r="X15">
        <v>1.123100276</v>
      </c>
      <c r="Y15">
        <v>0.945261399</v>
      </c>
      <c r="Z15">
        <v>1.84693908</v>
      </c>
      <c r="AA15">
        <v>2.097011057</v>
      </c>
      <c r="AB15">
        <v>2.007801878</v>
      </c>
      <c r="AC15">
        <v>2.022112861</v>
      </c>
      <c r="AD15">
        <v>0.281003423</v>
      </c>
      <c r="AE15">
        <v>0.532622837</v>
      </c>
      <c r="AF15">
        <v>0.373652882</v>
      </c>
      <c r="AG15">
        <v>0.690006767</v>
      </c>
      <c r="AH15">
        <v>0.806152454</v>
      </c>
      <c r="AI15">
        <v>1.384722428</v>
      </c>
      <c r="AJ15">
        <v>1.112440191</v>
      </c>
      <c r="AK15">
        <v>1.258696417</v>
      </c>
      <c r="AL15">
        <v>1.163555186</v>
      </c>
      <c r="AM15">
        <v>0.759206488</v>
      </c>
      <c r="AN15">
        <v>0.73854419</v>
      </c>
      <c r="AO15">
        <v>1.449416184</v>
      </c>
      <c r="AP15">
        <v>0.192346492</v>
      </c>
      <c r="AQ15">
        <v>0.882099802</v>
      </c>
      <c r="AR15">
        <v>1.464488085</v>
      </c>
      <c r="AS15">
        <v>1.421461797</v>
      </c>
      <c r="AT15">
        <v>1.663940388</v>
      </c>
      <c r="AU15">
        <v>1.66512456</v>
      </c>
    </row>
    <row r="16" spans="1:47">
      <c r="A16" t="s">
        <v>60</v>
      </c>
      <c r="B16">
        <v>1.526721358</v>
      </c>
      <c r="C16">
        <v>1.942438634</v>
      </c>
      <c r="D16">
        <v>0</v>
      </c>
      <c r="E16">
        <v>0</v>
      </c>
      <c r="F16">
        <v>1.820993145</v>
      </c>
      <c r="G16">
        <v>0.835504886</v>
      </c>
      <c r="H16">
        <v>2.112901136</v>
      </c>
      <c r="I16">
        <v>1.526958415</v>
      </c>
      <c r="J16">
        <v>2.203564988</v>
      </c>
      <c r="K16">
        <v>0.998851295</v>
      </c>
      <c r="L16">
        <v>1.047857608</v>
      </c>
      <c r="M16">
        <v>1.241451234</v>
      </c>
      <c r="N16">
        <v>1.882061447</v>
      </c>
      <c r="O16">
        <v>1.149436469</v>
      </c>
      <c r="P16">
        <v>1.074287555</v>
      </c>
      <c r="Q16">
        <v>0.529436449</v>
      </c>
      <c r="R16">
        <v>1.25181734</v>
      </c>
      <c r="S16">
        <v>0.981964604</v>
      </c>
      <c r="T16">
        <v>1.56537018</v>
      </c>
      <c r="U16">
        <v>1.942429564</v>
      </c>
      <c r="V16">
        <v>1.002879251</v>
      </c>
      <c r="W16">
        <v>1.538112103</v>
      </c>
      <c r="X16">
        <v>1.142153393</v>
      </c>
      <c r="Y16">
        <v>1.853425639</v>
      </c>
      <c r="Z16">
        <v>1.033698475</v>
      </c>
      <c r="AA16">
        <v>0.809001382</v>
      </c>
      <c r="AB16">
        <v>0.827542931</v>
      </c>
      <c r="AC16">
        <v>0.819750656</v>
      </c>
      <c r="AD16">
        <v>1.066441099</v>
      </c>
      <c r="AE16">
        <v>1.893692859</v>
      </c>
      <c r="AF16">
        <v>1.304583239</v>
      </c>
      <c r="AG16">
        <v>1.419332281</v>
      </c>
      <c r="AH16">
        <v>1.986078839</v>
      </c>
      <c r="AI16">
        <v>1.371252041</v>
      </c>
      <c r="AJ16">
        <v>1.541751012</v>
      </c>
      <c r="AK16">
        <v>1.297678783</v>
      </c>
      <c r="AL16">
        <v>1.334160523</v>
      </c>
      <c r="AM16">
        <v>2.075208242</v>
      </c>
      <c r="AN16">
        <v>2.077056779</v>
      </c>
      <c r="AO16">
        <v>1.387523475</v>
      </c>
      <c r="AP16">
        <v>1.246556087</v>
      </c>
      <c r="AQ16">
        <v>1.630062567</v>
      </c>
      <c r="AR16">
        <v>1.069199721</v>
      </c>
      <c r="AS16">
        <v>1.09218829</v>
      </c>
      <c r="AT16">
        <v>0.943787202</v>
      </c>
      <c r="AU16">
        <v>0.941098349</v>
      </c>
    </row>
    <row r="17" spans="1:47">
      <c r="A17" t="s">
        <v>61</v>
      </c>
      <c r="B17">
        <v>0.693746318</v>
      </c>
      <c r="C17">
        <v>1.667788155</v>
      </c>
      <c r="D17">
        <v>0.244687057</v>
      </c>
      <c r="E17">
        <v>1.511270737</v>
      </c>
      <c r="F17">
        <v>0.92921603</v>
      </c>
      <c r="G17">
        <v>1.737026879</v>
      </c>
      <c r="H17">
        <v>1.596565708</v>
      </c>
      <c r="I17">
        <v>0.681855514</v>
      </c>
      <c r="J17">
        <v>1.632738818</v>
      </c>
      <c r="K17">
        <v>1.71632176</v>
      </c>
      <c r="L17">
        <v>0.34444796</v>
      </c>
      <c r="M17">
        <v>1.787615631</v>
      </c>
      <c r="N17">
        <v>1.591421077</v>
      </c>
      <c r="O17">
        <v>0.322805342</v>
      </c>
      <c r="P17">
        <v>0.572942817</v>
      </c>
      <c r="Q17">
        <v>0.198947657</v>
      </c>
      <c r="R17">
        <v>0.3029693</v>
      </c>
      <c r="S17">
        <v>0.518309031</v>
      </c>
      <c r="T17">
        <v>1.112649727</v>
      </c>
      <c r="U17">
        <v>1.666918341</v>
      </c>
      <c r="V17">
        <v>0.706394045</v>
      </c>
      <c r="W17">
        <v>0.871179987</v>
      </c>
      <c r="X17">
        <v>0.929998486</v>
      </c>
      <c r="Y17">
        <v>1.629501005</v>
      </c>
      <c r="Z17">
        <v>0.736911979</v>
      </c>
      <c r="AA17">
        <v>0.3281471</v>
      </c>
      <c r="AB17">
        <v>0.340989783</v>
      </c>
      <c r="AC17">
        <v>0.334868371</v>
      </c>
      <c r="AD17">
        <v>1.720160307</v>
      </c>
      <c r="AE17">
        <v>1.476740025</v>
      </c>
      <c r="AF17">
        <v>1.104157354</v>
      </c>
      <c r="AG17">
        <v>1.813290154</v>
      </c>
      <c r="AH17">
        <v>1.629311403</v>
      </c>
      <c r="AI17">
        <v>0.379497113</v>
      </c>
      <c r="AJ17">
        <v>0.520052737</v>
      </c>
      <c r="AK17">
        <v>0.276400921</v>
      </c>
      <c r="AL17">
        <v>0.339483722</v>
      </c>
      <c r="AM17">
        <v>1.689999117</v>
      </c>
      <c r="AN17">
        <v>1.350909795</v>
      </c>
      <c r="AO17">
        <v>0.28652906</v>
      </c>
      <c r="AP17">
        <v>1.737289422</v>
      </c>
      <c r="AQ17">
        <v>0.156603896</v>
      </c>
      <c r="AR17">
        <v>0.459319986</v>
      </c>
      <c r="AS17">
        <v>0.472883672</v>
      </c>
      <c r="AT17">
        <v>0.389131059</v>
      </c>
      <c r="AU17">
        <v>0.3857489</v>
      </c>
    </row>
    <row r="18" spans="1:47">
      <c r="A18" t="s">
        <v>62</v>
      </c>
      <c r="B18">
        <v>0.861328836</v>
      </c>
      <c r="C18">
        <v>0.44274595</v>
      </c>
      <c r="D18">
        <v>0</v>
      </c>
      <c r="E18">
        <v>0.670982269</v>
      </c>
      <c r="F18">
        <v>0.244264219</v>
      </c>
      <c r="G18">
        <v>0.325656133</v>
      </c>
      <c r="H18">
        <v>0.403145695</v>
      </c>
      <c r="I18">
        <v>0.852845768</v>
      </c>
      <c r="J18">
        <v>0.569136815</v>
      </c>
      <c r="K18">
        <v>0.373682858</v>
      </c>
      <c r="L18">
        <v>0.597218147</v>
      </c>
      <c r="M18">
        <v>0.282203726</v>
      </c>
      <c r="N18">
        <v>0.258982734</v>
      </c>
      <c r="O18">
        <v>0.547717842</v>
      </c>
      <c r="P18">
        <v>0.803514035</v>
      </c>
      <c r="Q18">
        <v>1.643325538</v>
      </c>
      <c r="R18">
        <v>0.558056661</v>
      </c>
      <c r="S18">
        <v>0.988735039</v>
      </c>
      <c r="T18">
        <v>1.105806142</v>
      </c>
      <c r="U18">
        <v>0.442748092</v>
      </c>
      <c r="V18">
        <v>1.377015925</v>
      </c>
      <c r="W18">
        <v>0.742106409</v>
      </c>
      <c r="X18">
        <v>0.700519536</v>
      </c>
      <c r="Y18">
        <v>0.947926153</v>
      </c>
      <c r="Z18">
        <v>1.356387709</v>
      </c>
      <c r="AA18">
        <v>1.245158315</v>
      </c>
      <c r="AB18">
        <v>0.899200374</v>
      </c>
      <c r="AC18">
        <v>0.91174478</v>
      </c>
      <c r="AD18">
        <v>0.428571429</v>
      </c>
      <c r="AE18">
        <v>0.367256259</v>
      </c>
      <c r="AF18">
        <v>0.491135421</v>
      </c>
      <c r="AG18">
        <v>0.420487106</v>
      </c>
      <c r="AH18">
        <v>0.75069462</v>
      </c>
      <c r="AI18">
        <v>0.615125342</v>
      </c>
      <c r="AJ18">
        <v>0.632254028</v>
      </c>
      <c r="AK18">
        <v>0.478345524</v>
      </c>
      <c r="AL18">
        <v>0.518045272</v>
      </c>
      <c r="AM18">
        <v>0.565836549</v>
      </c>
      <c r="AN18">
        <v>0.881820329</v>
      </c>
      <c r="AO18">
        <v>1.145266304</v>
      </c>
      <c r="AP18">
        <v>0.321759579</v>
      </c>
      <c r="AQ18">
        <v>0.518317266</v>
      </c>
      <c r="AR18">
        <v>1.184267316</v>
      </c>
      <c r="AS18">
        <v>1.164066852</v>
      </c>
      <c r="AT18">
        <v>1.309084224</v>
      </c>
      <c r="AU18">
        <v>1.314156171</v>
      </c>
    </row>
    <row r="19" spans="1:47">
      <c r="A19" t="s">
        <v>63</v>
      </c>
      <c r="B19">
        <v>1.306253682</v>
      </c>
      <c r="C19">
        <v>0.332211845</v>
      </c>
      <c r="D19">
        <v>1.755312943</v>
      </c>
      <c r="E19">
        <v>0.488729263</v>
      </c>
      <c r="F19">
        <v>1.07078397</v>
      </c>
      <c r="G19">
        <v>0.262973121</v>
      </c>
      <c r="H19">
        <v>0.403434292</v>
      </c>
      <c r="I19">
        <v>1.318144486</v>
      </c>
      <c r="J19">
        <v>0.367261182</v>
      </c>
      <c r="K19">
        <v>0.28367824</v>
      </c>
      <c r="L19">
        <v>1.65555204</v>
      </c>
      <c r="M19">
        <v>0.212384369</v>
      </c>
      <c r="N19">
        <v>0.408578923</v>
      </c>
      <c r="O19">
        <v>1.677194658</v>
      </c>
      <c r="P19">
        <v>1.427057183</v>
      </c>
      <c r="Q19">
        <v>1.801052343</v>
      </c>
      <c r="R19">
        <v>1.6970307</v>
      </c>
      <c r="S19">
        <v>1.481690969</v>
      </c>
      <c r="T19">
        <v>0.887350273</v>
      </c>
      <c r="U19">
        <v>0.333081659</v>
      </c>
      <c r="V19">
        <v>1.293605955</v>
      </c>
      <c r="W19">
        <v>1.128820013</v>
      </c>
      <c r="X19">
        <v>1.070001514</v>
      </c>
      <c r="Y19">
        <v>0.370498995</v>
      </c>
      <c r="Z19">
        <v>1.263088021</v>
      </c>
      <c r="AA19">
        <v>1.6718529</v>
      </c>
      <c r="AB19">
        <v>1.659010217</v>
      </c>
      <c r="AC19">
        <v>1.665131629</v>
      </c>
      <c r="AD19">
        <v>0.279839693</v>
      </c>
      <c r="AE19">
        <v>0.523259975</v>
      </c>
      <c r="AF19">
        <v>0.895842646</v>
      </c>
      <c r="AG19">
        <v>0.186709846</v>
      </c>
      <c r="AH19">
        <v>0.370688597</v>
      </c>
      <c r="AI19">
        <v>1.620502887</v>
      </c>
      <c r="AJ19">
        <v>1.479947263</v>
      </c>
      <c r="AK19">
        <v>1.723599079</v>
      </c>
      <c r="AL19">
        <v>1.660516278</v>
      </c>
      <c r="AM19">
        <v>0.310000883</v>
      </c>
      <c r="AN19">
        <v>0.649090205</v>
      </c>
      <c r="AO19">
        <v>1.71347094</v>
      </c>
      <c r="AP19">
        <v>0.262710578</v>
      </c>
      <c r="AQ19">
        <v>1.843396104</v>
      </c>
      <c r="AR19">
        <v>1.540680014</v>
      </c>
      <c r="AS19">
        <v>1.527116328</v>
      </c>
      <c r="AT19">
        <v>1.610868941</v>
      </c>
      <c r="AU19">
        <v>1.6142511</v>
      </c>
    </row>
    <row r="20" spans="1:47">
      <c r="A20" t="s">
        <v>64</v>
      </c>
      <c r="B20">
        <v>1.138671164</v>
      </c>
      <c r="C20">
        <v>1.55725405</v>
      </c>
      <c r="D20">
        <v>0</v>
      </c>
      <c r="E20">
        <v>1.329017731</v>
      </c>
      <c r="F20">
        <v>1.755735781</v>
      </c>
      <c r="G20">
        <v>1.674343867</v>
      </c>
      <c r="H20">
        <v>1.596854305</v>
      </c>
      <c r="I20">
        <v>1.147154232</v>
      </c>
      <c r="J20">
        <v>1.430863185</v>
      </c>
      <c r="K20">
        <v>1.626317142</v>
      </c>
      <c r="L20">
        <v>1.402781853</v>
      </c>
      <c r="M20">
        <v>1.717796274</v>
      </c>
      <c r="N20">
        <v>1.741017266</v>
      </c>
      <c r="O20">
        <v>1.452282158</v>
      </c>
      <c r="P20">
        <v>1.196485965</v>
      </c>
      <c r="Q20">
        <v>0.356674462</v>
      </c>
      <c r="R20">
        <v>1.441943339</v>
      </c>
      <c r="S20">
        <v>1.011264961</v>
      </c>
      <c r="T20">
        <v>0.894193858</v>
      </c>
      <c r="U20">
        <v>1.557251908</v>
      </c>
      <c r="V20">
        <v>0.622984075</v>
      </c>
      <c r="W20">
        <v>1.257893591</v>
      </c>
      <c r="X20">
        <v>1.299480464</v>
      </c>
      <c r="Y20">
        <v>1.052073847</v>
      </c>
      <c r="Z20">
        <v>0.643612291</v>
      </c>
      <c r="AA20">
        <v>0.754841685</v>
      </c>
      <c r="AB20">
        <v>1.100799626</v>
      </c>
      <c r="AC20">
        <v>1.08825522</v>
      </c>
      <c r="AD20">
        <v>1.571428571</v>
      </c>
      <c r="AE20">
        <v>1.632743741</v>
      </c>
      <c r="AF20">
        <v>1.508864579</v>
      </c>
      <c r="AG20">
        <v>1.579512894</v>
      </c>
      <c r="AH20">
        <v>1.24930538</v>
      </c>
      <c r="AI20">
        <v>1.384874658</v>
      </c>
      <c r="AJ20">
        <v>1.367745972</v>
      </c>
      <c r="AK20">
        <v>1.521654476</v>
      </c>
      <c r="AL20">
        <v>1.481954728</v>
      </c>
      <c r="AM20">
        <v>1.434163451</v>
      </c>
      <c r="AN20">
        <v>1.118179671</v>
      </c>
      <c r="AO20">
        <v>0.854733696</v>
      </c>
      <c r="AP20">
        <v>1.678240421</v>
      </c>
      <c r="AQ20">
        <v>1.481682734</v>
      </c>
      <c r="AR20">
        <v>0.815732684</v>
      </c>
      <c r="AS20">
        <v>0.835933148</v>
      </c>
      <c r="AT20">
        <v>0.690915776</v>
      </c>
      <c r="AU20">
        <v>0.685843829</v>
      </c>
    </row>
    <row r="21" spans="1:47">
      <c r="A21" t="s">
        <v>65</v>
      </c>
      <c r="B21">
        <v>0.761328488</v>
      </c>
      <c r="C21">
        <v>1.957996213</v>
      </c>
      <c r="D21">
        <v>0.325748503</v>
      </c>
      <c r="E21">
        <v>1.976747136</v>
      </c>
      <c r="F21">
        <v>1.7866128</v>
      </c>
      <c r="G21">
        <v>2.173238236</v>
      </c>
      <c r="H21">
        <v>1.991362876</v>
      </c>
      <c r="I21">
        <v>0.757257464</v>
      </c>
      <c r="J21">
        <v>2.075234484</v>
      </c>
      <c r="K21">
        <v>2.119310793</v>
      </c>
      <c r="L21">
        <v>0.839093572</v>
      </c>
      <c r="M21">
        <v>2.339284358</v>
      </c>
      <c r="N21">
        <v>1.860669227</v>
      </c>
      <c r="O21">
        <v>0.263812207</v>
      </c>
      <c r="P21">
        <v>0.378460122</v>
      </c>
      <c r="Q21">
        <v>0.109624485</v>
      </c>
      <c r="R21">
        <v>0.991783658</v>
      </c>
      <c r="S21">
        <v>0.52811284</v>
      </c>
      <c r="T21">
        <v>0.78775936</v>
      </c>
      <c r="U21">
        <v>1.954206373</v>
      </c>
      <c r="V21">
        <v>1.278852285</v>
      </c>
      <c r="W21">
        <v>1.764237003</v>
      </c>
      <c r="X21">
        <v>0.426901389</v>
      </c>
      <c r="Y21">
        <v>2.147810581</v>
      </c>
      <c r="Z21">
        <v>1.319424688</v>
      </c>
      <c r="AA21">
        <v>0.179281858</v>
      </c>
      <c r="AB21">
        <v>0.257699213</v>
      </c>
      <c r="AC21">
        <v>0.252256186</v>
      </c>
      <c r="AD21">
        <v>2.138760407</v>
      </c>
      <c r="AE21">
        <v>0.708218063</v>
      </c>
      <c r="AF21">
        <v>2.034333733</v>
      </c>
      <c r="AG21">
        <v>1.151611505</v>
      </c>
      <c r="AH21">
        <v>2.183973876</v>
      </c>
      <c r="AI21">
        <v>0.526338391</v>
      </c>
      <c r="AJ21">
        <v>0.280175628</v>
      </c>
      <c r="AK21">
        <v>1.145858869</v>
      </c>
      <c r="AL21">
        <v>0.915073762</v>
      </c>
      <c r="AM21">
        <v>1.260243979</v>
      </c>
      <c r="AN21">
        <v>1.951459293</v>
      </c>
      <c r="AO21">
        <v>0.398016386</v>
      </c>
      <c r="AP21">
        <v>1.835365452</v>
      </c>
      <c r="AQ21">
        <v>0.821704577</v>
      </c>
      <c r="AR21">
        <v>1.045865178</v>
      </c>
      <c r="AS21">
        <v>1.07014966</v>
      </c>
      <c r="AT21">
        <v>0.93597447</v>
      </c>
      <c r="AU21">
        <v>0.93617498</v>
      </c>
    </row>
    <row r="22" spans="1:47">
      <c r="A22" t="s">
        <v>66</v>
      </c>
      <c r="B22">
        <v>0.492723739</v>
      </c>
      <c r="C22">
        <v>0.24134963</v>
      </c>
      <c r="D22">
        <v>1.405413174</v>
      </c>
      <c r="E22">
        <v>0.355134655</v>
      </c>
      <c r="F22">
        <v>0.300431549</v>
      </c>
      <c r="G22">
        <v>0.055084556</v>
      </c>
      <c r="H22">
        <v>0.253666887</v>
      </c>
      <c r="I22">
        <v>0.489157224</v>
      </c>
      <c r="J22">
        <v>0.230293355</v>
      </c>
      <c r="K22">
        <v>0.08810143</v>
      </c>
      <c r="L22">
        <v>0.588376754</v>
      </c>
      <c r="M22">
        <v>0.070804528</v>
      </c>
      <c r="N22">
        <v>0.165660998</v>
      </c>
      <c r="O22">
        <v>1.190760563</v>
      </c>
      <c r="P22">
        <v>0.87513972</v>
      </c>
      <c r="Q22">
        <v>2.643924693</v>
      </c>
      <c r="R22">
        <v>0.167561623</v>
      </c>
      <c r="S22">
        <v>1.314299611</v>
      </c>
      <c r="T22">
        <v>0.255708821</v>
      </c>
      <c r="U22">
        <v>0.242335389</v>
      </c>
      <c r="V22">
        <v>0.564293305</v>
      </c>
      <c r="W22">
        <v>0.417323532</v>
      </c>
      <c r="X22">
        <v>0.903658369</v>
      </c>
      <c r="Y22">
        <v>0.18922132</v>
      </c>
      <c r="Z22">
        <v>0.552341815</v>
      </c>
      <c r="AA22">
        <v>1.830501105</v>
      </c>
      <c r="AB22">
        <v>1.067117801</v>
      </c>
      <c r="AC22">
        <v>1.079475983</v>
      </c>
      <c r="AD22">
        <v>0.078445883</v>
      </c>
      <c r="AE22">
        <v>0.526823976</v>
      </c>
      <c r="AF22">
        <v>0.13997599</v>
      </c>
      <c r="AG22">
        <v>0.29657465</v>
      </c>
      <c r="AH22">
        <v>0.181060035</v>
      </c>
      <c r="AI22">
        <v>1.228743201</v>
      </c>
      <c r="AJ22">
        <v>0.6678817</v>
      </c>
      <c r="AK22">
        <v>0.188641802</v>
      </c>
      <c r="AL22">
        <v>0.428735605</v>
      </c>
      <c r="AM22">
        <v>0.282139506</v>
      </c>
      <c r="AN22">
        <v>0.356169995</v>
      </c>
      <c r="AO22">
        <v>0.314575248</v>
      </c>
      <c r="AP22">
        <v>0.13866737</v>
      </c>
      <c r="AQ22">
        <v>0.424225815</v>
      </c>
      <c r="AR22">
        <v>1.283761248</v>
      </c>
      <c r="AS22">
        <v>1.254204082</v>
      </c>
      <c r="AT22">
        <v>1.42694228</v>
      </c>
      <c r="AU22">
        <v>1.429934373</v>
      </c>
    </row>
    <row r="23" spans="1:47">
      <c r="A23" t="s">
        <v>67</v>
      </c>
      <c r="B23">
        <v>2.11740049</v>
      </c>
      <c r="C23">
        <v>0.543294887</v>
      </c>
      <c r="D23">
        <v>1.838083832</v>
      </c>
      <c r="E23">
        <v>0.627404558</v>
      </c>
      <c r="F23">
        <v>0.220549077</v>
      </c>
      <c r="G23">
        <v>0.177095949</v>
      </c>
      <c r="H23">
        <v>0.560245886</v>
      </c>
      <c r="I23">
        <v>2.112182615</v>
      </c>
      <c r="J23">
        <v>0.337457593</v>
      </c>
      <c r="K23">
        <v>0.053803641</v>
      </c>
      <c r="L23">
        <v>1.746138431</v>
      </c>
      <c r="M23">
        <v>0.162880802</v>
      </c>
      <c r="N23">
        <v>0.152495886</v>
      </c>
      <c r="O23">
        <v>1.619330203</v>
      </c>
      <c r="P23">
        <v>2.112564929</v>
      </c>
      <c r="Q23">
        <v>1.070438838</v>
      </c>
      <c r="R23">
        <v>2.277544155</v>
      </c>
      <c r="S23">
        <v>1.311964981</v>
      </c>
      <c r="T23">
        <v>1.480931958</v>
      </c>
      <c r="U23">
        <v>0.543659178</v>
      </c>
      <c r="V23">
        <v>1.454410202</v>
      </c>
      <c r="W23">
        <v>1.076432557</v>
      </c>
      <c r="X23">
        <v>1.488791088</v>
      </c>
      <c r="Y23">
        <v>0.347136913</v>
      </c>
      <c r="Z23">
        <v>1.424793214</v>
      </c>
      <c r="AA23">
        <v>1.555418675</v>
      </c>
      <c r="AB23">
        <v>2.078994614</v>
      </c>
      <c r="AC23">
        <v>2.074818049</v>
      </c>
      <c r="AD23">
        <v>0.05106383</v>
      </c>
      <c r="AE23">
        <v>1.297965826</v>
      </c>
      <c r="AF23">
        <v>0.540936375</v>
      </c>
      <c r="AG23">
        <v>0.194536783</v>
      </c>
      <c r="AH23">
        <v>0.451745793</v>
      </c>
      <c r="AI23">
        <v>0.684511881</v>
      </c>
      <c r="AJ23">
        <v>1.906552895</v>
      </c>
      <c r="AK23">
        <v>1.948053464</v>
      </c>
      <c r="AL23">
        <v>1.636888149</v>
      </c>
      <c r="AM23">
        <v>1.685799187</v>
      </c>
      <c r="AN23">
        <v>0.777880184</v>
      </c>
      <c r="AO23">
        <v>2.91504959</v>
      </c>
      <c r="AP23">
        <v>0.2628353</v>
      </c>
      <c r="AQ23">
        <v>1.905398739</v>
      </c>
      <c r="AR23">
        <v>0.523735207</v>
      </c>
      <c r="AS23">
        <v>0.518603175</v>
      </c>
      <c r="AT23">
        <v>0.60059991</v>
      </c>
      <c r="AU23">
        <v>0.606865134</v>
      </c>
    </row>
    <row r="24" spans="1:47">
      <c r="A24" t="s">
        <v>68</v>
      </c>
      <c r="B24">
        <v>0.628547283</v>
      </c>
      <c r="C24">
        <v>1.25735927</v>
      </c>
      <c r="D24">
        <v>0.430754491</v>
      </c>
      <c r="E24">
        <v>1.040713652</v>
      </c>
      <c r="F24">
        <v>1.692406574</v>
      </c>
      <c r="G24">
        <v>1.594581259</v>
      </c>
      <c r="H24">
        <v>1.194724351</v>
      </c>
      <c r="I24">
        <v>0.641402696</v>
      </c>
      <c r="J24">
        <v>1.357014568</v>
      </c>
      <c r="K24">
        <v>1.738784135</v>
      </c>
      <c r="L24">
        <v>0.826391244</v>
      </c>
      <c r="M24">
        <v>1.427030312</v>
      </c>
      <c r="N24">
        <v>1.821173889</v>
      </c>
      <c r="O24">
        <v>0.926097027</v>
      </c>
      <c r="P24">
        <v>0.633835229</v>
      </c>
      <c r="Q24">
        <v>0.176011984</v>
      </c>
      <c r="R24">
        <v>0.563110565</v>
      </c>
      <c r="S24">
        <v>0.845622568</v>
      </c>
      <c r="T24">
        <v>1.475599861</v>
      </c>
      <c r="U24">
        <v>1.25979906</v>
      </c>
      <c r="V24">
        <v>0.702444208</v>
      </c>
      <c r="W24">
        <v>0.742006908</v>
      </c>
      <c r="X24">
        <v>1.180649154</v>
      </c>
      <c r="Y24">
        <v>1.315831187</v>
      </c>
      <c r="Z24">
        <v>0.703440282</v>
      </c>
      <c r="AA24">
        <v>0.434798362</v>
      </c>
      <c r="AB24">
        <v>0.596188372</v>
      </c>
      <c r="AC24">
        <v>0.593449782</v>
      </c>
      <c r="AD24">
        <v>1.73172988</v>
      </c>
      <c r="AE24">
        <v>1.466992135</v>
      </c>
      <c r="AF24">
        <v>1.284753902</v>
      </c>
      <c r="AG24">
        <v>2.357277063</v>
      </c>
      <c r="AH24">
        <v>1.183220296</v>
      </c>
      <c r="AI24">
        <v>1.560406527</v>
      </c>
      <c r="AJ24">
        <v>1.145389777</v>
      </c>
      <c r="AK24">
        <v>0.717445865</v>
      </c>
      <c r="AL24">
        <v>1.019302484</v>
      </c>
      <c r="AM24">
        <v>0.771817329</v>
      </c>
      <c r="AN24">
        <v>0.914490527</v>
      </c>
      <c r="AO24">
        <v>0.372358775</v>
      </c>
      <c r="AP24">
        <v>1.763131879</v>
      </c>
      <c r="AQ24">
        <v>0.848670869</v>
      </c>
      <c r="AR24">
        <v>1.146638367</v>
      </c>
      <c r="AS24">
        <v>1.157043084</v>
      </c>
      <c r="AT24">
        <v>1.03648334</v>
      </c>
      <c r="AU24">
        <v>1.027025513</v>
      </c>
    </row>
    <row r="25" spans="1:47">
      <c r="A25" t="s">
        <v>69</v>
      </c>
      <c r="B25">
        <v>0.380057745</v>
      </c>
      <c r="C25">
        <v>0.754026245</v>
      </c>
      <c r="D25">
        <v>0</v>
      </c>
      <c r="E25">
        <v>1.160972559</v>
      </c>
      <c r="F25">
        <v>0.360593972</v>
      </c>
      <c r="G25">
        <v>0.125267545</v>
      </c>
      <c r="H25">
        <v>1.094430826</v>
      </c>
      <c r="I25">
        <v>0.38450749</v>
      </c>
      <c r="J25">
        <v>0.743013699</v>
      </c>
      <c r="K25">
        <v>0.037367615</v>
      </c>
      <c r="L25">
        <v>0.333568003</v>
      </c>
      <c r="M25">
        <v>0.116802531</v>
      </c>
      <c r="N25">
        <v>0.250996016</v>
      </c>
      <c r="O25">
        <v>0.204782873</v>
      </c>
      <c r="P25">
        <v>0.280734785</v>
      </c>
      <c r="Q25">
        <v>0.097566471</v>
      </c>
      <c r="R25">
        <v>0.426422247</v>
      </c>
      <c r="S25">
        <v>0.541373392</v>
      </c>
      <c r="T25">
        <v>0.549865229</v>
      </c>
      <c r="U25">
        <v>0.758109015</v>
      </c>
      <c r="V25">
        <v>0.199744246</v>
      </c>
      <c r="W25">
        <v>0.692807928</v>
      </c>
      <c r="X25">
        <v>0.460461069</v>
      </c>
      <c r="Y25">
        <v>0.488616935</v>
      </c>
      <c r="Z25">
        <v>0.210553148</v>
      </c>
      <c r="AA25">
        <v>0.26825922</v>
      </c>
      <c r="AB25">
        <v>0.244857055</v>
      </c>
      <c r="AC25">
        <v>0.232050982</v>
      </c>
      <c r="AD25">
        <v>0.032709275</v>
      </c>
      <c r="AE25">
        <v>1.30137741</v>
      </c>
      <c r="AF25">
        <v>0.232643437</v>
      </c>
      <c r="AG25">
        <v>0.227078687</v>
      </c>
      <c r="AH25">
        <v>0.608541366</v>
      </c>
      <c r="AI25">
        <v>0.398128749</v>
      </c>
      <c r="AJ25">
        <v>0.198804997</v>
      </c>
      <c r="AK25">
        <v>0.5902905</v>
      </c>
      <c r="AL25">
        <v>0.427197659</v>
      </c>
      <c r="AM25">
        <v>0.521360305</v>
      </c>
      <c r="AN25">
        <v>1.112041325</v>
      </c>
      <c r="AO25">
        <v>0.920956087</v>
      </c>
      <c r="AP25">
        <v>0.136193564</v>
      </c>
      <c r="AQ25">
        <v>0.370717634</v>
      </c>
      <c r="AR25">
        <v>0.739880643</v>
      </c>
      <c r="AS25">
        <v>0.747002732</v>
      </c>
      <c r="AT25">
        <v>0.675154477</v>
      </c>
      <c r="AU25">
        <v>0.676459212</v>
      </c>
    </row>
    <row r="26" spans="1:47">
      <c r="A26" t="s">
        <v>70</v>
      </c>
      <c r="B26">
        <v>2.407547477</v>
      </c>
      <c r="C26">
        <v>1.09357292</v>
      </c>
      <c r="D26">
        <v>0</v>
      </c>
      <c r="E26">
        <v>0.813853491</v>
      </c>
      <c r="F26">
        <v>0.618794326</v>
      </c>
      <c r="G26">
        <v>0.034020502</v>
      </c>
      <c r="H26">
        <v>0.639091254</v>
      </c>
      <c r="I26">
        <v>2.39525221</v>
      </c>
      <c r="J26">
        <v>0.630336239</v>
      </c>
      <c r="K26">
        <v>0.017984414</v>
      </c>
      <c r="L26">
        <v>0.960311524</v>
      </c>
      <c r="M26">
        <v>0.029930648</v>
      </c>
      <c r="N26">
        <v>0.218284756</v>
      </c>
      <c r="O26">
        <v>0.895627982</v>
      </c>
      <c r="P26">
        <v>1.967585996</v>
      </c>
      <c r="Q26">
        <v>2.576460868</v>
      </c>
      <c r="R26">
        <v>0.67677616</v>
      </c>
      <c r="S26">
        <v>2.077790848</v>
      </c>
      <c r="T26">
        <v>0.586015538</v>
      </c>
      <c r="U26">
        <v>1.095220342</v>
      </c>
      <c r="V26">
        <v>1.586189258</v>
      </c>
      <c r="W26">
        <v>1.856158551</v>
      </c>
      <c r="X26">
        <v>1.185463486</v>
      </c>
      <c r="Y26">
        <v>0.917574012</v>
      </c>
      <c r="Z26">
        <v>1.593678307</v>
      </c>
      <c r="AA26">
        <v>3.763860867</v>
      </c>
      <c r="AB26">
        <v>2.835564958</v>
      </c>
      <c r="AC26">
        <v>2.860558934</v>
      </c>
      <c r="AD26">
        <v>0.007531741</v>
      </c>
      <c r="AE26">
        <v>0.14369146</v>
      </c>
      <c r="AF26">
        <v>0.062352633</v>
      </c>
      <c r="AG26">
        <v>0.923988531</v>
      </c>
      <c r="AH26">
        <v>1.014813287</v>
      </c>
      <c r="AI26">
        <v>1.042504951</v>
      </c>
      <c r="AJ26">
        <v>2.225389015</v>
      </c>
      <c r="AK26">
        <v>0.640669982</v>
      </c>
      <c r="AL26">
        <v>0.725201213</v>
      </c>
      <c r="AM26">
        <v>1.866401</v>
      </c>
      <c r="AN26">
        <v>0.648735305</v>
      </c>
      <c r="AO26">
        <v>0.947192885</v>
      </c>
      <c r="AP26">
        <v>0.023946121</v>
      </c>
      <c r="AQ26">
        <v>1.116239933</v>
      </c>
      <c r="AR26">
        <v>1.043906146</v>
      </c>
      <c r="AS26">
        <v>0.995371661</v>
      </c>
      <c r="AT26">
        <v>1.185897177</v>
      </c>
      <c r="AU26">
        <v>1.177638959</v>
      </c>
    </row>
    <row r="27" spans="1:47">
      <c r="A27" t="s">
        <v>71</v>
      </c>
      <c r="B27">
        <v>0.579724289</v>
      </c>
      <c r="C27">
        <v>0.325678497</v>
      </c>
      <c r="D27">
        <v>0</v>
      </c>
      <c r="E27">
        <v>1.416386522</v>
      </c>
      <c r="F27">
        <v>0.119237589</v>
      </c>
      <c r="G27">
        <v>0.006308438</v>
      </c>
      <c r="H27">
        <v>0.156199289</v>
      </c>
      <c r="I27">
        <v>0.593632562</v>
      </c>
      <c r="J27">
        <v>0.292303861</v>
      </c>
      <c r="K27">
        <v>0.005195497</v>
      </c>
      <c r="L27">
        <v>1.125577507</v>
      </c>
      <c r="M27">
        <v>0.012410269</v>
      </c>
      <c r="N27">
        <v>0.056615643</v>
      </c>
      <c r="O27">
        <v>1.69585644</v>
      </c>
      <c r="P27">
        <v>1.207510686</v>
      </c>
      <c r="Q27">
        <v>2.451028992</v>
      </c>
      <c r="R27">
        <v>0.920651678</v>
      </c>
      <c r="S27">
        <v>1.14997011</v>
      </c>
      <c r="T27">
        <v>0.068178215</v>
      </c>
      <c r="U27">
        <v>0.325702781</v>
      </c>
      <c r="V27">
        <v>2.320204604</v>
      </c>
      <c r="W27">
        <v>1.379112797</v>
      </c>
      <c r="X27">
        <v>0.979267097</v>
      </c>
      <c r="Y27">
        <v>0.232970395</v>
      </c>
      <c r="Z27">
        <v>2.244710681</v>
      </c>
      <c r="AA27">
        <v>0.298765233</v>
      </c>
      <c r="AB27">
        <v>1.515742004</v>
      </c>
      <c r="AC27">
        <v>1.510173059</v>
      </c>
      <c r="AD27">
        <v>0.005379815</v>
      </c>
      <c r="AE27">
        <v>0.31030303</v>
      </c>
      <c r="AF27">
        <v>0.031438302</v>
      </c>
      <c r="AG27">
        <v>0.022937241</v>
      </c>
      <c r="AH27">
        <v>0.148793068</v>
      </c>
      <c r="AI27">
        <v>1.050942801</v>
      </c>
      <c r="AJ27">
        <v>0.23599706</v>
      </c>
      <c r="AK27">
        <v>0.539649306</v>
      </c>
      <c r="AL27">
        <v>0.668339082</v>
      </c>
      <c r="AM27">
        <v>0.373037047</v>
      </c>
      <c r="AN27">
        <v>1.806198789</v>
      </c>
      <c r="AO27">
        <v>2.08471373</v>
      </c>
      <c r="AP27">
        <v>0.024245448</v>
      </c>
      <c r="AQ27">
        <v>1.169852146</v>
      </c>
      <c r="AR27">
        <v>1.292219586</v>
      </c>
      <c r="AS27">
        <v>1.251491663</v>
      </c>
      <c r="AT27">
        <v>1.432636</v>
      </c>
      <c r="AU27">
        <v>1.447433567</v>
      </c>
    </row>
    <row r="28" spans="1:47">
      <c r="A28" t="s">
        <v>72</v>
      </c>
      <c r="B28">
        <v>2.301085763</v>
      </c>
      <c r="C28">
        <v>2.508798091</v>
      </c>
      <c r="D28">
        <v>0</v>
      </c>
      <c r="E28">
        <v>1.931905246</v>
      </c>
      <c r="F28">
        <v>2.427748227</v>
      </c>
      <c r="G28">
        <v>0.289286921</v>
      </c>
      <c r="H28">
        <v>2.830231675</v>
      </c>
      <c r="I28">
        <v>2.278383528</v>
      </c>
      <c r="J28">
        <v>2.064358655</v>
      </c>
      <c r="K28">
        <v>0.209218677</v>
      </c>
      <c r="L28">
        <v>0.75584107</v>
      </c>
      <c r="M28">
        <v>0.274485947</v>
      </c>
      <c r="N28">
        <v>1.306563221</v>
      </c>
      <c r="O28">
        <v>0.926303959</v>
      </c>
      <c r="P28">
        <v>1.052106656</v>
      </c>
      <c r="Q28">
        <v>0.263632267</v>
      </c>
      <c r="R28">
        <v>1.422079324</v>
      </c>
      <c r="S28">
        <v>0.631505872</v>
      </c>
      <c r="T28">
        <v>1.471063897</v>
      </c>
      <c r="U28">
        <v>2.502497949</v>
      </c>
      <c r="V28">
        <v>0.598209719</v>
      </c>
      <c r="W28">
        <v>1.497561353</v>
      </c>
      <c r="X28">
        <v>2.122463638</v>
      </c>
      <c r="Y28">
        <v>2.377215873</v>
      </c>
      <c r="Z28">
        <v>0.613051236</v>
      </c>
      <c r="AA28">
        <v>1.319506093</v>
      </c>
      <c r="AB28">
        <v>0.957381065</v>
      </c>
      <c r="AC28">
        <v>0.958547708</v>
      </c>
      <c r="AD28">
        <v>0.219281257</v>
      </c>
      <c r="AE28">
        <v>0.692892562</v>
      </c>
      <c r="AF28">
        <v>0.284516636</v>
      </c>
      <c r="AG28">
        <v>1.110162472</v>
      </c>
      <c r="AH28">
        <v>3.338064782</v>
      </c>
      <c r="AI28">
        <v>1.603708062</v>
      </c>
      <c r="AJ28">
        <v>2.213119468</v>
      </c>
      <c r="AK28">
        <v>1.683459827</v>
      </c>
      <c r="AL28">
        <v>1.369499321</v>
      </c>
      <c r="AM28">
        <v>2.759582588</v>
      </c>
      <c r="AN28">
        <v>1.75436409</v>
      </c>
      <c r="AO28">
        <v>0.727959978</v>
      </c>
      <c r="AP28">
        <v>0.22509354</v>
      </c>
      <c r="AQ28">
        <v>1.428537084</v>
      </c>
      <c r="AR28">
        <v>0.513418341</v>
      </c>
      <c r="AS28">
        <v>0.513243741</v>
      </c>
      <c r="AT28">
        <v>0.470457574</v>
      </c>
      <c r="AU28">
        <v>0.466599621</v>
      </c>
    </row>
    <row r="29" spans="1:47">
      <c r="A29" t="s">
        <v>73</v>
      </c>
      <c r="B29">
        <v>0.218320012</v>
      </c>
      <c r="C29">
        <v>0.660276799</v>
      </c>
      <c r="D29">
        <v>0.17663954</v>
      </c>
      <c r="E29">
        <v>0.577246327</v>
      </c>
      <c r="F29">
        <v>0.433779025</v>
      </c>
      <c r="G29">
        <v>0.757385077</v>
      </c>
      <c r="H29">
        <v>0.503615351</v>
      </c>
      <c r="I29">
        <v>0.215692881</v>
      </c>
      <c r="J29">
        <v>0.687134612</v>
      </c>
      <c r="K29">
        <v>0.517187277</v>
      </c>
      <c r="L29">
        <v>0.262791905</v>
      </c>
      <c r="M29">
        <v>0.481567615</v>
      </c>
      <c r="N29">
        <v>0.707854234</v>
      </c>
      <c r="O29">
        <v>0.115828069</v>
      </c>
      <c r="P29">
        <v>0.178029224</v>
      </c>
      <c r="Q29">
        <v>0.066606038</v>
      </c>
      <c r="R29">
        <v>0.148877708</v>
      </c>
      <c r="S29">
        <v>0.137366802</v>
      </c>
      <c r="T29">
        <v>0.126531076</v>
      </c>
      <c r="U29">
        <v>0.66100674</v>
      </c>
      <c r="V29">
        <v>0.190142771</v>
      </c>
      <c r="W29">
        <v>0.307174656</v>
      </c>
      <c r="X29">
        <v>0.310357884</v>
      </c>
      <c r="Y29">
        <v>0.440105724</v>
      </c>
      <c r="Z29">
        <v>0.205324447</v>
      </c>
      <c r="AA29">
        <v>0.153592325</v>
      </c>
      <c r="AB29">
        <v>0.094771587</v>
      </c>
      <c r="AC29">
        <v>0.090748677</v>
      </c>
      <c r="AD29">
        <v>0.782608696</v>
      </c>
      <c r="AE29">
        <v>0.387993963</v>
      </c>
      <c r="AF29">
        <v>0.82169648</v>
      </c>
      <c r="AG29">
        <v>0.41665918</v>
      </c>
      <c r="AH29">
        <v>0.498419356</v>
      </c>
      <c r="AI29">
        <v>0.101655165</v>
      </c>
      <c r="AJ29">
        <v>0.104489622</v>
      </c>
      <c r="AK29">
        <v>0.126986847</v>
      </c>
      <c r="AL29">
        <v>0.152554681</v>
      </c>
      <c r="AM29">
        <v>0.349032349</v>
      </c>
      <c r="AN29">
        <v>0.649784355</v>
      </c>
      <c r="AO29">
        <v>0.121291643</v>
      </c>
      <c r="AP29">
        <v>0.580782842</v>
      </c>
      <c r="AQ29">
        <v>0.076366671</v>
      </c>
      <c r="AR29">
        <v>0.383666127</v>
      </c>
      <c r="AS29">
        <v>0.39397444</v>
      </c>
      <c r="AT29">
        <v>0.325419684</v>
      </c>
      <c r="AU29">
        <v>0.325082653</v>
      </c>
    </row>
    <row r="30" spans="1:47">
      <c r="A30" t="s">
        <v>74</v>
      </c>
      <c r="B30">
        <v>0.627244859</v>
      </c>
      <c r="C30">
        <v>0.216109344</v>
      </c>
      <c r="D30">
        <v>1.991300185</v>
      </c>
      <c r="E30">
        <v>0.383840109</v>
      </c>
      <c r="F30">
        <v>0.61636505</v>
      </c>
      <c r="G30">
        <v>0.029698278</v>
      </c>
      <c r="H30">
        <v>0.226386681</v>
      </c>
      <c r="I30">
        <v>0.618941202</v>
      </c>
      <c r="J30">
        <v>0.203202383</v>
      </c>
      <c r="K30">
        <v>0.028170019</v>
      </c>
      <c r="L30">
        <v>0.386922678</v>
      </c>
      <c r="M30">
        <v>0.024235276</v>
      </c>
      <c r="N30">
        <v>0.065962585</v>
      </c>
      <c r="O30">
        <v>0.526483191</v>
      </c>
      <c r="P30">
        <v>0.789857137</v>
      </c>
      <c r="Q30">
        <v>1.23399298</v>
      </c>
      <c r="R30">
        <v>0.476108911</v>
      </c>
      <c r="S30">
        <v>2.118016853</v>
      </c>
      <c r="T30">
        <v>1.011566867</v>
      </c>
      <c r="U30">
        <v>0.2172666</v>
      </c>
      <c r="V30">
        <v>0.642634429</v>
      </c>
      <c r="W30">
        <v>0.297856921</v>
      </c>
      <c r="X30">
        <v>0.597913278</v>
      </c>
      <c r="Y30">
        <v>0.235332703</v>
      </c>
      <c r="Z30">
        <v>0.634649187</v>
      </c>
      <c r="AA30">
        <v>1.93740645</v>
      </c>
      <c r="AB30">
        <v>1.613468176</v>
      </c>
      <c r="AC30">
        <v>1.638013612</v>
      </c>
      <c r="AD30">
        <v>0.095514584</v>
      </c>
      <c r="AE30">
        <v>0.188129485</v>
      </c>
      <c r="AF30">
        <v>0.128563185</v>
      </c>
      <c r="AG30">
        <v>0.191458397</v>
      </c>
      <c r="AH30">
        <v>0.381326489</v>
      </c>
      <c r="AI30">
        <v>0.458297391</v>
      </c>
      <c r="AJ30">
        <v>0.450844936</v>
      </c>
      <c r="AK30">
        <v>0.463476286</v>
      </c>
      <c r="AL30">
        <v>0.410772024</v>
      </c>
      <c r="AM30">
        <v>0.26147761</v>
      </c>
      <c r="AN30">
        <v>0.45143038</v>
      </c>
      <c r="AO30">
        <v>0.563092114</v>
      </c>
      <c r="AP30">
        <v>0.058366382</v>
      </c>
      <c r="AQ30">
        <v>0.773125609</v>
      </c>
      <c r="AR30">
        <v>1.153976884</v>
      </c>
      <c r="AS30">
        <v>1.125882788</v>
      </c>
      <c r="AT30">
        <v>1.262805422</v>
      </c>
      <c r="AU30">
        <v>1.261562056</v>
      </c>
    </row>
    <row r="31" spans="1:47">
      <c r="A31" t="s">
        <v>75</v>
      </c>
      <c r="B31">
        <v>2.991979396</v>
      </c>
      <c r="C31">
        <v>0.260208029</v>
      </c>
      <c r="D31">
        <v>2.030886424</v>
      </c>
      <c r="E31">
        <v>0.314656645</v>
      </c>
      <c r="F31">
        <v>0.381637725</v>
      </c>
      <c r="G31">
        <v>0.066505187</v>
      </c>
      <c r="H31">
        <v>0.166867851</v>
      </c>
      <c r="I31">
        <v>2.999525542</v>
      </c>
      <c r="J31">
        <v>0.200186185</v>
      </c>
      <c r="K31">
        <v>0.030452147</v>
      </c>
      <c r="L31">
        <v>2.554298564</v>
      </c>
      <c r="M31">
        <v>0.051408161</v>
      </c>
      <c r="N31">
        <v>0.108567927</v>
      </c>
      <c r="O31">
        <v>2.995538278</v>
      </c>
      <c r="P31">
        <v>2.144165412</v>
      </c>
      <c r="Q31">
        <v>4.060082224</v>
      </c>
      <c r="R31">
        <v>2.195696392</v>
      </c>
      <c r="S31">
        <v>1.503945784</v>
      </c>
      <c r="T31">
        <v>0.338961482</v>
      </c>
      <c r="U31">
        <v>0.262010612</v>
      </c>
      <c r="V31">
        <v>2.211585799</v>
      </c>
      <c r="W31">
        <v>2.573351279</v>
      </c>
      <c r="X31">
        <v>1.783769002</v>
      </c>
      <c r="Y31">
        <v>0.394960739</v>
      </c>
      <c r="Z31">
        <v>2.170133294</v>
      </c>
      <c r="AA31">
        <v>2.340828684</v>
      </c>
      <c r="AB31">
        <v>2.38375861</v>
      </c>
      <c r="AC31">
        <v>2.385933955</v>
      </c>
      <c r="AD31">
        <v>0.08346175</v>
      </c>
      <c r="AE31">
        <v>0.461360766</v>
      </c>
      <c r="AF31">
        <v>0.491979227</v>
      </c>
      <c r="AG31">
        <v>0.071257883</v>
      </c>
      <c r="AH31">
        <v>0.299633791</v>
      </c>
      <c r="AI31">
        <v>2.982046582</v>
      </c>
      <c r="AJ31">
        <v>2.934910344</v>
      </c>
      <c r="AK31">
        <v>2.300544107</v>
      </c>
      <c r="AL31">
        <v>2.268297744</v>
      </c>
      <c r="AM31">
        <v>0.399039412</v>
      </c>
      <c r="AN31">
        <v>0.537015788</v>
      </c>
      <c r="AO31">
        <v>3.384957523</v>
      </c>
      <c r="AP31">
        <v>0.134765521</v>
      </c>
      <c r="AQ31">
        <v>2.965085547</v>
      </c>
      <c r="AR31">
        <v>2.370817686</v>
      </c>
      <c r="AS31">
        <v>2.314604235</v>
      </c>
      <c r="AT31">
        <v>2.678910264</v>
      </c>
      <c r="AU31">
        <v>2.679103446</v>
      </c>
    </row>
    <row r="32" spans="1:47">
      <c r="A32" t="s">
        <v>76</v>
      </c>
      <c r="B32">
        <v>0.618132445</v>
      </c>
      <c r="C32">
        <v>0.675062323</v>
      </c>
      <c r="D32">
        <v>1.247153829</v>
      </c>
      <c r="E32">
        <v>1.399760847</v>
      </c>
      <c r="F32">
        <v>1.723498651</v>
      </c>
      <c r="G32">
        <v>1.011716076</v>
      </c>
      <c r="H32">
        <v>0.884177314</v>
      </c>
      <c r="I32">
        <v>0.629338027</v>
      </c>
      <c r="J32">
        <v>1.083373673</v>
      </c>
      <c r="K32">
        <v>1.237198688</v>
      </c>
      <c r="L32">
        <v>1.347102577</v>
      </c>
      <c r="M32">
        <v>1.090253591</v>
      </c>
      <c r="N32">
        <v>1.333093032</v>
      </c>
      <c r="O32">
        <v>1.247073375</v>
      </c>
      <c r="P32">
        <v>1.37938052</v>
      </c>
      <c r="Q32">
        <v>0.269535742</v>
      </c>
      <c r="R32">
        <v>1.822717054</v>
      </c>
      <c r="S32">
        <v>1.333407642</v>
      </c>
      <c r="T32">
        <v>2.699693217</v>
      </c>
      <c r="U32">
        <v>0.673827621</v>
      </c>
      <c r="V32">
        <v>0.662217603</v>
      </c>
      <c r="W32">
        <v>0.715291438</v>
      </c>
      <c r="X32">
        <v>0.944115667</v>
      </c>
      <c r="Y32">
        <v>1.15802674</v>
      </c>
      <c r="Z32">
        <v>0.677164201</v>
      </c>
      <c r="AA32">
        <v>0.930738876</v>
      </c>
      <c r="AB32">
        <v>0.385326079</v>
      </c>
      <c r="AC32">
        <v>0.36762667</v>
      </c>
      <c r="AD32">
        <v>1.238222345</v>
      </c>
      <c r="AE32">
        <v>0.816367388</v>
      </c>
      <c r="AF32">
        <v>1.22458165</v>
      </c>
      <c r="AG32">
        <v>1.755682124</v>
      </c>
      <c r="AH32">
        <v>1.574509374</v>
      </c>
      <c r="AI32">
        <v>0.724606427</v>
      </c>
      <c r="AJ32">
        <v>0.89722606</v>
      </c>
      <c r="AK32">
        <v>1.823636519</v>
      </c>
      <c r="AL32">
        <v>1.650920723</v>
      </c>
      <c r="AM32">
        <v>0.66433112</v>
      </c>
      <c r="AN32">
        <v>1.380524671</v>
      </c>
      <c r="AO32">
        <v>0.804341058</v>
      </c>
      <c r="AP32">
        <v>1.123046007</v>
      </c>
      <c r="AQ32">
        <v>1.344415079</v>
      </c>
      <c r="AR32">
        <v>0.802548663</v>
      </c>
      <c r="AS32">
        <v>0.826412901</v>
      </c>
      <c r="AT32">
        <v>0.672970216</v>
      </c>
      <c r="AU32">
        <v>0.669926712</v>
      </c>
    </row>
    <row r="33" spans="1:47">
      <c r="A33" t="s">
        <v>77</v>
      </c>
      <c r="B33">
        <v>1.381194986</v>
      </c>
      <c r="C33">
        <v>1.645860964</v>
      </c>
      <c r="D33">
        <v>0.767273043</v>
      </c>
      <c r="E33">
        <v>1.61437927</v>
      </c>
      <c r="F33">
        <v>1.664425273</v>
      </c>
      <c r="G33">
        <v>1.630605016</v>
      </c>
      <c r="H33">
        <v>1.465194431</v>
      </c>
      <c r="I33">
        <v>1.377235834</v>
      </c>
      <c r="J33">
        <v>1.661331037</v>
      </c>
      <c r="K33">
        <v>1.532772697</v>
      </c>
      <c r="L33">
        <v>1.117791912</v>
      </c>
      <c r="M33">
        <v>1.653536168</v>
      </c>
      <c r="N33">
        <v>1.419460993</v>
      </c>
      <c r="O33">
        <v>1.282489811</v>
      </c>
      <c r="P33">
        <v>1.197854385</v>
      </c>
      <c r="Q33">
        <v>0.294501038</v>
      </c>
      <c r="R33">
        <v>1.346535946</v>
      </c>
      <c r="S33">
        <v>1.123547328</v>
      </c>
      <c r="T33">
        <v>1.402311323</v>
      </c>
      <c r="U33">
        <v>1.645540098</v>
      </c>
      <c r="V33">
        <v>1.527880006</v>
      </c>
      <c r="W33">
        <v>1.384254385</v>
      </c>
      <c r="X33">
        <v>1.352013134</v>
      </c>
      <c r="Y33">
        <v>1.69579328</v>
      </c>
      <c r="Z33">
        <v>1.527354152</v>
      </c>
      <c r="AA33">
        <v>0.326985995</v>
      </c>
      <c r="AB33">
        <v>1.769110189</v>
      </c>
      <c r="AC33">
        <v>1.776666262</v>
      </c>
      <c r="AD33">
        <v>1.236683849</v>
      </c>
      <c r="AE33">
        <v>1.579529129</v>
      </c>
      <c r="AF33">
        <v>1.424259463</v>
      </c>
      <c r="AG33">
        <v>1.560405257</v>
      </c>
      <c r="AH33">
        <v>1.606156094</v>
      </c>
      <c r="AI33">
        <v>1.659871851</v>
      </c>
      <c r="AJ33">
        <v>1.128860394</v>
      </c>
      <c r="AK33">
        <v>1.410820625</v>
      </c>
      <c r="AL33">
        <v>1.295858582</v>
      </c>
      <c r="AM33">
        <v>1.612891977</v>
      </c>
      <c r="AN33">
        <v>1.566504154</v>
      </c>
      <c r="AO33">
        <v>1.124923137</v>
      </c>
      <c r="AP33">
        <v>1.715132937</v>
      </c>
      <c r="AQ33">
        <v>1.651381969</v>
      </c>
      <c r="AR33">
        <v>0.841170747</v>
      </c>
      <c r="AS33">
        <v>0.865549218</v>
      </c>
      <c r="AT33">
        <v>0.72364134</v>
      </c>
      <c r="AU33">
        <v>0.723762345</v>
      </c>
    </row>
    <row r="34" spans="1:47">
      <c r="A34" t="s">
        <v>78</v>
      </c>
      <c r="B34">
        <v>0.747900261</v>
      </c>
      <c r="C34">
        <v>0.382721477</v>
      </c>
      <c r="D34">
        <v>0</v>
      </c>
      <c r="E34">
        <v>0</v>
      </c>
      <c r="F34">
        <v>0.344110332</v>
      </c>
      <c r="G34">
        <v>0.269200025</v>
      </c>
      <c r="H34">
        <v>0.301668563</v>
      </c>
      <c r="I34">
        <v>0.744386533</v>
      </c>
      <c r="J34">
        <v>0.411606305</v>
      </c>
      <c r="K34">
        <v>0.254384731</v>
      </c>
      <c r="L34">
        <v>0.779069767</v>
      </c>
      <c r="M34">
        <v>0.184609979</v>
      </c>
      <c r="N34">
        <v>0.178953627</v>
      </c>
      <c r="O34">
        <v>0.673930134</v>
      </c>
      <c r="P34">
        <v>1.013258436</v>
      </c>
      <c r="Q34">
        <v>1.637567799</v>
      </c>
      <c r="R34">
        <v>0.567691423</v>
      </c>
      <c r="S34">
        <v>0.942232145</v>
      </c>
      <c r="T34">
        <v>0.9318346</v>
      </c>
      <c r="U34">
        <v>0.382471217</v>
      </c>
      <c r="V34">
        <v>1.405179829</v>
      </c>
      <c r="W34">
        <v>0.773996343</v>
      </c>
      <c r="X34">
        <v>0.77108579</v>
      </c>
      <c r="Y34">
        <v>0.617262276</v>
      </c>
      <c r="Z34">
        <v>1.392110341</v>
      </c>
      <c r="AA34">
        <v>1.275540915</v>
      </c>
      <c r="AB34">
        <v>1.070850742</v>
      </c>
      <c r="AC34">
        <v>1.084860311</v>
      </c>
      <c r="AD34">
        <v>0.232110161</v>
      </c>
      <c r="AE34">
        <v>0.479845444</v>
      </c>
      <c r="AF34">
        <v>0.429356046</v>
      </c>
      <c r="AG34">
        <v>0.175272593</v>
      </c>
      <c r="AH34">
        <v>0.636093309</v>
      </c>
      <c r="AI34">
        <v>0.85776579</v>
      </c>
      <c r="AJ34">
        <v>0.745325779</v>
      </c>
      <c r="AK34">
        <v>0.534018306</v>
      </c>
      <c r="AL34">
        <v>0.594051404</v>
      </c>
      <c r="AM34">
        <v>0.378827255</v>
      </c>
      <c r="AN34">
        <v>0.535660432</v>
      </c>
      <c r="AO34">
        <v>0.824132006</v>
      </c>
      <c r="AP34">
        <v>0.24565986</v>
      </c>
      <c r="AQ34">
        <v>0.579093646</v>
      </c>
      <c r="AR34">
        <v>1.068485103</v>
      </c>
      <c r="AS34">
        <v>1.047051667</v>
      </c>
      <c r="AT34">
        <v>1.183397221</v>
      </c>
      <c r="AU34">
        <v>1.185032246</v>
      </c>
    </row>
    <row r="35" spans="1:47">
      <c r="A35" t="s">
        <v>79</v>
      </c>
      <c r="B35">
        <v>0.618805014</v>
      </c>
      <c r="C35">
        <v>0.354139036</v>
      </c>
      <c r="D35">
        <v>1.232726957</v>
      </c>
      <c r="E35">
        <v>0.38562073</v>
      </c>
      <c r="F35">
        <v>0.335574727</v>
      </c>
      <c r="G35">
        <v>0.369394984</v>
      </c>
      <c r="H35">
        <v>0.534805569</v>
      </c>
      <c r="I35">
        <v>0.622764166</v>
      </c>
      <c r="J35">
        <v>0.338668963</v>
      </c>
      <c r="K35">
        <v>0.467227303</v>
      </c>
      <c r="L35">
        <v>0.882208088</v>
      </c>
      <c r="M35">
        <v>0.346463832</v>
      </c>
      <c r="N35">
        <v>0.580539007</v>
      </c>
      <c r="O35">
        <v>0.717510189</v>
      </c>
      <c r="P35">
        <v>0.802145615</v>
      </c>
      <c r="Q35">
        <v>1.705498962</v>
      </c>
      <c r="R35">
        <v>0.653464054</v>
      </c>
      <c r="S35">
        <v>0.876452672</v>
      </c>
      <c r="T35">
        <v>0.597688677</v>
      </c>
      <c r="U35">
        <v>0.354459902</v>
      </c>
      <c r="V35">
        <v>0.472119994</v>
      </c>
      <c r="W35">
        <v>0.615745615</v>
      </c>
      <c r="X35">
        <v>0.647986866</v>
      </c>
      <c r="Y35">
        <v>0.30420672</v>
      </c>
      <c r="Z35">
        <v>0.472645848</v>
      </c>
      <c r="AA35">
        <v>1.673014005</v>
      </c>
      <c r="AB35">
        <v>0.230889811</v>
      </c>
      <c r="AC35">
        <v>0.223333738</v>
      </c>
      <c r="AD35">
        <v>0.763316151</v>
      </c>
      <c r="AE35">
        <v>0.420470871</v>
      </c>
      <c r="AF35">
        <v>0.575740537</v>
      </c>
      <c r="AG35">
        <v>0.439594743</v>
      </c>
      <c r="AH35">
        <v>0.393843906</v>
      </c>
      <c r="AI35">
        <v>0.340128149</v>
      </c>
      <c r="AJ35">
        <v>0.871139606</v>
      </c>
      <c r="AK35">
        <v>0.589179375</v>
      </c>
      <c r="AL35">
        <v>0.704141418</v>
      </c>
      <c r="AM35">
        <v>0.387108023</v>
      </c>
      <c r="AN35">
        <v>0.433495846</v>
      </c>
      <c r="AO35">
        <v>0.875076863</v>
      </c>
      <c r="AP35">
        <v>0.284867063</v>
      </c>
      <c r="AQ35">
        <v>0.348618031</v>
      </c>
      <c r="AR35">
        <v>1.158829253</v>
      </c>
      <c r="AS35">
        <v>1.134450782</v>
      </c>
      <c r="AT35">
        <v>1.27635866</v>
      </c>
      <c r="AU35">
        <v>1.276237655</v>
      </c>
    </row>
    <row r="36" spans="1:47">
      <c r="A36" t="s">
        <v>80</v>
      </c>
      <c r="B36">
        <v>1.252099739</v>
      </c>
      <c r="C36">
        <v>1.617278523</v>
      </c>
      <c r="D36">
        <v>0</v>
      </c>
      <c r="E36">
        <v>0</v>
      </c>
      <c r="F36">
        <v>1.655889668</v>
      </c>
      <c r="G36">
        <v>1.730799975</v>
      </c>
      <c r="H36">
        <v>1.698331437</v>
      </c>
      <c r="I36">
        <v>1.255613467</v>
      </c>
      <c r="J36">
        <v>1.588393695</v>
      </c>
      <c r="K36">
        <v>1.745615269</v>
      </c>
      <c r="L36">
        <v>1.220930233</v>
      </c>
      <c r="M36">
        <v>1.815390021</v>
      </c>
      <c r="N36">
        <v>1.821046373</v>
      </c>
      <c r="O36">
        <v>1.326069866</v>
      </c>
      <c r="P36">
        <v>0.986741564</v>
      </c>
      <c r="Q36">
        <v>0.362432201</v>
      </c>
      <c r="R36">
        <v>1.432308577</v>
      </c>
      <c r="S36">
        <v>1.057767855</v>
      </c>
      <c r="T36">
        <v>1.0681654</v>
      </c>
      <c r="U36">
        <v>1.617528783</v>
      </c>
      <c r="V36">
        <v>0.594820171</v>
      </c>
      <c r="W36">
        <v>1.226003657</v>
      </c>
      <c r="X36">
        <v>1.22891421</v>
      </c>
      <c r="Y36">
        <v>1.382737724</v>
      </c>
      <c r="Z36">
        <v>0.607889659</v>
      </c>
      <c r="AA36">
        <v>0.724459085</v>
      </c>
      <c r="AB36">
        <v>0.929149258</v>
      </c>
      <c r="AC36">
        <v>0.915139689</v>
      </c>
      <c r="AD36">
        <v>1.767889839</v>
      </c>
      <c r="AE36">
        <v>1.520154556</v>
      </c>
      <c r="AF36">
        <v>1.570643954</v>
      </c>
      <c r="AG36">
        <v>1.824727407</v>
      </c>
      <c r="AH36">
        <v>1.363906691</v>
      </c>
      <c r="AI36">
        <v>1.14223421</v>
      </c>
      <c r="AJ36">
        <v>1.254674221</v>
      </c>
      <c r="AK36">
        <v>1.465981694</v>
      </c>
      <c r="AL36">
        <v>1.405948596</v>
      </c>
      <c r="AM36">
        <v>1.621172745</v>
      </c>
      <c r="AN36">
        <v>1.464339568</v>
      </c>
      <c r="AO36">
        <v>1.175867994</v>
      </c>
      <c r="AP36">
        <v>1.75434014</v>
      </c>
      <c r="AQ36">
        <v>1.420906354</v>
      </c>
      <c r="AR36">
        <v>0.931514897</v>
      </c>
      <c r="AS36">
        <v>0.952948333</v>
      </c>
      <c r="AT36">
        <v>0.816602779</v>
      </c>
      <c r="AU36">
        <v>0.814967754</v>
      </c>
    </row>
    <row r="37" spans="1:47">
      <c r="A37" t="s">
        <v>81</v>
      </c>
      <c r="B37">
        <v>0.849063418</v>
      </c>
      <c r="C37">
        <v>1.224439003</v>
      </c>
      <c r="D37">
        <v>0</v>
      </c>
      <c r="E37">
        <v>0</v>
      </c>
      <c r="F37">
        <v>1.256084002</v>
      </c>
      <c r="G37">
        <v>1.863723433</v>
      </c>
      <c r="H37">
        <v>1.449114522</v>
      </c>
      <c r="I37">
        <v>0.856432348</v>
      </c>
      <c r="J37">
        <v>1.41607469</v>
      </c>
      <c r="K37">
        <v>1.468885792</v>
      </c>
      <c r="L37">
        <v>1.341334537</v>
      </c>
      <c r="M37">
        <v>1.948874824</v>
      </c>
      <c r="N37">
        <v>1.354880112</v>
      </c>
      <c r="O37">
        <v>0.937621856</v>
      </c>
      <c r="P37">
        <v>0.780729352</v>
      </c>
      <c r="Q37">
        <v>0.174685019</v>
      </c>
      <c r="R37">
        <v>2.106243861</v>
      </c>
      <c r="S37">
        <v>0.717962874</v>
      </c>
      <c r="T37">
        <v>2.015611536</v>
      </c>
      <c r="U37">
        <v>1.225179552</v>
      </c>
      <c r="V37">
        <v>0.537702034</v>
      </c>
      <c r="W37">
        <v>0.872528024</v>
      </c>
      <c r="X37">
        <v>1.074848996</v>
      </c>
      <c r="Y37">
        <v>1.211222817</v>
      </c>
      <c r="Z37">
        <v>0.560303057</v>
      </c>
      <c r="AA37">
        <v>0.421585251</v>
      </c>
      <c r="AB37">
        <v>0.477121952</v>
      </c>
      <c r="AC37">
        <v>0.458893306</v>
      </c>
      <c r="AD37">
        <v>1.335129005</v>
      </c>
      <c r="AE37">
        <v>1.513906615</v>
      </c>
      <c r="AF37">
        <v>1.794561754</v>
      </c>
      <c r="AG37">
        <v>1.327529305</v>
      </c>
      <c r="AH37">
        <v>1.159983216</v>
      </c>
      <c r="AI37">
        <v>1.607088592</v>
      </c>
      <c r="AJ37">
        <v>1.118515556</v>
      </c>
      <c r="AK37">
        <v>2.093394254</v>
      </c>
      <c r="AL37">
        <v>1.985310272</v>
      </c>
      <c r="AM37">
        <v>1.176813983</v>
      </c>
      <c r="AN37">
        <v>1.293388731</v>
      </c>
      <c r="AO37">
        <v>1.09999511</v>
      </c>
      <c r="AP37">
        <v>1.898048795</v>
      </c>
      <c r="AQ37">
        <v>1.151689575</v>
      </c>
      <c r="AR37">
        <v>0.873954203</v>
      </c>
      <c r="AS37">
        <v>0.90200925</v>
      </c>
      <c r="AT37">
        <v>0.763912893</v>
      </c>
      <c r="AU37">
        <v>0.761537038</v>
      </c>
    </row>
    <row r="38" spans="1:47">
      <c r="A38" t="s">
        <v>82</v>
      </c>
      <c r="B38">
        <v>1.079935311</v>
      </c>
      <c r="C38">
        <v>0.74344667</v>
      </c>
      <c r="D38">
        <v>0</v>
      </c>
      <c r="E38">
        <v>0</v>
      </c>
      <c r="F38">
        <v>0.75808112</v>
      </c>
      <c r="G38">
        <v>0.15068868</v>
      </c>
      <c r="H38">
        <v>0.545454545</v>
      </c>
      <c r="I38">
        <v>1.071382115</v>
      </c>
      <c r="J38">
        <v>0.467525878</v>
      </c>
      <c r="K38">
        <v>0.306878741</v>
      </c>
      <c r="L38">
        <v>1.023764637</v>
      </c>
      <c r="M38">
        <v>0.149085795</v>
      </c>
      <c r="N38">
        <v>0.40231025</v>
      </c>
      <c r="O38">
        <v>1.299611272</v>
      </c>
      <c r="P38">
        <v>0.835006703</v>
      </c>
      <c r="Q38">
        <v>2.459652562</v>
      </c>
      <c r="R38">
        <v>0.533015294</v>
      </c>
      <c r="S38">
        <v>1.29289444</v>
      </c>
      <c r="T38">
        <v>0.509503776</v>
      </c>
      <c r="U38">
        <v>0.743154888</v>
      </c>
      <c r="V38">
        <v>1.871885651</v>
      </c>
      <c r="W38">
        <v>1.403484401</v>
      </c>
      <c r="X38">
        <v>1.284607956</v>
      </c>
      <c r="Y38">
        <v>0.744110956</v>
      </c>
      <c r="Z38">
        <v>1.835785393</v>
      </c>
      <c r="AA38">
        <v>1.977768806</v>
      </c>
      <c r="AB38">
        <v>2.109084433</v>
      </c>
      <c r="AC38">
        <v>2.132184996</v>
      </c>
      <c r="AD38">
        <v>0.152348549</v>
      </c>
      <c r="AE38">
        <v>0.646133841</v>
      </c>
      <c r="AF38">
        <v>0.398129672</v>
      </c>
      <c r="AG38">
        <v>0.403095482</v>
      </c>
      <c r="AH38">
        <v>0.529880717</v>
      </c>
      <c r="AI38">
        <v>0.841303988</v>
      </c>
      <c r="AJ38">
        <v>0.850035991</v>
      </c>
      <c r="AK38">
        <v>0.533983841</v>
      </c>
      <c r="AL38">
        <v>0.637904668</v>
      </c>
      <c r="AM38">
        <v>0.835754267</v>
      </c>
      <c r="AN38">
        <v>0.699856646</v>
      </c>
      <c r="AO38">
        <v>1.115055499</v>
      </c>
      <c r="AP38">
        <v>0.224839338</v>
      </c>
      <c r="AQ38">
        <v>1.129161911</v>
      </c>
      <c r="AR38">
        <v>1.603624667</v>
      </c>
      <c r="AS38">
        <v>1.567634371</v>
      </c>
      <c r="AT38">
        <v>1.75800372</v>
      </c>
      <c r="AU38">
        <v>1.76632319</v>
      </c>
    </row>
    <row r="39" spans="1:47">
      <c r="A39" t="s">
        <v>83</v>
      </c>
      <c r="B39">
        <v>1.428315722</v>
      </c>
      <c r="C39">
        <v>0.719682068</v>
      </c>
      <c r="D39">
        <v>0</v>
      </c>
      <c r="E39">
        <v>0</v>
      </c>
      <c r="F39">
        <v>0.449495573</v>
      </c>
      <c r="G39">
        <v>0.164827146</v>
      </c>
      <c r="H39">
        <v>0.62463597</v>
      </c>
      <c r="I39">
        <v>1.420786435</v>
      </c>
      <c r="J39">
        <v>0.237669982</v>
      </c>
      <c r="K39">
        <v>0.086414692</v>
      </c>
      <c r="L39">
        <v>1.053344308</v>
      </c>
      <c r="M39">
        <v>0.13628692</v>
      </c>
      <c r="N39">
        <v>0.187620326</v>
      </c>
      <c r="O39">
        <v>1.139833125</v>
      </c>
      <c r="P39">
        <v>1.921155582</v>
      </c>
      <c r="Q39">
        <v>1.237993778</v>
      </c>
      <c r="R39">
        <v>0.694598008</v>
      </c>
      <c r="S39">
        <v>1.525314563</v>
      </c>
      <c r="T39">
        <v>0.425870546</v>
      </c>
      <c r="U39">
        <v>0.718691532</v>
      </c>
      <c r="V39">
        <v>0.514040682</v>
      </c>
      <c r="W39">
        <v>0.62657483</v>
      </c>
      <c r="X39">
        <v>0.473065344</v>
      </c>
      <c r="Y39">
        <v>0.315745701</v>
      </c>
      <c r="Z39">
        <v>0.515637389</v>
      </c>
      <c r="AA39">
        <v>1.06096084</v>
      </c>
      <c r="AB39">
        <v>0.497662476</v>
      </c>
      <c r="AC39">
        <v>0.485077923</v>
      </c>
      <c r="AD39">
        <v>0.050940365</v>
      </c>
      <c r="AE39">
        <v>0.636694199</v>
      </c>
      <c r="AF39">
        <v>0.449712601</v>
      </c>
      <c r="AG39">
        <v>0.369750768</v>
      </c>
      <c r="AH39">
        <v>0.529241343</v>
      </c>
      <c r="AI39">
        <v>0.708257488</v>
      </c>
      <c r="AJ39">
        <v>0.709781652</v>
      </c>
      <c r="AK39">
        <v>0.548542812</v>
      </c>
      <c r="AL39">
        <v>0.526676288</v>
      </c>
      <c r="AM39">
        <v>1.252223481</v>
      </c>
      <c r="AN39">
        <v>0.425006682</v>
      </c>
      <c r="AO39">
        <v>1.28961909</v>
      </c>
      <c r="AP39">
        <v>0.166797522</v>
      </c>
      <c r="AQ39">
        <v>0.752642287</v>
      </c>
      <c r="AR39">
        <v>0.472826461</v>
      </c>
      <c r="AS39">
        <v>0.459896623</v>
      </c>
      <c r="AT39">
        <v>0.53199019</v>
      </c>
      <c r="AU39">
        <v>0.53997442</v>
      </c>
    </row>
    <row r="40" spans="1:47">
      <c r="A40" t="s">
        <v>84</v>
      </c>
      <c r="B40">
        <v>0.64268555</v>
      </c>
      <c r="C40">
        <v>1.312432259</v>
      </c>
      <c r="D40">
        <v>0</v>
      </c>
      <c r="E40">
        <v>0</v>
      </c>
      <c r="F40">
        <v>1.536339304</v>
      </c>
      <c r="G40">
        <v>1.820760741</v>
      </c>
      <c r="H40">
        <v>1.380794963</v>
      </c>
      <c r="I40">
        <v>0.651399102</v>
      </c>
      <c r="J40">
        <v>1.87872945</v>
      </c>
      <c r="K40">
        <v>2.137820776</v>
      </c>
      <c r="L40">
        <v>0.581556517</v>
      </c>
      <c r="M40">
        <v>1.765752461</v>
      </c>
      <c r="N40">
        <v>2.055189312</v>
      </c>
      <c r="O40">
        <v>0.622933747</v>
      </c>
      <c r="P40">
        <v>0.463108363</v>
      </c>
      <c r="Q40">
        <v>0.127668641</v>
      </c>
      <c r="R40">
        <v>0.666142837</v>
      </c>
      <c r="S40">
        <v>0.463828123</v>
      </c>
      <c r="T40">
        <v>1.049014142</v>
      </c>
      <c r="U40">
        <v>1.312974028</v>
      </c>
      <c r="V40">
        <v>1.076371633</v>
      </c>
      <c r="W40">
        <v>1.097412745</v>
      </c>
      <c r="X40">
        <v>1.167477704</v>
      </c>
      <c r="Y40">
        <v>1.728920525</v>
      </c>
      <c r="Z40">
        <v>1.088274161</v>
      </c>
      <c r="AA40">
        <v>0.539685103</v>
      </c>
      <c r="AB40">
        <v>0.916131139</v>
      </c>
      <c r="AC40">
        <v>0.923843776</v>
      </c>
      <c r="AD40">
        <v>2.461582081</v>
      </c>
      <c r="AE40">
        <v>1.203265345</v>
      </c>
      <c r="AF40">
        <v>1.357595973</v>
      </c>
      <c r="AG40">
        <v>1.899624445</v>
      </c>
      <c r="AH40">
        <v>1.780894723</v>
      </c>
      <c r="AI40">
        <v>0.843349932</v>
      </c>
      <c r="AJ40">
        <v>1.3216668</v>
      </c>
      <c r="AK40">
        <v>0.824079093</v>
      </c>
      <c r="AL40">
        <v>0.850108773</v>
      </c>
      <c r="AM40">
        <v>0.735208269</v>
      </c>
      <c r="AN40">
        <v>1.581747941</v>
      </c>
      <c r="AO40">
        <v>0.495330302</v>
      </c>
      <c r="AP40">
        <v>1.710314345</v>
      </c>
      <c r="AQ40">
        <v>0.966506227</v>
      </c>
      <c r="AR40">
        <v>1.04959467</v>
      </c>
      <c r="AS40">
        <v>1.070459757</v>
      </c>
      <c r="AT40">
        <v>0.946093197</v>
      </c>
      <c r="AU40">
        <v>0.932165351</v>
      </c>
    </row>
    <row r="41" spans="1:47">
      <c r="A41" t="s">
        <v>85</v>
      </c>
      <c r="B41">
        <v>0.425722062</v>
      </c>
      <c r="C41">
        <v>1.002363402</v>
      </c>
      <c r="D41">
        <v>0</v>
      </c>
      <c r="E41">
        <v>1.212294982</v>
      </c>
      <c r="F41">
        <v>0.843489026</v>
      </c>
      <c r="G41">
        <v>2.015698707</v>
      </c>
      <c r="H41">
        <v>2.02582728</v>
      </c>
      <c r="I41">
        <v>0.43580291</v>
      </c>
      <c r="J41">
        <v>1.343434343</v>
      </c>
      <c r="K41">
        <v>2.350534076</v>
      </c>
      <c r="L41">
        <v>1.628833719</v>
      </c>
      <c r="M41">
        <v>2.086732477</v>
      </c>
      <c r="N41">
        <v>1.29153605</v>
      </c>
      <c r="O41">
        <v>1.214344171</v>
      </c>
      <c r="P41">
        <v>0.968869123</v>
      </c>
      <c r="Q41">
        <v>0.222097273</v>
      </c>
      <c r="R41">
        <v>2.038892541</v>
      </c>
      <c r="S41">
        <v>0.844040962</v>
      </c>
      <c r="T41">
        <v>0.810649604</v>
      </c>
      <c r="U41">
        <v>1.000774666</v>
      </c>
      <c r="V41">
        <v>0.324393359</v>
      </c>
      <c r="W41">
        <v>0.592365337</v>
      </c>
      <c r="X41">
        <v>1.543617527</v>
      </c>
      <c r="Y41">
        <v>0.56569232</v>
      </c>
      <c r="Z41">
        <v>0.329348974</v>
      </c>
      <c r="AA41">
        <v>0.279092572</v>
      </c>
      <c r="AB41">
        <v>0.374842496</v>
      </c>
      <c r="AC41">
        <v>0.36979356</v>
      </c>
      <c r="AD41">
        <v>2.844134289</v>
      </c>
      <c r="AE41">
        <v>2.781360737</v>
      </c>
      <c r="AF41">
        <v>1.736185562</v>
      </c>
      <c r="AG41">
        <v>1.465163221</v>
      </c>
      <c r="AH41">
        <v>1.043069093</v>
      </c>
      <c r="AI41">
        <v>0.709334336</v>
      </c>
      <c r="AJ41">
        <v>0.468976398</v>
      </c>
      <c r="AK41">
        <v>1.881866703</v>
      </c>
      <c r="AL41">
        <v>1.81900668</v>
      </c>
      <c r="AM41">
        <v>0.763473254</v>
      </c>
      <c r="AN41">
        <v>1.036838504</v>
      </c>
      <c r="AO41">
        <v>1.467181467</v>
      </c>
      <c r="AP41">
        <v>2.312220847</v>
      </c>
      <c r="AQ41">
        <v>1.307115481</v>
      </c>
      <c r="AR41">
        <v>1.000968733</v>
      </c>
      <c r="AS41">
        <v>1.027193035</v>
      </c>
      <c r="AT41">
        <v>0.883672998</v>
      </c>
      <c r="AU41">
        <v>0.87829586</v>
      </c>
    </row>
    <row r="42" spans="1:47">
      <c r="A42" t="s">
        <v>86</v>
      </c>
      <c r="B42">
        <v>1.624040297</v>
      </c>
      <c r="C42">
        <v>0.803837604</v>
      </c>
      <c r="D42">
        <v>0</v>
      </c>
      <c r="E42">
        <v>0.65352934</v>
      </c>
      <c r="F42">
        <v>0.950275746</v>
      </c>
      <c r="G42">
        <v>0.191211016</v>
      </c>
      <c r="H42">
        <v>0.260194473</v>
      </c>
      <c r="I42">
        <v>1.603361478</v>
      </c>
      <c r="J42">
        <v>0.616615594</v>
      </c>
      <c r="K42">
        <v>0.204336125</v>
      </c>
      <c r="L42">
        <v>1.277689315</v>
      </c>
      <c r="M42">
        <v>0.202831067</v>
      </c>
      <c r="N42">
        <v>0.673093985</v>
      </c>
      <c r="O42">
        <v>1.178607742</v>
      </c>
      <c r="P42">
        <v>1.796442186</v>
      </c>
      <c r="Q42">
        <v>2.448798145</v>
      </c>
      <c r="R42">
        <v>0.572664183</v>
      </c>
      <c r="S42">
        <v>1.810734258</v>
      </c>
      <c r="T42">
        <v>1.654809674</v>
      </c>
      <c r="U42">
        <v>0.803586939</v>
      </c>
      <c r="V42">
        <v>2.02665334</v>
      </c>
      <c r="W42">
        <v>1.716642358</v>
      </c>
      <c r="X42">
        <v>0.735709533</v>
      </c>
      <c r="Y42">
        <v>1.103841155</v>
      </c>
      <c r="Z42">
        <v>2.011230333</v>
      </c>
      <c r="AA42">
        <v>2.618039186</v>
      </c>
      <c r="AB42">
        <v>2.400475213</v>
      </c>
      <c r="AC42">
        <v>2.421183538</v>
      </c>
      <c r="AD42">
        <v>0.051829498</v>
      </c>
      <c r="AE42">
        <v>0.236534373</v>
      </c>
      <c r="AF42">
        <v>0.417113371</v>
      </c>
      <c r="AG42">
        <v>0.72499478</v>
      </c>
      <c r="AH42">
        <v>0.598261872</v>
      </c>
      <c r="AI42">
        <v>1.59663492</v>
      </c>
      <c r="AJ42">
        <v>2.103418928</v>
      </c>
      <c r="AK42">
        <v>0.660955248</v>
      </c>
      <c r="AL42">
        <v>0.686363688</v>
      </c>
      <c r="AM42">
        <v>1.091696235</v>
      </c>
      <c r="AN42">
        <v>0.708143248</v>
      </c>
      <c r="AO42">
        <v>1.304818733</v>
      </c>
      <c r="AP42">
        <v>0.179949416</v>
      </c>
      <c r="AQ42">
        <v>1.07637616</v>
      </c>
      <c r="AR42">
        <v>1.357796633</v>
      </c>
      <c r="AS42">
        <v>1.335891193</v>
      </c>
      <c r="AT42">
        <v>1.483768945</v>
      </c>
      <c r="AU42">
        <v>1.491405175</v>
      </c>
    </row>
    <row r="43" spans="1:47">
      <c r="A43" t="s">
        <v>87</v>
      </c>
      <c r="B43">
        <v>0.59763578</v>
      </c>
      <c r="C43">
        <v>0.556546157</v>
      </c>
      <c r="D43">
        <v>0</v>
      </c>
      <c r="E43">
        <v>0.605224153</v>
      </c>
      <c r="F43">
        <v>0.41030951</v>
      </c>
      <c r="G43">
        <v>0.317640992</v>
      </c>
      <c r="H43">
        <v>0.651754487</v>
      </c>
      <c r="I43">
        <v>0.607246204</v>
      </c>
      <c r="J43">
        <v>0.324480763</v>
      </c>
      <c r="K43">
        <v>0.330174013</v>
      </c>
      <c r="L43">
        <v>0.724443029</v>
      </c>
      <c r="M43">
        <v>0.346371143</v>
      </c>
      <c r="N43">
        <v>0.142899391</v>
      </c>
      <c r="O43">
        <v>0.990303301</v>
      </c>
      <c r="P43">
        <v>0.657433291</v>
      </c>
      <c r="Q43">
        <v>1.153324431</v>
      </c>
      <c r="R43">
        <v>0.44689897</v>
      </c>
      <c r="S43">
        <v>0.75526182</v>
      </c>
      <c r="T43">
        <v>0.093482269</v>
      </c>
      <c r="U43">
        <v>0.557477875</v>
      </c>
      <c r="V43">
        <v>1.003609306</v>
      </c>
      <c r="W43">
        <v>0.515515767</v>
      </c>
      <c r="X43">
        <v>0.483262047</v>
      </c>
      <c r="Y43">
        <v>0.238046514</v>
      </c>
      <c r="Z43">
        <v>0.98393284</v>
      </c>
      <c r="AA43">
        <v>0.304210903</v>
      </c>
      <c r="AB43">
        <v>0.537711056</v>
      </c>
      <c r="AC43">
        <v>0.521476266</v>
      </c>
      <c r="AD43">
        <v>0.348170502</v>
      </c>
      <c r="AE43">
        <v>0.487774628</v>
      </c>
      <c r="AF43">
        <v>0.339461951</v>
      </c>
      <c r="AG43">
        <v>0.421243127</v>
      </c>
      <c r="AH43">
        <v>0.437989149</v>
      </c>
      <c r="AI43">
        <v>0.535813826</v>
      </c>
      <c r="AJ43">
        <v>0.140244535</v>
      </c>
      <c r="AK43">
        <v>0.331627207</v>
      </c>
      <c r="AL43">
        <v>0.43353106</v>
      </c>
      <c r="AM43">
        <v>0.509607016</v>
      </c>
      <c r="AN43">
        <v>0.629219891</v>
      </c>
      <c r="AO43">
        <v>0.44015444</v>
      </c>
      <c r="AP43">
        <v>0.445138029</v>
      </c>
      <c r="AQ43">
        <v>0.797311559</v>
      </c>
      <c r="AR43">
        <v>0.961417691</v>
      </c>
      <c r="AS43">
        <v>0.954070353</v>
      </c>
      <c r="AT43">
        <v>1.024821876</v>
      </c>
      <c r="AU43">
        <v>1.03095549</v>
      </c>
    </row>
    <row r="44" spans="1:47">
      <c r="A44" t="s">
        <v>88</v>
      </c>
      <c r="B44">
        <v>1.352601861</v>
      </c>
      <c r="C44">
        <v>1.637252837</v>
      </c>
      <c r="D44">
        <v>0</v>
      </c>
      <c r="E44">
        <v>1.528951525</v>
      </c>
      <c r="F44">
        <v>1.795925718</v>
      </c>
      <c r="G44">
        <v>1.475449285</v>
      </c>
      <c r="H44">
        <v>1.06222376</v>
      </c>
      <c r="I44">
        <v>1.353589408</v>
      </c>
      <c r="J44">
        <v>1.7154693</v>
      </c>
      <c r="K44">
        <v>1.114955786</v>
      </c>
      <c r="L44">
        <v>0.369033937</v>
      </c>
      <c r="M44">
        <v>1.364065313</v>
      </c>
      <c r="N44">
        <v>1.892470574</v>
      </c>
      <c r="O44">
        <v>0.616744786</v>
      </c>
      <c r="P44">
        <v>0.5772554</v>
      </c>
      <c r="Q44">
        <v>0.175780152</v>
      </c>
      <c r="R44">
        <v>0.941544306</v>
      </c>
      <c r="S44">
        <v>0.58996296</v>
      </c>
      <c r="T44">
        <v>1.441058454</v>
      </c>
      <c r="U44">
        <v>1.63816052</v>
      </c>
      <c r="V44">
        <v>0.645343995</v>
      </c>
      <c r="W44">
        <v>1.175476538</v>
      </c>
      <c r="X44">
        <v>1.237410893</v>
      </c>
      <c r="Y44">
        <v>2.092420011</v>
      </c>
      <c r="Z44">
        <v>0.675487852</v>
      </c>
      <c r="AA44">
        <v>0.798657338</v>
      </c>
      <c r="AB44">
        <v>0.686971235</v>
      </c>
      <c r="AC44">
        <v>0.687546636</v>
      </c>
      <c r="AD44">
        <v>0.755865711</v>
      </c>
      <c r="AE44">
        <v>0.494330262</v>
      </c>
      <c r="AF44">
        <v>1.507239116</v>
      </c>
      <c r="AG44">
        <v>1.388598872</v>
      </c>
      <c r="AH44">
        <v>1.920679887</v>
      </c>
      <c r="AI44">
        <v>1.158216918</v>
      </c>
      <c r="AJ44">
        <v>1.287360139</v>
      </c>
      <c r="AK44">
        <v>1.125550842</v>
      </c>
      <c r="AL44">
        <v>1.061098572</v>
      </c>
      <c r="AM44">
        <v>1.635223494</v>
      </c>
      <c r="AN44">
        <v>1.625798358</v>
      </c>
      <c r="AO44">
        <v>0.787845359</v>
      </c>
      <c r="AP44">
        <v>1.062691707</v>
      </c>
      <c r="AQ44">
        <v>0.819196801</v>
      </c>
      <c r="AR44">
        <v>0.679816943</v>
      </c>
      <c r="AS44">
        <v>0.682845419</v>
      </c>
      <c r="AT44">
        <v>0.607736181</v>
      </c>
      <c r="AU44">
        <v>0.599343475</v>
      </c>
    </row>
    <row r="45" spans="1:47">
      <c r="A45" t="s">
        <v>89</v>
      </c>
      <c r="B45">
        <v>0.615792575</v>
      </c>
      <c r="C45">
        <v>0.995365723</v>
      </c>
      <c r="D45">
        <v>0.651744845</v>
      </c>
      <c r="E45">
        <v>0</v>
      </c>
      <c r="F45">
        <v>0.83465359</v>
      </c>
      <c r="G45">
        <v>2.017102226</v>
      </c>
      <c r="H45">
        <v>0.875038653</v>
      </c>
      <c r="I45">
        <v>0.617378473</v>
      </c>
      <c r="J45">
        <v>1.282593227</v>
      </c>
      <c r="K45">
        <v>1.607779799</v>
      </c>
      <c r="L45">
        <v>1.285646076</v>
      </c>
      <c r="M45">
        <v>1.778511295</v>
      </c>
      <c r="N45">
        <v>1.239543315</v>
      </c>
      <c r="O45">
        <v>1.012352689</v>
      </c>
      <c r="P45">
        <v>0.97961271</v>
      </c>
      <c r="Q45">
        <v>0.212781553</v>
      </c>
      <c r="R45">
        <v>1.391529845</v>
      </c>
      <c r="S45">
        <v>0.534448517</v>
      </c>
      <c r="T45">
        <v>0.76263338</v>
      </c>
      <c r="U45">
        <v>0.991774484</v>
      </c>
      <c r="V45">
        <v>0.434699714</v>
      </c>
      <c r="W45">
        <v>0.623726206</v>
      </c>
      <c r="X45">
        <v>1.349154518</v>
      </c>
      <c r="Y45">
        <v>1.076866955</v>
      </c>
      <c r="Z45">
        <v>0.444797371</v>
      </c>
      <c r="AA45">
        <v>0.223246524</v>
      </c>
      <c r="AB45">
        <v>0.511967254</v>
      </c>
      <c r="AC45">
        <v>0.489794291</v>
      </c>
      <c r="AD45">
        <v>2.301180863</v>
      </c>
      <c r="AE45">
        <v>1.293230202</v>
      </c>
      <c r="AF45">
        <v>1.369061318</v>
      </c>
      <c r="AG45">
        <v>1.329757515</v>
      </c>
      <c r="AH45">
        <v>0.587405934</v>
      </c>
      <c r="AI45">
        <v>1.151784625</v>
      </c>
      <c r="AJ45">
        <v>1.212088594</v>
      </c>
      <c r="AK45">
        <v>1.375412048</v>
      </c>
      <c r="AL45">
        <v>1.442228874</v>
      </c>
      <c r="AM45">
        <v>0.927300546</v>
      </c>
      <c r="AN45">
        <v>0.788032096</v>
      </c>
      <c r="AO45">
        <v>0.927633865</v>
      </c>
      <c r="AP45">
        <v>1.586574202</v>
      </c>
      <c r="AQ45">
        <v>1.421763492</v>
      </c>
      <c r="AR45">
        <v>0.468216032</v>
      </c>
      <c r="AS45">
        <v>0.483003097</v>
      </c>
      <c r="AT45">
        <v>0.368248987</v>
      </c>
      <c r="AU45">
        <v>0.370613251</v>
      </c>
    </row>
    <row r="46" spans="1:47">
      <c r="A46" t="s">
        <v>90</v>
      </c>
      <c r="B46">
        <v>0.863751158</v>
      </c>
      <c r="C46">
        <v>0.824260545</v>
      </c>
      <c r="D46">
        <v>1.683282241</v>
      </c>
      <c r="E46">
        <v>0</v>
      </c>
      <c r="F46">
        <v>0.962823253</v>
      </c>
      <c r="G46">
        <v>0.093157263</v>
      </c>
      <c r="H46">
        <v>0.571585638</v>
      </c>
      <c r="I46">
        <v>0.858543229</v>
      </c>
      <c r="J46">
        <v>0.346923178</v>
      </c>
      <c r="K46">
        <v>0.083102399</v>
      </c>
      <c r="L46">
        <v>0.689883617</v>
      </c>
      <c r="M46">
        <v>0.066379989</v>
      </c>
      <c r="N46">
        <v>0.172717927</v>
      </c>
      <c r="O46">
        <v>0.601343728</v>
      </c>
      <c r="P46">
        <v>0.849379517</v>
      </c>
      <c r="Q46">
        <v>1.057624847</v>
      </c>
      <c r="R46">
        <v>0.566405838</v>
      </c>
      <c r="S46">
        <v>1.491999419</v>
      </c>
      <c r="T46">
        <v>0.430944232</v>
      </c>
      <c r="U46">
        <v>0.825807557</v>
      </c>
      <c r="V46">
        <v>1.51981479</v>
      </c>
      <c r="W46">
        <v>1.119111709</v>
      </c>
      <c r="X46">
        <v>0.646846648</v>
      </c>
      <c r="Y46">
        <v>0.52540518</v>
      </c>
      <c r="Z46">
        <v>1.486966046</v>
      </c>
      <c r="AA46">
        <v>1.587846662</v>
      </c>
      <c r="AB46">
        <v>2.615171786</v>
      </c>
      <c r="AC46">
        <v>2.644315101</v>
      </c>
      <c r="AD46">
        <v>0.08886905</v>
      </c>
      <c r="AE46">
        <v>0.586987236</v>
      </c>
      <c r="AF46">
        <v>0.377445339</v>
      </c>
      <c r="AG46">
        <v>0.251499236</v>
      </c>
      <c r="AH46">
        <v>0.672779171</v>
      </c>
      <c r="AI46">
        <v>0.53906645</v>
      </c>
      <c r="AJ46">
        <v>0.447857586</v>
      </c>
      <c r="AK46">
        <v>0.536879147</v>
      </c>
      <c r="AL46">
        <v>0.454616624</v>
      </c>
      <c r="AM46">
        <v>0.567169399</v>
      </c>
      <c r="AN46">
        <v>0.52375901</v>
      </c>
      <c r="AO46">
        <v>0.477985404</v>
      </c>
      <c r="AP46">
        <v>0.174424411</v>
      </c>
      <c r="AQ46">
        <v>0.549690357</v>
      </c>
      <c r="AR46">
        <v>0.950423969</v>
      </c>
      <c r="AS46">
        <v>0.938542483</v>
      </c>
      <c r="AT46">
        <v>1.032038708</v>
      </c>
      <c r="AU46">
        <v>1.027940066</v>
      </c>
    </row>
    <row r="47" spans="1:47">
      <c r="A47" t="s">
        <v>91</v>
      </c>
      <c r="B47">
        <v>1.485689031</v>
      </c>
      <c r="C47">
        <v>0.963502403</v>
      </c>
      <c r="D47">
        <v>1.159086773</v>
      </c>
      <c r="E47">
        <v>0</v>
      </c>
      <c r="F47">
        <v>0.618802129</v>
      </c>
      <c r="G47">
        <v>0.222144242</v>
      </c>
      <c r="H47">
        <v>0.740010308</v>
      </c>
      <c r="I47">
        <v>1.490326375</v>
      </c>
      <c r="J47">
        <v>0.346817763</v>
      </c>
      <c r="K47">
        <v>0.226865469</v>
      </c>
      <c r="L47">
        <v>1.298239332</v>
      </c>
      <c r="M47">
        <v>0.208951608</v>
      </c>
      <c r="N47">
        <v>0.298685136</v>
      </c>
      <c r="O47">
        <v>1.542244448</v>
      </c>
      <c r="P47">
        <v>1.365607528</v>
      </c>
      <c r="Q47">
        <v>2.527074149</v>
      </c>
      <c r="R47">
        <v>0.974505104</v>
      </c>
      <c r="S47">
        <v>1.395508049</v>
      </c>
      <c r="T47">
        <v>0.572277028</v>
      </c>
      <c r="U47">
        <v>0.964184731</v>
      </c>
      <c r="V47">
        <v>0.801743157</v>
      </c>
      <c r="W47">
        <v>0.595846953</v>
      </c>
      <c r="X47">
        <v>1.139165469</v>
      </c>
      <c r="Y47">
        <v>0.460367919</v>
      </c>
      <c r="Z47">
        <v>0.784008762</v>
      </c>
      <c r="AA47">
        <v>1.492893908</v>
      </c>
      <c r="AB47">
        <v>0.434118517</v>
      </c>
      <c r="AC47">
        <v>0.424732897</v>
      </c>
      <c r="AD47">
        <v>0.281865033</v>
      </c>
      <c r="AE47">
        <v>0.947628056</v>
      </c>
      <c r="AF47">
        <v>0.616519105</v>
      </c>
      <c r="AG47">
        <v>0.788021008</v>
      </c>
      <c r="AH47">
        <v>0.675201107</v>
      </c>
      <c r="AI47">
        <v>1.323638646</v>
      </c>
      <c r="AJ47">
        <v>0.887435314</v>
      </c>
      <c r="AK47">
        <v>0.849826836</v>
      </c>
      <c r="AL47">
        <v>0.954962008</v>
      </c>
      <c r="AM47">
        <v>1.451453552</v>
      </c>
      <c r="AN47">
        <v>0.403427173</v>
      </c>
      <c r="AO47">
        <v>1.746945759</v>
      </c>
      <c r="AP47">
        <v>0.366601942</v>
      </c>
      <c r="AQ47">
        <v>1.05585373</v>
      </c>
      <c r="AR47">
        <v>1.844404154</v>
      </c>
      <c r="AS47">
        <v>1.811895966</v>
      </c>
      <c r="AT47">
        <v>1.988793997</v>
      </c>
      <c r="AU47">
        <v>1.998807679</v>
      </c>
    </row>
    <row r="48" spans="1:47">
      <c r="A48" t="s">
        <v>92</v>
      </c>
      <c r="B48">
        <v>1.034767236</v>
      </c>
      <c r="C48">
        <v>1.216871329</v>
      </c>
      <c r="D48">
        <v>0.505886141</v>
      </c>
      <c r="E48">
        <v>0</v>
      </c>
      <c r="F48">
        <v>1.583721028</v>
      </c>
      <c r="G48">
        <v>1.667596269</v>
      </c>
      <c r="H48">
        <v>1.813365401</v>
      </c>
      <c r="I48">
        <v>1.033751922</v>
      </c>
      <c r="J48">
        <v>2.023665832</v>
      </c>
      <c r="K48">
        <v>2.082252333</v>
      </c>
      <c r="L48">
        <v>0.726230976</v>
      </c>
      <c r="M48">
        <v>1.946157107</v>
      </c>
      <c r="N48">
        <v>2.289053623</v>
      </c>
      <c r="O48">
        <v>0.844059136</v>
      </c>
      <c r="P48">
        <v>0.805400245</v>
      </c>
      <c r="Q48">
        <v>0.202519451</v>
      </c>
      <c r="R48">
        <v>1.067559214</v>
      </c>
      <c r="S48">
        <v>0.578044015</v>
      </c>
      <c r="T48">
        <v>2.234145359</v>
      </c>
      <c r="U48">
        <v>1.218233228</v>
      </c>
      <c r="V48">
        <v>1.24374234</v>
      </c>
      <c r="W48">
        <v>1.661315132</v>
      </c>
      <c r="X48">
        <v>0.864833365</v>
      </c>
      <c r="Y48">
        <v>1.937359946</v>
      </c>
      <c r="Z48">
        <v>1.28422782</v>
      </c>
      <c r="AA48">
        <v>0.696012906</v>
      </c>
      <c r="AB48">
        <v>0.438742443</v>
      </c>
      <c r="AC48">
        <v>0.44115771</v>
      </c>
      <c r="AD48">
        <v>1.328085055</v>
      </c>
      <c r="AE48">
        <v>1.172154506</v>
      </c>
      <c r="AF48">
        <v>1.636974237</v>
      </c>
      <c r="AG48">
        <v>1.630722241</v>
      </c>
      <c r="AH48">
        <v>2.064613788</v>
      </c>
      <c r="AI48">
        <v>0.985510279</v>
      </c>
      <c r="AJ48">
        <v>1.452618505</v>
      </c>
      <c r="AK48">
        <v>1.23788197</v>
      </c>
      <c r="AL48">
        <v>1.148192494</v>
      </c>
      <c r="AM48">
        <v>1.054076503</v>
      </c>
      <c r="AN48">
        <v>2.284781722</v>
      </c>
      <c r="AO48">
        <v>0.847434972</v>
      </c>
      <c r="AP48">
        <v>1.872399445</v>
      </c>
      <c r="AQ48">
        <v>0.972692421</v>
      </c>
      <c r="AR48">
        <v>0.736955845</v>
      </c>
      <c r="AS48">
        <v>0.766558454</v>
      </c>
      <c r="AT48">
        <v>0.610918309</v>
      </c>
      <c r="AU48">
        <v>0.602639005</v>
      </c>
    </row>
    <row r="49" spans="1:47">
      <c r="A49" t="s">
        <v>93</v>
      </c>
      <c r="B49">
        <v>1.919972164</v>
      </c>
      <c r="C49">
        <v>2.078282828</v>
      </c>
      <c r="D49">
        <v>0</v>
      </c>
      <c r="E49">
        <v>2.085181452</v>
      </c>
      <c r="F49">
        <v>1.780061216</v>
      </c>
      <c r="G49">
        <v>2.230769231</v>
      </c>
      <c r="H49">
        <v>2.180412371</v>
      </c>
      <c r="I49">
        <v>1.903269755</v>
      </c>
      <c r="J49">
        <v>2.130333139</v>
      </c>
      <c r="K49">
        <v>2.252918288</v>
      </c>
      <c r="L49">
        <v>1.543273611</v>
      </c>
      <c r="M49">
        <v>2.192092154</v>
      </c>
      <c r="N49">
        <v>1.563405262</v>
      </c>
      <c r="O49">
        <v>1.475363679</v>
      </c>
      <c r="P49">
        <v>1.643419573</v>
      </c>
      <c r="Q49">
        <v>1.163250366</v>
      </c>
      <c r="R49">
        <v>1.758023107</v>
      </c>
      <c r="S49">
        <v>0.93977231</v>
      </c>
      <c r="T49">
        <v>2.1462815</v>
      </c>
      <c r="U49">
        <v>2.073047859</v>
      </c>
      <c r="V49">
        <v>1.761927481</v>
      </c>
      <c r="W49">
        <v>1.749196141</v>
      </c>
      <c r="X49">
        <v>1.850958126</v>
      </c>
      <c r="Y49">
        <v>2.0953125</v>
      </c>
      <c r="Z49">
        <v>1.893141946</v>
      </c>
      <c r="AA49">
        <v>1.224358974</v>
      </c>
      <c r="AB49">
        <v>1.551270815</v>
      </c>
      <c r="AC49">
        <v>1.554432706</v>
      </c>
      <c r="AD49">
        <v>2.077290837</v>
      </c>
      <c r="AE49">
        <v>1.711903659</v>
      </c>
      <c r="AF49">
        <v>1.774440197</v>
      </c>
      <c r="AG49">
        <v>1.911990549</v>
      </c>
      <c r="AH49">
        <v>2.034660422</v>
      </c>
      <c r="AI49">
        <v>1.846582467</v>
      </c>
      <c r="AJ49">
        <v>2.00327562</v>
      </c>
      <c r="AK49">
        <v>1.766606822</v>
      </c>
      <c r="AL49">
        <v>1.713254751</v>
      </c>
      <c r="AM49">
        <v>2.26937799</v>
      </c>
      <c r="AN49">
        <v>1.967555041</v>
      </c>
      <c r="AO49">
        <v>1.62225097</v>
      </c>
      <c r="AP49">
        <v>2.142416452</v>
      </c>
      <c r="AQ49">
        <v>1.758893281</v>
      </c>
      <c r="AR49">
        <v>0</v>
      </c>
      <c r="AS49">
        <v>0</v>
      </c>
      <c r="AT49">
        <v>0</v>
      </c>
      <c r="AU49">
        <v>0</v>
      </c>
    </row>
    <row r="50" spans="1:47">
      <c r="A50" t="s">
        <v>94</v>
      </c>
      <c r="B50">
        <v>0.864316832</v>
      </c>
      <c r="C50">
        <v>0.399669279</v>
      </c>
      <c r="D50">
        <v>1.047310434</v>
      </c>
      <c r="E50">
        <v>0.66612524</v>
      </c>
      <c r="F50">
        <v>0.262245081</v>
      </c>
      <c r="G50">
        <v>0.364028538</v>
      </c>
      <c r="H50">
        <v>0.377176837</v>
      </c>
      <c r="I50">
        <v>0.855793531</v>
      </c>
      <c r="J50">
        <v>0.550767191</v>
      </c>
      <c r="K50">
        <v>0.328121995</v>
      </c>
      <c r="L50">
        <v>0.616172978</v>
      </c>
      <c r="M50">
        <v>0.242165505</v>
      </c>
      <c r="N50">
        <v>0.181641006</v>
      </c>
      <c r="O50">
        <v>0.596105554</v>
      </c>
      <c r="P50">
        <v>0.733001022</v>
      </c>
      <c r="Q50">
        <v>1.540519599</v>
      </c>
      <c r="R50">
        <v>0.573312449</v>
      </c>
      <c r="S50">
        <v>0.831671135</v>
      </c>
      <c r="T50">
        <v>0.687676056</v>
      </c>
      <c r="U50">
        <v>0.400258835</v>
      </c>
      <c r="V50">
        <v>1.368904974</v>
      </c>
      <c r="W50">
        <v>0.801363867</v>
      </c>
      <c r="X50">
        <v>0.608889018</v>
      </c>
      <c r="Y50">
        <v>0.86294964</v>
      </c>
      <c r="Z50">
        <v>1.332482951</v>
      </c>
      <c r="AA50">
        <v>1.242135519</v>
      </c>
      <c r="AB50">
        <v>0.837726831</v>
      </c>
      <c r="AC50">
        <v>0.844544628</v>
      </c>
      <c r="AD50">
        <v>0.258213291</v>
      </c>
      <c r="AE50">
        <v>0.355675165</v>
      </c>
      <c r="AF50">
        <v>0.516215448</v>
      </c>
      <c r="AG50">
        <v>0.283353636</v>
      </c>
      <c r="AH50">
        <v>0.682978308</v>
      </c>
      <c r="AI50">
        <v>0.628690472</v>
      </c>
      <c r="AJ50">
        <v>0.68392048</v>
      </c>
      <c r="AK50">
        <v>0.495515796</v>
      </c>
      <c r="AL50">
        <v>0.503477596</v>
      </c>
      <c r="AM50">
        <v>0.399943042</v>
      </c>
      <c r="AN50">
        <v>0.869583161</v>
      </c>
      <c r="AO50">
        <v>1.1153327</v>
      </c>
      <c r="AP50">
        <v>0.273991265</v>
      </c>
      <c r="AQ50">
        <v>0.545854645</v>
      </c>
      <c r="AR50">
        <v>1.140068368</v>
      </c>
      <c r="AS50">
        <v>1.115120723</v>
      </c>
      <c r="AT50">
        <v>1.237425738</v>
      </c>
      <c r="AU50">
        <v>1.245175192</v>
      </c>
    </row>
    <row r="51" spans="1:47">
      <c r="A51" t="s">
        <v>95</v>
      </c>
      <c r="B51">
        <v>0.212943633</v>
      </c>
      <c r="C51">
        <v>0.544191919</v>
      </c>
      <c r="D51">
        <v>0</v>
      </c>
      <c r="E51">
        <v>0.591229839</v>
      </c>
      <c r="F51">
        <v>0.775251421</v>
      </c>
      <c r="G51">
        <v>0.635683761</v>
      </c>
      <c r="H51">
        <v>0.575478645</v>
      </c>
      <c r="I51">
        <v>0.226839237</v>
      </c>
      <c r="J51">
        <v>0.675043834</v>
      </c>
      <c r="K51">
        <v>0.646268129</v>
      </c>
      <c r="L51">
        <v>0.913756453</v>
      </c>
      <c r="M51">
        <v>0.667808219</v>
      </c>
      <c r="N51">
        <v>0.59592078</v>
      </c>
      <c r="O51">
        <v>0.529798217</v>
      </c>
      <c r="P51">
        <v>0.416197975</v>
      </c>
      <c r="Q51">
        <v>0.774524158</v>
      </c>
      <c r="R51">
        <v>0.799101412</v>
      </c>
      <c r="S51">
        <v>0.558575101</v>
      </c>
      <c r="T51">
        <v>0.193607867</v>
      </c>
      <c r="U51">
        <v>0.546599496</v>
      </c>
      <c r="V51">
        <v>0.739980916</v>
      </c>
      <c r="W51">
        <v>0.807073955</v>
      </c>
      <c r="X51">
        <v>0.440738112</v>
      </c>
      <c r="Y51">
        <v>0.6640625</v>
      </c>
      <c r="Z51">
        <v>0.692185008</v>
      </c>
      <c r="AA51">
        <v>1.459935897</v>
      </c>
      <c r="AB51">
        <v>0.604732691</v>
      </c>
      <c r="AC51">
        <v>0.633899862</v>
      </c>
      <c r="AD51">
        <v>0.744621514</v>
      </c>
      <c r="AE51">
        <v>0.762853173</v>
      </c>
      <c r="AF51">
        <v>0.973238667</v>
      </c>
      <c r="AG51">
        <v>0.290608387</v>
      </c>
      <c r="AH51">
        <v>0.49882904</v>
      </c>
      <c r="AI51">
        <v>0.186106984</v>
      </c>
      <c r="AJ51">
        <v>0.307440337</v>
      </c>
      <c r="AK51">
        <v>0.392280072</v>
      </c>
      <c r="AL51">
        <v>0.443829685</v>
      </c>
      <c r="AM51">
        <v>0.43492823</v>
      </c>
      <c r="AN51">
        <v>0.724797219</v>
      </c>
      <c r="AO51">
        <v>1.0614489</v>
      </c>
      <c r="AP51">
        <v>0.612339332</v>
      </c>
      <c r="AQ51">
        <v>0.229249012</v>
      </c>
      <c r="AR51">
        <v>0</v>
      </c>
      <c r="AS51">
        <v>0</v>
      </c>
      <c r="AT51">
        <v>0</v>
      </c>
      <c r="AU51">
        <v>0</v>
      </c>
    </row>
    <row r="52" spans="1:47">
      <c r="A52" t="s">
        <v>96</v>
      </c>
      <c r="B52">
        <v>1.135683168</v>
      </c>
      <c r="C52">
        <v>1.600330721</v>
      </c>
      <c r="D52">
        <v>0.952689566</v>
      </c>
      <c r="E52">
        <v>1.33387476</v>
      </c>
      <c r="F52">
        <v>1.737754919</v>
      </c>
      <c r="G52">
        <v>1.635971462</v>
      </c>
      <c r="H52">
        <v>1.622823163</v>
      </c>
      <c r="I52">
        <v>1.144206469</v>
      </c>
      <c r="J52">
        <v>1.449232809</v>
      </c>
      <c r="K52">
        <v>1.671878005</v>
      </c>
      <c r="L52">
        <v>1.383827022</v>
      </c>
      <c r="M52">
        <v>1.757834495</v>
      </c>
      <c r="N52">
        <v>1.818358994</v>
      </c>
      <c r="O52">
        <v>1.403894446</v>
      </c>
      <c r="P52">
        <v>1.266998978</v>
      </c>
      <c r="Q52">
        <v>0.459480401</v>
      </c>
      <c r="R52">
        <v>1.426687551</v>
      </c>
      <c r="S52">
        <v>1.168328865</v>
      </c>
      <c r="T52">
        <v>1.312323944</v>
      </c>
      <c r="U52">
        <v>1.599741165</v>
      </c>
      <c r="V52">
        <v>0.631095026</v>
      </c>
      <c r="W52">
        <v>1.198636133</v>
      </c>
      <c r="X52">
        <v>1.391110982</v>
      </c>
      <c r="Y52">
        <v>1.13705036</v>
      </c>
      <c r="Z52">
        <v>0.667517049</v>
      </c>
      <c r="AA52">
        <v>0.757864481</v>
      </c>
      <c r="AB52">
        <v>1.162273169</v>
      </c>
      <c r="AC52">
        <v>1.155455372</v>
      </c>
      <c r="AD52">
        <v>1.741786709</v>
      </c>
      <c r="AE52">
        <v>1.644324835</v>
      </c>
      <c r="AF52">
        <v>1.483784552</v>
      </c>
      <c r="AG52">
        <v>1.716646364</v>
      </c>
      <c r="AH52">
        <v>1.317021692</v>
      </c>
      <c r="AI52">
        <v>1.371309528</v>
      </c>
      <c r="AJ52">
        <v>1.31607952</v>
      </c>
      <c r="AK52">
        <v>1.504484204</v>
      </c>
      <c r="AL52">
        <v>1.496522404</v>
      </c>
      <c r="AM52">
        <v>1.600056958</v>
      </c>
      <c r="AN52">
        <v>1.130416839</v>
      </c>
      <c r="AO52">
        <v>0.8846673</v>
      </c>
      <c r="AP52">
        <v>1.726008735</v>
      </c>
      <c r="AQ52">
        <v>1.454145355</v>
      </c>
      <c r="AR52">
        <v>0.859931632</v>
      </c>
      <c r="AS52">
        <v>0.884879277</v>
      </c>
      <c r="AT52">
        <v>0.762574262</v>
      </c>
      <c r="AU52">
        <v>0.754824808</v>
      </c>
    </row>
    <row r="53" spans="1:47">
      <c r="A53" t="s">
        <v>97</v>
      </c>
      <c r="B53">
        <v>0.73198527</v>
      </c>
      <c r="C53">
        <v>1.3648173</v>
      </c>
      <c r="D53">
        <v>0</v>
      </c>
      <c r="E53">
        <v>0</v>
      </c>
      <c r="F53">
        <v>1.672433622</v>
      </c>
      <c r="G53">
        <v>1.688362991</v>
      </c>
      <c r="H53">
        <v>2.011132245</v>
      </c>
      <c r="I53">
        <v>0.738053828</v>
      </c>
      <c r="J53">
        <v>1.568013478</v>
      </c>
      <c r="K53">
        <v>1.938610142</v>
      </c>
      <c r="L53">
        <v>0.71140616</v>
      </c>
      <c r="M53">
        <v>1.896480266</v>
      </c>
      <c r="N53">
        <v>1.813718485</v>
      </c>
      <c r="O53">
        <v>0.408067882</v>
      </c>
      <c r="P53">
        <v>0.450296076</v>
      </c>
      <c r="Q53">
        <v>0.128951835</v>
      </c>
      <c r="R53">
        <v>1.02890479</v>
      </c>
      <c r="S53">
        <v>0.721526718</v>
      </c>
      <c r="T53">
        <v>1.863101036</v>
      </c>
      <c r="U53">
        <v>1.362849332</v>
      </c>
      <c r="V53">
        <v>1.055010176</v>
      </c>
      <c r="W53">
        <v>1.304988461</v>
      </c>
      <c r="X53">
        <v>0.861476624</v>
      </c>
      <c r="Y53">
        <v>1.940661116</v>
      </c>
      <c r="Z53">
        <v>1.097433116</v>
      </c>
      <c r="AA53">
        <v>0.240218673</v>
      </c>
      <c r="AB53">
        <v>0.314062132</v>
      </c>
      <c r="AC53">
        <v>0.312736514</v>
      </c>
      <c r="AD53">
        <v>1.498976668</v>
      </c>
      <c r="AE53">
        <v>0.681081081</v>
      </c>
      <c r="AF53">
        <v>1.774209451</v>
      </c>
      <c r="AG53">
        <v>0.86829653</v>
      </c>
      <c r="AH53">
        <v>1.959908418</v>
      </c>
      <c r="AI53">
        <v>0.364563809</v>
      </c>
      <c r="AJ53">
        <v>0.329382941</v>
      </c>
      <c r="AK53">
        <v>0.953578847</v>
      </c>
      <c r="AL53">
        <v>0.938979091</v>
      </c>
      <c r="AM53">
        <v>0.891422223</v>
      </c>
      <c r="AN53">
        <v>1.683263045</v>
      </c>
      <c r="AO53">
        <v>0.279778018</v>
      </c>
      <c r="AP53">
        <v>1.813953488</v>
      </c>
      <c r="AQ53">
        <v>0.629131325</v>
      </c>
      <c r="AR53">
        <v>0.845271829</v>
      </c>
      <c r="AS53">
        <v>0.865272954</v>
      </c>
      <c r="AT53">
        <v>0.733935302</v>
      </c>
      <c r="AU53">
        <v>0.740312759</v>
      </c>
    </row>
    <row r="54" spans="1:47">
      <c r="A54" t="s">
        <v>98</v>
      </c>
      <c r="B54">
        <v>0.894476387</v>
      </c>
      <c r="C54">
        <v>0.383783647</v>
      </c>
      <c r="D54">
        <v>0</v>
      </c>
      <c r="E54">
        <v>0</v>
      </c>
      <c r="F54">
        <v>0.534476724</v>
      </c>
      <c r="G54">
        <v>0.106548762</v>
      </c>
      <c r="H54">
        <v>0.230413455</v>
      </c>
      <c r="I54">
        <v>0.897661441</v>
      </c>
      <c r="J54">
        <v>0.310918756</v>
      </c>
      <c r="K54">
        <v>0.226777569</v>
      </c>
      <c r="L54">
        <v>1.536744117</v>
      </c>
      <c r="M54">
        <v>0.118832556</v>
      </c>
      <c r="N54">
        <v>0.216188629</v>
      </c>
      <c r="O54">
        <v>2.149463726</v>
      </c>
      <c r="P54">
        <v>1.405288159</v>
      </c>
      <c r="Q54">
        <v>2.853521169</v>
      </c>
      <c r="R54">
        <v>1.048048785</v>
      </c>
      <c r="S54">
        <v>1.246208651</v>
      </c>
      <c r="T54">
        <v>0.454617905</v>
      </c>
      <c r="U54">
        <v>0.385176185</v>
      </c>
      <c r="V54">
        <v>1.287202203</v>
      </c>
      <c r="W54">
        <v>0.63571809</v>
      </c>
      <c r="X54">
        <v>0.881341231</v>
      </c>
      <c r="Y54">
        <v>0.366285572</v>
      </c>
      <c r="Z54">
        <v>1.25</v>
      </c>
      <c r="AA54">
        <v>1.527334119</v>
      </c>
      <c r="AB54">
        <v>1.506713078</v>
      </c>
      <c r="AC54">
        <v>1.516117449</v>
      </c>
      <c r="AD54">
        <v>0.12675672</v>
      </c>
      <c r="AE54">
        <v>1.13985258</v>
      </c>
      <c r="AF54">
        <v>0.318754842</v>
      </c>
      <c r="AG54">
        <v>0.212751759</v>
      </c>
      <c r="AH54">
        <v>0.206060016</v>
      </c>
      <c r="AI54">
        <v>1.765024081</v>
      </c>
      <c r="AJ54">
        <v>1.213947923</v>
      </c>
      <c r="AK54">
        <v>1.121921466</v>
      </c>
      <c r="AL54">
        <v>1.241235381</v>
      </c>
      <c r="AM54">
        <v>0.913957733</v>
      </c>
      <c r="AN54">
        <v>0.47812677</v>
      </c>
      <c r="AO54">
        <v>2.28553059</v>
      </c>
      <c r="AP54">
        <v>0.178443649</v>
      </c>
      <c r="AQ54">
        <v>1.888052062</v>
      </c>
      <c r="AR54">
        <v>1.274475706</v>
      </c>
      <c r="AS54">
        <v>1.253393914</v>
      </c>
      <c r="AT54">
        <v>1.405873116</v>
      </c>
      <c r="AU54">
        <v>1.400983739</v>
      </c>
    </row>
    <row r="55" spans="1:47">
      <c r="A55" t="s">
        <v>99</v>
      </c>
      <c r="B55">
        <v>0.925486143</v>
      </c>
      <c r="C55">
        <v>0.43923932</v>
      </c>
      <c r="D55">
        <v>0</v>
      </c>
      <c r="E55">
        <v>0</v>
      </c>
      <c r="F55">
        <v>0.285314266</v>
      </c>
      <c r="G55">
        <v>0.141014025</v>
      </c>
      <c r="H55">
        <v>0.486294924</v>
      </c>
      <c r="I55">
        <v>0.918081606</v>
      </c>
      <c r="J55">
        <v>0.232666221</v>
      </c>
      <c r="K55">
        <v>0.031768178</v>
      </c>
      <c r="L55">
        <v>0.523374191</v>
      </c>
      <c r="M55">
        <v>0.10554457</v>
      </c>
      <c r="N55">
        <v>0.148514851</v>
      </c>
      <c r="O55">
        <v>0.503992844</v>
      </c>
      <c r="P55">
        <v>1.15541288</v>
      </c>
      <c r="Q55">
        <v>0.604028055</v>
      </c>
      <c r="R55">
        <v>0.540562992</v>
      </c>
      <c r="S55">
        <v>1.608244275</v>
      </c>
      <c r="T55">
        <v>0.854688745</v>
      </c>
      <c r="U55">
        <v>0.440309842</v>
      </c>
      <c r="V55">
        <v>0.290195139</v>
      </c>
      <c r="W55">
        <v>0.865258299</v>
      </c>
      <c r="X55">
        <v>0.961243918</v>
      </c>
      <c r="Y55">
        <v>0.272896732</v>
      </c>
      <c r="Z55">
        <v>0.28615329</v>
      </c>
      <c r="AA55">
        <v>1.837978347</v>
      </c>
      <c r="AB55">
        <v>1.26095946</v>
      </c>
      <c r="AC55">
        <v>1.279617711</v>
      </c>
      <c r="AD55">
        <v>0.071360349</v>
      </c>
      <c r="AE55">
        <v>0.410859951</v>
      </c>
      <c r="AF55">
        <v>0.512571308</v>
      </c>
      <c r="AG55">
        <v>0.194552293</v>
      </c>
      <c r="AH55">
        <v>0.369154326</v>
      </c>
      <c r="AI55">
        <v>0.198154167</v>
      </c>
      <c r="AJ55">
        <v>0.501509885</v>
      </c>
      <c r="AK55">
        <v>0.36497313</v>
      </c>
      <c r="AL55">
        <v>0.293593395</v>
      </c>
      <c r="AM55">
        <v>0.654005872</v>
      </c>
      <c r="AN55">
        <v>0.450934727</v>
      </c>
      <c r="AO55">
        <v>0.741878722</v>
      </c>
      <c r="AP55">
        <v>0.172070662</v>
      </c>
      <c r="AQ55">
        <v>0.456712489</v>
      </c>
      <c r="AR55">
        <v>0.398151548</v>
      </c>
      <c r="AS55">
        <v>0.388120959</v>
      </c>
      <c r="AT55">
        <v>0.465075377</v>
      </c>
      <c r="AU55">
        <v>0.466720896</v>
      </c>
    </row>
    <row r="56" spans="1:47">
      <c r="A56" t="s">
        <v>100</v>
      </c>
      <c r="B56">
        <v>0.875405388</v>
      </c>
      <c r="C56">
        <v>1.338228964</v>
      </c>
      <c r="D56">
        <v>0</v>
      </c>
      <c r="E56">
        <v>0</v>
      </c>
      <c r="F56">
        <v>1.287064353</v>
      </c>
      <c r="G56">
        <v>1.780777733</v>
      </c>
      <c r="H56">
        <v>1.25766343</v>
      </c>
      <c r="I56">
        <v>0.869733862</v>
      </c>
      <c r="J56">
        <v>1.535771342</v>
      </c>
      <c r="K56">
        <v>1.538824792</v>
      </c>
      <c r="L56">
        <v>0.955736459</v>
      </c>
      <c r="M56">
        <v>1.507332121</v>
      </c>
      <c r="N56">
        <v>1.278758804</v>
      </c>
      <c r="O56">
        <v>0.64435079</v>
      </c>
      <c r="P56">
        <v>0.650066156</v>
      </c>
      <c r="Q56">
        <v>0.199600499</v>
      </c>
      <c r="R56">
        <v>1.150565446</v>
      </c>
      <c r="S56">
        <v>0.690788804</v>
      </c>
      <c r="T56">
        <v>0.958292748</v>
      </c>
      <c r="U56">
        <v>1.338092345</v>
      </c>
      <c r="V56">
        <v>0.727642763</v>
      </c>
      <c r="W56">
        <v>0.707260785</v>
      </c>
      <c r="X56">
        <v>1.219103025</v>
      </c>
      <c r="Y56">
        <v>1.148254008</v>
      </c>
      <c r="Z56">
        <v>0.731200289</v>
      </c>
      <c r="AA56">
        <v>0.505198842</v>
      </c>
      <c r="AB56">
        <v>0.61132194</v>
      </c>
      <c r="AC56">
        <v>0.618512278</v>
      </c>
      <c r="AD56">
        <v>2.089780325</v>
      </c>
      <c r="AE56">
        <v>1.715970516</v>
      </c>
      <c r="AF56">
        <v>1.489118952</v>
      </c>
      <c r="AG56">
        <v>1.452499393</v>
      </c>
      <c r="AH56">
        <v>1.345235776</v>
      </c>
      <c r="AI56">
        <v>1.369000451</v>
      </c>
      <c r="AJ56">
        <v>0.87977893</v>
      </c>
      <c r="AK56">
        <v>1.347631136</v>
      </c>
      <c r="AL56">
        <v>1.337629779</v>
      </c>
      <c r="AM56">
        <v>1.18755786</v>
      </c>
      <c r="AN56">
        <v>0.992320765</v>
      </c>
      <c r="AO56">
        <v>0.671426638</v>
      </c>
      <c r="AP56">
        <v>1.84078712</v>
      </c>
      <c r="AQ56">
        <v>1.19947353</v>
      </c>
      <c r="AR56">
        <v>1.123246292</v>
      </c>
      <c r="AS56">
        <v>1.142166889</v>
      </c>
      <c r="AT56">
        <v>0.988285176</v>
      </c>
      <c r="AU56">
        <v>0.980880195</v>
      </c>
    </row>
    <row r="57" spans="1:47">
      <c r="A57" t="s">
        <v>101</v>
      </c>
      <c r="B57">
        <v>0.867084203</v>
      </c>
      <c r="C57">
        <v>0.377525253</v>
      </c>
      <c r="D57">
        <v>0</v>
      </c>
      <c r="E57">
        <v>0.32358871</v>
      </c>
      <c r="F57">
        <v>0.444687363</v>
      </c>
      <c r="G57">
        <v>0.133547009</v>
      </c>
      <c r="H57">
        <v>0.244108984</v>
      </c>
      <c r="I57">
        <v>0.869891008</v>
      </c>
      <c r="J57">
        <v>0.194623027</v>
      </c>
      <c r="K57">
        <v>0.100813583</v>
      </c>
      <c r="L57">
        <v>0.542969936</v>
      </c>
      <c r="M57">
        <v>0.140099626</v>
      </c>
      <c r="N57">
        <v>0.840673958</v>
      </c>
      <c r="O57">
        <v>0.994838104</v>
      </c>
      <c r="P57">
        <v>0.940382452</v>
      </c>
      <c r="Q57">
        <v>1.062225476</v>
      </c>
      <c r="R57">
        <v>0.442875481</v>
      </c>
      <c r="S57">
        <v>1.501652589</v>
      </c>
      <c r="T57">
        <v>0.660110633</v>
      </c>
      <c r="U57">
        <v>0.380352645</v>
      </c>
      <c r="V57">
        <v>0.498091603</v>
      </c>
      <c r="W57">
        <v>0.443729904</v>
      </c>
      <c r="X57">
        <v>0.708303762</v>
      </c>
      <c r="Y57">
        <v>0.240625</v>
      </c>
      <c r="Z57">
        <v>0.414673046</v>
      </c>
      <c r="AA57">
        <v>0.315705128</v>
      </c>
      <c r="AB57">
        <v>0.843996494</v>
      </c>
      <c r="AC57">
        <v>0.811667432</v>
      </c>
      <c r="AD57">
        <v>0.178087649</v>
      </c>
      <c r="AE57">
        <v>0.525243168</v>
      </c>
      <c r="AF57">
        <v>0.252321136</v>
      </c>
      <c r="AG57">
        <v>0.797401063</v>
      </c>
      <c r="AH57">
        <v>0.466510539</v>
      </c>
      <c r="AI57">
        <v>0.96731055</v>
      </c>
      <c r="AJ57">
        <v>0.689284043</v>
      </c>
      <c r="AK57">
        <v>0.841113106</v>
      </c>
      <c r="AL57">
        <v>0.842915564</v>
      </c>
      <c r="AM57">
        <v>0.29569378</v>
      </c>
      <c r="AN57">
        <v>0.30764774</v>
      </c>
      <c r="AO57">
        <v>0.316300129</v>
      </c>
      <c r="AP57">
        <v>0.245244216</v>
      </c>
      <c r="AQ57">
        <v>1.011857708</v>
      </c>
      <c r="AR57">
        <v>0</v>
      </c>
      <c r="AS57">
        <v>0</v>
      </c>
      <c r="AT57">
        <v>0</v>
      </c>
      <c r="AU57">
        <v>0</v>
      </c>
    </row>
    <row r="58" spans="1:47">
      <c r="A58" t="s">
        <v>102</v>
      </c>
      <c r="B58">
        <v>1.115771812</v>
      </c>
      <c r="C58">
        <v>0.481413324</v>
      </c>
      <c r="D58">
        <v>0</v>
      </c>
      <c r="E58">
        <v>0</v>
      </c>
      <c r="F58">
        <v>0.446864528</v>
      </c>
      <c r="G58">
        <v>0.379692247</v>
      </c>
      <c r="H58">
        <v>0.395320605</v>
      </c>
      <c r="I58">
        <v>1.106856005</v>
      </c>
      <c r="J58">
        <v>0.523419587</v>
      </c>
      <c r="K58">
        <v>0.411938534</v>
      </c>
      <c r="L58">
        <v>1.370321211</v>
      </c>
      <c r="M58">
        <v>0.354415274</v>
      </c>
      <c r="N58">
        <v>0.566826295</v>
      </c>
      <c r="O58">
        <v>1.097864565</v>
      </c>
      <c r="P58">
        <v>1.400677854</v>
      </c>
      <c r="Q58">
        <v>1.783700809</v>
      </c>
      <c r="R58">
        <v>0.837083836</v>
      </c>
      <c r="S58">
        <v>1.336927817</v>
      </c>
      <c r="T58">
        <v>1.189788884</v>
      </c>
      <c r="U58">
        <v>0.482480279</v>
      </c>
      <c r="V58">
        <v>1.556009186</v>
      </c>
      <c r="W58">
        <v>1.044376221</v>
      </c>
      <c r="X58">
        <v>0.854044332</v>
      </c>
      <c r="Y58">
        <v>0.759975445</v>
      </c>
      <c r="Z58">
        <v>1.520583637</v>
      </c>
      <c r="AA58">
        <v>1.708199811</v>
      </c>
      <c r="AB58">
        <v>1.350323466</v>
      </c>
      <c r="AC58">
        <v>1.358966472</v>
      </c>
      <c r="AD58">
        <v>0.214839424</v>
      </c>
      <c r="AE58">
        <v>0.470588235</v>
      </c>
      <c r="AF58">
        <v>0.556076888</v>
      </c>
      <c r="AG58">
        <v>0.675710594</v>
      </c>
      <c r="AH58">
        <v>0.559615898</v>
      </c>
      <c r="AI58">
        <v>1.073290454</v>
      </c>
      <c r="AJ58">
        <v>1.426221577</v>
      </c>
      <c r="AK58">
        <v>0.788916563</v>
      </c>
      <c r="AL58">
        <v>0.802477024</v>
      </c>
      <c r="AM58">
        <v>0.709962889</v>
      </c>
      <c r="AN58">
        <v>0.696373057</v>
      </c>
      <c r="AO58">
        <v>1.474956358</v>
      </c>
      <c r="AP58">
        <v>0.328108224</v>
      </c>
      <c r="AQ58">
        <v>1.116287035</v>
      </c>
      <c r="AR58">
        <v>1.074541629</v>
      </c>
      <c r="AS58">
        <v>1.050862852</v>
      </c>
      <c r="AT58">
        <v>1.183393897</v>
      </c>
      <c r="AU58">
        <v>1.180719811</v>
      </c>
    </row>
    <row r="59" spans="1:47">
      <c r="A59" t="s">
        <v>103</v>
      </c>
      <c r="B59">
        <v>0.884228188</v>
      </c>
      <c r="C59">
        <v>1.518586676</v>
      </c>
      <c r="D59">
        <v>0</v>
      </c>
      <c r="E59">
        <v>0</v>
      </c>
      <c r="F59">
        <v>1.553135472</v>
      </c>
      <c r="G59">
        <v>1.620307753</v>
      </c>
      <c r="H59">
        <v>1.604679395</v>
      </c>
      <c r="I59">
        <v>0.893143995</v>
      </c>
      <c r="J59">
        <v>1.476580413</v>
      </c>
      <c r="K59">
        <v>1.588061466</v>
      </c>
      <c r="L59">
        <v>0.629678789</v>
      </c>
      <c r="M59">
        <v>1.645584726</v>
      </c>
      <c r="N59">
        <v>1.433173705</v>
      </c>
      <c r="O59">
        <v>0.902135435</v>
      </c>
      <c r="P59">
        <v>0.599322146</v>
      </c>
      <c r="Q59">
        <v>0.216299191</v>
      </c>
      <c r="R59">
        <v>1.162916164</v>
      </c>
      <c r="S59">
        <v>0.663072183</v>
      </c>
      <c r="T59">
        <v>0.810211116</v>
      </c>
      <c r="U59">
        <v>1.517519721</v>
      </c>
      <c r="V59">
        <v>0.443990814</v>
      </c>
      <c r="W59">
        <v>0.955623779</v>
      </c>
      <c r="X59">
        <v>1.145955668</v>
      </c>
      <c r="Y59">
        <v>1.240024555</v>
      </c>
      <c r="Z59">
        <v>0.479416363</v>
      </c>
      <c r="AA59">
        <v>0.291800189</v>
      </c>
      <c r="AB59">
        <v>0.649676534</v>
      </c>
      <c r="AC59">
        <v>0.641033528</v>
      </c>
      <c r="AD59">
        <v>1.785160576</v>
      </c>
      <c r="AE59">
        <v>1.529411765</v>
      </c>
      <c r="AF59">
        <v>1.443923112</v>
      </c>
      <c r="AG59">
        <v>1.324289406</v>
      </c>
      <c r="AH59">
        <v>1.440384102</v>
      </c>
      <c r="AI59">
        <v>0.926709546</v>
      </c>
      <c r="AJ59">
        <v>0.573778423</v>
      </c>
      <c r="AK59">
        <v>1.211083437</v>
      </c>
      <c r="AL59">
        <v>1.197522976</v>
      </c>
      <c r="AM59">
        <v>1.290037111</v>
      </c>
      <c r="AN59">
        <v>1.303626943</v>
      </c>
      <c r="AO59">
        <v>0.525043642</v>
      </c>
      <c r="AP59">
        <v>1.671891776</v>
      </c>
      <c r="AQ59">
        <v>0.883712965</v>
      </c>
      <c r="AR59">
        <v>0.925458371</v>
      </c>
      <c r="AS59">
        <v>0.949137148</v>
      </c>
      <c r="AT59">
        <v>0.816606103</v>
      </c>
      <c r="AU59">
        <v>0.819280189</v>
      </c>
    </row>
    <row r="60" spans="1:47">
      <c r="A60" t="s">
        <v>104</v>
      </c>
      <c r="B60">
        <v>0.776612869</v>
      </c>
      <c r="C60">
        <v>3.05269492</v>
      </c>
      <c r="D60">
        <v>0.228838429</v>
      </c>
      <c r="E60">
        <v>2.350085412</v>
      </c>
      <c r="F60">
        <v>1.998841304</v>
      </c>
      <c r="G60">
        <v>3.791901427</v>
      </c>
      <c r="H60">
        <v>3.620394163</v>
      </c>
      <c r="I60">
        <v>0.777245254</v>
      </c>
      <c r="J60">
        <v>2.92057345</v>
      </c>
      <c r="K60">
        <v>3.943232064</v>
      </c>
      <c r="L60">
        <v>0.691368275</v>
      </c>
      <c r="M60">
        <v>4.00723275</v>
      </c>
      <c r="N60">
        <v>3.000973218</v>
      </c>
      <c r="O60">
        <v>0.502392838</v>
      </c>
      <c r="P60">
        <v>0.552810452</v>
      </c>
      <c r="Q60">
        <v>0.095151483</v>
      </c>
      <c r="R60">
        <v>0.736823324</v>
      </c>
      <c r="S60">
        <v>0.208324045</v>
      </c>
      <c r="T60">
        <v>0.513350756</v>
      </c>
      <c r="U60">
        <v>3.048616091</v>
      </c>
      <c r="V60">
        <v>0.640993381</v>
      </c>
      <c r="W60">
        <v>0.779066156</v>
      </c>
      <c r="X60">
        <v>0.858963931</v>
      </c>
      <c r="Y60">
        <v>2.035112766</v>
      </c>
      <c r="Z60">
        <v>0.669144573</v>
      </c>
      <c r="AA60">
        <v>0.074193768</v>
      </c>
      <c r="AB60">
        <v>0.481725422</v>
      </c>
      <c r="AC60">
        <v>0.472649357</v>
      </c>
      <c r="AD60">
        <v>3.327160154</v>
      </c>
      <c r="AE60">
        <v>2.180952968</v>
      </c>
      <c r="AF60">
        <v>1.490363531</v>
      </c>
      <c r="AG60">
        <v>2.601936863</v>
      </c>
      <c r="AH60">
        <v>1.57018999</v>
      </c>
      <c r="AI60">
        <v>0.411392064</v>
      </c>
      <c r="AJ60">
        <v>0.56480877</v>
      </c>
      <c r="AK60">
        <v>0.649779358</v>
      </c>
      <c r="AL60">
        <v>0.835186306</v>
      </c>
      <c r="AM60">
        <v>2.574092386</v>
      </c>
      <c r="AN60">
        <v>1.948047323</v>
      </c>
      <c r="AO60">
        <v>0.253524885</v>
      </c>
      <c r="AP60">
        <v>3.334886451</v>
      </c>
      <c r="AQ60">
        <v>0.374460982</v>
      </c>
      <c r="AR60">
        <v>0.473371606</v>
      </c>
      <c r="AS60">
        <v>0.499468713</v>
      </c>
      <c r="AT60">
        <v>0.344779365</v>
      </c>
      <c r="AU60">
        <v>0.349595847</v>
      </c>
    </row>
    <row r="61" spans="1:47">
      <c r="A61" t="s">
        <v>105</v>
      </c>
      <c r="B61">
        <v>0.853430214</v>
      </c>
      <c r="C61">
        <v>0.466990231</v>
      </c>
      <c r="D61">
        <v>0</v>
      </c>
      <c r="E61">
        <v>0</v>
      </c>
      <c r="F61">
        <v>0.722002374</v>
      </c>
      <c r="G61">
        <v>0.356454942</v>
      </c>
      <c r="H61">
        <v>0.506689936</v>
      </c>
      <c r="I61">
        <v>0.847303468</v>
      </c>
      <c r="J61">
        <v>0.437461842</v>
      </c>
      <c r="K61">
        <v>0.388490245</v>
      </c>
      <c r="L61">
        <v>0.902422255</v>
      </c>
      <c r="M61">
        <v>0.300737711</v>
      </c>
      <c r="N61">
        <v>0.338765432</v>
      </c>
      <c r="O61">
        <v>0.774121382</v>
      </c>
      <c r="P61">
        <v>0.755835157</v>
      </c>
      <c r="Q61">
        <v>1.423350896</v>
      </c>
      <c r="R61">
        <v>0.695063528</v>
      </c>
      <c r="S61">
        <v>1.093939546</v>
      </c>
      <c r="T61">
        <v>0.724950232</v>
      </c>
      <c r="U61">
        <v>0.467247278</v>
      </c>
      <c r="V61">
        <v>1.002131249</v>
      </c>
      <c r="W61">
        <v>0.600083822</v>
      </c>
      <c r="X61">
        <v>0.935449348</v>
      </c>
      <c r="Y61">
        <v>0.742248618</v>
      </c>
      <c r="Z61">
        <v>0.988849581</v>
      </c>
      <c r="AA61">
        <v>0.991027496</v>
      </c>
      <c r="AB61">
        <v>1.282396738</v>
      </c>
      <c r="AC61">
        <v>1.293733051</v>
      </c>
      <c r="AD61">
        <v>0.310241208</v>
      </c>
      <c r="AE61">
        <v>0.448775021</v>
      </c>
      <c r="AF61">
        <v>0.452083179</v>
      </c>
      <c r="AG61">
        <v>0.165733264</v>
      </c>
      <c r="AH61">
        <v>0.558361221</v>
      </c>
      <c r="AI61">
        <v>0.864548996</v>
      </c>
      <c r="AJ61">
        <v>0.875568576</v>
      </c>
      <c r="AK61">
        <v>0.619359742</v>
      </c>
      <c r="AL61">
        <v>0.639032361</v>
      </c>
      <c r="AM61">
        <v>0.479892019</v>
      </c>
      <c r="AN61">
        <v>0.647199485</v>
      </c>
      <c r="AO61">
        <v>1.267688104</v>
      </c>
      <c r="AP61">
        <v>0.282160821</v>
      </c>
      <c r="AQ61">
        <v>0.86681835</v>
      </c>
      <c r="AR61">
        <v>1.066713959</v>
      </c>
      <c r="AS61">
        <v>1.046902294</v>
      </c>
      <c r="AT61">
        <v>1.170898386</v>
      </c>
      <c r="AU61">
        <v>1.17440078</v>
      </c>
    </row>
    <row r="62" spans="1:47">
      <c r="A62" t="s">
        <v>106</v>
      </c>
      <c r="B62">
        <v>0.767710418</v>
      </c>
      <c r="C62">
        <v>1.135648586</v>
      </c>
      <c r="D62">
        <v>0.325181593</v>
      </c>
      <c r="E62">
        <v>0.974410659</v>
      </c>
      <c r="F62">
        <v>0.845878245</v>
      </c>
      <c r="G62">
        <v>0.342793955</v>
      </c>
      <c r="H62">
        <v>0.59855864</v>
      </c>
      <c r="I62">
        <v>0.759257095</v>
      </c>
      <c r="J62">
        <v>0.905529697</v>
      </c>
      <c r="K62">
        <v>0.243759806</v>
      </c>
      <c r="L62">
        <v>0.757516001</v>
      </c>
      <c r="M62">
        <v>0.345302607</v>
      </c>
      <c r="N62">
        <v>0.783549003</v>
      </c>
      <c r="O62">
        <v>0.612684249</v>
      </c>
      <c r="P62">
        <v>0.955757255</v>
      </c>
      <c r="Q62">
        <v>0.274631532</v>
      </c>
      <c r="R62">
        <v>0.619776612</v>
      </c>
      <c r="S62">
        <v>0.698938874</v>
      </c>
      <c r="T62">
        <v>1.309896603</v>
      </c>
      <c r="U62">
        <v>1.137272336</v>
      </c>
      <c r="V62">
        <v>1.652426016</v>
      </c>
      <c r="W62">
        <v>1.327259551</v>
      </c>
      <c r="X62">
        <v>1.504880238</v>
      </c>
      <c r="Y62">
        <v>1.736461328</v>
      </c>
      <c r="Z62">
        <v>1.643584298</v>
      </c>
      <c r="AA62">
        <v>0.563239897</v>
      </c>
      <c r="AB62">
        <v>1.040950127</v>
      </c>
      <c r="AC62">
        <v>1.045027729</v>
      </c>
      <c r="AD62">
        <v>0.473032471</v>
      </c>
      <c r="AE62">
        <v>1.965195429</v>
      </c>
      <c r="AF62">
        <v>1.842815926</v>
      </c>
      <c r="AG62">
        <v>0.963005552</v>
      </c>
      <c r="AH62">
        <v>1.675920999</v>
      </c>
      <c r="AI62">
        <v>1.322002372</v>
      </c>
      <c r="AJ62">
        <v>1.047720268</v>
      </c>
      <c r="AK62">
        <v>0.635576882</v>
      </c>
      <c r="AL62">
        <v>0.682268523</v>
      </c>
      <c r="AM62">
        <v>1.752027122</v>
      </c>
      <c r="AN62">
        <v>1.033197483</v>
      </c>
      <c r="AO62">
        <v>0.872792777</v>
      </c>
      <c r="AP62">
        <v>0.768152798</v>
      </c>
      <c r="AQ62">
        <v>0.466546112</v>
      </c>
      <c r="AR62">
        <v>0.815619032</v>
      </c>
      <c r="AS62">
        <v>0.839656923</v>
      </c>
      <c r="AT62">
        <v>0.715115048</v>
      </c>
      <c r="AU62">
        <v>0.714729286</v>
      </c>
    </row>
    <row r="63" spans="1:47">
      <c r="A63" t="s">
        <v>107</v>
      </c>
      <c r="B63">
        <v>1.146569786</v>
      </c>
      <c r="C63">
        <v>1.533009769</v>
      </c>
      <c r="D63">
        <v>0</v>
      </c>
      <c r="E63">
        <v>0</v>
      </c>
      <c r="F63">
        <v>1.277997626</v>
      </c>
      <c r="G63">
        <v>1.643545058</v>
      </c>
      <c r="H63">
        <v>1.493310064</v>
      </c>
      <c r="I63">
        <v>1.152696532</v>
      </c>
      <c r="J63">
        <v>1.562538158</v>
      </c>
      <c r="K63">
        <v>1.611509755</v>
      </c>
      <c r="L63">
        <v>1.097577745</v>
      </c>
      <c r="M63">
        <v>1.699262289</v>
      </c>
      <c r="N63">
        <v>1.661234568</v>
      </c>
      <c r="O63">
        <v>1.225878618</v>
      </c>
      <c r="P63">
        <v>1.244164843</v>
      </c>
      <c r="Q63">
        <v>0.576649104</v>
      </c>
      <c r="R63">
        <v>1.304936472</v>
      </c>
      <c r="S63">
        <v>0.906060454</v>
      </c>
      <c r="T63">
        <v>1.275049768</v>
      </c>
      <c r="U63">
        <v>1.532752722</v>
      </c>
      <c r="V63">
        <v>0.997868751</v>
      </c>
      <c r="W63">
        <v>1.399916178</v>
      </c>
      <c r="X63">
        <v>1.064550652</v>
      </c>
      <c r="Y63">
        <v>1.257751382</v>
      </c>
      <c r="Z63">
        <v>1.011150419</v>
      </c>
      <c r="AA63">
        <v>1.008972504</v>
      </c>
      <c r="AB63">
        <v>0.717603262</v>
      </c>
      <c r="AC63">
        <v>0.706266949</v>
      </c>
      <c r="AD63">
        <v>1.689758792</v>
      </c>
      <c r="AE63">
        <v>1.551224979</v>
      </c>
      <c r="AF63">
        <v>1.547916821</v>
      </c>
      <c r="AG63">
        <v>1.834266736</v>
      </c>
      <c r="AH63">
        <v>1.441638779</v>
      </c>
      <c r="AI63">
        <v>1.135451004</v>
      </c>
      <c r="AJ63">
        <v>1.124431424</v>
      </c>
      <c r="AK63">
        <v>1.380640258</v>
      </c>
      <c r="AL63">
        <v>1.360967639</v>
      </c>
      <c r="AM63">
        <v>1.520107981</v>
      </c>
      <c r="AN63">
        <v>1.352800515</v>
      </c>
      <c r="AO63">
        <v>0.732311896</v>
      </c>
      <c r="AP63">
        <v>1.717839179</v>
      </c>
      <c r="AQ63">
        <v>1.13318165</v>
      </c>
      <c r="AR63">
        <v>0.933286041</v>
      </c>
      <c r="AS63">
        <v>0.953097706</v>
      </c>
      <c r="AT63">
        <v>0.829101614</v>
      </c>
      <c r="AU63">
        <v>0.82559922</v>
      </c>
    </row>
  </sheetData>
  <conditionalFormatting sqref="AR1:AU1">
    <cfRule type="duplicateValues" dxfId="0" priority="1"/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U3"/>
  <sheetViews>
    <sheetView workbookViewId="0">
      <selection activeCell="A4" sqref="A4"/>
    </sheetView>
  </sheetViews>
  <sheetFormatPr defaultColWidth="10" defaultRowHeight="13.5" outlineLevelRow="2"/>
  <cols>
    <col min="2" max="47" width="12.8849557522124"/>
  </cols>
  <sheetData>
    <row r="1" spans="2:47">
      <c r="B1" t="s">
        <v>108</v>
      </c>
      <c r="C1" t="s">
        <v>109</v>
      </c>
      <c r="D1" t="s">
        <v>110</v>
      </c>
      <c r="E1" t="s">
        <v>111</v>
      </c>
      <c r="F1" t="s">
        <v>112</v>
      </c>
      <c r="G1" t="s">
        <v>113</v>
      </c>
      <c r="H1" t="s">
        <v>114</v>
      </c>
      <c r="I1" t="s">
        <v>115</v>
      </c>
      <c r="J1" t="s">
        <v>116</v>
      </c>
      <c r="K1" t="s">
        <v>117</v>
      </c>
      <c r="L1" t="s">
        <v>118</v>
      </c>
      <c r="M1" t="s">
        <v>119</v>
      </c>
      <c r="N1" t="s">
        <v>120</v>
      </c>
      <c r="O1" t="s">
        <v>121</v>
      </c>
      <c r="P1" t="s">
        <v>122</v>
      </c>
      <c r="Q1" t="s">
        <v>123</v>
      </c>
      <c r="R1" t="s">
        <v>124</v>
      </c>
      <c r="S1" t="s">
        <v>125</v>
      </c>
      <c r="T1" t="s">
        <v>126</v>
      </c>
      <c r="U1" t="s">
        <v>127</v>
      </c>
      <c r="V1" t="s">
        <v>128</v>
      </c>
      <c r="W1" t="s">
        <v>129</v>
      </c>
      <c r="X1" t="s">
        <v>130</v>
      </c>
      <c r="Y1" t="s">
        <v>131</v>
      </c>
      <c r="Z1" t="s">
        <v>132</v>
      </c>
      <c r="AA1" t="s">
        <v>133</v>
      </c>
      <c r="AB1" t="s">
        <v>134</v>
      </c>
      <c r="AC1" t="s">
        <v>135</v>
      </c>
      <c r="AD1" t="s">
        <v>136</v>
      </c>
      <c r="AE1" t="s">
        <v>137</v>
      </c>
      <c r="AF1" t="s">
        <v>138</v>
      </c>
      <c r="AG1" t="s">
        <v>139</v>
      </c>
      <c r="AH1" t="s">
        <v>140</v>
      </c>
      <c r="AI1" t="s">
        <v>141</v>
      </c>
      <c r="AJ1" t="s">
        <v>142</v>
      </c>
      <c r="AK1" t="s">
        <v>143</v>
      </c>
      <c r="AL1" t="s">
        <v>144</v>
      </c>
      <c r="AM1" t="s">
        <v>145</v>
      </c>
      <c r="AN1" t="s">
        <v>146</v>
      </c>
      <c r="AO1" t="s">
        <v>147</v>
      </c>
      <c r="AP1" t="s">
        <v>148</v>
      </c>
      <c r="AQ1" t="s">
        <v>149</v>
      </c>
      <c r="AR1" s="22" t="s">
        <v>42</v>
      </c>
      <c r="AS1" s="22" t="s">
        <v>43</v>
      </c>
      <c r="AT1" s="23" t="s">
        <v>44</v>
      </c>
      <c r="AU1" s="23" t="s">
        <v>45</v>
      </c>
    </row>
    <row r="2" spans="1:47">
      <c r="A2" t="s">
        <v>150</v>
      </c>
      <c r="B2">
        <v>0.90899040278125</v>
      </c>
      <c r="C2">
        <v>1.41441613559375</v>
      </c>
      <c r="D2">
        <v>0.19386721709375</v>
      </c>
      <c r="E2">
        <v>0.71684540140625</v>
      </c>
      <c r="F2">
        <v>1.42798972634375</v>
      </c>
      <c r="G2">
        <v>1.7084742300625</v>
      </c>
      <c r="H2">
        <v>1.50965583834375</v>
      </c>
      <c r="I2">
        <v>0.91146861771875</v>
      </c>
      <c r="J2">
        <v>1.5319887820625</v>
      </c>
      <c r="K2">
        <v>1.69892955725</v>
      </c>
      <c r="L2">
        <v>0.92000511503125</v>
      </c>
      <c r="M2">
        <v>1.7197576551875</v>
      </c>
      <c r="N2">
        <v>1.61015178196875</v>
      </c>
      <c r="O2">
        <v>0.874715863</v>
      </c>
      <c r="P2">
        <v>0.79976534025</v>
      </c>
      <c r="Q2">
        <v>0.2937280335625</v>
      </c>
      <c r="R2">
        <v>1.15003482709375</v>
      </c>
      <c r="S2">
        <v>0.76655068709375</v>
      </c>
      <c r="T2">
        <v>1.25091152209375</v>
      </c>
      <c r="U2">
        <v>1.41380685828125</v>
      </c>
      <c r="V2">
        <v>0.73486264115625</v>
      </c>
      <c r="W2">
        <v>0.97840061371875</v>
      </c>
      <c r="X2">
        <v>1.095351583</v>
      </c>
      <c r="Y2">
        <v>1.35846000528125</v>
      </c>
      <c r="Z2">
        <v>0.75518653553125</v>
      </c>
      <c r="AA2">
        <v>0.4788658939375</v>
      </c>
      <c r="AB2">
        <v>0.664050324875</v>
      </c>
      <c r="AC2">
        <v>0.65751557509375</v>
      </c>
      <c r="AD2">
        <v>1.7174321326875</v>
      </c>
      <c r="AE2">
        <v>1.38022571390625</v>
      </c>
      <c r="AF2">
        <v>1.4534230583125</v>
      </c>
      <c r="AG2">
        <v>1.53495497565625</v>
      </c>
      <c r="AH2">
        <v>1.418084605375</v>
      </c>
      <c r="AI2">
        <v>1.04246837490625</v>
      </c>
      <c r="AJ2">
        <v>0.95884198028125</v>
      </c>
      <c r="AK2">
        <v>1.2308952525</v>
      </c>
      <c r="AL2">
        <v>1.2039934946875</v>
      </c>
      <c r="AM2">
        <v>1.23489287921875</v>
      </c>
      <c r="AN2">
        <v>1.29438899428125</v>
      </c>
      <c r="AO2">
        <v>0.7368072356875</v>
      </c>
      <c r="AP2">
        <v>1.6900433574375</v>
      </c>
      <c r="AQ2">
        <v>1.026174609625</v>
      </c>
      <c r="AR2">
        <v>0.7836195741875</v>
      </c>
      <c r="AS2">
        <v>0.8030275834375</v>
      </c>
      <c r="AT2">
        <v>0.6829230671875</v>
      </c>
      <c r="AU2">
        <v>0.680456174375</v>
      </c>
    </row>
    <row r="3" spans="1:47">
      <c r="A3" t="s">
        <v>151</v>
      </c>
      <c r="B3">
        <v>1.09707690366667</v>
      </c>
      <c r="C3">
        <v>0.557956122066667</v>
      </c>
      <c r="D3">
        <v>0.5265416351</v>
      </c>
      <c r="E3">
        <v>0.3353649052</v>
      </c>
      <c r="F3">
        <v>0.5434776252</v>
      </c>
      <c r="G3">
        <v>0.2442941546</v>
      </c>
      <c r="H3">
        <v>0.456367105766667</v>
      </c>
      <c r="I3">
        <v>1.0944334744</v>
      </c>
      <c r="J3">
        <v>0.4325452992</v>
      </c>
      <c r="K3">
        <v>0.254475138966667</v>
      </c>
      <c r="L3">
        <v>1.08532787733333</v>
      </c>
      <c r="M3">
        <v>0.232258501133333</v>
      </c>
      <c r="N3">
        <v>0.3491714326</v>
      </c>
      <c r="O3">
        <v>1.13363641276667</v>
      </c>
      <c r="P3">
        <v>1.21358363703333</v>
      </c>
      <c r="Q3">
        <v>1.75335676416667</v>
      </c>
      <c r="R3">
        <v>0.839962851233333</v>
      </c>
      <c r="S3">
        <v>1.2490126004</v>
      </c>
      <c r="T3">
        <v>0.7323610431</v>
      </c>
      <c r="U3">
        <v>0.558606017833333</v>
      </c>
      <c r="V3">
        <v>1.28281318276667</v>
      </c>
      <c r="W3">
        <v>1.02303934546667</v>
      </c>
      <c r="X3">
        <v>0.898291644833333</v>
      </c>
      <c r="Y3">
        <v>0.617642661</v>
      </c>
      <c r="Z3">
        <v>1.26113436193333</v>
      </c>
      <c r="AA3">
        <v>1.55587637966667</v>
      </c>
      <c r="AB3">
        <v>1.35834632016667</v>
      </c>
      <c r="AC3">
        <v>1.3653167199</v>
      </c>
      <c r="AD3">
        <v>0.234739058533333</v>
      </c>
      <c r="AE3">
        <v>0.594425905066667</v>
      </c>
      <c r="AF3">
        <v>0.5163487377</v>
      </c>
      <c r="AG3">
        <v>0.4293813592</v>
      </c>
      <c r="AH3">
        <v>0.554043087666667</v>
      </c>
      <c r="AI3">
        <v>0.9547004002</v>
      </c>
      <c r="AJ3">
        <v>1.04390188753333</v>
      </c>
      <c r="AK3">
        <v>0.7537117306</v>
      </c>
      <c r="AL3">
        <v>0.7824069391</v>
      </c>
      <c r="AM3">
        <v>0.749447595466667</v>
      </c>
      <c r="AN3">
        <v>0.6859850728</v>
      </c>
      <c r="AO3">
        <v>1.2807389486</v>
      </c>
      <c r="AP3">
        <v>0.2639537521</v>
      </c>
      <c r="AQ3">
        <v>0.972080416533333</v>
      </c>
      <c r="AR3">
        <v>1.1308057875</v>
      </c>
      <c r="AS3">
        <v>1.1101039111</v>
      </c>
      <c r="AT3">
        <v>1.23821539506667</v>
      </c>
      <c r="AU3">
        <v>1.24084674726667</v>
      </c>
    </row>
  </sheetData>
  <conditionalFormatting sqref="AR1:AU1">
    <cfRule type="duplicateValues" dxfId="0" priority="1"/>
  </conditionalFormatting>
  <conditionalFormatting sqref="AV1:XFD1">
    <cfRule type="duplicateValues" dxfId="0" priority="2"/>
  </conditionalFormatting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V68"/>
  <sheetViews>
    <sheetView workbookViewId="0">
      <selection activeCell="C67" sqref="C67:AV68"/>
    </sheetView>
  </sheetViews>
  <sheetFormatPr defaultColWidth="9" defaultRowHeight="13.5"/>
  <cols>
    <col min="3" max="3" width="16.6017699115044" customWidth="1"/>
    <col min="4" max="8" width="12.7964601769912"/>
    <col min="9" max="9" width="24.2300884955752" customWidth="1"/>
    <col min="10" max="35" width="12.7964601769912"/>
    <col min="36" max="36" width="20.9734513274336" customWidth="1"/>
    <col min="37" max="43" width="12.7964601769912"/>
    <col min="44" max="44" width="23.0353982300885" customWidth="1"/>
    <col min="45" max="48" width="12.7964601769912"/>
  </cols>
  <sheetData>
    <row r="1" spans="1:48">
      <c r="A1" t="s">
        <v>152</v>
      </c>
      <c r="C1" t="s">
        <v>153</v>
      </c>
      <c r="D1" t="s">
        <v>154</v>
      </c>
      <c r="E1" t="s">
        <v>155</v>
      </c>
      <c r="F1" t="s">
        <v>156</v>
      </c>
      <c r="G1" t="s">
        <v>157</v>
      </c>
      <c r="H1" t="s">
        <v>158</v>
      </c>
      <c r="I1" t="s">
        <v>159</v>
      </c>
      <c r="J1" t="s">
        <v>160</v>
      </c>
      <c r="K1" s="3" t="s">
        <v>161</v>
      </c>
      <c r="L1" t="s">
        <v>162</v>
      </c>
      <c r="M1" t="s">
        <v>163</v>
      </c>
      <c r="N1" t="s">
        <v>164</v>
      </c>
      <c r="O1" t="s">
        <v>165</v>
      </c>
      <c r="P1" t="s">
        <v>166</v>
      </c>
      <c r="Q1" t="s">
        <v>167</v>
      </c>
      <c r="R1" t="s">
        <v>168</v>
      </c>
      <c r="S1" t="s">
        <v>169</v>
      </c>
      <c r="T1" t="s">
        <v>170</v>
      </c>
      <c r="U1" t="s">
        <v>171</v>
      </c>
      <c r="V1" t="s">
        <v>172</v>
      </c>
      <c r="W1" t="s">
        <v>173</v>
      </c>
      <c r="X1" t="s">
        <v>174</v>
      </c>
      <c r="Y1" t="s">
        <v>175</v>
      </c>
      <c r="Z1" t="s">
        <v>176</v>
      </c>
      <c r="AA1" t="s">
        <v>177</v>
      </c>
      <c r="AB1" t="s">
        <v>178</v>
      </c>
      <c r="AC1" t="s">
        <v>179</v>
      </c>
      <c r="AD1" t="s">
        <v>180</v>
      </c>
      <c r="AE1" t="s">
        <v>181</v>
      </c>
      <c r="AF1" t="s">
        <v>182</v>
      </c>
      <c r="AG1" t="s">
        <v>183</v>
      </c>
      <c r="AH1" t="s">
        <v>184</v>
      </c>
      <c r="AI1" t="s">
        <v>185</v>
      </c>
      <c r="AJ1" t="s">
        <v>186</v>
      </c>
      <c r="AK1" t="s">
        <v>187</v>
      </c>
      <c r="AL1" t="s">
        <v>188</v>
      </c>
      <c r="AM1" t="s">
        <v>189</v>
      </c>
      <c r="AN1" t="s">
        <v>190</v>
      </c>
      <c r="AO1" t="s">
        <v>191</v>
      </c>
      <c r="AP1" t="s">
        <v>192</v>
      </c>
      <c r="AQ1" t="s">
        <v>193</v>
      </c>
      <c r="AR1" t="s">
        <v>194</v>
      </c>
      <c r="AS1" t="e">
        <v>#N/A</v>
      </c>
      <c r="AT1" t="e">
        <v>#N/A</v>
      </c>
      <c r="AU1" t="e">
        <v>#N/A</v>
      </c>
      <c r="AV1" t="e">
        <v>#N/A</v>
      </c>
    </row>
    <row r="2" spans="1:48">
      <c r="A2" t="s">
        <v>195</v>
      </c>
      <c r="C2" s="25" t="s">
        <v>196</v>
      </c>
      <c r="D2" s="25" t="s">
        <v>197</v>
      </c>
      <c r="E2" s="25" t="s">
        <v>198</v>
      </c>
      <c r="F2" s="25" t="s">
        <v>199</v>
      </c>
      <c r="G2" s="25" t="s">
        <v>200</v>
      </c>
      <c r="H2" s="25" t="s">
        <v>201</v>
      </c>
      <c r="I2" s="25" t="s">
        <v>202</v>
      </c>
      <c r="J2" s="25" t="s">
        <v>203</v>
      </c>
      <c r="K2" s="26" t="s">
        <v>204</v>
      </c>
      <c r="L2" s="25" t="s">
        <v>205</v>
      </c>
      <c r="M2" s="25" t="s">
        <v>206</v>
      </c>
      <c r="N2" s="25" t="s">
        <v>207</v>
      </c>
      <c r="O2" s="25" t="s">
        <v>208</v>
      </c>
      <c r="P2" s="25" t="s">
        <v>209</v>
      </c>
      <c r="Q2" s="25" t="s">
        <v>210</v>
      </c>
      <c r="R2" s="25" t="s">
        <v>211</v>
      </c>
      <c r="S2" s="25" t="s">
        <v>212</v>
      </c>
      <c r="T2" s="25" t="s">
        <v>213</v>
      </c>
      <c r="U2" s="25" t="s">
        <v>214</v>
      </c>
      <c r="V2" s="25" t="s">
        <v>215</v>
      </c>
      <c r="W2" s="23" t="s">
        <v>216</v>
      </c>
      <c r="X2" s="23" t="s">
        <v>217</v>
      </c>
      <c r="Y2" s="23" t="s">
        <v>218</v>
      </c>
      <c r="Z2" s="23" t="s">
        <v>219</v>
      </c>
      <c r="AA2" s="23" t="s">
        <v>220</v>
      </c>
      <c r="AB2" s="23" t="s">
        <v>221</v>
      </c>
      <c r="AC2" s="23" t="s">
        <v>222</v>
      </c>
      <c r="AD2" s="23" t="s">
        <v>223</v>
      </c>
      <c r="AE2" s="23" t="s">
        <v>224</v>
      </c>
      <c r="AF2" s="23" t="s">
        <v>225</v>
      </c>
      <c r="AG2" s="23" t="s">
        <v>226</v>
      </c>
      <c r="AH2" s="23" t="s">
        <v>227</v>
      </c>
      <c r="AI2" s="23" t="s">
        <v>228</v>
      </c>
      <c r="AJ2" s="23" t="s">
        <v>229</v>
      </c>
      <c r="AK2" s="23" t="s">
        <v>230</v>
      </c>
      <c r="AL2" s="23" t="s">
        <v>231</v>
      </c>
      <c r="AM2" s="23" t="s">
        <v>232</v>
      </c>
      <c r="AN2" s="23" t="s">
        <v>233</v>
      </c>
      <c r="AO2" s="23" t="s">
        <v>234</v>
      </c>
      <c r="AP2" s="23" t="s">
        <v>235</v>
      </c>
      <c r="AQ2" s="23" t="s">
        <v>236</v>
      </c>
      <c r="AR2" s="23" t="s">
        <v>237</v>
      </c>
      <c r="AS2" s="22" t="s">
        <v>42</v>
      </c>
      <c r="AT2" s="22" t="s">
        <v>43</v>
      </c>
      <c r="AU2" s="23" t="s">
        <v>44</v>
      </c>
      <c r="AV2" s="23" t="s">
        <v>45</v>
      </c>
    </row>
    <row r="3" spans="1:48">
      <c r="A3" t="s">
        <v>238</v>
      </c>
      <c r="C3" s="25" t="s">
        <v>239</v>
      </c>
      <c r="D3" s="25" t="s">
        <v>240</v>
      </c>
      <c r="E3" s="25" t="s">
        <v>241</v>
      </c>
      <c r="F3" s="25" t="s">
        <v>242</v>
      </c>
      <c r="G3" s="25" t="s">
        <v>243</v>
      </c>
      <c r="H3" s="25" t="s">
        <v>244</v>
      </c>
      <c r="I3" s="25" t="s">
        <v>245</v>
      </c>
      <c r="J3" s="25" t="s">
        <v>246</v>
      </c>
      <c r="K3" s="25" t="s">
        <v>247</v>
      </c>
      <c r="L3" s="25" t="s">
        <v>248</v>
      </c>
      <c r="M3" s="25" t="s">
        <v>249</v>
      </c>
      <c r="N3" s="25" t="s">
        <v>250</v>
      </c>
      <c r="O3" s="25" t="s">
        <v>251</v>
      </c>
      <c r="P3" s="25" t="s">
        <v>252</v>
      </c>
      <c r="Q3" s="25" t="s">
        <v>253</v>
      </c>
      <c r="R3" s="25" t="s">
        <v>254</v>
      </c>
      <c r="S3" s="25" t="s">
        <v>255</v>
      </c>
      <c r="T3" s="25" t="s">
        <v>256</v>
      </c>
      <c r="U3" s="25" t="s">
        <v>257</v>
      </c>
      <c r="V3" s="25" t="s">
        <v>258</v>
      </c>
      <c r="W3" s="23" t="s">
        <v>259</v>
      </c>
      <c r="X3" s="23" t="s">
        <v>260</v>
      </c>
      <c r="Y3" s="27" t="s">
        <v>261</v>
      </c>
      <c r="Z3" s="23" t="s">
        <v>262</v>
      </c>
      <c r="AA3" s="23" t="s">
        <v>263</v>
      </c>
      <c r="AB3" s="23" t="s">
        <v>264</v>
      </c>
      <c r="AC3" s="23" t="s">
        <v>265</v>
      </c>
      <c r="AD3" s="23" t="s">
        <v>266</v>
      </c>
      <c r="AE3" s="23" t="s">
        <v>267</v>
      </c>
      <c r="AF3" s="23" t="s">
        <v>268</v>
      </c>
      <c r="AG3" s="23" t="s">
        <v>269</v>
      </c>
      <c r="AH3" s="23" t="s">
        <v>270</v>
      </c>
      <c r="AI3" s="23" t="s">
        <v>271</v>
      </c>
      <c r="AJ3" s="23" t="s">
        <v>272</v>
      </c>
      <c r="AK3" s="23" t="s">
        <v>273</v>
      </c>
      <c r="AL3" s="23" t="s">
        <v>274</v>
      </c>
      <c r="AM3" s="23" t="s">
        <v>275</v>
      </c>
      <c r="AN3" s="23" t="s">
        <v>276</v>
      </c>
      <c r="AO3" s="23" t="s">
        <v>277</v>
      </c>
      <c r="AP3" s="23" t="s">
        <v>278</v>
      </c>
      <c r="AQ3" s="23" t="s">
        <v>279</v>
      </c>
      <c r="AR3" s="23" t="s">
        <v>280</v>
      </c>
      <c r="AS3" s="22" t="s">
        <v>42</v>
      </c>
      <c r="AT3" s="22" t="s">
        <v>43</v>
      </c>
      <c r="AU3" s="23" t="s">
        <v>44</v>
      </c>
      <c r="AV3" s="23" t="s">
        <v>45</v>
      </c>
    </row>
    <row r="4" spans="3:48">
      <c r="C4" t="s">
        <v>281</v>
      </c>
      <c r="D4" t="s">
        <v>282</v>
      </c>
      <c r="E4" t="s">
        <v>283</v>
      </c>
      <c r="F4" t="s">
        <v>284</v>
      </c>
      <c r="G4" t="s">
        <v>285</v>
      </c>
      <c r="H4" t="s">
        <v>286</v>
      </c>
      <c r="I4" t="s">
        <v>287</v>
      </c>
      <c r="J4" t="s">
        <v>288</v>
      </c>
      <c r="K4" t="s">
        <v>289</v>
      </c>
      <c r="L4" t="s">
        <v>290</v>
      </c>
      <c r="M4" t="s">
        <v>291</v>
      </c>
      <c r="N4" t="s">
        <v>292</v>
      </c>
      <c r="O4" t="s">
        <v>293</v>
      </c>
      <c r="P4" t="s">
        <v>294</v>
      </c>
      <c r="Q4" t="s">
        <v>295</v>
      </c>
      <c r="R4" t="s">
        <v>296</v>
      </c>
      <c r="S4" t="s">
        <v>297</v>
      </c>
      <c r="T4" t="s">
        <v>298</v>
      </c>
      <c r="U4" t="s">
        <v>299</v>
      </c>
      <c r="V4" t="s">
        <v>300</v>
      </c>
      <c r="W4" t="s">
        <v>301</v>
      </c>
      <c r="X4" t="s">
        <v>302</v>
      </c>
      <c r="Y4" t="s">
        <v>303</v>
      </c>
      <c r="Z4" t="s">
        <v>304</v>
      </c>
      <c r="AA4" t="s">
        <v>305</v>
      </c>
      <c r="AB4" t="s">
        <v>306</v>
      </c>
      <c r="AC4" t="s">
        <v>307</v>
      </c>
      <c r="AD4" t="s">
        <v>308</v>
      </c>
      <c r="AE4" t="s">
        <v>309</v>
      </c>
      <c r="AF4" t="s">
        <v>310</v>
      </c>
      <c r="AG4" t="s">
        <v>311</v>
      </c>
      <c r="AH4" t="s">
        <v>312</v>
      </c>
      <c r="AI4" t="s">
        <v>313</v>
      </c>
      <c r="AJ4" t="s">
        <v>314</v>
      </c>
      <c r="AK4" t="s">
        <v>315</v>
      </c>
      <c r="AL4" t="s">
        <v>316</v>
      </c>
      <c r="AM4" t="s">
        <v>317</v>
      </c>
      <c r="AN4" t="s">
        <v>318</v>
      </c>
      <c r="AO4" t="s">
        <v>319</v>
      </c>
      <c r="AP4" t="s">
        <v>320</v>
      </c>
      <c r="AQ4" t="s">
        <v>321</v>
      </c>
      <c r="AR4" t="s">
        <v>322</v>
      </c>
      <c r="AS4" s="22"/>
      <c r="AT4" s="22"/>
      <c r="AU4" s="23"/>
      <c r="AV4" s="23"/>
    </row>
    <row r="5" spans="1:48">
      <c r="A5" t="s">
        <v>46</v>
      </c>
      <c r="B5" s="10" t="str">
        <f t="shared" ref="B5:B66" si="0">IF(OR(RIGHT(A5,1)="A",RIGHT(A5,1)="T"),"A/T","G/C")</f>
        <v>A/T</v>
      </c>
      <c r="C5">
        <v>1.534493305</v>
      </c>
      <c r="D5">
        <v>1.552724953</v>
      </c>
      <c r="E5">
        <v>0</v>
      </c>
      <c r="F5">
        <v>1.095624457</v>
      </c>
      <c r="G5">
        <v>1.100300903</v>
      </c>
      <c r="H5">
        <v>1.518749091</v>
      </c>
      <c r="I5">
        <v>1.559194631</v>
      </c>
      <c r="J5">
        <v>1.529664803</v>
      </c>
      <c r="K5">
        <v>1.23506207</v>
      </c>
      <c r="L5">
        <v>1.384437477</v>
      </c>
      <c r="M5">
        <v>0.86034145</v>
      </c>
      <c r="N5">
        <v>1.418329847</v>
      </c>
      <c r="O5">
        <v>1.178963893</v>
      </c>
      <c r="P5">
        <v>1.119021518</v>
      </c>
      <c r="Q5">
        <v>1.115887297</v>
      </c>
      <c r="R5">
        <v>0.457275548</v>
      </c>
      <c r="S5">
        <v>1.208842924</v>
      </c>
      <c r="T5">
        <v>1.044384855</v>
      </c>
      <c r="U5">
        <v>1.121476758</v>
      </c>
      <c r="V5">
        <v>1.552148951</v>
      </c>
      <c r="W5">
        <v>0.509284228</v>
      </c>
      <c r="X5">
        <v>0.889900396</v>
      </c>
      <c r="Y5">
        <v>1.281806365</v>
      </c>
      <c r="Z5">
        <v>0.945444234</v>
      </c>
      <c r="AA5">
        <v>0.517712976</v>
      </c>
      <c r="AB5">
        <v>0.326216844</v>
      </c>
      <c r="AC5">
        <v>1.068537829</v>
      </c>
      <c r="AD5">
        <v>1.070551173</v>
      </c>
      <c r="AE5">
        <v>1.620527843</v>
      </c>
      <c r="AF5">
        <v>1.527847325</v>
      </c>
      <c r="AG5">
        <v>1.25266769</v>
      </c>
      <c r="AH5">
        <v>1.67837617</v>
      </c>
      <c r="AI5">
        <v>1.597018402</v>
      </c>
      <c r="AJ5">
        <v>1.4902614</v>
      </c>
      <c r="AK5">
        <v>0.929822589</v>
      </c>
      <c r="AL5">
        <v>1.364296081</v>
      </c>
      <c r="AM5">
        <v>1.274511457</v>
      </c>
      <c r="AN5">
        <v>1.798510801</v>
      </c>
      <c r="AO5">
        <v>0.844339096</v>
      </c>
      <c r="AP5">
        <v>0.754926873</v>
      </c>
      <c r="AQ5">
        <v>1.684311807</v>
      </c>
      <c r="AR5">
        <v>0.880846873</v>
      </c>
      <c r="AS5">
        <v>0.824203329</v>
      </c>
      <c r="AT5">
        <v>0.847612247</v>
      </c>
      <c r="AU5">
        <v>0.72913694</v>
      </c>
      <c r="AV5">
        <v>0.728899253</v>
      </c>
    </row>
    <row r="6" spans="1:48">
      <c r="A6" t="s">
        <v>47</v>
      </c>
      <c r="B6" s="10" t="str">
        <f t="shared" si="0"/>
        <v>G/C</v>
      </c>
      <c r="C6">
        <v>1.105657285</v>
      </c>
      <c r="D6">
        <v>0.441915228</v>
      </c>
      <c r="E6">
        <v>1.327664497</v>
      </c>
      <c r="F6">
        <v>0</v>
      </c>
      <c r="G6">
        <v>0.449656493</v>
      </c>
      <c r="H6">
        <v>0.331130559</v>
      </c>
      <c r="I6">
        <v>0.418200661</v>
      </c>
      <c r="J6">
        <v>1.094758251</v>
      </c>
      <c r="K6">
        <v>0.493878566</v>
      </c>
      <c r="L6">
        <v>0.348299414</v>
      </c>
      <c r="M6">
        <v>0.747774481</v>
      </c>
      <c r="N6">
        <v>0.261503299</v>
      </c>
      <c r="O6">
        <v>0.237111856</v>
      </c>
      <c r="P6">
        <v>0.837261066</v>
      </c>
      <c r="Q6">
        <v>1.054861258</v>
      </c>
      <c r="R6">
        <v>1.63685379</v>
      </c>
      <c r="S6">
        <v>0.668316591</v>
      </c>
      <c r="T6">
        <v>0.952156968</v>
      </c>
      <c r="U6">
        <v>0.939241786</v>
      </c>
      <c r="V6">
        <v>0.441873112</v>
      </c>
      <c r="W6">
        <v>1.316601448</v>
      </c>
      <c r="X6">
        <v>0.946394499</v>
      </c>
      <c r="Y6">
        <v>0.80780773</v>
      </c>
      <c r="Z6">
        <v>0.83513347</v>
      </c>
      <c r="AA6">
        <v>1.293171255</v>
      </c>
      <c r="AB6">
        <v>1.565343466</v>
      </c>
      <c r="AC6">
        <v>1.036747102</v>
      </c>
      <c r="AD6">
        <v>1.055835897</v>
      </c>
      <c r="AE6">
        <v>0.304170037</v>
      </c>
      <c r="AF6">
        <v>0.418534261</v>
      </c>
      <c r="AG6">
        <v>0.465672134</v>
      </c>
      <c r="AH6">
        <v>0.275587795</v>
      </c>
      <c r="AI6">
        <v>0.564255402</v>
      </c>
      <c r="AJ6">
        <v>0.937562261</v>
      </c>
      <c r="AK6">
        <v>0.963514197</v>
      </c>
      <c r="AL6">
        <v>0.633902093</v>
      </c>
      <c r="AM6">
        <v>0.656988222</v>
      </c>
      <c r="AN6">
        <v>0.574166527</v>
      </c>
      <c r="AO6">
        <v>0.766514567</v>
      </c>
      <c r="AP6">
        <v>1.131170284</v>
      </c>
      <c r="AQ6">
        <v>0.26299282</v>
      </c>
      <c r="AR6">
        <v>0.719515582</v>
      </c>
      <c r="AS6">
        <v>1.095302467</v>
      </c>
      <c r="AT6">
        <v>1.07553091</v>
      </c>
      <c r="AU6">
        <v>1.209384858</v>
      </c>
      <c r="AV6">
        <v>1.211784364</v>
      </c>
    </row>
    <row r="7" spans="1:48">
      <c r="A7" t="s">
        <v>48</v>
      </c>
      <c r="B7" s="10" t="str">
        <f t="shared" si="0"/>
        <v>G/C</v>
      </c>
      <c r="C7">
        <v>0.465506695</v>
      </c>
      <c r="D7">
        <v>0.447275047</v>
      </c>
      <c r="E7">
        <v>0</v>
      </c>
      <c r="F7">
        <v>0.904375543</v>
      </c>
      <c r="G7">
        <v>0.899699097</v>
      </c>
      <c r="H7">
        <v>0.481250909</v>
      </c>
      <c r="I7">
        <v>0.440805369</v>
      </c>
      <c r="J7">
        <v>0.470335197</v>
      </c>
      <c r="K7">
        <v>0.76493793</v>
      </c>
      <c r="L7">
        <v>0.615562523</v>
      </c>
      <c r="M7">
        <v>1.13965855</v>
      </c>
      <c r="N7">
        <v>0.581670153</v>
      </c>
      <c r="O7">
        <v>0.821036107</v>
      </c>
      <c r="P7">
        <v>0.880978482</v>
      </c>
      <c r="Q7">
        <v>0.884112703</v>
      </c>
      <c r="R7">
        <v>1.542724452</v>
      </c>
      <c r="S7">
        <v>0.791157076</v>
      </c>
      <c r="T7">
        <v>0.955615145</v>
      </c>
      <c r="U7">
        <v>0.878523242</v>
      </c>
      <c r="V7">
        <v>0.447851049</v>
      </c>
      <c r="W7">
        <v>1.490715772</v>
      </c>
      <c r="X7">
        <v>1.110099604</v>
      </c>
      <c r="Y7">
        <v>0.718193635</v>
      </c>
      <c r="Z7">
        <v>1.054555766</v>
      </c>
      <c r="AA7">
        <v>1.482287024</v>
      </c>
      <c r="AB7">
        <v>1.673783156</v>
      </c>
      <c r="AC7">
        <v>0.931462171</v>
      </c>
      <c r="AD7">
        <v>0.929448827</v>
      </c>
      <c r="AE7">
        <v>0.379472157</v>
      </c>
      <c r="AF7">
        <v>0.472152675</v>
      </c>
      <c r="AG7">
        <v>0.74733231</v>
      </c>
      <c r="AH7">
        <v>0.32162383</v>
      </c>
      <c r="AI7">
        <v>0.402981598</v>
      </c>
      <c r="AJ7">
        <v>0.5097386</v>
      </c>
      <c r="AK7">
        <v>1.070177411</v>
      </c>
      <c r="AL7">
        <v>0.635703919</v>
      </c>
      <c r="AM7">
        <v>0.725488543</v>
      </c>
      <c r="AN7">
        <v>0.201489199</v>
      </c>
      <c r="AO7">
        <v>1.155660904</v>
      </c>
      <c r="AP7">
        <v>1.245073127</v>
      </c>
      <c r="AQ7">
        <v>0.315688193</v>
      </c>
      <c r="AR7">
        <v>1.119153127</v>
      </c>
      <c r="AS7">
        <v>1.175796671</v>
      </c>
      <c r="AT7">
        <v>1.152387753</v>
      </c>
      <c r="AU7">
        <v>1.27086306</v>
      </c>
      <c r="AV7">
        <v>1.271100747</v>
      </c>
    </row>
    <row r="8" spans="1:48">
      <c r="A8" t="s">
        <v>49</v>
      </c>
      <c r="B8" s="10" t="str">
        <f t="shared" si="0"/>
        <v>A/T</v>
      </c>
      <c r="C8">
        <v>0.894342715</v>
      </c>
      <c r="D8">
        <v>1.558084772</v>
      </c>
      <c r="E8">
        <v>0.672335503</v>
      </c>
      <c r="F8">
        <v>0</v>
      </c>
      <c r="G8">
        <v>1.550343507</v>
      </c>
      <c r="H8">
        <v>1.668869441</v>
      </c>
      <c r="I8">
        <v>1.581799339</v>
      </c>
      <c r="J8">
        <v>0.905241749</v>
      </c>
      <c r="K8">
        <v>1.506121434</v>
      </c>
      <c r="L8">
        <v>1.651700586</v>
      </c>
      <c r="M8">
        <v>1.252225519</v>
      </c>
      <c r="N8">
        <v>1.738496701</v>
      </c>
      <c r="O8">
        <v>1.762888144</v>
      </c>
      <c r="P8">
        <v>1.162738934</v>
      </c>
      <c r="Q8">
        <v>0.945138742</v>
      </c>
      <c r="R8">
        <v>0.36314621</v>
      </c>
      <c r="S8">
        <v>1.331683409</v>
      </c>
      <c r="T8">
        <v>1.047843032</v>
      </c>
      <c r="U8">
        <v>1.060758214</v>
      </c>
      <c r="V8">
        <v>1.558126888</v>
      </c>
      <c r="W8">
        <v>0.683398552</v>
      </c>
      <c r="X8">
        <v>1.053605501</v>
      </c>
      <c r="Y8">
        <v>1.19219227</v>
      </c>
      <c r="Z8">
        <v>1.16486653</v>
      </c>
      <c r="AA8">
        <v>0.706828745</v>
      </c>
      <c r="AB8">
        <v>0.434656534</v>
      </c>
      <c r="AC8">
        <v>0.963252898</v>
      </c>
      <c r="AD8">
        <v>0.944164103</v>
      </c>
      <c r="AE8">
        <v>1.695829963</v>
      </c>
      <c r="AF8">
        <v>1.581465739</v>
      </c>
      <c r="AG8">
        <v>1.534327866</v>
      </c>
      <c r="AH8">
        <v>1.724412205</v>
      </c>
      <c r="AI8">
        <v>1.435744598</v>
      </c>
      <c r="AJ8">
        <v>1.062437739</v>
      </c>
      <c r="AK8">
        <v>1.036485803</v>
      </c>
      <c r="AL8">
        <v>1.366097907</v>
      </c>
      <c r="AM8">
        <v>1.343011778</v>
      </c>
      <c r="AN8">
        <v>1.425833473</v>
      </c>
      <c r="AO8">
        <v>1.233485433</v>
      </c>
      <c r="AP8">
        <v>0.868829716</v>
      </c>
      <c r="AQ8">
        <v>1.73700718</v>
      </c>
      <c r="AR8">
        <v>1.280484418</v>
      </c>
      <c r="AS8">
        <v>0.904697533</v>
      </c>
      <c r="AT8">
        <v>0.92446909</v>
      </c>
      <c r="AU8">
        <v>0.790615142</v>
      </c>
      <c r="AV8">
        <v>0.788215636</v>
      </c>
    </row>
    <row r="9" spans="1:48">
      <c r="A9" t="s">
        <v>50</v>
      </c>
      <c r="B9" s="10" t="str">
        <f t="shared" si="0"/>
        <v>A/T</v>
      </c>
      <c r="C9">
        <v>0.514691377</v>
      </c>
      <c r="D9">
        <v>1.277586162</v>
      </c>
      <c r="E9">
        <v>0</v>
      </c>
      <c r="F9">
        <v>0</v>
      </c>
      <c r="G9">
        <v>2.2324906</v>
      </c>
      <c r="H9">
        <v>1.793359211</v>
      </c>
      <c r="I9">
        <v>1.701085762</v>
      </c>
      <c r="J9">
        <v>0.525342632</v>
      </c>
      <c r="K9">
        <v>1.046992423</v>
      </c>
      <c r="L9">
        <v>1.672414212</v>
      </c>
      <c r="M9">
        <v>1.044137601</v>
      </c>
      <c r="N9">
        <v>1.807739932</v>
      </c>
      <c r="O9">
        <v>1.798997558</v>
      </c>
      <c r="P9">
        <v>0.871044248</v>
      </c>
      <c r="Q9">
        <v>0.793793421</v>
      </c>
      <c r="R9">
        <v>0.216432509</v>
      </c>
      <c r="S9">
        <v>1.695285969</v>
      </c>
      <c r="T9">
        <v>0.822515328</v>
      </c>
      <c r="U9">
        <v>1.925398725</v>
      </c>
      <c r="V9">
        <v>1.274281192</v>
      </c>
      <c r="W9">
        <v>0.311467741</v>
      </c>
      <c r="X9">
        <v>0.364624139</v>
      </c>
      <c r="Y9">
        <v>1.064668513</v>
      </c>
      <c r="Z9">
        <v>0.760342097</v>
      </c>
      <c r="AA9">
        <v>0.318694019</v>
      </c>
      <c r="AB9">
        <v>0.206024297</v>
      </c>
      <c r="AC9">
        <v>0.519820108</v>
      </c>
      <c r="AD9">
        <v>0.509728548</v>
      </c>
      <c r="AE9">
        <v>1.768081196</v>
      </c>
      <c r="AF9">
        <v>1.441668003</v>
      </c>
      <c r="AG9">
        <v>1.743282334</v>
      </c>
      <c r="AH9">
        <v>1.253687604</v>
      </c>
      <c r="AI9">
        <v>1.704075364</v>
      </c>
      <c r="AJ9">
        <v>1.863372093</v>
      </c>
      <c r="AK9">
        <v>0.778674609</v>
      </c>
      <c r="AL9">
        <v>1.881372582</v>
      </c>
      <c r="AM9">
        <v>1.843151448</v>
      </c>
      <c r="AN9">
        <v>0.785046729</v>
      </c>
      <c r="AO9">
        <v>0.971277038</v>
      </c>
      <c r="AP9">
        <v>0.595052856</v>
      </c>
      <c r="AQ9">
        <v>1.972937046</v>
      </c>
      <c r="AR9">
        <v>1.042238943</v>
      </c>
      <c r="AS9">
        <v>1.075281021</v>
      </c>
      <c r="AT9">
        <v>1.097373987</v>
      </c>
      <c r="AU9">
        <v>0.950892912</v>
      </c>
      <c r="AV9">
        <v>0.941365577</v>
      </c>
    </row>
    <row r="10" spans="1:48">
      <c r="A10" t="s">
        <v>51</v>
      </c>
      <c r="B10" s="10" t="str">
        <f t="shared" si="0"/>
        <v>G/C</v>
      </c>
      <c r="C10">
        <v>1.750628638</v>
      </c>
      <c r="D10">
        <v>0.761433348</v>
      </c>
      <c r="E10">
        <v>0</v>
      </c>
      <c r="F10">
        <v>0</v>
      </c>
      <c r="G10">
        <v>0.353377415</v>
      </c>
      <c r="H10">
        <v>0.122234035</v>
      </c>
      <c r="I10">
        <v>0.45786628</v>
      </c>
      <c r="J10">
        <v>1.734814695</v>
      </c>
      <c r="K10">
        <v>0.455268328</v>
      </c>
      <c r="L10">
        <v>0.253799946</v>
      </c>
      <c r="M10">
        <v>1.144305212</v>
      </c>
      <c r="N10">
        <v>0.145128639</v>
      </c>
      <c r="O10">
        <v>0.413828557</v>
      </c>
      <c r="P10">
        <v>1.615362832</v>
      </c>
      <c r="Q10">
        <v>0.927918648</v>
      </c>
      <c r="R10">
        <v>2.804078487</v>
      </c>
      <c r="S10">
        <v>0.898754821</v>
      </c>
      <c r="T10">
        <v>1.3480238</v>
      </c>
      <c r="U10">
        <v>0.80722073</v>
      </c>
      <c r="V10">
        <v>0.761171195</v>
      </c>
      <c r="W10">
        <v>1.681839444</v>
      </c>
      <c r="X10">
        <v>1.142023847</v>
      </c>
      <c r="Y10">
        <v>1.164684802</v>
      </c>
      <c r="Z10">
        <v>0.735761799</v>
      </c>
      <c r="AA10">
        <v>1.663825484</v>
      </c>
      <c r="AB10">
        <v>2.003439286</v>
      </c>
      <c r="AC10">
        <v>1.302597626</v>
      </c>
      <c r="AD10">
        <v>1.309707485</v>
      </c>
      <c r="AE10">
        <v>0.121686779</v>
      </c>
      <c r="AF10">
        <v>0.728019246</v>
      </c>
      <c r="AG10">
        <v>0.290523821</v>
      </c>
      <c r="AH10">
        <v>0.720132851</v>
      </c>
      <c r="AI10">
        <v>0.538193733</v>
      </c>
      <c r="AJ10">
        <v>1.140063425</v>
      </c>
      <c r="AK10">
        <v>1.446909903</v>
      </c>
      <c r="AL10">
        <v>0.711019274</v>
      </c>
      <c r="AM10">
        <v>0.807683742</v>
      </c>
      <c r="AN10">
        <v>1.448511862</v>
      </c>
      <c r="AO10">
        <v>0.893447075</v>
      </c>
      <c r="AP10">
        <v>1.943411367</v>
      </c>
      <c r="AQ10">
        <v>0.164831794</v>
      </c>
      <c r="AR10">
        <v>1.570285441</v>
      </c>
      <c r="AS10">
        <v>1.416697588</v>
      </c>
      <c r="AT10">
        <v>1.392007402</v>
      </c>
      <c r="AU10">
        <v>1.578408994</v>
      </c>
      <c r="AV10">
        <v>1.575404251</v>
      </c>
    </row>
    <row r="11" spans="1:48">
      <c r="A11" t="s">
        <v>52</v>
      </c>
      <c r="B11" s="10" t="str">
        <f t="shared" si="0"/>
        <v>G/C</v>
      </c>
      <c r="C11">
        <v>1.072505244</v>
      </c>
      <c r="D11">
        <v>0.781127406</v>
      </c>
      <c r="E11">
        <v>0</v>
      </c>
      <c r="F11">
        <v>0</v>
      </c>
      <c r="G11">
        <v>0.463632828</v>
      </c>
      <c r="H11">
        <v>0.163868767</v>
      </c>
      <c r="I11">
        <v>0.918633786</v>
      </c>
      <c r="J11">
        <v>1.080636877</v>
      </c>
      <c r="K11">
        <v>0.31045558</v>
      </c>
      <c r="L11">
        <v>0.060896423</v>
      </c>
      <c r="M11">
        <v>1.267299864</v>
      </c>
      <c r="N11">
        <v>0.118713025</v>
      </c>
      <c r="O11">
        <v>0.216167588</v>
      </c>
      <c r="P11">
        <v>1.096353982</v>
      </c>
      <c r="Q11">
        <v>1.943062526</v>
      </c>
      <c r="R11">
        <v>0.83626771</v>
      </c>
      <c r="S11">
        <v>0.738972775</v>
      </c>
      <c r="T11">
        <v>1.265039253</v>
      </c>
      <c r="U11">
        <v>0.349648992</v>
      </c>
      <c r="V11">
        <v>0.782590346</v>
      </c>
      <c r="W11">
        <v>0.795653269</v>
      </c>
      <c r="X11">
        <v>1.646984817</v>
      </c>
      <c r="Y11">
        <v>0.70528006</v>
      </c>
      <c r="Z11">
        <v>0.504909724</v>
      </c>
      <c r="AA11">
        <v>0.782432823</v>
      </c>
      <c r="AB11">
        <v>1.507294614</v>
      </c>
      <c r="AC11">
        <v>1.791944165</v>
      </c>
      <c r="AD11">
        <v>1.786893447</v>
      </c>
      <c r="AE11">
        <v>0.041343669</v>
      </c>
      <c r="AF11">
        <v>0.719422614</v>
      </c>
      <c r="AG11">
        <v>0.455023873</v>
      </c>
      <c r="AH11">
        <v>0.283481489</v>
      </c>
      <c r="AI11">
        <v>0.642330535</v>
      </c>
      <c r="AJ11">
        <v>0.433756166</v>
      </c>
      <c r="AK11">
        <v>0.781653016</v>
      </c>
      <c r="AL11">
        <v>0.621320416</v>
      </c>
      <c r="AM11">
        <v>0.466481069</v>
      </c>
      <c r="AN11">
        <v>0.772393961</v>
      </c>
      <c r="AO11">
        <v>0.630435477</v>
      </c>
      <c r="AP11">
        <v>1.004361023</v>
      </c>
      <c r="AQ11">
        <v>0.146698933</v>
      </c>
      <c r="AR11">
        <v>0.655599347</v>
      </c>
      <c r="AS11">
        <v>0.559336462</v>
      </c>
      <c r="AT11">
        <v>0.539742686</v>
      </c>
      <c r="AU11">
        <v>0.645972438</v>
      </c>
      <c r="AV11">
        <v>0.660476944</v>
      </c>
    </row>
    <row r="12" spans="1:48">
      <c r="A12" t="s">
        <v>53</v>
      </c>
      <c r="B12" s="10" t="str">
        <f t="shared" si="0"/>
        <v>A/T</v>
      </c>
      <c r="C12">
        <v>0.662174741</v>
      </c>
      <c r="D12">
        <v>1.179853084</v>
      </c>
      <c r="E12">
        <v>0</v>
      </c>
      <c r="F12">
        <v>0</v>
      </c>
      <c r="G12">
        <v>0.950499157</v>
      </c>
      <c r="H12">
        <v>1.920537988</v>
      </c>
      <c r="I12">
        <v>0.922414172</v>
      </c>
      <c r="J12">
        <v>0.659205796</v>
      </c>
      <c r="K12">
        <v>2.18728367</v>
      </c>
      <c r="L12">
        <v>2.012889419</v>
      </c>
      <c r="M12">
        <v>0.544257323</v>
      </c>
      <c r="N12">
        <v>1.928418404</v>
      </c>
      <c r="O12">
        <v>1.571006297</v>
      </c>
      <c r="P12">
        <v>0.417238938</v>
      </c>
      <c r="Q12">
        <v>0.335225405</v>
      </c>
      <c r="R12">
        <v>0.143221293</v>
      </c>
      <c r="S12">
        <v>0.666986435</v>
      </c>
      <c r="T12">
        <v>0.564421619</v>
      </c>
      <c r="U12">
        <v>0.917731552</v>
      </c>
      <c r="V12">
        <v>1.181957267</v>
      </c>
      <c r="W12">
        <v>1.211039545</v>
      </c>
      <c r="X12">
        <v>0.846367198</v>
      </c>
      <c r="Y12">
        <v>1.065366626</v>
      </c>
      <c r="Z12">
        <v>1.998986379</v>
      </c>
      <c r="AA12">
        <v>1.235047674</v>
      </c>
      <c r="AB12">
        <v>0.283241804</v>
      </c>
      <c r="AC12">
        <v>0.385638102</v>
      </c>
      <c r="AD12">
        <v>0.393670519</v>
      </c>
      <c r="AE12">
        <v>2.068888356</v>
      </c>
      <c r="AF12">
        <v>1.110890136</v>
      </c>
      <c r="AG12">
        <v>1.511169972</v>
      </c>
      <c r="AH12">
        <v>1.742698056</v>
      </c>
      <c r="AI12">
        <v>1.115400369</v>
      </c>
      <c r="AJ12">
        <v>0.562808316</v>
      </c>
      <c r="AK12">
        <v>0.992762472</v>
      </c>
      <c r="AL12">
        <v>0.786287727</v>
      </c>
      <c r="AM12">
        <v>0.882683742</v>
      </c>
      <c r="AN12">
        <v>0.994047448</v>
      </c>
      <c r="AO12">
        <v>1.50484041</v>
      </c>
      <c r="AP12">
        <v>0.457174755</v>
      </c>
      <c r="AQ12">
        <v>1.715532227</v>
      </c>
      <c r="AR12">
        <v>0.731876269</v>
      </c>
      <c r="AS12">
        <v>0.948684929</v>
      </c>
      <c r="AT12">
        <v>0.970875925</v>
      </c>
      <c r="AU12">
        <v>0.824725657</v>
      </c>
      <c r="AV12">
        <v>0.822753227</v>
      </c>
    </row>
    <row r="13" spans="1:48">
      <c r="A13" t="s">
        <v>54</v>
      </c>
      <c r="B13" s="10" t="str">
        <f t="shared" si="0"/>
        <v>A/T</v>
      </c>
      <c r="C13">
        <v>0.21333008</v>
      </c>
      <c r="D13">
        <v>1.108559499</v>
      </c>
      <c r="E13">
        <v>0</v>
      </c>
      <c r="F13">
        <v>0.467438042</v>
      </c>
      <c r="G13">
        <v>2.15070922</v>
      </c>
      <c r="H13">
        <v>4.949419849</v>
      </c>
      <c r="I13">
        <v>1.059213479</v>
      </c>
      <c r="J13">
        <v>0.220557879</v>
      </c>
      <c r="K13">
        <v>1.995915318</v>
      </c>
      <c r="L13">
        <v>5.146539666</v>
      </c>
      <c r="M13">
        <v>1.481321776</v>
      </c>
      <c r="N13">
        <v>4.93016182</v>
      </c>
      <c r="O13">
        <v>3.405745439</v>
      </c>
      <c r="P13">
        <v>1.04392284</v>
      </c>
      <c r="Q13">
        <v>0.562843476</v>
      </c>
      <c r="R13">
        <v>0.139777678</v>
      </c>
      <c r="S13">
        <v>1.979077189</v>
      </c>
      <c r="T13">
        <v>0.76583682</v>
      </c>
      <c r="U13">
        <v>2.837799271</v>
      </c>
      <c r="V13">
        <v>1.108194765</v>
      </c>
      <c r="W13">
        <v>0.970588235</v>
      </c>
      <c r="X13">
        <v>0.423860029</v>
      </c>
      <c r="Y13">
        <v>0.828349241</v>
      </c>
      <c r="Z13">
        <v>1.780347341</v>
      </c>
      <c r="AA13">
        <v>1.010196278</v>
      </c>
      <c r="AB13">
        <v>0.090549592</v>
      </c>
      <c r="AC13">
        <v>0.246026223</v>
      </c>
      <c r="AD13">
        <v>0.242925631</v>
      </c>
      <c r="AE13">
        <v>5.343662578</v>
      </c>
      <c r="AF13">
        <v>3.070413223</v>
      </c>
      <c r="AG13">
        <v>4.460833115</v>
      </c>
      <c r="AH13">
        <v>3.130933418</v>
      </c>
      <c r="AI13">
        <v>0.691974417</v>
      </c>
      <c r="AJ13">
        <v>1.625921993</v>
      </c>
      <c r="AK13">
        <v>0.799629357</v>
      </c>
      <c r="AL13">
        <v>2.038995027</v>
      </c>
      <c r="AM13">
        <v>2.10776628</v>
      </c>
      <c r="AN13">
        <v>0.419438722</v>
      </c>
      <c r="AO13">
        <v>0.438457428</v>
      </c>
      <c r="AP13">
        <v>1.129738744</v>
      </c>
      <c r="AQ13">
        <v>5.080768271</v>
      </c>
      <c r="AR13">
        <v>1.321793485</v>
      </c>
      <c r="AS13">
        <v>1.214155979</v>
      </c>
      <c r="AT13">
        <v>1.278536776</v>
      </c>
      <c r="AU13">
        <v>1.027482735</v>
      </c>
      <c r="AV13">
        <v>1.023943063</v>
      </c>
    </row>
    <row r="14" spans="1:48">
      <c r="A14" t="s">
        <v>55</v>
      </c>
      <c r="B14" s="10" t="str">
        <f t="shared" si="0"/>
        <v>G/C</v>
      </c>
      <c r="C14">
        <v>1.67049551</v>
      </c>
      <c r="D14">
        <v>0.70664202</v>
      </c>
      <c r="E14">
        <v>0</v>
      </c>
      <c r="F14">
        <v>0</v>
      </c>
      <c r="G14">
        <v>0.766688334</v>
      </c>
      <c r="H14">
        <v>0.462834777</v>
      </c>
      <c r="I14">
        <v>0.417939734</v>
      </c>
      <c r="J14">
        <v>1.658763028</v>
      </c>
      <c r="K14">
        <v>0.641705638</v>
      </c>
      <c r="L14">
        <v>0.517520794</v>
      </c>
      <c r="M14">
        <v>1.582250079</v>
      </c>
      <c r="N14">
        <v>0.49070632</v>
      </c>
      <c r="O14">
        <v>0.869653976</v>
      </c>
      <c r="P14">
        <v>1.609063877</v>
      </c>
      <c r="Q14">
        <v>1.763312583</v>
      </c>
      <c r="R14">
        <v>2.018353033</v>
      </c>
      <c r="S14">
        <v>1.034681972</v>
      </c>
      <c r="T14">
        <v>1.242340967</v>
      </c>
      <c r="U14">
        <v>1.203754538</v>
      </c>
      <c r="V14">
        <v>0.707017011</v>
      </c>
      <c r="W14">
        <v>2.031904705</v>
      </c>
      <c r="X14">
        <v>1.418249601</v>
      </c>
      <c r="Y14">
        <v>0.927988153</v>
      </c>
      <c r="Z14">
        <v>0.900894743</v>
      </c>
      <c r="AA14">
        <v>2.001626898</v>
      </c>
      <c r="AB14">
        <v>1.606442277</v>
      </c>
      <c r="AC14">
        <v>1.646784789</v>
      </c>
      <c r="AD14">
        <v>1.624837721</v>
      </c>
      <c r="AE14">
        <v>0.324737345</v>
      </c>
      <c r="AF14">
        <v>0.666044226</v>
      </c>
      <c r="AG14">
        <v>0.672582576</v>
      </c>
      <c r="AH14">
        <v>1.338570735</v>
      </c>
      <c r="AI14">
        <v>0.846599766</v>
      </c>
      <c r="AJ14">
        <v>1.493273862</v>
      </c>
      <c r="AK14">
        <v>2.269956128</v>
      </c>
      <c r="AL14">
        <v>0.957238469</v>
      </c>
      <c r="AM14">
        <v>1.035058475</v>
      </c>
      <c r="AN14">
        <v>1.10519216</v>
      </c>
      <c r="AO14">
        <v>0.787625102</v>
      </c>
      <c r="AP14">
        <v>1.497563617</v>
      </c>
      <c r="AQ14">
        <v>0.395460644</v>
      </c>
      <c r="AR14">
        <v>1.048990933</v>
      </c>
      <c r="AS14">
        <v>1.435390787</v>
      </c>
      <c r="AT14">
        <v>1.412801471</v>
      </c>
      <c r="AU14">
        <v>1.60482098</v>
      </c>
      <c r="AV14">
        <v>1.603235542</v>
      </c>
    </row>
    <row r="15" spans="1:48">
      <c r="A15" t="s">
        <v>56</v>
      </c>
      <c r="B15" s="10" t="str">
        <f t="shared" si="0"/>
        <v>G/C</v>
      </c>
      <c r="C15">
        <v>0.118254646</v>
      </c>
      <c r="D15">
        <v>0.209364748</v>
      </c>
      <c r="E15">
        <v>0</v>
      </c>
      <c r="F15">
        <v>0.20944414</v>
      </c>
      <c r="G15">
        <v>0.322916667</v>
      </c>
      <c r="H15">
        <v>0.595696744</v>
      </c>
      <c r="I15">
        <v>0.220833477</v>
      </c>
      <c r="J15">
        <v>0.127666331</v>
      </c>
      <c r="K15">
        <v>0.274072229</v>
      </c>
      <c r="L15">
        <v>0.583694132</v>
      </c>
      <c r="M15">
        <v>1.343380121</v>
      </c>
      <c r="N15">
        <v>0.636208785</v>
      </c>
      <c r="O15">
        <v>0.761794926</v>
      </c>
      <c r="P15">
        <v>1.233505905</v>
      </c>
      <c r="Q15">
        <v>0.9292184</v>
      </c>
      <c r="R15">
        <v>0.471533724</v>
      </c>
      <c r="S15">
        <v>0.574993402</v>
      </c>
      <c r="T15">
        <v>0.833522957</v>
      </c>
      <c r="U15">
        <v>0.48707785</v>
      </c>
      <c r="V15">
        <v>0.210275147</v>
      </c>
      <c r="W15">
        <v>0.325063939</v>
      </c>
      <c r="X15">
        <v>0.150499342</v>
      </c>
      <c r="Y15">
        <v>0.423995469</v>
      </c>
      <c r="Z15">
        <v>0.203275443</v>
      </c>
      <c r="AA15">
        <v>0.327810349</v>
      </c>
      <c r="AB15">
        <v>0.259058994</v>
      </c>
      <c r="AC15">
        <v>0.200428695</v>
      </c>
      <c r="AD15">
        <v>0.195743686</v>
      </c>
      <c r="AE15">
        <v>0.391435335</v>
      </c>
      <c r="AF15">
        <v>0.481322314</v>
      </c>
      <c r="AG15">
        <v>0.928215876</v>
      </c>
      <c r="AH15">
        <v>0.58489965</v>
      </c>
      <c r="AI15">
        <v>0.19781308</v>
      </c>
      <c r="AJ15">
        <v>0.278793445</v>
      </c>
      <c r="AK15">
        <v>0.327060102</v>
      </c>
      <c r="AL15">
        <v>0.506935357</v>
      </c>
      <c r="AM15">
        <v>0.701996446</v>
      </c>
      <c r="AN15">
        <v>0.060180338</v>
      </c>
      <c r="AO15">
        <v>0.240203064</v>
      </c>
      <c r="AP15">
        <v>0.189438577</v>
      </c>
      <c r="AQ15">
        <v>0.509753056</v>
      </c>
      <c r="AR15">
        <v>0.592859719</v>
      </c>
      <c r="AS15">
        <v>1.196419305</v>
      </c>
      <c r="AT15">
        <v>1.214353427</v>
      </c>
      <c r="AU15">
        <v>1.208372037</v>
      </c>
      <c r="AV15">
        <v>1.207925579</v>
      </c>
    </row>
    <row r="16" spans="1:48">
      <c r="A16" t="s">
        <v>57</v>
      </c>
      <c r="B16" s="10" t="str">
        <f t="shared" si="0"/>
        <v>A/T</v>
      </c>
      <c r="C16">
        <v>0.902151302</v>
      </c>
      <c r="D16">
        <v>1.767288749</v>
      </c>
      <c r="E16">
        <v>0</v>
      </c>
      <c r="F16">
        <v>0</v>
      </c>
      <c r="G16">
        <v>1.454022701</v>
      </c>
      <c r="H16">
        <v>1.820461711</v>
      </c>
      <c r="I16">
        <v>1.596556212</v>
      </c>
      <c r="J16">
        <v>0.917706235</v>
      </c>
      <c r="K16">
        <v>1.710924565</v>
      </c>
      <c r="L16">
        <v>1.746498524</v>
      </c>
      <c r="M16">
        <v>0.690488994</v>
      </c>
      <c r="N16">
        <v>1.881104168</v>
      </c>
      <c r="O16">
        <v>1.673165255</v>
      </c>
      <c r="P16">
        <v>0.68506088</v>
      </c>
      <c r="Q16">
        <v>0.575624146</v>
      </c>
      <c r="R16">
        <v>0.195545409</v>
      </c>
      <c r="S16">
        <v>1.197236015</v>
      </c>
      <c r="T16">
        <v>0.490890585</v>
      </c>
      <c r="U16">
        <v>0.665545028</v>
      </c>
      <c r="V16">
        <v>1.766555286</v>
      </c>
      <c r="W16">
        <v>0.608045014</v>
      </c>
      <c r="X16">
        <v>1.068524765</v>
      </c>
      <c r="Y16">
        <v>1.148847049</v>
      </c>
      <c r="Z16">
        <v>1.371007829</v>
      </c>
      <c r="AA16">
        <v>0.633586406</v>
      </c>
      <c r="AB16">
        <v>0.282827741</v>
      </c>
      <c r="AC16">
        <v>0.660158601</v>
      </c>
      <c r="AD16">
        <v>0.648178328</v>
      </c>
      <c r="AE16">
        <v>1.888388593</v>
      </c>
      <c r="AF16">
        <v>1.386191646</v>
      </c>
      <c r="AG16">
        <v>1.232762871</v>
      </c>
      <c r="AH16">
        <v>1.933329289</v>
      </c>
      <c r="AI16">
        <v>1.273041699</v>
      </c>
      <c r="AJ16">
        <v>0.80998363</v>
      </c>
      <c r="AK16">
        <v>0.805424192</v>
      </c>
      <c r="AL16">
        <v>1.254656952</v>
      </c>
      <c r="AM16">
        <v>1.153503879</v>
      </c>
      <c r="AN16">
        <v>1.247864152</v>
      </c>
      <c r="AO16">
        <v>1.60772959</v>
      </c>
      <c r="AP16">
        <v>0.523822415</v>
      </c>
      <c r="AQ16">
        <v>1.599284436</v>
      </c>
      <c r="AR16">
        <v>0.777639661</v>
      </c>
      <c r="AS16">
        <v>0.923463838</v>
      </c>
      <c r="AT16">
        <v>0.938243813</v>
      </c>
      <c r="AU16">
        <v>0.80201005</v>
      </c>
      <c r="AV16">
        <v>0.807866868</v>
      </c>
    </row>
    <row r="17" spans="1:48">
      <c r="A17" t="s">
        <v>58</v>
      </c>
      <c r="B17" s="10" t="str">
        <f t="shared" si="0"/>
        <v>A/T</v>
      </c>
      <c r="C17">
        <v>0.20843033</v>
      </c>
      <c r="D17">
        <v>0.320878869</v>
      </c>
      <c r="E17">
        <v>0</v>
      </c>
      <c r="F17">
        <v>0</v>
      </c>
      <c r="G17">
        <v>0.404217466</v>
      </c>
      <c r="H17">
        <v>2.054509009</v>
      </c>
      <c r="I17">
        <v>0.279445428</v>
      </c>
      <c r="J17">
        <v>0.217282259</v>
      </c>
      <c r="K17">
        <v>0.316687474</v>
      </c>
      <c r="L17">
        <v>1.864243943</v>
      </c>
      <c r="M17">
        <v>0.580319322</v>
      </c>
      <c r="N17">
        <v>1.646768508</v>
      </c>
      <c r="O17">
        <v>0.865763682</v>
      </c>
      <c r="P17">
        <v>0.669920925</v>
      </c>
      <c r="Q17">
        <v>0.41068371</v>
      </c>
      <c r="R17">
        <v>0.141789189</v>
      </c>
      <c r="S17">
        <v>0.347792529</v>
      </c>
      <c r="T17">
        <v>0.555673434</v>
      </c>
      <c r="U17">
        <v>0.495422055</v>
      </c>
      <c r="V17">
        <v>0.321371306</v>
      </c>
      <c r="W17">
        <v>0.116339752</v>
      </c>
      <c r="X17">
        <v>0.104173083</v>
      </c>
      <c r="Y17">
        <v>0.734746331</v>
      </c>
      <c r="Z17">
        <v>0.201312963</v>
      </c>
      <c r="AA17">
        <v>0.119362445</v>
      </c>
      <c r="AB17">
        <v>0.09398756</v>
      </c>
      <c r="AC17">
        <v>0.16465519</v>
      </c>
      <c r="AD17">
        <v>0.158136483</v>
      </c>
      <c r="AE17">
        <v>1.652555478</v>
      </c>
      <c r="AF17">
        <v>0.573684304</v>
      </c>
      <c r="AG17">
        <v>1.321763879</v>
      </c>
      <c r="AH17">
        <v>0.890660952</v>
      </c>
      <c r="AI17">
        <v>0.207768707</v>
      </c>
      <c r="AJ17">
        <v>0.244025531</v>
      </c>
      <c r="AK17">
        <v>0.345808796</v>
      </c>
      <c r="AL17">
        <v>0.4436248</v>
      </c>
      <c r="AM17">
        <v>0.50228429</v>
      </c>
      <c r="AN17">
        <v>0.16558527</v>
      </c>
      <c r="AO17">
        <v>0.184399031</v>
      </c>
      <c r="AP17">
        <v>0.163060341</v>
      </c>
      <c r="AQ17">
        <v>1.561097422</v>
      </c>
      <c r="AR17">
        <v>0.487837632</v>
      </c>
      <c r="AS17">
        <v>0.466312194</v>
      </c>
      <c r="AT17">
        <v>0.486349914</v>
      </c>
      <c r="AU17">
        <v>0.39227241</v>
      </c>
      <c r="AV17">
        <v>0.39377709</v>
      </c>
    </row>
    <row r="18" spans="1:48">
      <c r="A18" t="s">
        <v>59</v>
      </c>
      <c r="B18" s="10" t="str">
        <f t="shared" si="0"/>
        <v>G/C</v>
      </c>
      <c r="C18">
        <v>1.264848311</v>
      </c>
      <c r="D18">
        <v>0.736682497</v>
      </c>
      <c r="E18">
        <v>0</v>
      </c>
      <c r="F18">
        <v>0</v>
      </c>
      <c r="G18">
        <v>0.774789388</v>
      </c>
      <c r="H18">
        <v>0.109986105</v>
      </c>
      <c r="I18">
        <v>0.607653436</v>
      </c>
      <c r="J18">
        <v>1.255759326</v>
      </c>
      <c r="K18">
        <v>0.479747538</v>
      </c>
      <c r="L18">
        <v>0.136904762</v>
      </c>
      <c r="M18">
        <v>1.371823069</v>
      </c>
      <c r="N18">
        <v>0.111780259</v>
      </c>
      <c r="O18">
        <v>0.252174871</v>
      </c>
      <c r="P18">
        <v>1.180642606</v>
      </c>
      <c r="Q18">
        <v>1.515028735</v>
      </c>
      <c r="R18">
        <v>2.328774362</v>
      </c>
      <c r="S18">
        <v>1.400390132</v>
      </c>
      <c r="T18">
        <v>1.462361962</v>
      </c>
      <c r="U18">
        <v>0.939207765</v>
      </c>
      <c r="V18">
        <v>0.73619913</v>
      </c>
      <c r="W18">
        <v>1.880780997</v>
      </c>
      <c r="X18">
        <v>1.357714814</v>
      </c>
      <c r="Y18">
        <v>1.123100276</v>
      </c>
      <c r="Z18">
        <v>0.945261399</v>
      </c>
      <c r="AA18">
        <v>1.84693908</v>
      </c>
      <c r="AB18">
        <v>2.097011057</v>
      </c>
      <c r="AC18">
        <v>2.007801878</v>
      </c>
      <c r="AD18">
        <v>2.022112861</v>
      </c>
      <c r="AE18">
        <v>0.281003423</v>
      </c>
      <c r="AF18">
        <v>0.532622837</v>
      </c>
      <c r="AG18">
        <v>0.373652882</v>
      </c>
      <c r="AH18">
        <v>0.690006767</v>
      </c>
      <c r="AI18">
        <v>0.806152454</v>
      </c>
      <c r="AJ18">
        <v>1.384722428</v>
      </c>
      <c r="AK18">
        <v>1.112440191</v>
      </c>
      <c r="AL18">
        <v>1.258696417</v>
      </c>
      <c r="AM18">
        <v>1.163555186</v>
      </c>
      <c r="AN18">
        <v>0.759206488</v>
      </c>
      <c r="AO18">
        <v>0.73854419</v>
      </c>
      <c r="AP18">
        <v>1.449416184</v>
      </c>
      <c r="AQ18">
        <v>0.192346492</v>
      </c>
      <c r="AR18">
        <v>0.882099802</v>
      </c>
      <c r="AS18">
        <v>1.464488085</v>
      </c>
      <c r="AT18">
        <v>1.421461797</v>
      </c>
      <c r="AU18">
        <v>1.663940388</v>
      </c>
      <c r="AV18">
        <v>1.66512456</v>
      </c>
    </row>
    <row r="19" spans="1:48">
      <c r="A19" t="s">
        <v>60</v>
      </c>
      <c r="B19" s="10" t="str">
        <f t="shared" si="0"/>
        <v>A/T</v>
      </c>
      <c r="C19">
        <v>1.526721358</v>
      </c>
      <c r="D19">
        <v>1.942438634</v>
      </c>
      <c r="E19">
        <v>0</v>
      </c>
      <c r="F19">
        <v>0</v>
      </c>
      <c r="G19">
        <v>1.820993145</v>
      </c>
      <c r="H19">
        <v>0.835504886</v>
      </c>
      <c r="I19">
        <v>2.112901136</v>
      </c>
      <c r="J19">
        <v>1.526958415</v>
      </c>
      <c r="K19">
        <v>2.203564988</v>
      </c>
      <c r="L19">
        <v>0.998851295</v>
      </c>
      <c r="M19">
        <v>1.047857608</v>
      </c>
      <c r="N19">
        <v>1.241451234</v>
      </c>
      <c r="O19">
        <v>1.882061447</v>
      </c>
      <c r="P19">
        <v>1.149436469</v>
      </c>
      <c r="Q19">
        <v>1.074287555</v>
      </c>
      <c r="R19">
        <v>0.529436449</v>
      </c>
      <c r="S19">
        <v>1.25181734</v>
      </c>
      <c r="T19">
        <v>0.981964604</v>
      </c>
      <c r="U19">
        <v>1.56537018</v>
      </c>
      <c r="V19">
        <v>1.942429564</v>
      </c>
      <c r="W19">
        <v>1.002879251</v>
      </c>
      <c r="X19">
        <v>1.538112103</v>
      </c>
      <c r="Y19">
        <v>1.142153393</v>
      </c>
      <c r="Z19">
        <v>1.853425639</v>
      </c>
      <c r="AA19">
        <v>1.033698475</v>
      </c>
      <c r="AB19">
        <v>0.809001382</v>
      </c>
      <c r="AC19">
        <v>0.827542931</v>
      </c>
      <c r="AD19">
        <v>0.819750656</v>
      </c>
      <c r="AE19">
        <v>1.066441099</v>
      </c>
      <c r="AF19">
        <v>1.893692859</v>
      </c>
      <c r="AG19">
        <v>1.304583239</v>
      </c>
      <c r="AH19">
        <v>1.419332281</v>
      </c>
      <c r="AI19">
        <v>1.986078839</v>
      </c>
      <c r="AJ19">
        <v>1.371252041</v>
      </c>
      <c r="AK19">
        <v>1.541751012</v>
      </c>
      <c r="AL19">
        <v>1.297678783</v>
      </c>
      <c r="AM19">
        <v>1.334160523</v>
      </c>
      <c r="AN19">
        <v>2.075208242</v>
      </c>
      <c r="AO19">
        <v>2.077056779</v>
      </c>
      <c r="AP19">
        <v>1.387523475</v>
      </c>
      <c r="AQ19">
        <v>1.246556087</v>
      </c>
      <c r="AR19">
        <v>1.630062567</v>
      </c>
      <c r="AS19">
        <v>1.069199721</v>
      </c>
      <c r="AT19">
        <v>1.09218829</v>
      </c>
      <c r="AU19">
        <v>0.943787202</v>
      </c>
      <c r="AV19">
        <v>0.941098349</v>
      </c>
    </row>
    <row r="20" spans="1:48">
      <c r="A20" t="s">
        <v>61</v>
      </c>
      <c r="B20" s="10" t="str">
        <f t="shared" si="0"/>
        <v>A/T</v>
      </c>
      <c r="C20">
        <v>0.693746318</v>
      </c>
      <c r="D20">
        <v>1.667788155</v>
      </c>
      <c r="E20">
        <v>0.244687057</v>
      </c>
      <c r="F20">
        <v>1.511270737</v>
      </c>
      <c r="G20">
        <v>0.92921603</v>
      </c>
      <c r="H20">
        <v>1.737026879</v>
      </c>
      <c r="I20">
        <v>1.596565708</v>
      </c>
      <c r="J20">
        <v>0.681855514</v>
      </c>
      <c r="K20">
        <v>1.632738818</v>
      </c>
      <c r="L20">
        <v>1.71632176</v>
      </c>
      <c r="M20">
        <v>0.34444796</v>
      </c>
      <c r="N20">
        <v>1.787615631</v>
      </c>
      <c r="O20">
        <v>1.591421077</v>
      </c>
      <c r="P20">
        <v>0.322805342</v>
      </c>
      <c r="Q20">
        <v>0.572942817</v>
      </c>
      <c r="R20">
        <v>0.198947657</v>
      </c>
      <c r="S20">
        <v>0.3029693</v>
      </c>
      <c r="T20">
        <v>0.518309031</v>
      </c>
      <c r="U20">
        <v>1.112649727</v>
      </c>
      <c r="V20">
        <v>1.666918341</v>
      </c>
      <c r="W20">
        <v>0.706394045</v>
      </c>
      <c r="X20">
        <v>0.871179987</v>
      </c>
      <c r="Y20">
        <v>0.929998486</v>
      </c>
      <c r="Z20">
        <v>1.629501005</v>
      </c>
      <c r="AA20">
        <v>0.736911979</v>
      </c>
      <c r="AB20">
        <v>0.3281471</v>
      </c>
      <c r="AC20">
        <v>0.340989783</v>
      </c>
      <c r="AD20">
        <v>0.334868371</v>
      </c>
      <c r="AE20">
        <v>1.720160307</v>
      </c>
      <c r="AF20">
        <v>1.476740025</v>
      </c>
      <c r="AG20">
        <v>1.104157354</v>
      </c>
      <c r="AH20">
        <v>1.813290154</v>
      </c>
      <c r="AI20">
        <v>1.629311403</v>
      </c>
      <c r="AJ20">
        <v>0.379497113</v>
      </c>
      <c r="AK20">
        <v>0.520052737</v>
      </c>
      <c r="AL20">
        <v>0.276400921</v>
      </c>
      <c r="AM20">
        <v>0.339483722</v>
      </c>
      <c r="AN20">
        <v>1.689999117</v>
      </c>
      <c r="AO20">
        <v>1.350909795</v>
      </c>
      <c r="AP20">
        <v>0.28652906</v>
      </c>
      <c r="AQ20">
        <v>1.737289422</v>
      </c>
      <c r="AR20">
        <v>0.156603896</v>
      </c>
      <c r="AS20">
        <v>0.459319986</v>
      </c>
      <c r="AT20">
        <v>0.472883672</v>
      </c>
      <c r="AU20">
        <v>0.389131059</v>
      </c>
      <c r="AV20">
        <v>0.3857489</v>
      </c>
    </row>
    <row r="21" spans="1:48">
      <c r="A21" t="s">
        <v>62</v>
      </c>
      <c r="B21" s="10" t="str">
        <f t="shared" si="0"/>
        <v>G/C</v>
      </c>
      <c r="C21">
        <v>0.861328836</v>
      </c>
      <c r="D21">
        <v>0.44274595</v>
      </c>
      <c r="E21">
        <v>0</v>
      </c>
      <c r="F21">
        <v>0.670982269</v>
      </c>
      <c r="G21">
        <v>0.244264219</v>
      </c>
      <c r="H21">
        <v>0.325656133</v>
      </c>
      <c r="I21">
        <v>0.403145695</v>
      </c>
      <c r="J21">
        <v>0.852845768</v>
      </c>
      <c r="K21">
        <v>0.569136815</v>
      </c>
      <c r="L21">
        <v>0.373682858</v>
      </c>
      <c r="M21">
        <v>0.597218147</v>
      </c>
      <c r="N21">
        <v>0.282203726</v>
      </c>
      <c r="O21">
        <v>0.258982734</v>
      </c>
      <c r="P21">
        <v>0.547717842</v>
      </c>
      <c r="Q21">
        <v>0.803514035</v>
      </c>
      <c r="R21">
        <v>1.643325538</v>
      </c>
      <c r="S21">
        <v>0.558056661</v>
      </c>
      <c r="T21">
        <v>0.988735039</v>
      </c>
      <c r="U21">
        <v>1.105806142</v>
      </c>
      <c r="V21">
        <v>0.442748092</v>
      </c>
      <c r="W21">
        <v>1.377015925</v>
      </c>
      <c r="X21">
        <v>0.742106409</v>
      </c>
      <c r="Y21">
        <v>0.700519536</v>
      </c>
      <c r="Z21">
        <v>0.947926153</v>
      </c>
      <c r="AA21">
        <v>1.356387709</v>
      </c>
      <c r="AB21">
        <v>1.245158315</v>
      </c>
      <c r="AC21">
        <v>0.899200374</v>
      </c>
      <c r="AD21">
        <v>0.91174478</v>
      </c>
      <c r="AE21">
        <v>0.428571429</v>
      </c>
      <c r="AF21">
        <v>0.367256259</v>
      </c>
      <c r="AG21">
        <v>0.491135421</v>
      </c>
      <c r="AH21">
        <v>0.420487106</v>
      </c>
      <c r="AI21">
        <v>0.75069462</v>
      </c>
      <c r="AJ21">
        <v>0.615125342</v>
      </c>
      <c r="AK21">
        <v>0.632254028</v>
      </c>
      <c r="AL21">
        <v>0.478345524</v>
      </c>
      <c r="AM21">
        <v>0.518045272</v>
      </c>
      <c r="AN21">
        <v>0.565836549</v>
      </c>
      <c r="AO21">
        <v>0.881820329</v>
      </c>
      <c r="AP21">
        <v>1.145266304</v>
      </c>
      <c r="AQ21">
        <v>0.321759579</v>
      </c>
      <c r="AR21">
        <v>0.518317266</v>
      </c>
      <c r="AS21">
        <v>1.184267316</v>
      </c>
      <c r="AT21">
        <v>1.164066852</v>
      </c>
      <c r="AU21">
        <v>1.309084224</v>
      </c>
      <c r="AV21">
        <v>1.314156171</v>
      </c>
    </row>
    <row r="22" spans="1:48">
      <c r="A22" t="s">
        <v>63</v>
      </c>
      <c r="B22" s="10" t="str">
        <f t="shared" si="0"/>
        <v>G/C</v>
      </c>
      <c r="C22">
        <v>1.306253682</v>
      </c>
      <c r="D22">
        <v>0.332211845</v>
      </c>
      <c r="E22">
        <v>1.755312943</v>
      </c>
      <c r="F22">
        <v>0.488729263</v>
      </c>
      <c r="G22">
        <v>1.07078397</v>
      </c>
      <c r="H22">
        <v>0.262973121</v>
      </c>
      <c r="I22">
        <v>0.403434292</v>
      </c>
      <c r="J22">
        <v>1.318144486</v>
      </c>
      <c r="K22">
        <v>0.367261182</v>
      </c>
      <c r="L22">
        <v>0.28367824</v>
      </c>
      <c r="M22">
        <v>1.65555204</v>
      </c>
      <c r="N22">
        <v>0.212384369</v>
      </c>
      <c r="O22">
        <v>0.408578923</v>
      </c>
      <c r="P22">
        <v>1.677194658</v>
      </c>
      <c r="Q22">
        <v>1.427057183</v>
      </c>
      <c r="R22">
        <v>1.801052343</v>
      </c>
      <c r="S22">
        <v>1.6970307</v>
      </c>
      <c r="T22">
        <v>1.481690969</v>
      </c>
      <c r="U22">
        <v>0.887350273</v>
      </c>
      <c r="V22">
        <v>0.333081659</v>
      </c>
      <c r="W22">
        <v>1.293605955</v>
      </c>
      <c r="X22">
        <v>1.128820013</v>
      </c>
      <c r="Y22">
        <v>1.070001514</v>
      </c>
      <c r="Z22">
        <v>0.370498995</v>
      </c>
      <c r="AA22">
        <v>1.263088021</v>
      </c>
      <c r="AB22">
        <v>1.6718529</v>
      </c>
      <c r="AC22">
        <v>1.659010217</v>
      </c>
      <c r="AD22">
        <v>1.665131629</v>
      </c>
      <c r="AE22">
        <v>0.279839693</v>
      </c>
      <c r="AF22">
        <v>0.523259975</v>
      </c>
      <c r="AG22">
        <v>0.895842646</v>
      </c>
      <c r="AH22">
        <v>0.186709846</v>
      </c>
      <c r="AI22">
        <v>0.370688597</v>
      </c>
      <c r="AJ22">
        <v>1.620502887</v>
      </c>
      <c r="AK22">
        <v>1.479947263</v>
      </c>
      <c r="AL22">
        <v>1.723599079</v>
      </c>
      <c r="AM22">
        <v>1.660516278</v>
      </c>
      <c r="AN22">
        <v>0.310000883</v>
      </c>
      <c r="AO22">
        <v>0.649090205</v>
      </c>
      <c r="AP22">
        <v>1.71347094</v>
      </c>
      <c r="AQ22">
        <v>0.262710578</v>
      </c>
      <c r="AR22">
        <v>1.843396104</v>
      </c>
      <c r="AS22">
        <v>1.540680014</v>
      </c>
      <c r="AT22">
        <v>1.527116328</v>
      </c>
      <c r="AU22">
        <v>1.610868941</v>
      </c>
      <c r="AV22">
        <v>1.6142511</v>
      </c>
    </row>
    <row r="23" spans="1:48">
      <c r="A23" t="s">
        <v>64</v>
      </c>
      <c r="B23" s="10" t="str">
        <f t="shared" si="0"/>
        <v>A/T</v>
      </c>
      <c r="C23">
        <v>1.138671164</v>
      </c>
      <c r="D23">
        <v>1.55725405</v>
      </c>
      <c r="E23">
        <v>0</v>
      </c>
      <c r="F23">
        <v>1.329017731</v>
      </c>
      <c r="G23">
        <v>1.755735781</v>
      </c>
      <c r="H23">
        <v>1.674343867</v>
      </c>
      <c r="I23">
        <v>1.596854305</v>
      </c>
      <c r="J23">
        <v>1.147154232</v>
      </c>
      <c r="K23">
        <v>1.430863185</v>
      </c>
      <c r="L23">
        <v>1.626317142</v>
      </c>
      <c r="M23">
        <v>1.402781853</v>
      </c>
      <c r="N23">
        <v>1.717796274</v>
      </c>
      <c r="O23">
        <v>1.741017266</v>
      </c>
      <c r="P23">
        <v>1.452282158</v>
      </c>
      <c r="Q23">
        <v>1.196485965</v>
      </c>
      <c r="R23">
        <v>0.356674462</v>
      </c>
      <c r="S23">
        <v>1.441943339</v>
      </c>
      <c r="T23">
        <v>1.011264961</v>
      </c>
      <c r="U23">
        <v>0.894193858</v>
      </c>
      <c r="V23">
        <v>1.557251908</v>
      </c>
      <c r="W23">
        <v>0.622984075</v>
      </c>
      <c r="X23">
        <v>1.257893591</v>
      </c>
      <c r="Y23">
        <v>1.299480464</v>
      </c>
      <c r="Z23">
        <v>1.052073847</v>
      </c>
      <c r="AA23">
        <v>0.643612291</v>
      </c>
      <c r="AB23">
        <v>0.754841685</v>
      </c>
      <c r="AC23">
        <v>1.100799626</v>
      </c>
      <c r="AD23">
        <v>1.08825522</v>
      </c>
      <c r="AE23">
        <v>1.571428571</v>
      </c>
      <c r="AF23">
        <v>1.632743741</v>
      </c>
      <c r="AG23">
        <v>1.508864579</v>
      </c>
      <c r="AH23">
        <v>1.579512894</v>
      </c>
      <c r="AI23">
        <v>1.24930538</v>
      </c>
      <c r="AJ23">
        <v>1.384874658</v>
      </c>
      <c r="AK23">
        <v>1.367745972</v>
      </c>
      <c r="AL23">
        <v>1.521654476</v>
      </c>
      <c r="AM23">
        <v>1.481954728</v>
      </c>
      <c r="AN23">
        <v>1.434163451</v>
      </c>
      <c r="AO23">
        <v>1.118179671</v>
      </c>
      <c r="AP23">
        <v>0.854733696</v>
      </c>
      <c r="AQ23">
        <v>1.678240421</v>
      </c>
      <c r="AR23">
        <v>1.481682734</v>
      </c>
      <c r="AS23">
        <v>0.815732684</v>
      </c>
      <c r="AT23">
        <v>0.835933148</v>
      </c>
      <c r="AU23">
        <v>0.690915776</v>
      </c>
      <c r="AV23">
        <v>0.685843829</v>
      </c>
    </row>
    <row r="24" spans="1:48">
      <c r="A24" t="s">
        <v>65</v>
      </c>
      <c r="B24" s="10" t="str">
        <f t="shared" si="0"/>
        <v>A/T</v>
      </c>
      <c r="C24">
        <v>0.761328488</v>
      </c>
      <c r="D24">
        <v>1.957996213</v>
      </c>
      <c r="E24">
        <v>0.325748503</v>
      </c>
      <c r="F24">
        <v>1.976747136</v>
      </c>
      <c r="G24">
        <v>1.7866128</v>
      </c>
      <c r="H24">
        <v>2.173238236</v>
      </c>
      <c r="I24">
        <v>1.991362876</v>
      </c>
      <c r="J24">
        <v>0.757257464</v>
      </c>
      <c r="K24">
        <v>2.075234484</v>
      </c>
      <c r="L24">
        <v>2.119310793</v>
      </c>
      <c r="M24">
        <v>0.839093572</v>
      </c>
      <c r="N24">
        <v>2.339284358</v>
      </c>
      <c r="O24">
        <v>1.860669227</v>
      </c>
      <c r="P24">
        <v>0.263812207</v>
      </c>
      <c r="Q24">
        <v>0.378460122</v>
      </c>
      <c r="R24">
        <v>0.109624485</v>
      </c>
      <c r="S24">
        <v>0.991783658</v>
      </c>
      <c r="T24">
        <v>0.52811284</v>
      </c>
      <c r="U24">
        <v>0.78775936</v>
      </c>
      <c r="V24">
        <v>1.954206373</v>
      </c>
      <c r="W24">
        <v>1.278852285</v>
      </c>
      <c r="X24">
        <v>1.764237003</v>
      </c>
      <c r="Y24">
        <v>0.426901389</v>
      </c>
      <c r="Z24">
        <v>2.147810581</v>
      </c>
      <c r="AA24">
        <v>1.319424688</v>
      </c>
      <c r="AB24">
        <v>0.179281858</v>
      </c>
      <c r="AC24">
        <v>0.257699213</v>
      </c>
      <c r="AD24">
        <v>0.252256186</v>
      </c>
      <c r="AE24">
        <v>2.138760407</v>
      </c>
      <c r="AF24">
        <v>0.708218063</v>
      </c>
      <c r="AG24">
        <v>2.034333733</v>
      </c>
      <c r="AH24">
        <v>1.151611505</v>
      </c>
      <c r="AI24">
        <v>2.183973876</v>
      </c>
      <c r="AJ24">
        <v>0.526338391</v>
      </c>
      <c r="AK24">
        <v>0.280175628</v>
      </c>
      <c r="AL24">
        <v>1.145858869</v>
      </c>
      <c r="AM24">
        <v>0.915073762</v>
      </c>
      <c r="AN24">
        <v>1.260243979</v>
      </c>
      <c r="AO24">
        <v>1.951459293</v>
      </c>
      <c r="AP24">
        <v>0.398016386</v>
      </c>
      <c r="AQ24">
        <v>1.835365452</v>
      </c>
      <c r="AR24">
        <v>0.821704577</v>
      </c>
      <c r="AS24">
        <v>1.045865178</v>
      </c>
      <c r="AT24">
        <v>1.07014966</v>
      </c>
      <c r="AU24">
        <v>0.93597447</v>
      </c>
      <c r="AV24">
        <v>0.93617498</v>
      </c>
    </row>
    <row r="25" spans="1:48">
      <c r="A25" t="s">
        <v>66</v>
      </c>
      <c r="B25" s="10" t="str">
        <f t="shared" si="0"/>
        <v>G/C</v>
      </c>
      <c r="C25">
        <v>0.492723739</v>
      </c>
      <c r="D25">
        <v>0.24134963</v>
      </c>
      <c r="E25">
        <v>1.405413174</v>
      </c>
      <c r="F25">
        <v>0.355134655</v>
      </c>
      <c r="G25">
        <v>0.300431549</v>
      </c>
      <c r="H25">
        <v>0.055084556</v>
      </c>
      <c r="I25">
        <v>0.253666887</v>
      </c>
      <c r="J25">
        <v>0.489157224</v>
      </c>
      <c r="K25">
        <v>0.230293355</v>
      </c>
      <c r="L25">
        <v>0.08810143</v>
      </c>
      <c r="M25">
        <v>0.588376754</v>
      </c>
      <c r="N25">
        <v>0.070804528</v>
      </c>
      <c r="O25">
        <v>0.165660998</v>
      </c>
      <c r="P25">
        <v>1.190760563</v>
      </c>
      <c r="Q25">
        <v>0.87513972</v>
      </c>
      <c r="R25">
        <v>2.643924693</v>
      </c>
      <c r="S25">
        <v>0.167561623</v>
      </c>
      <c r="T25">
        <v>1.314299611</v>
      </c>
      <c r="U25">
        <v>0.255708821</v>
      </c>
      <c r="V25">
        <v>0.242335389</v>
      </c>
      <c r="W25">
        <v>0.564293305</v>
      </c>
      <c r="X25">
        <v>0.417323532</v>
      </c>
      <c r="Y25">
        <v>0.903658369</v>
      </c>
      <c r="Z25">
        <v>0.18922132</v>
      </c>
      <c r="AA25">
        <v>0.552341815</v>
      </c>
      <c r="AB25">
        <v>1.830501105</v>
      </c>
      <c r="AC25">
        <v>1.067117801</v>
      </c>
      <c r="AD25">
        <v>1.079475983</v>
      </c>
      <c r="AE25">
        <v>0.078445883</v>
      </c>
      <c r="AF25">
        <v>0.526823976</v>
      </c>
      <c r="AG25">
        <v>0.13997599</v>
      </c>
      <c r="AH25">
        <v>0.29657465</v>
      </c>
      <c r="AI25">
        <v>0.181060035</v>
      </c>
      <c r="AJ25">
        <v>1.228743201</v>
      </c>
      <c r="AK25">
        <v>0.6678817</v>
      </c>
      <c r="AL25">
        <v>0.188641802</v>
      </c>
      <c r="AM25">
        <v>0.428735605</v>
      </c>
      <c r="AN25">
        <v>0.282139506</v>
      </c>
      <c r="AO25">
        <v>0.356169995</v>
      </c>
      <c r="AP25">
        <v>0.314575248</v>
      </c>
      <c r="AQ25">
        <v>0.13866737</v>
      </c>
      <c r="AR25">
        <v>0.424225815</v>
      </c>
      <c r="AS25">
        <v>1.283761248</v>
      </c>
      <c r="AT25">
        <v>1.254204082</v>
      </c>
      <c r="AU25">
        <v>1.42694228</v>
      </c>
      <c r="AV25">
        <v>1.429934373</v>
      </c>
    </row>
    <row r="26" spans="1:48">
      <c r="A26" t="s">
        <v>67</v>
      </c>
      <c r="B26" s="10" t="str">
        <f t="shared" si="0"/>
        <v>G/C</v>
      </c>
      <c r="C26">
        <v>2.11740049</v>
      </c>
      <c r="D26">
        <v>0.543294887</v>
      </c>
      <c r="E26">
        <v>1.838083832</v>
      </c>
      <c r="F26">
        <v>0.627404558</v>
      </c>
      <c r="G26">
        <v>0.220549077</v>
      </c>
      <c r="H26">
        <v>0.177095949</v>
      </c>
      <c r="I26">
        <v>0.560245886</v>
      </c>
      <c r="J26">
        <v>2.112182615</v>
      </c>
      <c r="K26">
        <v>0.337457593</v>
      </c>
      <c r="L26">
        <v>0.053803641</v>
      </c>
      <c r="M26">
        <v>1.746138431</v>
      </c>
      <c r="N26">
        <v>0.162880802</v>
      </c>
      <c r="O26">
        <v>0.152495886</v>
      </c>
      <c r="P26">
        <v>1.619330203</v>
      </c>
      <c r="Q26">
        <v>2.112564929</v>
      </c>
      <c r="R26">
        <v>1.070438838</v>
      </c>
      <c r="S26">
        <v>2.277544155</v>
      </c>
      <c r="T26">
        <v>1.311964981</v>
      </c>
      <c r="U26">
        <v>1.480931958</v>
      </c>
      <c r="V26">
        <v>0.543659178</v>
      </c>
      <c r="W26">
        <v>1.454410202</v>
      </c>
      <c r="X26">
        <v>1.076432557</v>
      </c>
      <c r="Y26">
        <v>1.488791088</v>
      </c>
      <c r="Z26">
        <v>0.347136913</v>
      </c>
      <c r="AA26">
        <v>1.424793214</v>
      </c>
      <c r="AB26">
        <v>1.555418675</v>
      </c>
      <c r="AC26">
        <v>2.078994614</v>
      </c>
      <c r="AD26">
        <v>2.074818049</v>
      </c>
      <c r="AE26">
        <v>0.05106383</v>
      </c>
      <c r="AF26">
        <v>1.297965826</v>
      </c>
      <c r="AG26">
        <v>0.540936375</v>
      </c>
      <c r="AH26">
        <v>0.194536783</v>
      </c>
      <c r="AI26">
        <v>0.451745793</v>
      </c>
      <c r="AJ26">
        <v>0.684511881</v>
      </c>
      <c r="AK26">
        <v>1.906552895</v>
      </c>
      <c r="AL26">
        <v>1.948053464</v>
      </c>
      <c r="AM26">
        <v>1.636888149</v>
      </c>
      <c r="AN26">
        <v>1.685799187</v>
      </c>
      <c r="AO26">
        <v>0.777880184</v>
      </c>
      <c r="AP26">
        <v>2.91504959</v>
      </c>
      <c r="AQ26">
        <v>0.2628353</v>
      </c>
      <c r="AR26">
        <v>1.905398739</v>
      </c>
      <c r="AS26">
        <v>0.523735207</v>
      </c>
      <c r="AT26">
        <v>0.518603175</v>
      </c>
      <c r="AU26">
        <v>0.60059991</v>
      </c>
      <c r="AV26">
        <v>0.606865134</v>
      </c>
    </row>
    <row r="27" spans="1:48">
      <c r="A27" t="s">
        <v>68</v>
      </c>
      <c r="B27" s="10" t="str">
        <f t="shared" si="0"/>
        <v>A/T</v>
      </c>
      <c r="C27">
        <v>0.628547283</v>
      </c>
      <c r="D27">
        <v>1.25735927</v>
      </c>
      <c r="E27">
        <v>0.430754491</v>
      </c>
      <c r="F27">
        <v>1.040713652</v>
      </c>
      <c r="G27">
        <v>1.692406574</v>
      </c>
      <c r="H27">
        <v>1.594581259</v>
      </c>
      <c r="I27">
        <v>1.194724351</v>
      </c>
      <c r="J27">
        <v>0.641402696</v>
      </c>
      <c r="K27">
        <v>1.357014568</v>
      </c>
      <c r="L27">
        <v>1.738784135</v>
      </c>
      <c r="M27">
        <v>0.826391244</v>
      </c>
      <c r="N27">
        <v>1.427030312</v>
      </c>
      <c r="O27">
        <v>1.821173889</v>
      </c>
      <c r="P27">
        <v>0.926097027</v>
      </c>
      <c r="Q27">
        <v>0.633835229</v>
      </c>
      <c r="R27">
        <v>0.176011984</v>
      </c>
      <c r="S27">
        <v>0.563110565</v>
      </c>
      <c r="T27">
        <v>0.845622568</v>
      </c>
      <c r="U27">
        <v>1.475599861</v>
      </c>
      <c r="V27">
        <v>1.25979906</v>
      </c>
      <c r="W27">
        <v>0.702444208</v>
      </c>
      <c r="X27">
        <v>0.742006908</v>
      </c>
      <c r="Y27">
        <v>1.180649154</v>
      </c>
      <c r="Z27">
        <v>1.315831187</v>
      </c>
      <c r="AA27">
        <v>0.703440282</v>
      </c>
      <c r="AB27">
        <v>0.434798362</v>
      </c>
      <c r="AC27">
        <v>0.596188372</v>
      </c>
      <c r="AD27">
        <v>0.593449782</v>
      </c>
      <c r="AE27">
        <v>1.73172988</v>
      </c>
      <c r="AF27">
        <v>1.466992135</v>
      </c>
      <c r="AG27">
        <v>1.284753902</v>
      </c>
      <c r="AH27">
        <v>2.357277063</v>
      </c>
      <c r="AI27">
        <v>1.183220296</v>
      </c>
      <c r="AJ27">
        <v>1.560406527</v>
      </c>
      <c r="AK27">
        <v>1.145389777</v>
      </c>
      <c r="AL27">
        <v>0.717445865</v>
      </c>
      <c r="AM27">
        <v>1.019302484</v>
      </c>
      <c r="AN27">
        <v>0.771817329</v>
      </c>
      <c r="AO27">
        <v>0.914490527</v>
      </c>
      <c r="AP27">
        <v>0.372358775</v>
      </c>
      <c r="AQ27">
        <v>1.763131879</v>
      </c>
      <c r="AR27">
        <v>0.848670869</v>
      </c>
      <c r="AS27">
        <v>1.146638367</v>
      </c>
      <c r="AT27">
        <v>1.157043084</v>
      </c>
      <c r="AU27">
        <v>1.03648334</v>
      </c>
      <c r="AV27">
        <v>1.027025513</v>
      </c>
    </row>
    <row r="28" spans="1:48">
      <c r="A28" t="s">
        <v>69</v>
      </c>
      <c r="B28" s="10" t="str">
        <f t="shared" si="0"/>
        <v>A/T</v>
      </c>
      <c r="C28">
        <v>0.380057745</v>
      </c>
      <c r="D28">
        <v>0.754026245</v>
      </c>
      <c r="E28">
        <v>0</v>
      </c>
      <c r="F28">
        <v>1.160972559</v>
      </c>
      <c r="G28">
        <v>0.360593972</v>
      </c>
      <c r="H28">
        <v>0.125267545</v>
      </c>
      <c r="I28">
        <v>1.094430826</v>
      </c>
      <c r="J28">
        <v>0.38450749</v>
      </c>
      <c r="K28">
        <v>0.743013699</v>
      </c>
      <c r="L28">
        <v>0.037367615</v>
      </c>
      <c r="M28">
        <v>0.333568003</v>
      </c>
      <c r="N28">
        <v>0.116802531</v>
      </c>
      <c r="O28">
        <v>0.250996016</v>
      </c>
      <c r="P28">
        <v>0.204782873</v>
      </c>
      <c r="Q28">
        <v>0.280734785</v>
      </c>
      <c r="R28">
        <v>0.097566471</v>
      </c>
      <c r="S28">
        <v>0.426422247</v>
      </c>
      <c r="T28">
        <v>0.541373392</v>
      </c>
      <c r="U28">
        <v>0.549865229</v>
      </c>
      <c r="V28">
        <v>0.758109015</v>
      </c>
      <c r="W28">
        <v>0.199744246</v>
      </c>
      <c r="X28">
        <v>0.692807928</v>
      </c>
      <c r="Y28">
        <v>0.460461069</v>
      </c>
      <c r="Z28">
        <v>0.488616935</v>
      </c>
      <c r="AA28">
        <v>0.210553148</v>
      </c>
      <c r="AB28">
        <v>0.26825922</v>
      </c>
      <c r="AC28">
        <v>0.244857055</v>
      </c>
      <c r="AD28">
        <v>0.232050982</v>
      </c>
      <c r="AE28">
        <v>0.032709275</v>
      </c>
      <c r="AF28">
        <v>1.30137741</v>
      </c>
      <c r="AG28">
        <v>0.232643437</v>
      </c>
      <c r="AH28">
        <v>0.227078687</v>
      </c>
      <c r="AI28">
        <v>0.608541366</v>
      </c>
      <c r="AJ28">
        <v>0.398128749</v>
      </c>
      <c r="AK28">
        <v>0.198804997</v>
      </c>
      <c r="AL28">
        <v>0.5902905</v>
      </c>
      <c r="AM28">
        <v>0.427197659</v>
      </c>
      <c r="AN28">
        <v>0.521360305</v>
      </c>
      <c r="AO28">
        <v>1.112041325</v>
      </c>
      <c r="AP28">
        <v>0.920956087</v>
      </c>
      <c r="AQ28">
        <v>0.136193564</v>
      </c>
      <c r="AR28">
        <v>0.370717634</v>
      </c>
      <c r="AS28">
        <v>0.739880643</v>
      </c>
      <c r="AT28">
        <v>0.747002732</v>
      </c>
      <c r="AU28">
        <v>0.675154477</v>
      </c>
      <c r="AV28">
        <v>0.676459212</v>
      </c>
    </row>
    <row r="29" spans="1:48">
      <c r="A29" t="s">
        <v>70</v>
      </c>
      <c r="B29" s="10" t="str">
        <f t="shared" si="0"/>
        <v>G/C</v>
      </c>
      <c r="C29">
        <v>2.407547477</v>
      </c>
      <c r="D29">
        <v>1.09357292</v>
      </c>
      <c r="E29">
        <v>0</v>
      </c>
      <c r="F29">
        <v>0.813853491</v>
      </c>
      <c r="G29">
        <v>0.618794326</v>
      </c>
      <c r="H29">
        <v>0.034020502</v>
      </c>
      <c r="I29">
        <v>0.639091254</v>
      </c>
      <c r="J29">
        <v>2.39525221</v>
      </c>
      <c r="K29">
        <v>0.630336239</v>
      </c>
      <c r="L29">
        <v>0.017984414</v>
      </c>
      <c r="M29">
        <v>0.960311524</v>
      </c>
      <c r="N29">
        <v>0.029930648</v>
      </c>
      <c r="O29">
        <v>0.218284756</v>
      </c>
      <c r="P29">
        <v>0.895627982</v>
      </c>
      <c r="Q29">
        <v>1.967585996</v>
      </c>
      <c r="R29">
        <v>2.576460868</v>
      </c>
      <c r="S29">
        <v>0.67677616</v>
      </c>
      <c r="T29">
        <v>2.077790848</v>
      </c>
      <c r="U29">
        <v>0.586015538</v>
      </c>
      <c r="V29">
        <v>1.095220342</v>
      </c>
      <c r="W29">
        <v>1.586189258</v>
      </c>
      <c r="X29">
        <v>1.856158551</v>
      </c>
      <c r="Y29">
        <v>1.185463486</v>
      </c>
      <c r="Z29">
        <v>0.917574012</v>
      </c>
      <c r="AA29">
        <v>1.593678307</v>
      </c>
      <c r="AB29">
        <v>3.763860867</v>
      </c>
      <c r="AC29">
        <v>2.835564958</v>
      </c>
      <c r="AD29">
        <v>2.860558934</v>
      </c>
      <c r="AE29">
        <v>0.007531741</v>
      </c>
      <c r="AF29">
        <v>0.14369146</v>
      </c>
      <c r="AG29">
        <v>0.062352633</v>
      </c>
      <c r="AH29">
        <v>0.923988531</v>
      </c>
      <c r="AI29">
        <v>1.014813287</v>
      </c>
      <c r="AJ29">
        <v>1.042504951</v>
      </c>
      <c r="AK29">
        <v>2.225389015</v>
      </c>
      <c r="AL29">
        <v>0.640669982</v>
      </c>
      <c r="AM29">
        <v>0.725201213</v>
      </c>
      <c r="AN29">
        <v>1.866401</v>
      </c>
      <c r="AO29">
        <v>0.648735305</v>
      </c>
      <c r="AP29">
        <v>0.947192885</v>
      </c>
      <c r="AQ29">
        <v>0.023946121</v>
      </c>
      <c r="AR29">
        <v>1.116239933</v>
      </c>
      <c r="AS29">
        <v>1.043906146</v>
      </c>
      <c r="AT29">
        <v>0.995371661</v>
      </c>
      <c r="AU29">
        <v>1.185897177</v>
      </c>
      <c r="AV29">
        <v>1.177638959</v>
      </c>
    </row>
    <row r="30" spans="1:48">
      <c r="A30" t="s">
        <v>71</v>
      </c>
      <c r="B30" s="10" t="str">
        <f t="shared" si="0"/>
        <v>G/C</v>
      </c>
      <c r="C30">
        <v>0.579724289</v>
      </c>
      <c r="D30">
        <v>0.325678497</v>
      </c>
      <c r="E30">
        <v>0</v>
      </c>
      <c r="F30">
        <v>1.416386522</v>
      </c>
      <c r="G30">
        <v>0.119237589</v>
      </c>
      <c r="H30">
        <v>0.006308438</v>
      </c>
      <c r="I30">
        <v>0.156199289</v>
      </c>
      <c r="J30">
        <v>0.593632562</v>
      </c>
      <c r="K30">
        <v>0.292303861</v>
      </c>
      <c r="L30">
        <v>0.005195497</v>
      </c>
      <c r="M30">
        <v>1.125577507</v>
      </c>
      <c r="N30">
        <v>0.012410269</v>
      </c>
      <c r="O30">
        <v>0.056615643</v>
      </c>
      <c r="P30">
        <v>1.69585644</v>
      </c>
      <c r="Q30">
        <v>1.207510686</v>
      </c>
      <c r="R30">
        <v>2.451028992</v>
      </c>
      <c r="S30">
        <v>0.920651678</v>
      </c>
      <c r="T30">
        <v>1.14997011</v>
      </c>
      <c r="U30">
        <v>0.068178215</v>
      </c>
      <c r="V30">
        <v>0.325702781</v>
      </c>
      <c r="W30">
        <v>2.320204604</v>
      </c>
      <c r="X30">
        <v>1.379112797</v>
      </c>
      <c r="Y30">
        <v>0.979267097</v>
      </c>
      <c r="Z30">
        <v>0.232970395</v>
      </c>
      <c r="AA30">
        <v>2.244710681</v>
      </c>
      <c r="AB30">
        <v>0.298765233</v>
      </c>
      <c r="AC30">
        <v>1.515742004</v>
      </c>
      <c r="AD30">
        <v>1.510173059</v>
      </c>
      <c r="AE30">
        <v>0.005379815</v>
      </c>
      <c r="AF30">
        <v>0.31030303</v>
      </c>
      <c r="AG30">
        <v>0.031438302</v>
      </c>
      <c r="AH30">
        <v>0.022937241</v>
      </c>
      <c r="AI30">
        <v>0.148793068</v>
      </c>
      <c r="AJ30">
        <v>1.050942801</v>
      </c>
      <c r="AK30">
        <v>0.23599706</v>
      </c>
      <c r="AL30">
        <v>0.539649306</v>
      </c>
      <c r="AM30">
        <v>0.668339082</v>
      </c>
      <c r="AN30">
        <v>0.373037047</v>
      </c>
      <c r="AO30">
        <v>1.806198789</v>
      </c>
      <c r="AP30">
        <v>2.08471373</v>
      </c>
      <c r="AQ30">
        <v>0.024245448</v>
      </c>
      <c r="AR30">
        <v>1.169852146</v>
      </c>
      <c r="AS30">
        <v>1.292219586</v>
      </c>
      <c r="AT30">
        <v>1.251491663</v>
      </c>
      <c r="AU30">
        <v>1.432636</v>
      </c>
      <c r="AV30">
        <v>1.447433567</v>
      </c>
    </row>
    <row r="31" spans="1:48">
      <c r="A31" t="s">
        <v>72</v>
      </c>
      <c r="B31" s="10" t="str">
        <f t="shared" si="0"/>
        <v>A/T</v>
      </c>
      <c r="C31">
        <v>2.301085763</v>
      </c>
      <c r="D31">
        <v>2.508798091</v>
      </c>
      <c r="E31">
        <v>0</v>
      </c>
      <c r="F31">
        <v>1.931905246</v>
      </c>
      <c r="G31">
        <v>2.427748227</v>
      </c>
      <c r="H31">
        <v>0.289286921</v>
      </c>
      <c r="I31">
        <v>2.830231675</v>
      </c>
      <c r="J31">
        <v>2.278383528</v>
      </c>
      <c r="K31">
        <v>2.064358655</v>
      </c>
      <c r="L31">
        <v>0.209218677</v>
      </c>
      <c r="M31">
        <v>0.75584107</v>
      </c>
      <c r="N31">
        <v>0.274485947</v>
      </c>
      <c r="O31">
        <v>1.306563221</v>
      </c>
      <c r="P31">
        <v>0.926303959</v>
      </c>
      <c r="Q31">
        <v>1.052106656</v>
      </c>
      <c r="R31">
        <v>0.263632267</v>
      </c>
      <c r="S31">
        <v>1.422079324</v>
      </c>
      <c r="T31">
        <v>0.631505872</v>
      </c>
      <c r="U31">
        <v>1.471063897</v>
      </c>
      <c r="V31">
        <v>2.502497949</v>
      </c>
      <c r="W31">
        <v>0.598209719</v>
      </c>
      <c r="X31">
        <v>1.497561353</v>
      </c>
      <c r="Y31">
        <v>2.122463638</v>
      </c>
      <c r="Z31">
        <v>2.377215873</v>
      </c>
      <c r="AA31">
        <v>0.613051236</v>
      </c>
      <c r="AB31">
        <v>1.319506093</v>
      </c>
      <c r="AC31">
        <v>0.957381065</v>
      </c>
      <c r="AD31">
        <v>0.958547708</v>
      </c>
      <c r="AE31">
        <v>0.219281257</v>
      </c>
      <c r="AF31">
        <v>0.692892562</v>
      </c>
      <c r="AG31">
        <v>0.284516636</v>
      </c>
      <c r="AH31">
        <v>1.110162472</v>
      </c>
      <c r="AI31">
        <v>3.338064782</v>
      </c>
      <c r="AJ31">
        <v>1.603708062</v>
      </c>
      <c r="AK31">
        <v>2.213119468</v>
      </c>
      <c r="AL31">
        <v>1.683459827</v>
      </c>
      <c r="AM31">
        <v>1.369499321</v>
      </c>
      <c r="AN31">
        <v>2.759582588</v>
      </c>
      <c r="AO31">
        <v>1.75436409</v>
      </c>
      <c r="AP31">
        <v>0.727959978</v>
      </c>
      <c r="AQ31">
        <v>0.22509354</v>
      </c>
      <c r="AR31">
        <v>1.428537084</v>
      </c>
      <c r="AS31">
        <v>0.513418341</v>
      </c>
      <c r="AT31">
        <v>0.513243741</v>
      </c>
      <c r="AU31">
        <v>0.470457574</v>
      </c>
      <c r="AV31">
        <v>0.466599621</v>
      </c>
    </row>
    <row r="32" spans="1:48">
      <c r="A32" t="s">
        <v>73</v>
      </c>
      <c r="B32" s="10" t="str">
        <f t="shared" si="0"/>
        <v>A/T</v>
      </c>
      <c r="C32">
        <v>0.218320012</v>
      </c>
      <c r="D32">
        <v>0.660276799</v>
      </c>
      <c r="E32">
        <v>0.17663954</v>
      </c>
      <c r="F32">
        <v>0.577246327</v>
      </c>
      <c r="G32">
        <v>0.433779025</v>
      </c>
      <c r="H32">
        <v>0.757385077</v>
      </c>
      <c r="I32">
        <v>0.503615351</v>
      </c>
      <c r="J32">
        <v>0.215692881</v>
      </c>
      <c r="K32">
        <v>0.687134612</v>
      </c>
      <c r="L32">
        <v>0.517187277</v>
      </c>
      <c r="M32">
        <v>0.262791905</v>
      </c>
      <c r="N32">
        <v>0.481567615</v>
      </c>
      <c r="O32">
        <v>0.707854234</v>
      </c>
      <c r="P32">
        <v>0.115828069</v>
      </c>
      <c r="Q32">
        <v>0.178029224</v>
      </c>
      <c r="R32">
        <v>0.066606038</v>
      </c>
      <c r="S32">
        <v>0.148877708</v>
      </c>
      <c r="T32">
        <v>0.137366802</v>
      </c>
      <c r="U32">
        <v>0.126531076</v>
      </c>
      <c r="V32">
        <v>0.66100674</v>
      </c>
      <c r="W32">
        <v>0.190142771</v>
      </c>
      <c r="X32">
        <v>0.307174656</v>
      </c>
      <c r="Y32">
        <v>0.310357884</v>
      </c>
      <c r="Z32">
        <v>0.440105724</v>
      </c>
      <c r="AA32">
        <v>0.205324447</v>
      </c>
      <c r="AB32">
        <v>0.153592325</v>
      </c>
      <c r="AC32">
        <v>0.094771587</v>
      </c>
      <c r="AD32">
        <v>0.090748677</v>
      </c>
      <c r="AE32">
        <v>0.782608696</v>
      </c>
      <c r="AF32">
        <v>0.387993963</v>
      </c>
      <c r="AG32">
        <v>0.82169648</v>
      </c>
      <c r="AH32">
        <v>0.41665918</v>
      </c>
      <c r="AI32">
        <v>0.498419356</v>
      </c>
      <c r="AJ32">
        <v>0.101655165</v>
      </c>
      <c r="AK32">
        <v>0.104489622</v>
      </c>
      <c r="AL32">
        <v>0.126986847</v>
      </c>
      <c r="AM32">
        <v>0.152554681</v>
      </c>
      <c r="AN32">
        <v>0.349032349</v>
      </c>
      <c r="AO32">
        <v>0.649784355</v>
      </c>
      <c r="AP32">
        <v>0.121291643</v>
      </c>
      <c r="AQ32">
        <v>0.580782842</v>
      </c>
      <c r="AR32">
        <v>0.076366671</v>
      </c>
      <c r="AS32">
        <v>0.383666127</v>
      </c>
      <c r="AT32">
        <v>0.39397444</v>
      </c>
      <c r="AU32">
        <v>0.325419684</v>
      </c>
      <c r="AV32">
        <v>0.325082653</v>
      </c>
    </row>
    <row r="33" spans="1:48">
      <c r="A33" t="s">
        <v>74</v>
      </c>
      <c r="B33" s="10" t="str">
        <f t="shared" si="0"/>
        <v>G/C</v>
      </c>
      <c r="C33">
        <v>0.627244859</v>
      </c>
      <c r="D33">
        <v>0.216109344</v>
      </c>
      <c r="E33">
        <v>1.991300185</v>
      </c>
      <c r="F33">
        <v>0.383840109</v>
      </c>
      <c r="G33">
        <v>0.61636505</v>
      </c>
      <c r="H33">
        <v>0.029698278</v>
      </c>
      <c r="I33">
        <v>0.226386681</v>
      </c>
      <c r="J33">
        <v>0.618941202</v>
      </c>
      <c r="K33">
        <v>0.203202383</v>
      </c>
      <c r="L33">
        <v>0.028170019</v>
      </c>
      <c r="M33">
        <v>0.386922678</v>
      </c>
      <c r="N33">
        <v>0.024235276</v>
      </c>
      <c r="O33">
        <v>0.065962585</v>
      </c>
      <c r="P33">
        <v>0.526483191</v>
      </c>
      <c r="Q33">
        <v>0.789857137</v>
      </c>
      <c r="R33">
        <v>1.23399298</v>
      </c>
      <c r="S33">
        <v>0.476108911</v>
      </c>
      <c r="T33">
        <v>2.118016853</v>
      </c>
      <c r="U33">
        <v>1.011566867</v>
      </c>
      <c r="V33">
        <v>0.2172666</v>
      </c>
      <c r="W33">
        <v>0.642634429</v>
      </c>
      <c r="X33">
        <v>0.297856921</v>
      </c>
      <c r="Y33">
        <v>0.597913278</v>
      </c>
      <c r="Z33">
        <v>0.235332703</v>
      </c>
      <c r="AA33">
        <v>0.634649187</v>
      </c>
      <c r="AB33">
        <v>1.93740645</v>
      </c>
      <c r="AC33">
        <v>1.613468176</v>
      </c>
      <c r="AD33">
        <v>1.638013612</v>
      </c>
      <c r="AE33">
        <v>0.095514584</v>
      </c>
      <c r="AF33">
        <v>0.188129485</v>
      </c>
      <c r="AG33">
        <v>0.128563185</v>
      </c>
      <c r="AH33">
        <v>0.191458397</v>
      </c>
      <c r="AI33">
        <v>0.381326489</v>
      </c>
      <c r="AJ33">
        <v>0.458297391</v>
      </c>
      <c r="AK33">
        <v>0.450844936</v>
      </c>
      <c r="AL33">
        <v>0.463476286</v>
      </c>
      <c r="AM33">
        <v>0.410772024</v>
      </c>
      <c r="AN33">
        <v>0.26147761</v>
      </c>
      <c r="AO33">
        <v>0.45143038</v>
      </c>
      <c r="AP33">
        <v>0.563092114</v>
      </c>
      <c r="AQ33">
        <v>0.058366382</v>
      </c>
      <c r="AR33">
        <v>0.773125609</v>
      </c>
      <c r="AS33">
        <v>1.153976884</v>
      </c>
      <c r="AT33">
        <v>1.125882788</v>
      </c>
      <c r="AU33">
        <v>1.262805422</v>
      </c>
      <c r="AV33">
        <v>1.261562056</v>
      </c>
    </row>
    <row r="34" spans="1:48">
      <c r="A34" t="s">
        <v>75</v>
      </c>
      <c r="B34" s="10" t="str">
        <f t="shared" si="0"/>
        <v>G/C</v>
      </c>
      <c r="C34">
        <v>2.991979396</v>
      </c>
      <c r="D34">
        <v>0.260208029</v>
      </c>
      <c r="E34">
        <v>2.030886424</v>
      </c>
      <c r="F34">
        <v>0.314656645</v>
      </c>
      <c r="G34">
        <v>0.381637725</v>
      </c>
      <c r="H34">
        <v>0.066505187</v>
      </c>
      <c r="I34">
        <v>0.166867851</v>
      </c>
      <c r="J34">
        <v>2.999525542</v>
      </c>
      <c r="K34">
        <v>0.200186185</v>
      </c>
      <c r="L34">
        <v>0.030452147</v>
      </c>
      <c r="M34">
        <v>2.554298564</v>
      </c>
      <c r="N34">
        <v>0.051408161</v>
      </c>
      <c r="O34">
        <v>0.108567927</v>
      </c>
      <c r="P34">
        <v>2.995538278</v>
      </c>
      <c r="Q34">
        <v>2.144165412</v>
      </c>
      <c r="R34">
        <v>4.060082224</v>
      </c>
      <c r="S34">
        <v>2.195696392</v>
      </c>
      <c r="T34">
        <v>1.503945784</v>
      </c>
      <c r="U34">
        <v>0.338961482</v>
      </c>
      <c r="V34">
        <v>0.262010612</v>
      </c>
      <c r="W34">
        <v>2.211585799</v>
      </c>
      <c r="X34">
        <v>2.573351279</v>
      </c>
      <c r="Y34">
        <v>1.783769002</v>
      </c>
      <c r="Z34">
        <v>0.394960739</v>
      </c>
      <c r="AA34">
        <v>2.170133294</v>
      </c>
      <c r="AB34">
        <v>2.340828684</v>
      </c>
      <c r="AC34">
        <v>2.38375861</v>
      </c>
      <c r="AD34">
        <v>2.385933955</v>
      </c>
      <c r="AE34">
        <v>0.08346175</v>
      </c>
      <c r="AF34">
        <v>0.461360766</v>
      </c>
      <c r="AG34">
        <v>0.491979227</v>
      </c>
      <c r="AH34">
        <v>0.071257883</v>
      </c>
      <c r="AI34">
        <v>0.299633791</v>
      </c>
      <c r="AJ34">
        <v>2.982046582</v>
      </c>
      <c r="AK34">
        <v>2.934910344</v>
      </c>
      <c r="AL34">
        <v>2.300544107</v>
      </c>
      <c r="AM34">
        <v>2.268297744</v>
      </c>
      <c r="AN34">
        <v>0.399039412</v>
      </c>
      <c r="AO34">
        <v>0.537015788</v>
      </c>
      <c r="AP34">
        <v>3.384957523</v>
      </c>
      <c r="AQ34">
        <v>0.134765521</v>
      </c>
      <c r="AR34">
        <v>2.965085547</v>
      </c>
      <c r="AS34">
        <v>2.370817686</v>
      </c>
      <c r="AT34">
        <v>2.314604235</v>
      </c>
      <c r="AU34">
        <v>2.678910264</v>
      </c>
      <c r="AV34">
        <v>2.679103446</v>
      </c>
    </row>
    <row r="35" spans="1:48">
      <c r="A35" t="s">
        <v>76</v>
      </c>
      <c r="B35" s="10" t="str">
        <f t="shared" si="0"/>
        <v>A/T</v>
      </c>
      <c r="C35">
        <v>0.618132445</v>
      </c>
      <c r="D35">
        <v>0.675062323</v>
      </c>
      <c r="E35">
        <v>1.247153829</v>
      </c>
      <c r="F35">
        <v>1.399760847</v>
      </c>
      <c r="G35">
        <v>1.723498651</v>
      </c>
      <c r="H35">
        <v>1.011716076</v>
      </c>
      <c r="I35">
        <v>0.884177314</v>
      </c>
      <c r="J35">
        <v>0.629338027</v>
      </c>
      <c r="K35">
        <v>1.083373673</v>
      </c>
      <c r="L35">
        <v>1.237198688</v>
      </c>
      <c r="M35">
        <v>1.347102577</v>
      </c>
      <c r="N35">
        <v>1.090253591</v>
      </c>
      <c r="O35">
        <v>1.333093032</v>
      </c>
      <c r="P35">
        <v>1.247073375</v>
      </c>
      <c r="Q35">
        <v>1.37938052</v>
      </c>
      <c r="R35">
        <v>0.269535742</v>
      </c>
      <c r="S35">
        <v>1.822717054</v>
      </c>
      <c r="T35">
        <v>1.333407642</v>
      </c>
      <c r="U35">
        <v>2.699693217</v>
      </c>
      <c r="V35">
        <v>0.673827621</v>
      </c>
      <c r="W35">
        <v>0.662217603</v>
      </c>
      <c r="X35">
        <v>0.715291438</v>
      </c>
      <c r="Y35">
        <v>0.944115667</v>
      </c>
      <c r="Z35">
        <v>1.15802674</v>
      </c>
      <c r="AA35">
        <v>0.677164201</v>
      </c>
      <c r="AB35">
        <v>0.930738876</v>
      </c>
      <c r="AC35">
        <v>0.385326079</v>
      </c>
      <c r="AD35">
        <v>0.36762667</v>
      </c>
      <c r="AE35">
        <v>1.238222345</v>
      </c>
      <c r="AF35">
        <v>0.816367388</v>
      </c>
      <c r="AG35">
        <v>1.22458165</v>
      </c>
      <c r="AH35">
        <v>1.755682124</v>
      </c>
      <c r="AI35">
        <v>1.574509374</v>
      </c>
      <c r="AJ35">
        <v>0.724606427</v>
      </c>
      <c r="AK35">
        <v>0.89722606</v>
      </c>
      <c r="AL35">
        <v>1.823636519</v>
      </c>
      <c r="AM35">
        <v>1.650920723</v>
      </c>
      <c r="AN35">
        <v>0.66433112</v>
      </c>
      <c r="AO35">
        <v>1.380524671</v>
      </c>
      <c r="AP35">
        <v>0.804341058</v>
      </c>
      <c r="AQ35">
        <v>1.123046007</v>
      </c>
      <c r="AR35">
        <v>1.344415079</v>
      </c>
      <c r="AS35">
        <v>0.802548663</v>
      </c>
      <c r="AT35">
        <v>0.826412901</v>
      </c>
      <c r="AU35">
        <v>0.672970216</v>
      </c>
      <c r="AV35">
        <v>0.669926712</v>
      </c>
    </row>
    <row r="36" spans="1:48">
      <c r="A36" t="s">
        <v>77</v>
      </c>
      <c r="B36" s="10" t="str">
        <f t="shared" si="0"/>
        <v>A/T</v>
      </c>
      <c r="C36">
        <v>1.381194986</v>
      </c>
      <c r="D36">
        <v>1.645860964</v>
      </c>
      <c r="E36">
        <v>0.767273043</v>
      </c>
      <c r="F36">
        <v>1.61437927</v>
      </c>
      <c r="G36">
        <v>1.664425273</v>
      </c>
      <c r="H36">
        <v>1.630605016</v>
      </c>
      <c r="I36">
        <v>1.465194431</v>
      </c>
      <c r="J36">
        <v>1.377235834</v>
      </c>
      <c r="K36">
        <v>1.661331037</v>
      </c>
      <c r="L36">
        <v>1.532772697</v>
      </c>
      <c r="M36">
        <v>1.117791912</v>
      </c>
      <c r="N36">
        <v>1.653536168</v>
      </c>
      <c r="O36">
        <v>1.419460993</v>
      </c>
      <c r="P36">
        <v>1.282489811</v>
      </c>
      <c r="Q36">
        <v>1.197854385</v>
      </c>
      <c r="R36">
        <v>0.294501038</v>
      </c>
      <c r="S36">
        <v>1.346535946</v>
      </c>
      <c r="T36">
        <v>1.123547328</v>
      </c>
      <c r="U36">
        <v>1.402311323</v>
      </c>
      <c r="V36">
        <v>1.645540098</v>
      </c>
      <c r="W36">
        <v>1.527880006</v>
      </c>
      <c r="X36">
        <v>1.384254385</v>
      </c>
      <c r="Y36">
        <v>1.352013134</v>
      </c>
      <c r="Z36">
        <v>1.69579328</v>
      </c>
      <c r="AA36">
        <v>1.527354152</v>
      </c>
      <c r="AB36">
        <v>0.326985995</v>
      </c>
      <c r="AC36">
        <v>1.769110189</v>
      </c>
      <c r="AD36">
        <v>1.776666262</v>
      </c>
      <c r="AE36">
        <v>1.236683849</v>
      </c>
      <c r="AF36">
        <v>1.579529129</v>
      </c>
      <c r="AG36">
        <v>1.424259463</v>
      </c>
      <c r="AH36">
        <v>1.560405257</v>
      </c>
      <c r="AI36">
        <v>1.606156094</v>
      </c>
      <c r="AJ36">
        <v>1.659871851</v>
      </c>
      <c r="AK36">
        <v>1.128860394</v>
      </c>
      <c r="AL36">
        <v>1.410820625</v>
      </c>
      <c r="AM36">
        <v>1.295858582</v>
      </c>
      <c r="AN36">
        <v>1.612891977</v>
      </c>
      <c r="AO36">
        <v>1.566504154</v>
      </c>
      <c r="AP36">
        <v>1.124923137</v>
      </c>
      <c r="AQ36">
        <v>1.715132937</v>
      </c>
      <c r="AR36">
        <v>1.651381969</v>
      </c>
      <c r="AS36">
        <v>0.841170747</v>
      </c>
      <c r="AT36">
        <v>0.865549218</v>
      </c>
      <c r="AU36">
        <v>0.72364134</v>
      </c>
      <c r="AV36">
        <v>0.723762345</v>
      </c>
    </row>
    <row r="37" spans="1:48">
      <c r="A37" t="s">
        <v>78</v>
      </c>
      <c r="B37" s="10" t="str">
        <f t="shared" si="0"/>
        <v>G/C</v>
      </c>
      <c r="C37">
        <v>0.747900261</v>
      </c>
      <c r="D37">
        <v>0.382721477</v>
      </c>
      <c r="E37">
        <v>0</v>
      </c>
      <c r="F37">
        <v>0</v>
      </c>
      <c r="G37">
        <v>0.344110332</v>
      </c>
      <c r="H37">
        <v>0.269200025</v>
      </c>
      <c r="I37">
        <v>0.301668563</v>
      </c>
      <c r="J37">
        <v>0.744386533</v>
      </c>
      <c r="K37">
        <v>0.411606305</v>
      </c>
      <c r="L37">
        <v>0.254384731</v>
      </c>
      <c r="M37">
        <v>0.779069767</v>
      </c>
      <c r="N37">
        <v>0.184609979</v>
      </c>
      <c r="O37">
        <v>0.178953627</v>
      </c>
      <c r="P37">
        <v>0.673930134</v>
      </c>
      <c r="Q37">
        <v>1.013258436</v>
      </c>
      <c r="R37">
        <v>1.637567799</v>
      </c>
      <c r="S37">
        <v>0.567691423</v>
      </c>
      <c r="T37">
        <v>0.942232145</v>
      </c>
      <c r="U37">
        <v>0.9318346</v>
      </c>
      <c r="V37">
        <v>0.382471217</v>
      </c>
      <c r="W37">
        <v>1.405179829</v>
      </c>
      <c r="X37">
        <v>0.773996343</v>
      </c>
      <c r="Y37">
        <v>0.77108579</v>
      </c>
      <c r="Z37">
        <v>0.617262276</v>
      </c>
      <c r="AA37">
        <v>1.392110341</v>
      </c>
      <c r="AB37">
        <v>1.275540915</v>
      </c>
      <c r="AC37">
        <v>1.070850742</v>
      </c>
      <c r="AD37">
        <v>1.084860311</v>
      </c>
      <c r="AE37">
        <v>0.232110161</v>
      </c>
      <c r="AF37">
        <v>0.479845444</v>
      </c>
      <c r="AG37">
        <v>0.429356046</v>
      </c>
      <c r="AH37">
        <v>0.175272593</v>
      </c>
      <c r="AI37">
        <v>0.636093309</v>
      </c>
      <c r="AJ37">
        <v>0.85776579</v>
      </c>
      <c r="AK37">
        <v>0.745325779</v>
      </c>
      <c r="AL37">
        <v>0.534018306</v>
      </c>
      <c r="AM37">
        <v>0.594051404</v>
      </c>
      <c r="AN37">
        <v>0.378827255</v>
      </c>
      <c r="AO37">
        <v>0.535660432</v>
      </c>
      <c r="AP37">
        <v>0.824132006</v>
      </c>
      <c r="AQ37">
        <v>0.24565986</v>
      </c>
      <c r="AR37">
        <v>0.579093646</v>
      </c>
      <c r="AS37">
        <v>1.068485103</v>
      </c>
      <c r="AT37">
        <v>1.047051667</v>
      </c>
      <c r="AU37">
        <v>1.183397221</v>
      </c>
      <c r="AV37">
        <v>1.185032246</v>
      </c>
    </row>
    <row r="38" spans="1:48">
      <c r="A38" t="s">
        <v>79</v>
      </c>
      <c r="B38" s="10" t="str">
        <f t="shared" si="0"/>
        <v>G/C</v>
      </c>
      <c r="C38">
        <v>0.618805014</v>
      </c>
      <c r="D38">
        <v>0.354139036</v>
      </c>
      <c r="E38">
        <v>1.232726957</v>
      </c>
      <c r="F38">
        <v>0.38562073</v>
      </c>
      <c r="G38">
        <v>0.335574727</v>
      </c>
      <c r="H38">
        <v>0.369394984</v>
      </c>
      <c r="I38">
        <v>0.534805569</v>
      </c>
      <c r="J38">
        <v>0.622764166</v>
      </c>
      <c r="K38">
        <v>0.338668963</v>
      </c>
      <c r="L38">
        <v>0.467227303</v>
      </c>
      <c r="M38">
        <v>0.882208088</v>
      </c>
      <c r="N38">
        <v>0.346463832</v>
      </c>
      <c r="O38">
        <v>0.580539007</v>
      </c>
      <c r="P38">
        <v>0.717510189</v>
      </c>
      <c r="Q38">
        <v>0.802145615</v>
      </c>
      <c r="R38">
        <v>1.705498962</v>
      </c>
      <c r="S38">
        <v>0.653464054</v>
      </c>
      <c r="T38">
        <v>0.876452672</v>
      </c>
      <c r="U38">
        <v>0.597688677</v>
      </c>
      <c r="V38">
        <v>0.354459902</v>
      </c>
      <c r="W38">
        <v>0.472119994</v>
      </c>
      <c r="X38">
        <v>0.615745615</v>
      </c>
      <c r="Y38">
        <v>0.647986866</v>
      </c>
      <c r="Z38">
        <v>0.30420672</v>
      </c>
      <c r="AA38">
        <v>0.472645848</v>
      </c>
      <c r="AB38">
        <v>1.673014005</v>
      </c>
      <c r="AC38">
        <v>0.230889811</v>
      </c>
      <c r="AD38">
        <v>0.223333738</v>
      </c>
      <c r="AE38">
        <v>0.763316151</v>
      </c>
      <c r="AF38">
        <v>0.420470871</v>
      </c>
      <c r="AG38">
        <v>0.575740537</v>
      </c>
      <c r="AH38">
        <v>0.439594743</v>
      </c>
      <c r="AI38">
        <v>0.393843906</v>
      </c>
      <c r="AJ38">
        <v>0.340128149</v>
      </c>
      <c r="AK38">
        <v>0.871139606</v>
      </c>
      <c r="AL38">
        <v>0.589179375</v>
      </c>
      <c r="AM38">
        <v>0.704141418</v>
      </c>
      <c r="AN38">
        <v>0.387108023</v>
      </c>
      <c r="AO38">
        <v>0.433495846</v>
      </c>
      <c r="AP38">
        <v>0.875076863</v>
      </c>
      <c r="AQ38">
        <v>0.284867063</v>
      </c>
      <c r="AR38">
        <v>0.348618031</v>
      </c>
      <c r="AS38">
        <v>1.158829253</v>
      </c>
      <c r="AT38">
        <v>1.134450782</v>
      </c>
      <c r="AU38">
        <v>1.27635866</v>
      </c>
      <c r="AV38">
        <v>1.276237655</v>
      </c>
    </row>
    <row r="39" spans="1:48">
      <c r="A39" t="s">
        <v>80</v>
      </c>
      <c r="B39" s="10" t="str">
        <f t="shared" si="0"/>
        <v>A/T</v>
      </c>
      <c r="C39">
        <v>1.252099739</v>
      </c>
      <c r="D39">
        <v>1.617278523</v>
      </c>
      <c r="E39">
        <v>0</v>
      </c>
      <c r="F39">
        <v>0</v>
      </c>
      <c r="G39">
        <v>1.655889668</v>
      </c>
      <c r="H39">
        <v>1.730799975</v>
      </c>
      <c r="I39">
        <v>1.698331437</v>
      </c>
      <c r="J39">
        <v>1.255613467</v>
      </c>
      <c r="K39">
        <v>1.588393695</v>
      </c>
      <c r="L39">
        <v>1.745615269</v>
      </c>
      <c r="M39">
        <v>1.220930233</v>
      </c>
      <c r="N39">
        <v>1.815390021</v>
      </c>
      <c r="O39">
        <v>1.821046373</v>
      </c>
      <c r="P39">
        <v>1.326069866</v>
      </c>
      <c r="Q39">
        <v>0.986741564</v>
      </c>
      <c r="R39">
        <v>0.362432201</v>
      </c>
      <c r="S39">
        <v>1.432308577</v>
      </c>
      <c r="T39">
        <v>1.057767855</v>
      </c>
      <c r="U39">
        <v>1.0681654</v>
      </c>
      <c r="V39">
        <v>1.617528783</v>
      </c>
      <c r="W39">
        <v>0.594820171</v>
      </c>
      <c r="X39">
        <v>1.226003657</v>
      </c>
      <c r="Y39">
        <v>1.22891421</v>
      </c>
      <c r="Z39">
        <v>1.382737724</v>
      </c>
      <c r="AA39">
        <v>0.607889659</v>
      </c>
      <c r="AB39">
        <v>0.724459085</v>
      </c>
      <c r="AC39">
        <v>0.929149258</v>
      </c>
      <c r="AD39">
        <v>0.915139689</v>
      </c>
      <c r="AE39">
        <v>1.767889839</v>
      </c>
      <c r="AF39">
        <v>1.520154556</v>
      </c>
      <c r="AG39">
        <v>1.570643954</v>
      </c>
      <c r="AH39">
        <v>1.824727407</v>
      </c>
      <c r="AI39">
        <v>1.363906691</v>
      </c>
      <c r="AJ39">
        <v>1.14223421</v>
      </c>
      <c r="AK39">
        <v>1.254674221</v>
      </c>
      <c r="AL39">
        <v>1.465981694</v>
      </c>
      <c r="AM39">
        <v>1.405948596</v>
      </c>
      <c r="AN39">
        <v>1.621172745</v>
      </c>
      <c r="AO39">
        <v>1.464339568</v>
      </c>
      <c r="AP39">
        <v>1.175867994</v>
      </c>
      <c r="AQ39">
        <v>1.75434014</v>
      </c>
      <c r="AR39">
        <v>1.420906354</v>
      </c>
      <c r="AS39">
        <v>0.931514897</v>
      </c>
      <c r="AT39">
        <v>0.952948333</v>
      </c>
      <c r="AU39">
        <v>0.816602779</v>
      </c>
      <c r="AV39">
        <v>0.814967754</v>
      </c>
    </row>
    <row r="40" spans="1:48">
      <c r="A40" t="s">
        <v>81</v>
      </c>
      <c r="B40" s="10" t="str">
        <f t="shared" si="0"/>
        <v>A/T</v>
      </c>
      <c r="C40">
        <v>0.849063418</v>
      </c>
      <c r="D40">
        <v>1.224439003</v>
      </c>
      <c r="E40">
        <v>0</v>
      </c>
      <c r="F40">
        <v>0</v>
      </c>
      <c r="G40">
        <v>1.256084002</v>
      </c>
      <c r="H40">
        <v>1.863723433</v>
      </c>
      <c r="I40">
        <v>1.449114522</v>
      </c>
      <c r="J40">
        <v>0.856432348</v>
      </c>
      <c r="K40">
        <v>1.41607469</v>
      </c>
      <c r="L40">
        <v>1.468885792</v>
      </c>
      <c r="M40">
        <v>1.341334537</v>
      </c>
      <c r="N40">
        <v>1.948874824</v>
      </c>
      <c r="O40">
        <v>1.354880112</v>
      </c>
      <c r="P40">
        <v>0.937621856</v>
      </c>
      <c r="Q40">
        <v>0.780729352</v>
      </c>
      <c r="R40">
        <v>0.174685019</v>
      </c>
      <c r="S40">
        <v>2.106243861</v>
      </c>
      <c r="T40">
        <v>0.717962874</v>
      </c>
      <c r="U40">
        <v>2.015611536</v>
      </c>
      <c r="V40">
        <v>1.225179552</v>
      </c>
      <c r="W40">
        <v>0.537702034</v>
      </c>
      <c r="X40">
        <v>0.872528024</v>
      </c>
      <c r="Y40">
        <v>1.074848996</v>
      </c>
      <c r="Z40">
        <v>1.211222817</v>
      </c>
      <c r="AA40">
        <v>0.560303057</v>
      </c>
      <c r="AB40">
        <v>0.421585251</v>
      </c>
      <c r="AC40">
        <v>0.477121952</v>
      </c>
      <c r="AD40">
        <v>0.458893306</v>
      </c>
      <c r="AE40">
        <v>1.335129005</v>
      </c>
      <c r="AF40">
        <v>1.513906615</v>
      </c>
      <c r="AG40">
        <v>1.794561754</v>
      </c>
      <c r="AH40">
        <v>1.327529305</v>
      </c>
      <c r="AI40">
        <v>1.159983216</v>
      </c>
      <c r="AJ40">
        <v>1.607088592</v>
      </c>
      <c r="AK40">
        <v>1.118515556</v>
      </c>
      <c r="AL40">
        <v>2.093394254</v>
      </c>
      <c r="AM40">
        <v>1.985310272</v>
      </c>
      <c r="AN40">
        <v>1.176813983</v>
      </c>
      <c r="AO40">
        <v>1.293388731</v>
      </c>
      <c r="AP40">
        <v>1.09999511</v>
      </c>
      <c r="AQ40">
        <v>1.898048795</v>
      </c>
      <c r="AR40">
        <v>1.151689575</v>
      </c>
      <c r="AS40">
        <v>0.873954203</v>
      </c>
      <c r="AT40">
        <v>0.90200925</v>
      </c>
      <c r="AU40">
        <v>0.763912893</v>
      </c>
      <c r="AV40">
        <v>0.761537038</v>
      </c>
    </row>
    <row r="41" spans="1:48">
      <c r="A41" t="s">
        <v>82</v>
      </c>
      <c r="B41" s="10" t="str">
        <f t="shared" si="0"/>
        <v>G/C</v>
      </c>
      <c r="C41">
        <v>1.079935311</v>
      </c>
      <c r="D41">
        <v>0.74344667</v>
      </c>
      <c r="E41">
        <v>0</v>
      </c>
      <c r="F41">
        <v>0</v>
      </c>
      <c r="G41">
        <v>0.75808112</v>
      </c>
      <c r="H41">
        <v>0.15068868</v>
      </c>
      <c r="I41">
        <v>0.545454545</v>
      </c>
      <c r="J41">
        <v>1.071382115</v>
      </c>
      <c r="K41">
        <v>0.467525878</v>
      </c>
      <c r="L41">
        <v>0.306878741</v>
      </c>
      <c r="M41">
        <v>1.023764637</v>
      </c>
      <c r="N41">
        <v>0.149085795</v>
      </c>
      <c r="O41">
        <v>0.40231025</v>
      </c>
      <c r="P41">
        <v>1.299611272</v>
      </c>
      <c r="Q41">
        <v>0.835006703</v>
      </c>
      <c r="R41">
        <v>2.459652562</v>
      </c>
      <c r="S41">
        <v>0.533015294</v>
      </c>
      <c r="T41">
        <v>1.29289444</v>
      </c>
      <c r="U41">
        <v>0.509503776</v>
      </c>
      <c r="V41">
        <v>0.743154888</v>
      </c>
      <c r="W41">
        <v>1.871885651</v>
      </c>
      <c r="X41">
        <v>1.403484401</v>
      </c>
      <c r="Y41">
        <v>1.284607956</v>
      </c>
      <c r="Z41">
        <v>0.744110956</v>
      </c>
      <c r="AA41">
        <v>1.835785393</v>
      </c>
      <c r="AB41">
        <v>1.977768806</v>
      </c>
      <c r="AC41">
        <v>2.109084433</v>
      </c>
      <c r="AD41">
        <v>2.132184996</v>
      </c>
      <c r="AE41">
        <v>0.152348549</v>
      </c>
      <c r="AF41">
        <v>0.646133841</v>
      </c>
      <c r="AG41">
        <v>0.398129672</v>
      </c>
      <c r="AH41">
        <v>0.403095482</v>
      </c>
      <c r="AI41">
        <v>0.529880717</v>
      </c>
      <c r="AJ41">
        <v>0.841303988</v>
      </c>
      <c r="AK41">
        <v>0.850035991</v>
      </c>
      <c r="AL41">
        <v>0.533983841</v>
      </c>
      <c r="AM41">
        <v>0.637904668</v>
      </c>
      <c r="AN41">
        <v>0.835754267</v>
      </c>
      <c r="AO41">
        <v>0.699856646</v>
      </c>
      <c r="AP41">
        <v>1.115055499</v>
      </c>
      <c r="AQ41">
        <v>0.224839338</v>
      </c>
      <c r="AR41">
        <v>1.129161911</v>
      </c>
      <c r="AS41">
        <v>1.603624667</v>
      </c>
      <c r="AT41">
        <v>1.567634371</v>
      </c>
      <c r="AU41">
        <v>1.75800372</v>
      </c>
      <c r="AV41">
        <v>1.76632319</v>
      </c>
    </row>
    <row r="42" spans="1:48">
      <c r="A42" t="s">
        <v>83</v>
      </c>
      <c r="B42" s="10" t="str">
        <f t="shared" si="0"/>
        <v>G/C</v>
      </c>
      <c r="C42">
        <v>1.428315722</v>
      </c>
      <c r="D42">
        <v>0.719682068</v>
      </c>
      <c r="E42">
        <v>0</v>
      </c>
      <c r="F42">
        <v>0</v>
      </c>
      <c r="G42">
        <v>0.449495573</v>
      </c>
      <c r="H42">
        <v>0.164827146</v>
      </c>
      <c r="I42">
        <v>0.62463597</v>
      </c>
      <c r="J42">
        <v>1.420786435</v>
      </c>
      <c r="K42">
        <v>0.237669982</v>
      </c>
      <c r="L42">
        <v>0.086414692</v>
      </c>
      <c r="M42">
        <v>1.053344308</v>
      </c>
      <c r="N42">
        <v>0.13628692</v>
      </c>
      <c r="O42">
        <v>0.187620326</v>
      </c>
      <c r="P42">
        <v>1.139833125</v>
      </c>
      <c r="Q42">
        <v>1.921155582</v>
      </c>
      <c r="R42">
        <v>1.237993778</v>
      </c>
      <c r="S42">
        <v>0.694598008</v>
      </c>
      <c r="T42">
        <v>1.525314563</v>
      </c>
      <c r="U42">
        <v>0.425870546</v>
      </c>
      <c r="V42">
        <v>0.718691532</v>
      </c>
      <c r="W42">
        <v>0.514040682</v>
      </c>
      <c r="X42">
        <v>0.62657483</v>
      </c>
      <c r="Y42">
        <v>0.473065344</v>
      </c>
      <c r="Z42">
        <v>0.315745701</v>
      </c>
      <c r="AA42">
        <v>0.515637389</v>
      </c>
      <c r="AB42">
        <v>1.06096084</v>
      </c>
      <c r="AC42">
        <v>0.497662476</v>
      </c>
      <c r="AD42">
        <v>0.485077923</v>
      </c>
      <c r="AE42">
        <v>0.050940365</v>
      </c>
      <c r="AF42">
        <v>0.636694199</v>
      </c>
      <c r="AG42">
        <v>0.449712601</v>
      </c>
      <c r="AH42">
        <v>0.369750768</v>
      </c>
      <c r="AI42">
        <v>0.529241343</v>
      </c>
      <c r="AJ42">
        <v>0.708257488</v>
      </c>
      <c r="AK42">
        <v>0.709781652</v>
      </c>
      <c r="AL42">
        <v>0.548542812</v>
      </c>
      <c r="AM42">
        <v>0.526676288</v>
      </c>
      <c r="AN42">
        <v>1.252223481</v>
      </c>
      <c r="AO42">
        <v>0.425006682</v>
      </c>
      <c r="AP42">
        <v>1.28961909</v>
      </c>
      <c r="AQ42">
        <v>0.166797522</v>
      </c>
      <c r="AR42">
        <v>0.752642287</v>
      </c>
      <c r="AS42">
        <v>0.472826461</v>
      </c>
      <c r="AT42">
        <v>0.459896623</v>
      </c>
      <c r="AU42">
        <v>0.53199019</v>
      </c>
      <c r="AV42">
        <v>0.53997442</v>
      </c>
    </row>
    <row r="43" spans="1:48">
      <c r="A43" t="s">
        <v>84</v>
      </c>
      <c r="B43" s="10" t="str">
        <f t="shared" si="0"/>
        <v>A/T</v>
      </c>
      <c r="C43">
        <v>0.64268555</v>
      </c>
      <c r="D43">
        <v>1.312432259</v>
      </c>
      <c r="E43">
        <v>0</v>
      </c>
      <c r="F43">
        <v>0</v>
      </c>
      <c r="G43">
        <v>1.536339304</v>
      </c>
      <c r="H43">
        <v>1.820760741</v>
      </c>
      <c r="I43">
        <v>1.380794963</v>
      </c>
      <c r="J43">
        <v>0.651399102</v>
      </c>
      <c r="K43">
        <v>1.87872945</v>
      </c>
      <c r="L43">
        <v>2.137820776</v>
      </c>
      <c r="M43">
        <v>0.581556517</v>
      </c>
      <c r="N43">
        <v>1.765752461</v>
      </c>
      <c r="O43">
        <v>2.055189312</v>
      </c>
      <c r="P43">
        <v>0.622933747</v>
      </c>
      <c r="Q43">
        <v>0.463108363</v>
      </c>
      <c r="R43">
        <v>0.127668641</v>
      </c>
      <c r="S43">
        <v>0.666142837</v>
      </c>
      <c r="T43">
        <v>0.463828123</v>
      </c>
      <c r="U43">
        <v>1.049014142</v>
      </c>
      <c r="V43">
        <v>1.312974028</v>
      </c>
      <c r="W43">
        <v>1.076371633</v>
      </c>
      <c r="X43">
        <v>1.097412745</v>
      </c>
      <c r="Y43">
        <v>1.167477704</v>
      </c>
      <c r="Z43">
        <v>1.728920525</v>
      </c>
      <c r="AA43">
        <v>1.088274161</v>
      </c>
      <c r="AB43">
        <v>0.539685103</v>
      </c>
      <c r="AC43">
        <v>0.916131139</v>
      </c>
      <c r="AD43">
        <v>0.923843776</v>
      </c>
      <c r="AE43">
        <v>2.461582081</v>
      </c>
      <c r="AF43">
        <v>1.203265345</v>
      </c>
      <c r="AG43">
        <v>1.357595973</v>
      </c>
      <c r="AH43">
        <v>1.899624445</v>
      </c>
      <c r="AI43">
        <v>1.780894723</v>
      </c>
      <c r="AJ43">
        <v>0.843349932</v>
      </c>
      <c r="AK43">
        <v>1.3216668</v>
      </c>
      <c r="AL43">
        <v>0.824079093</v>
      </c>
      <c r="AM43">
        <v>0.850108773</v>
      </c>
      <c r="AN43">
        <v>0.735208269</v>
      </c>
      <c r="AO43">
        <v>1.581747941</v>
      </c>
      <c r="AP43">
        <v>0.495330302</v>
      </c>
      <c r="AQ43">
        <v>1.710314345</v>
      </c>
      <c r="AR43">
        <v>0.966506227</v>
      </c>
      <c r="AS43">
        <v>1.04959467</v>
      </c>
      <c r="AT43">
        <v>1.070459757</v>
      </c>
      <c r="AU43">
        <v>0.946093197</v>
      </c>
      <c r="AV43">
        <v>0.932165351</v>
      </c>
    </row>
    <row r="44" spans="1:48">
      <c r="A44" t="s">
        <v>85</v>
      </c>
      <c r="B44" s="10" t="str">
        <f t="shared" si="0"/>
        <v>A/T</v>
      </c>
      <c r="C44">
        <v>0.425722062</v>
      </c>
      <c r="D44">
        <v>1.002363402</v>
      </c>
      <c r="E44">
        <v>0</v>
      </c>
      <c r="F44">
        <v>1.212294982</v>
      </c>
      <c r="G44">
        <v>0.843489026</v>
      </c>
      <c r="H44">
        <v>2.015698707</v>
      </c>
      <c r="I44">
        <v>2.02582728</v>
      </c>
      <c r="J44">
        <v>0.43580291</v>
      </c>
      <c r="K44">
        <v>1.343434343</v>
      </c>
      <c r="L44">
        <v>2.350534076</v>
      </c>
      <c r="M44">
        <v>1.628833719</v>
      </c>
      <c r="N44">
        <v>2.086732477</v>
      </c>
      <c r="O44">
        <v>1.29153605</v>
      </c>
      <c r="P44">
        <v>1.214344171</v>
      </c>
      <c r="Q44">
        <v>0.968869123</v>
      </c>
      <c r="R44">
        <v>0.222097273</v>
      </c>
      <c r="S44">
        <v>2.038892541</v>
      </c>
      <c r="T44">
        <v>0.844040962</v>
      </c>
      <c r="U44">
        <v>0.810649604</v>
      </c>
      <c r="V44">
        <v>1.000774666</v>
      </c>
      <c r="W44">
        <v>0.324393359</v>
      </c>
      <c r="X44">
        <v>0.592365337</v>
      </c>
      <c r="Y44">
        <v>1.543617527</v>
      </c>
      <c r="Z44">
        <v>0.56569232</v>
      </c>
      <c r="AA44">
        <v>0.329348974</v>
      </c>
      <c r="AB44">
        <v>0.279092572</v>
      </c>
      <c r="AC44">
        <v>0.374842496</v>
      </c>
      <c r="AD44">
        <v>0.36979356</v>
      </c>
      <c r="AE44">
        <v>2.844134289</v>
      </c>
      <c r="AF44">
        <v>2.781360737</v>
      </c>
      <c r="AG44">
        <v>1.736185562</v>
      </c>
      <c r="AH44">
        <v>1.465163221</v>
      </c>
      <c r="AI44">
        <v>1.043069093</v>
      </c>
      <c r="AJ44">
        <v>0.709334336</v>
      </c>
      <c r="AK44">
        <v>0.468976398</v>
      </c>
      <c r="AL44">
        <v>1.881866703</v>
      </c>
      <c r="AM44">
        <v>1.81900668</v>
      </c>
      <c r="AN44">
        <v>0.763473254</v>
      </c>
      <c r="AO44">
        <v>1.036838504</v>
      </c>
      <c r="AP44">
        <v>1.467181467</v>
      </c>
      <c r="AQ44">
        <v>2.312220847</v>
      </c>
      <c r="AR44">
        <v>1.307115481</v>
      </c>
      <c r="AS44">
        <v>1.000968733</v>
      </c>
      <c r="AT44">
        <v>1.027193035</v>
      </c>
      <c r="AU44">
        <v>0.883672998</v>
      </c>
      <c r="AV44">
        <v>0.87829586</v>
      </c>
    </row>
    <row r="45" spans="1:48">
      <c r="A45" t="s">
        <v>86</v>
      </c>
      <c r="B45" s="10" t="str">
        <f t="shared" si="0"/>
        <v>G/C</v>
      </c>
      <c r="C45">
        <v>1.624040297</v>
      </c>
      <c r="D45">
        <v>0.803837604</v>
      </c>
      <c r="E45">
        <v>0</v>
      </c>
      <c r="F45">
        <v>0.65352934</v>
      </c>
      <c r="G45">
        <v>0.950275746</v>
      </c>
      <c r="H45">
        <v>0.191211016</v>
      </c>
      <c r="I45">
        <v>0.260194473</v>
      </c>
      <c r="J45">
        <v>1.603361478</v>
      </c>
      <c r="K45">
        <v>0.616615594</v>
      </c>
      <c r="L45">
        <v>0.204336125</v>
      </c>
      <c r="M45">
        <v>1.277689315</v>
      </c>
      <c r="N45">
        <v>0.202831067</v>
      </c>
      <c r="O45">
        <v>0.673093985</v>
      </c>
      <c r="P45">
        <v>1.178607742</v>
      </c>
      <c r="Q45">
        <v>1.796442186</v>
      </c>
      <c r="R45">
        <v>2.448798145</v>
      </c>
      <c r="S45">
        <v>0.572664183</v>
      </c>
      <c r="T45">
        <v>1.810734258</v>
      </c>
      <c r="U45">
        <v>1.654809674</v>
      </c>
      <c r="V45">
        <v>0.803586939</v>
      </c>
      <c r="W45">
        <v>2.02665334</v>
      </c>
      <c r="X45">
        <v>1.716642358</v>
      </c>
      <c r="Y45">
        <v>0.735709533</v>
      </c>
      <c r="Z45">
        <v>1.103841155</v>
      </c>
      <c r="AA45">
        <v>2.011230333</v>
      </c>
      <c r="AB45">
        <v>2.618039186</v>
      </c>
      <c r="AC45">
        <v>2.400475213</v>
      </c>
      <c r="AD45">
        <v>2.421183538</v>
      </c>
      <c r="AE45">
        <v>0.051829498</v>
      </c>
      <c r="AF45">
        <v>0.236534373</v>
      </c>
      <c r="AG45">
        <v>0.417113371</v>
      </c>
      <c r="AH45">
        <v>0.72499478</v>
      </c>
      <c r="AI45">
        <v>0.598261872</v>
      </c>
      <c r="AJ45">
        <v>1.59663492</v>
      </c>
      <c r="AK45">
        <v>2.103418928</v>
      </c>
      <c r="AL45">
        <v>0.660955248</v>
      </c>
      <c r="AM45">
        <v>0.686363688</v>
      </c>
      <c r="AN45">
        <v>1.091696235</v>
      </c>
      <c r="AO45">
        <v>0.708143248</v>
      </c>
      <c r="AP45">
        <v>1.304818733</v>
      </c>
      <c r="AQ45">
        <v>0.179949416</v>
      </c>
      <c r="AR45">
        <v>1.07637616</v>
      </c>
      <c r="AS45">
        <v>1.357796633</v>
      </c>
      <c r="AT45">
        <v>1.335891193</v>
      </c>
      <c r="AU45">
        <v>1.483768945</v>
      </c>
      <c r="AV45">
        <v>1.491405175</v>
      </c>
    </row>
    <row r="46" spans="1:48">
      <c r="A46" t="s">
        <v>87</v>
      </c>
      <c r="B46" s="10" t="str">
        <f t="shared" si="0"/>
        <v>G/C</v>
      </c>
      <c r="C46">
        <v>0.59763578</v>
      </c>
      <c r="D46">
        <v>0.556546157</v>
      </c>
      <c r="E46">
        <v>0</v>
      </c>
      <c r="F46">
        <v>0.605224153</v>
      </c>
      <c r="G46">
        <v>0.41030951</v>
      </c>
      <c r="H46">
        <v>0.317640992</v>
      </c>
      <c r="I46">
        <v>0.651754487</v>
      </c>
      <c r="J46">
        <v>0.607246204</v>
      </c>
      <c r="K46">
        <v>0.324480763</v>
      </c>
      <c r="L46">
        <v>0.330174013</v>
      </c>
      <c r="M46">
        <v>0.724443029</v>
      </c>
      <c r="N46">
        <v>0.346371143</v>
      </c>
      <c r="O46">
        <v>0.142899391</v>
      </c>
      <c r="P46">
        <v>0.990303301</v>
      </c>
      <c r="Q46">
        <v>0.657433291</v>
      </c>
      <c r="R46">
        <v>1.153324431</v>
      </c>
      <c r="S46">
        <v>0.44689897</v>
      </c>
      <c r="T46">
        <v>0.75526182</v>
      </c>
      <c r="U46">
        <v>0.093482269</v>
      </c>
      <c r="V46">
        <v>0.557477875</v>
      </c>
      <c r="W46">
        <v>1.003609306</v>
      </c>
      <c r="X46">
        <v>0.515515767</v>
      </c>
      <c r="Y46">
        <v>0.483262047</v>
      </c>
      <c r="Z46">
        <v>0.238046514</v>
      </c>
      <c r="AA46">
        <v>0.98393284</v>
      </c>
      <c r="AB46">
        <v>0.304210903</v>
      </c>
      <c r="AC46">
        <v>0.537711056</v>
      </c>
      <c r="AD46">
        <v>0.521476266</v>
      </c>
      <c r="AE46">
        <v>0.348170502</v>
      </c>
      <c r="AF46">
        <v>0.487774628</v>
      </c>
      <c r="AG46">
        <v>0.339461951</v>
      </c>
      <c r="AH46">
        <v>0.421243127</v>
      </c>
      <c r="AI46">
        <v>0.437989149</v>
      </c>
      <c r="AJ46">
        <v>0.535813826</v>
      </c>
      <c r="AK46">
        <v>0.140244535</v>
      </c>
      <c r="AL46">
        <v>0.331627207</v>
      </c>
      <c r="AM46">
        <v>0.43353106</v>
      </c>
      <c r="AN46">
        <v>0.509607016</v>
      </c>
      <c r="AO46">
        <v>0.629219891</v>
      </c>
      <c r="AP46">
        <v>0.44015444</v>
      </c>
      <c r="AQ46">
        <v>0.445138029</v>
      </c>
      <c r="AR46">
        <v>0.797311559</v>
      </c>
      <c r="AS46">
        <v>0.961417691</v>
      </c>
      <c r="AT46">
        <v>0.954070353</v>
      </c>
      <c r="AU46">
        <v>1.024821876</v>
      </c>
      <c r="AV46">
        <v>1.03095549</v>
      </c>
    </row>
    <row r="47" spans="1:48">
      <c r="A47" t="s">
        <v>88</v>
      </c>
      <c r="B47" s="10" t="str">
        <f t="shared" si="0"/>
        <v>A/T</v>
      </c>
      <c r="C47">
        <v>1.352601861</v>
      </c>
      <c r="D47">
        <v>1.637252837</v>
      </c>
      <c r="E47">
        <v>0</v>
      </c>
      <c r="F47">
        <v>1.528951525</v>
      </c>
      <c r="G47">
        <v>1.795925718</v>
      </c>
      <c r="H47">
        <v>1.475449285</v>
      </c>
      <c r="I47">
        <v>1.06222376</v>
      </c>
      <c r="J47">
        <v>1.353589408</v>
      </c>
      <c r="K47">
        <v>1.7154693</v>
      </c>
      <c r="L47">
        <v>1.114955786</v>
      </c>
      <c r="M47">
        <v>0.369033937</v>
      </c>
      <c r="N47">
        <v>1.364065313</v>
      </c>
      <c r="O47">
        <v>1.892470574</v>
      </c>
      <c r="P47">
        <v>0.616744786</v>
      </c>
      <c r="Q47">
        <v>0.5772554</v>
      </c>
      <c r="R47">
        <v>0.175780152</v>
      </c>
      <c r="S47">
        <v>0.941544306</v>
      </c>
      <c r="T47">
        <v>0.58996296</v>
      </c>
      <c r="U47">
        <v>1.441058454</v>
      </c>
      <c r="V47">
        <v>1.63816052</v>
      </c>
      <c r="W47">
        <v>0.645343995</v>
      </c>
      <c r="X47">
        <v>1.175476538</v>
      </c>
      <c r="Y47">
        <v>1.237410893</v>
      </c>
      <c r="Z47">
        <v>2.092420011</v>
      </c>
      <c r="AA47">
        <v>0.675487852</v>
      </c>
      <c r="AB47">
        <v>0.798657338</v>
      </c>
      <c r="AC47">
        <v>0.686971235</v>
      </c>
      <c r="AD47">
        <v>0.687546636</v>
      </c>
      <c r="AE47">
        <v>0.755865711</v>
      </c>
      <c r="AF47">
        <v>0.494330262</v>
      </c>
      <c r="AG47">
        <v>1.507239116</v>
      </c>
      <c r="AH47">
        <v>1.388598872</v>
      </c>
      <c r="AI47">
        <v>1.920679887</v>
      </c>
      <c r="AJ47">
        <v>1.158216918</v>
      </c>
      <c r="AK47">
        <v>1.287360139</v>
      </c>
      <c r="AL47">
        <v>1.125550842</v>
      </c>
      <c r="AM47">
        <v>1.061098572</v>
      </c>
      <c r="AN47">
        <v>1.635223494</v>
      </c>
      <c r="AO47">
        <v>1.625798358</v>
      </c>
      <c r="AP47">
        <v>0.787845359</v>
      </c>
      <c r="AQ47">
        <v>1.062691707</v>
      </c>
      <c r="AR47">
        <v>0.819196801</v>
      </c>
      <c r="AS47">
        <v>0.679816943</v>
      </c>
      <c r="AT47">
        <v>0.682845419</v>
      </c>
      <c r="AU47">
        <v>0.607736181</v>
      </c>
      <c r="AV47">
        <v>0.599343475</v>
      </c>
    </row>
    <row r="48" spans="1:48">
      <c r="A48" t="s">
        <v>89</v>
      </c>
      <c r="B48" s="10" t="str">
        <f t="shared" si="0"/>
        <v>A/T</v>
      </c>
      <c r="C48">
        <v>0.615792575</v>
      </c>
      <c r="D48">
        <v>0.995365723</v>
      </c>
      <c r="E48">
        <v>0.651744845</v>
      </c>
      <c r="F48">
        <v>0</v>
      </c>
      <c r="G48">
        <v>0.83465359</v>
      </c>
      <c r="H48">
        <v>2.017102226</v>
      </c>
      <c r="I48">
        <v>0.875038653</v>
      </c>
      <c r="J48">
        <v>0.617378473</v>
      </c>
      <c r="K48">
        <v>1.282593227</v>
      </c>
      <c r="L48">
        <v>1.607779799</v>
      </c>
      <c r="M48">
        <v>1.285646076</v>
      </c>
      <c r="N48">
        <v>1.778511295</v>
      </c>
      <c r="O48">
        <v>1.239543315</v>
      </c>
      <c r="P48">
        <v>1.012352689</v>
      </c>
      <c r="Q48">
        <v>0.97961271</v>
      </c>
      <c r="R48">
        <v>0.212781553</v>
      </c>
      <c r="S48">
        <v>1.391529845</v>
      </c>
      <c r="T48">
        <v>0.534448517</v>
      </c>
      <c r="U48">
        <v>0.76263338</v>
      </c>
      <c r="V48">
        <v>0.991774484</v>
      </c>
      <c r="W48">
        <v>0.434699714</v>
      </c>
      <c r="X48">
        <v>0.623726206</v>
      </c>
      <c r="Y48">
        <v>1.349154518</v>
      </c>
      <c r="Z48">
        <v>1.076866955</v>
      </c>
      <c r="AA48">
        <v>0.444797371</v>
      </c>
      <c r="AB48">
        <v>0.223246524</v>
      </c>
      <c r="AC48">
        <v>0.511967254</v>
      </c>
      <c r="AD48">
        <v>0.489794291</v>
      </c>
      <c r="AE48">
        <v>2.301180863</v>
      </c>
      <c r="AF48">
        <v>1.293230202</v>
      </c>
      <c r="AG48">
        <v>1.369061318</v>
      </c>
      <c r="AH48">
        <v>1.329757515</v>
      </c>
      <c r="AI48">
        <v>0.587405934</v>
      </c>
      <c r="AJ48">
        <v>1.151784625</v>
      </c>
      <c r="AK48">
        <v>1.212088594</v>
      </c>
      <c r="AL48">
        <v>1.375412048</v>
      </c>
      <c r="AM48">
        <v>1.442228874</v>
      </c>
      <c r="AN48">
        <v>0.927300546</v>
      </c>
      <c r="AO48">
        <v>0.788032096</v>
      </c>
      <c r="AP48">
        <v>0.927633865</v>
      </c>
      <c r="AQ48">
        <v>1.586574202</v>
      </c>
      <c r="AR48">
        <v>1.421763492</v>
      </c>
      <c r="AS48">
        <v>0.468216032</v>
      </c>
      <c r="AT48">
        <v>0.483003097</v>
      </c>
      <c r="AU48">
        <v>0.368248987</v>
      </c>
      <c r="AV48">
        <v>0.370613251</v>
      </c>
    </row>
    <row r="49" spans="1:48">
      <c r="A49" t="s">
        <v>90</v>
      </c>
      <c r="B49" s="10" t="str">
        <f t="shared" si="0"/>
        <v>G/C</v>
      </c>
      <c r="C49">
        <v>0.863751158</v>
      </c>
      <c r="D49">
        <v>0.824260545</v>
      </c>
      <c r="E49">
        <v>1.683282241</v>
      </c>
      <c r="F49">
        <v>0</v>
      </c>
      <c r="G49">
        <v>0.962823253</v>
      </c>
      <c r="H49">
        <v>0.093157263</v>
      </c>
      <c r="I49">
        <v>0.571585638</v>
      </c>
      <c r="J49">
        <v>0.858543229</v>
      </c>
      <c r="K49">
        <v>0.346923178</v>
      </c>
      <c r="L49">
        <v>0.083102399</v>
      </c>
      <c r="M49">
        <v>0.689883617</v>
      </c>
      <c r="N49">
        <v>0.066379989</v>
      </c>
      <c r="O49">
        <v>0.172717927</v>
      </c>
      <c r="P49">
        <v>0.601343728</v>
      </c>
      <c r="Q49">
        <v>0.849379517</v>
      </c>
      <c r="R49">
        <v>1.057624847</v>
      </c>
      <c r="S49">
        <v>0.566405838</v>
      </c>
      <c r="T49">
        <v>1.491999419</v>
      </c>
      <c r="U49">
        <v>0.430944232</v>
      </c>
      <c r="V49">
        <v>0.825807557</v>
      </c>
      <c r="W49">
        <v>1.51981479</v>
      </c>
      <c r="X49">
        <v>1.119111709</v>
      </c>
      <c r="Y49">
        <v>0.646846648</v>
      </c>
      <c r="Z49">
        <v>0.52540518</v>
      </c>
      <c r="AA49">
        <v>1.486966046</v>
      </c>
      <c r="AB49">
        <v>1.587846662</v>
      </c>
      <c r="AC49">
        <v>2.615171786</v>
      </c>
      <c r="AD49">
        <v>2.644315101</v>
      </c>
      <c r="AE49">
        <v>0.08886905</v>
      </c>
      <c r="AF49">
        <v>0.586987236</v>
      </c>
      <c r="AG49">
        <v>0.377445339</v>
      </c>
      <c r="AH49">
        <v>0.251499236</v>
      </c>
      <c r="AI49">
        <v>0.672779171</v>
      </c>
      <c r="AJ49">
        <v>0.53906645</v>
      </c>
      <c r="AK49">
        <v>0.447857586</v>
      </c>
      <c r="AL49">
        <v>0.536879147</v>
      </c>
      <c r="AM49">
        <v>0.454616624</v>
      </c>
      <c r="AN49">
        <v>0.567169399</v>
      </c>
      <c r="AO49">
        <v>0.52375901</v>
      </c>
      <c r="AP49">
        <v>0.477985404</v>
      </c>
      <c r="AQ49">
        <v>0.174424411</v>
      </c>
      <c r="AR49">
        <v>0.549690357</v>
      </c>
      <c r="AS49">
        <v>0.950423969</v>
      </c>
      <c r="AT49">
        <v>0.938542483</v>
      </c>
      <c r="AU49">
        <v>1.032038708</v>
      </c>
      <c r="AV49">
        <v>1.027940066</v>
      </c>
    </row>
    <row r="50" spans="1:48">
      <c r="A50" t="s">
        <v>91</v>
      </c>
      <c r="B50" s="10" t="str">
        <f t="shared" si="0"/>
        <v>G/C</v>
      </c>
      <c r="C50">
        <v>1.485689031</v>
      </c>
      <c r="D50">
        <v>0.963502403</v>
      </c>
      <c r="E50">
        <v>1.159086773</v>
      </c>
      <c r="F50">
        <v>0</v>
      </c>
      <c r="G50">
        <v>0.618802129</v>
      </c>
      <c r="H50">
        <v>0.222144242</v>
      </c>
      <c r="I50">
        <v>0.740010308</v>
      </c>
      <c r="J50">
        <v>1.490326375</v>
      </c>
      <c r="K50">
        <v>0.346817763</v>
      </c>
      <c r="L50">
        <v>0.226865469</v>
      </c>
      <c r="M50">
        <v>1.298239332</v>
      </c>
      <c r="N50">
        <v>0.208951608</v>
      </c>
      <c r="O50">
        <v>0.298685136</v>
      </c>
      <c r="P50">
        <v>1.542244448</v>
      </c>
      <c r="Q50">
        <v>1.365607528</v>
      </c>
      <c r="R50">
        <v>2.527074149</v>
      </c>
      <c r="S50">
        <v>0.974505104</v>
      </c>
      <c r="T50">
        <v>1.395508049</v>
      </c>
      <c r="U50">
        <v>0.572277028</v>
      </c>
      <c r="V50">
        <v>0.964184731</v>
      </c>
      <c r="W50">
        <v>0.801743157</v>
      </c>
      <c r="X50">
        <v>0.595846953</v>
      </c>
      <c r="Y50">
        <v>1.139165469</v>
      </c>
      <c r="Z50">
        <v>0.460367919</v>
      </c>
      <c r="AA50">
        <v>0.784008762</v>
      </c>
      <c r="AB50">
        <v>1.492893908</v>
      </c>
      <c r="AC50">
        <v>0.434118517</v>
      </c>
      <c r="AD50">
        <v>0.424732897</v>
      </c>
      <c r="AE50">
        <v>0.281865033</v>
      </c>
      <c r="AF50">
        <v>0.947628056</v>
      </c>
      <c r="AG50">
        <v>0.616519105</v>
      </c>
      <c r="AH50">
        <v>0.788021008</v>
      </c>
      <c r="AI50">
        <v>0.675201107</v>
      </c>
      <c r="AJ50">
        <v>1.323638646</v>
      </c>
      <c r="AK50">
        <v>0.887435314</v>
      </c>
      <c r="AL50">
        <v>0.849826836</v>
      </c>
      <c r="AM50">
        <v>0.954962008</v>
      </c>
      <c r="AN50">
        <v>1.451453552</v>
      </c>
      <c r="AO50">
        <v>0.403427173</v>
      </c>
      <c r="AP50">
        <v>1.746945759</v>
      </c>
      <c r="AQ50">
        <v>0.366601942</v>
      </c>
      <c r="AR50">
        <v>1.05585373</v>
      </c>
      <c r="AS50">
        <v>1.844404154</v>
      </c>
      <c r="AT50">
        <v>1.811895966</v>
      </c>
      <c r="AU50">
        <v>1.988793997</v>
      </c>
      <c r="AV50">
        <v>1.998807679</v>
      </c>
    </row>
    <row r="51" spans="1:48">
      <c r="A51" t="s">
        <v>92</v>
      </c>
      <c r="B51" s="10" t="str">
        <f t="shared" si="0"/>
        <v>A/T</v>
      </c>
      <c r="C51">
        <v>1.034767236</v>
      </c>
      <c r="D51">
        <v>1.216871329</v>
      </c>
      <c r="E51">
        <v>0.505886141</v>
      </c>
      <c r="F51">
        <v>0</v>
      </c>
      <c r="G51">
        <v>1.583721028</v>
      </c>
      <c r="H51">
        <v>1.667596269</v>
      </c>
      <c r="I51">
        <v>1.813365401</v>
      </c>
      <c r="J51">
        <v>1.033751922</v>
      </c>
      <c r="K51">
        <v>2.023665832</v>
      </c>
      <c r="L51">
        <v>2.082252333</v>
      </c>
      <c r="M51">
        <v>0.726230976</v>
      </c>
      <c r="N51">
        <v>1.946157107</v>
      </c>
      <c r="O51">
        <v>2.289053623</v>
      </c>
      <c r="P51">
        <v>0.844059136</v>
      </c>
      <c r="Q51">
        <v>0.805400245</v>
      </c>
      <c r="R51">
        <v>0.202519451</v>
      </c>
      <c r="S51">
        <v>1.067559214</v>
      </c>
      <c r="T51">
        <v>0.578044015</v>
      </c>
      <c r="U51">
        <v>2.234145359</v>
      </c>
      <c r="V51">
        <v>1.218233228</v>
      </c>
      <c r="W51">
        <v>1.24374234</v>
      </c>
      <c r="X51">
        <v>1.661315132</v>
      </c>
      <c r="Y51">
        <v>0.864833365</v>
      </c>
      <c r="Z51">
        <v>1.937359946</v>
      </c>
      <c r="AA51">
        <v>1.28422782</v>
      </c>
      <c r="AB51">
        <v>0.696012906</v>
      </c>
      <c r="AC51">
        <v>0.438742443</v>
      </c>
      <c r="AD51">
        <v>0.44115771</v>
      </c>
      <c r="AE51">
        <v>1.328085055</v>
      </c>
      <c r="AF51">
        <v>1.172154506</v>
      </c>
      <c r="AG51">
        <v>1.636974237</v>
      </c>
      <c r="AH51">
        <v>1.630722241</v>
      </c>
      <c r="AI51">
        <v>2.064613788</v>
      </c>
      <c r="AJ51">
        <v>0.985510279</v>
      </c>
      <c r="AK51">
        <v>1.452618505</v>
      </c>
      <c r="AL51">
        <v>1.23788197</v>
      </c>
      <c r="AM51">
        <v>1.148192494</v>
      </c>
      <c r="AN51">
        <v>1.054076503</v>
      </c>
      <c r="AO51">
        <v>2.284781722</v>
      </c>
      <c r="AP51">
        <v>0.847434972</v>
      </c>
      <c r="AQ51">
        <v>1.872399445</v>
      </c>
      <c r="AR51">
        <v>0.972692421</v>
      </c>
      <c r="AS51">
        <v>0.736955845</v>
      </c>
      <c r="AT51">
        <v>0.766558454</v>
      </c>
      <c r="AU51">
        <v>0.610918309</v>
      </c>
      <c r="AV51">
        <v>0.602639005</v>
      </c>
    </row>
    <row r="52" spans="1:48">
      <c r="A52" t="s">
        <v>93</v>
      </c>
      <c r="B52" s="10" t="str">
        <f t="shared" si="0"/>
        <v>A/T</v>
      </c>
      <c r="C52">
        <v>1.919972164</v>
      </c>
      <c r="D52">
        <v>2.078282828</v>
      </c>
      <c r="E52">
        <v>0</v>
      </c>
      <c r="F52">
        <v>2.085181452</v>
      </c>
      <c r="G52">
        <v>1.780061216</v>
      </c>
      <c r="H52">
        <v>2.230769231</v>
      </c>
      <c r="I52">
        <v>2.180412371</v>
      </c>
      <c r="J52">
        <v>1.903269755</v>
      </c>
      <c r="K52">
        <v>2.130333139</v>
      </c>
      <c r="L52">
        <v>2.252918288</v>
      </c>
      <c r="M52">
        <v>1.543273611</v>
      </c>
      <c r="N52">
        <v>2.192092154</v>
      </c>
      <c r="O52">
        <v>1.563405262</v>
      </c>
      <c r="P52">
        <v>1.475363679</v>
      </c>
      <c r="Q52">
        <v>1.643419573</v>
      </c>
      <c r="R52">
        <v>1.163250366</v>
      </c>
      <c r="S52">
        <v>1.758023107</v>
      </c>
      <c r="T52">
        <v>0.93977231</v>
      </c>
      <c r="U52">
        <v>2.1462815</v>
      </c>
      <c r="V52">
        <v>2.073047859</v>
      </c>
      <c r="W52">
        <v>1.761927481</v>
      </c>
      <c r="X52">
        <v>1.749196141</v>
      </c>
      <c r="Y52">
        <v>1.850958126</v>
      </c>
      <c r="Z52">
        <v>2.0953125</v>
      </c>
      <c r="AA52">
        <v>1.893141946</v>
      </c>
      <c r="AB52">
        <v>1.224358974</v>
      </c>
      <c r="AC52">
        <v>1.551270815</v>
      </c>
      <c r="AD52">
        <v>1.554432706</v>
      </c>
      <c r="AE52">
        <v>2.077290837</v>
      </c>
      <c r="AF52">
        <v>1.711903659</v>
      </c>
      <c r="AG52">
        <v>1.774440197</v>
      </c>
      <c r="AH52">
        <v>1.911990549</v>
      </c>
      <c r="AI52">
        <v>2.034660422</v>
      </c>
      <c r="AJ52">
        <v>1.846582467</v>
      </c>
      <c r="AK52">
        <v>2.00327562</v>
      </c>
      <c r="AL52">
        <v>1.766606822</v>
      </c>
      <c r="AM52">
        <v>1.713254751</v>
      </c>
      <c r="AN52">
        <v>2.26937799</v>
      </c>
      <c r="AO52">
        <v>1.967555041</v>
      </c>
      <c r="AP52">
        <v>1.62225097</v>
      </c>
      <c r="AQ52">
        <v>2.142416452</v>
      </c>
      <c r="AR52">
        <v>1.758893281</v>
      </c>
      <c r="AS52">
        <v>0</v>
      </c>
      <c r="AT52">
        <v>0</v>
      </c>
      <c r="AU52">
        <v>0</v>
      </c>
      <c r="AV52">
        <v>0</v>
      </c>
    </row>
    <row r="53" spans="1:48">
      <c r="A53" t="s">
        <v>94</v>
      </c>
      <c r="B53" s="10" t="str">
        <f t="shared" si="0"/>
        <v>G/C</v>
      </c>
      <c r="C53">
        <v>0.864316832</v>
      </c>
      <c r="D53">
        <v>0.399669279</v>
      </c>
      <c r="E53">
        <v>1.047310434</v>
      </c>
      <c r="F53">
        <v>0.66612524</v>
      </c>
      <c r="G53">
        <v>0.262245081</v>
      </c>
      <c r="H53">
        <v>0.364028538</v>
      </c>
      <c r="I53">
        <v>0.377176837</v>
      </c>
      <c r="J53">
        <v>0.855793531</v>
      </c>
      <c r="K53">
        <v>0.550767191</v>
      </c>
      <c r="L53">
        <v>0.328121995</v>
      </c>
      <c r="M53">
        <v>0.616172978</v>
      </c>
      <c r="N53">
        <v>0.242165505</v>
      </c>
      <c r="O53">
        <v>0.181641006</v>
      </c>
      <c r="P53">
        <v>0.596105554</v>
      </c>
      <c r="Q53">
        <v>0.733001022</v>
      </c>
      <c r="R53">
        <v>1.540519599</v>
      </c>
      <c r="S53">
        <v>0.573312449</v>
      </c>
      <c r="T53">
        <v>0.831671135</v>
      </c>
      <c r="U53">
        <v>0.687676056</v>
      </c>
      <c r="V53">
        <v>0.400258835</v>
      </c>
      <c r="W53">
        <v>1.368904974</v>
      </c>
      <c r="X53">
        <v>0.801363867</v>
      </c>
      <c r="Y53">
        <v>0.608889018</v>
      </c>
      <c r="Z53">
        <v>0.86294964</v>
      </c>
      <c r="AA53">
        <v>1.332482951</v>
      </c>
      <c r="AB53">
        <v>1.242135519</v>
      </c>
      <c r="AC53">
        <v>0.837726831</v>
      </c>
      <c r="AD53">
        <v>0.844544628</v>
      </c>
      <c r="AE53">
        <v>0.258213291</v>
      </c>
      <c r="AF53">
        <v>0.355675165</v>
      </c>
      <c r="AG53">
        <v>0.516215448</v>
      </c>
      <c r="AH53">
        <v>0.283353636</v>
      </c>
      <c r="AI53">
        <v>0.682978308</v>
      </c>
      <c r="AJ53">
        <v>0.628690472</v>
      </c>
      <c r="AK53">
        <v>0.68392048</v>
      </c>
      <c r="AL53">
        <v>0.495515796</v>
      </c>
      <c r="AM53">
        <v>0.503477596</v>
      </c>
      <c r="AN53">
        <v>0.399943042</v>
      </c>
      <c r="AO53">
        <v>0.869583161</v>
      </c>
      <c r="AP53">
        <v>1.1153327</v>
      </c>
      <c r="AQ53">
        <v>0.273991265</v>
      </c>
      <c r="AR53">
        <v>0.545854645</v>
      </c>
      <c r="AS53">
        <v>1.140068368</v>
      </c>
      <c r="AT53">
        <v>1.115120723</v>
      </c>
      <c r="AU53">
        <v>1.237425738</v>
      </c>
      <c r="AV53">
        <v>1.245175192</v>
      </c>
    </row>
    <row r="54" spans="1:48">
      <c r="A54" t="s">
        <v>95</v>
      </c>
      <c r="B54" s="10" t="str">
        <f t="shared" si="0"/>
        <v>G/C</v>
      </c>
      <c r="C54">
        <v>0.212943633</v>
      </c>
      <c r="D54">
        <v>0.544191919</v>
      </c>
      <c r="E54">
        <v>0</v>
      </c>
      <c r="F54">
        <v>0.591229839</v>
      </c>
      <c r="G54">
        <v>0.775251421</v>
      </c>
      <c r="H54">
        <v>0.635683761</v>
      </c>
      <c r="I54">
        <v>0.575478645</v>
      </c>
      <c r="J54">
        <v>0.226839237</v>
      </c>
      <c r="K54">
        <v>0.675043834</v>
      </c>
      <c r="L54">
        <v>0.646268129</v>
      </c>
      <c r="M54">
        <v>0.913756453</v>
      </c>
      <c r="N54">
        <v>0.667808219</v>
      </c>
      <c r="O54">
        <v>0.59592078</v>
      </c>
      <c r="P54">
        <v>0.529798217</v>
      </c>
      <c r="Q54">
        <v>0.416197975</v>
      </c>
      <c r="R54">
        <v>0.774524158</v>
      </c>
      <c r="S54">
        <v>0.799101412</v>
      </c>
      <c r="T54">
        <v>0.558575101</v>
      </c>
      <c r="U54">
        <v>0.193607867</v>
      </c>
      <c r="V54">
        <v>0.546599496</v>
      </c>
      <c r="W54">
        <v>0.739980916</v>
      </c>
      <c r="X54">
        <v>0.807073955</v>
      </c>
      <c r="Y54">
        <v>0.440738112</v>
      </c>
      <c r="Z54">
        <v>0.6640625</v>
      </c>
      <c r="AA54">
        <v>0.692185008</v>
      </c>
      <c r="AB54">
        <v>1.459935897</v>
      </c>
      <c r="AC54">
        <v>0.604732691</v>
      </c>
      <c r="AD54">
        <v>0.633899862</v>
      </c>
      <c r="AE54">
        <v>0.744621514</v>
      </c>
      <c r="AF54">
        <v>0.762853173</v>
      </c>
      <c r="AG54">
        <v>0.973238667</v>
      </c>
      <c r="AH54">
        <v>0.290608387</v>
      </c>
      <c r="AI54">
        <v>0.49882904</v>
      </c>
      <c r="AJ54">
        <v>0.186106984</v>
      </c>
      <c r="AK54">
        <v>0.307440337</v>
      </c>
      <c r="AL54">
        <v>0.392280072</v>
      </c>
      <c r="AM54">
        <v>0.443829685</v>
      </c>
      <c r="AN54">
        <v>0.43492823</v>
      </c>
      <c r="AO54">
        <v>0.724797219</v>
      </c>
      <c r="AP54">
        <v>1.0614489</v>
      </c>
      <c r="AQ54">
        <v>0.612339332</v>
      </c>
      <c r="AR54">
        <v>0.229249012</v>
      </c>
      <c r="AS54">
        <v>0</v>
      </c>
      <c r="AT54">
        <v>0</v>
      </c>
      <c r="AU54">
        <v>0</v>
      </c>
      <c r="AV54">
        <v>0</v>
      </c>
    </row>
    <row r="55" spans="1:48">
      <c r="A55" t="s">
        <v>96</v>
      </c>
      <c r="B55" s="10" t="str">
        <f t="shared" si="0"/>
        <v>A/T</v>
      </c>
      <c r="C55">
        <v>1.135683168</v>
      </c>
      <c r="D55">
        <v>1.600330721</v>
      </c>
      <c r="E55">
        <v>0.952689566</v>
      </c>
      <c r="F55">
        <v>1.33387476</v>
      </c>
      <c r="G55">
        <v>1.737754919</v>
      </c>
      <c r="H55">
        <v>1.635971462</v>
      </c>
      <c r="I55">
        <v>1.622823163</v>
      </c>
      <c r="J55">
        <v>1.144206469</v>
      </c>
      <c r="K55">
        <v>1.449232809</v>
      </c>
      <c r="L55">
        <v>1.671878005</v>
      </c>
      <c r="M55">
        <v>1.383827022</v>
      </c>
      <c r="N55">
        <v>1.757834495</v>
      </c>
      <c r="O55">
        <v>1.818358994</v>
      </c>
      <c r="P55">
        <v>1.403894446</v>
      </c>
      <c r="Q55">
        <v>1.266998978</v>
      </c>
      <c r="R55">
        <v>0.459480401</v>
      </c>
      <c r="S55">
        <v>1.426687551</v>
      </c>
      <c r="T55">
        <v>1.168328865</v>
      </c>
      <c r="U55">
        <v>1.312323944</v>
      </c>
      <c r="V55">
        <v>1.599741165</v>
      </c>
      <c r="W55">
        <v>0.631095026</v>
      </c>
      <c r="X55">
        <v>1.198636133</v>
      </c>
      <c r="Y55">
        <v>1.391110982</v>
      </c>
      <c r="Z55">
        <v>1.13705036</v>
      </c>
      <c r="AA55">
        <v>0.667517049</v>
      </c>
      <c r="AB55">
        <v>0.757864481</v>
      </c>
      <c r="AC55">
        <v>1.162273169</v>
      </c>
      <c r="AD55">
        <v>1.155455372</v>
      </c>
      <c r="AE55">
        <v>1.741786709</v>
      </c>
      <c r="AF55">
        <v>1.644324835</v>
      </c>
      <c r="AG55">
        <v>1.483784552</v>
      </c>
      <c r="AH55">
        <v>1.716646364</v>
      </c>
      <c r="AI55">
        <v>1.317021692</v>
      </c>
      <c r="AJ55">
        <v>1.371309528</v>
      </c>
      <c r="AK55">
        <v>1.31607952</v>
      </c>
      <c r="AL55">
        <v>1.504484204</v>
      </c>
      <c r="AM55">
        <v>1.496522404</v>
      </c>
      <c r="AN55">
        <v>1.600056958</v>
      </c>
      <c r="AO55">
        <v>1.130416839</v>
      </c>
      <c r="AP55">
        <v>0.8846673</v>
      </c>
      <c r="AQ55">
        <v>1.726008735</v>
      </c>
      <c r="AR55">
        <v>1.454145355</v>
      </c>
      <c r="AS55">
        <v>0.859931632</v>
      </c>
      <c r="AT55">
        <v>0.884879277</v>
      </c>
      <c r="AU55">
        <v>0.762574262</v>
      </c>
      <c r="AV55">
        <v>0.754824808</v>
      </c>
    </row>
    <row r="56" spans="1:48">
      <c r="A56" t="s">
        <v>97</v>
      </c>
      <c r="B56" s="10" t="str">
        <f t="shared" si="0"/>
        <v>A/T</v>
      </c>
      <c r="C56">
        <v>0.73198527</v>
      </c>
      <c r="D56">
        <v>1.3648173</v>
      </c>
      <c r="E56">
        <v>0</v>
      </c>
      <c r="F56">
        <v>0</v>
      </c>
      <c r="G56">
        <v>1.672433622</v>
      </c>
      <c r="H56">
        <v>1.688362991</v>
      </c>
      <c r="I56">
        <v>2.011132245</v>
      </c>
      <c r="J56">
        <v>0.738053828</v>
      </c>
      <c r="K56">
        <v>1.568013478</v>
      </c>
      <c r="L56">
        <v>1.938610142</v>
      </c>
      <c r="M56">
        <v>0.71140616</v>
      </c>
      <c r="N56">
        <v>1.896480266</v>
      </c>
      <c r="O56">
        <v>1.813718485</v>
      </c>
      <c r="P56">
        <v>0.408067882</v>
      </c>
      <c r="Q56">
        <v>0.450296076</v>
      </c>
      <c r="R56">
        <v>0.128951835</v>
      </c>
      <c r="S56">
        <v>1.02890479</v>
      </c>
      <c r="T56">
        <v>0.721526718</v>
      </c>
      <c r="U56">
        <v>1.863101036</v>
      </c>
      <c r="V56">
        <v>1.362849332</v>
      </c>
      <c r="W56">
        <v>1.055010176</v>
      </c>
      <c r="X56">
        <v>1.304988461</v>
      </c>
      <c r="Y56">
        <v>0.861476624</v>
      </c>
      <c r="Z56">
        <v>1.940661116</v>
      </c>
      <c r="AA56">
        <v>1.097433116</v>
      </c>
      <c r="AB56">
        <v>0.240218673</v>
      </c>
      <c r="AC56">
        <v>0.314062132</v>
      </c>
      <c r="AD56">
        <v>0.312736514</v>
      </c>
      <c r="AE56">
        <v>1.498976668</v>
      </c>
      <c r="AF56">
        <v>0.681081081</v>
      </c>
      <c r="AG56">
        <v>1.774209451</v>
      </c>
      <c r="AH56">
        <v>0.86829653</v>
      </c>
      <c r="AI56">
        <v>1.959908418</v>
      </c>
      <c r="AJ56">
        <v>0.364563809</v>
      </c>
      <c r="AK56">
        <v>0.329382941</v>
      </c>
      <c r="AL56">
        <v>0.953578847</v>
      </c>
      <c r="AM56">
        <v>0.938979091</v>
      </c>
      <c r="AN56">
        <v>0.891422223</v>
      </c>
      <c r="AO56">
        <v>1.683263045</v>
      </c>
      <c r="AP56">
        <v>0.279778018</v>
      </c>
      <c r="AQ56">
        <v>1.813953488</v>
      </c>
      <c r="AR56">
        <v>0.629131325</v>
      </c>
      <c r="AS56">
        <v>0.845271829</v>
      </c>
      <c r="AT56">
        <v>0.865272954</v>
      </c>
      <c r="AU56">
        <v>0.733935302</v>
      </c>
      <c r="AV56">
        <v>0.740312759</v>
      </c>
    </row>
    <row r="57" spans="1:48">
      <c r="A57" t="s">
        <v>98</v>
      </c>
      <c r="B57" s="10" t="str">
        <f t="shared" si="0"/>
        <v>G/C</v>
      </c>
      <c r="C57">
        <v>0.894476387</v>
      </c>
      <c r="D57">
        <v>0.383783647</v>
      </c>
      <c r="E57">
        <v>0</v>
      </c>
      <c r="F57">
        <v>0</v>
      </c>
      <c r="G57">
        <v>0.534476724</v>
      </c>
      <c r="H57">
        <v>0.106548762</v>
      </c>
      <c r="I57">
        <v>0.230413455</v>
      </c>
      <c r="J57">
        <v>0.897661441</v>
      </c>
      <c r="K57">
        <v>0.310918756</v>
      </c>
      <c r="L57">
        <v>0.226777569</v>
      </c>
      <c r="M57">
        <v>1.536744117</v>
      </c>
      <c r="N57">
        <v>0.118832556</v>
      </c>
      <c r="O57">
        <v>0.216188629</v>
      </c>
      <c r="P57">
        <v>2.149463726</v>
      </c>
      <c r="Q57">
        <v>1.405288159</v>
      </c>
      <c r="R57">
        <v>2.853521169</v>
      </c>
      <c r="S57">
        <v>1.048048785</v>
      </c>
      <c r="T57">
        <v>1.246208651</v>
      </c>
      <c r="U57">
        <v>0.454617905</v>
      </c>
      <c r="V57">
        <v>0.385176185</v>
      </c>
      <c r="W57">
        <v>1.287202203</v>
      </c>
      <c r="X57">
        <v>0.63571809</v>
      </c>
      <c r="Y57">
        <v>0.881341231</v>
      </c>
      <c r="Z57">
        <v>0.366285572</v>
      </c>
      <c r="AA57">
        <v>1.25</v>
      </c>
      <c r="AB57">
        <v>1.527334119</v>
      </c>
      <c r="AC57">
        <v>1.506713078</v>
      </c>
      <c r="AD57">
        <v>1.516117449</v>
      </c>
      <c r="AE57">
        <v>0.12675672</v>
      </c>
      <c r="AF57">
        <v>1.13985258</v>
      </c>
      <c r="AG57">
        <v>0.318754842</v>
      </c>
      <c r="AH57">
        <v>0.212751759</v>
      </c>
      <c r="AI57">
        <v>0.206060016</v>
      </c>
      <c r="AJ57">
        <v>1.765024081</v>
      </c>
      <c r="AK57">
        <v>1.213947923</v>
      </c>
      <c r="AL57">
        <v>1.121921466</v>
      </c>
      <c r="AM57">
        <v>1.241235381</v>
      </c>
      <c r="AN57">
        <v>0.913957733</v>
      </c>
      <c r="AO57">
        <v>0.47812677</v>
      </c>
      <c r="AP57">
        <v>2.28553059</v>
      </c>
      <c r="AQ57">
        <v>0.178443649</v>
      </c>
      <c r="AR57">
        <v>1.888052062</v>
      </c>
      <c r="AS57">
        <v>1.274475706</v>
      </c>
      <c r="AT57">
        <v>1.253393914</v>
      </c>
      <c r="AU57">
        <v>1.405873116</v>
      </c>
      <c r="AV57">
        <v>1.400983739</v>
      </c>
    </row>
    <row r="58" spans="1:48">
      <c r="A58" t="s">
        <v>99</v>
      </c>
      <c r="B58" s="10" t="str">
        <f t="shared" si="0"/>
        <v>G/C</v>
      </c>
      <c r="C58">
        <v>0.925486143</v>
      </c>
      <c r="D58">
        <v>0.43923932</v>
      </c>
      <c r="E58">
        <v>0</v>
      </c>
      <c r="F58">
        <v>0</v>
      </c>
      <c r="G58">
        <v>0.285314266</v>
      </c>
      <c r="H58">
        <v>0.141014025</v>
      </c>
      <c r="I58">
        <v>0.486294924</v>
      </c>
      <c r="J58">
        <v>0.918081606</v>
      </c>
      <c r="K58">
        <v>0.232666221</v>
      </c>
      <c r="L58">
        <v>0.031768178</v>
      </c>
      <c r="M58">
        <v>0.523374191</v>
      </c>
      <c r="N58">
        <v>0.10554457</v>
      </c>
      <c r="O58">
        <v>0.148514851</v>
      </c>
      <c r="P58">
        <v>0.503992844</v>
      </c>
      <c r="Q58">
        <v>1.15541288</v>
      </c>
      <c r="R58">
        <v>0.604028055</v>
      </c>
      <c r="S58">
        <v>0.540562992</v>
      </c>
      <c r="T58">
        <v>1.608244275</v>
      </c>
      <c r="U58">
        <v>0.854688745</v>
      </c>
      <c r="V58">
        <v>0.440309842</v>
      </c>
      <c r="W58">
        <v>0.290195139</v>
      </c>
      <c r="X58">
        <v>0.865258299</v>
      </c>
      <c r="Y58">
        <v>0.961243918</v>
      </c>
      <c r="Z58">
        <v>0.272896732</v>
      </c>
      <c r="AA58">
        <v>0.28615329</v>
      </c>
      <c r="AB58">
        <v>1.837978347</v>
      </c>
      <c r="AC58">
        <v>1.26095946</v>
      </c>
      <c r="AD58">
        <v>1.279617711</v>
      </c>
      <c r="AE58">
        <v>0.071360349</v>
      </c>
      <c r="AF58">
        <v>0.410859951</v>
      </c>
      <c r="AG58">
        <v>0.512571308</v>
      </c>
      <c r="AH58">
        <v>0.194552293</v>
      </c>
      <c r="AI58">
        <v>0.369154326</v>
      </c>
      <c r="AJ58">
        <v>0.198154167</v>
      </c>
      <c r="AK58">
        <v>0.501509885</v>
      </c>
      <c r="AL58">
        <v>0.36497313</v>
      </c>
      <c r="AM58">
        <v>0.293593395</v>
      </c>
      <c r="AN58">
        <v>0.654005872</v>
      </c>
      <c r="AO58">
        <v>0.450934727</v>
      </c>
      <c r="AP58">
        <v>0.741878722</v>
      </c>
      <c r="AQ58">
        <v>0.172070662</v>
      </c>
      <c r="AR58">
        <v>0.456712489</v>
      </c>
      <c r="AS58">
        <v>0.398151548</v>
      </c>
      <c r="AT58">
        <v>0.388120959</v>
      </c>
      <c r="AU58">
        <v>0.465075377</v>
      </c>
      <c r="AV58">
        <v>0.466720896</v>
      </c>
    </row>
    <row r="59" spans="1:48">
      <c r="A59" t="s">
        <v>100</v>
      </c>
      <c r="B59" s="10" t="str">
        <f t="shared" si="0"/>
        <v>A/T</v>
      </c>
      <c r="C59">
        <v>0.875405388</v>
      </c>
      <c r="D59">
        <v>1.338228964</v>
      </c>
      <c r="E59">
        <v>0</v>
      </c>
      <c r="F59">
        <v>0</v>
      </c>
      <c r="G59">
        <v>1.287064353</v>
      </c>
      <c r="H59">
        <v>1.780777733</v>
      </c>
      <c r="I59">
        <v>1.25766343</v>
      </c>
      <c r="J59">
        <v>0.869733862</v>
      </c>
      <c r="K59">
        <v>1.535771342</v>
      </c>
      <c r="L59">
        <v>1.538824792</v>
      </c>
      <c r="M59">
        <v>0.955736459</v>
      </c>
      <c r="N59">
        <v>1.507332121</v>
      </c>
      <c r="O59">
        <v>1.278758804</v>
      </c>
      <c r="P59">
        <v>0.64435079</v>
      </c>
      <c r="Q59">
        <v>0.650066156</v>
      </c>
      <c r="R59">
        <v>0.199600499</v>
      </c>
      <c r="S59">
        <v>1.150565446</v>
      </c>
      <c r="T59">
        <v>0.690788804</v>
      </c>
      <c r="U59">
        <v>0.958292748</v>
      </c>
      <c r="V59">
        <v>1.338092345</v>
      </c>
      <c r="W59">
        <v>0.727642763</v>
      </c>
      <c r="X59">
        <v>0.707260785</v>
      </c>
      <c r="Y59">
        <v>1.219103025</v>
      </c>
      <c r="Z59">
        <v>1.148254008</v>
      </c>
      <c r="AA59">
        <v>0.731200289</v>
      </c>
      <c r="AB59">
        <v>0.505198842</v>
      </c>
      <c r="AC59">
        <v>0.61132194</v>
      </c>
      <c r="AD59">
        <v>0.618512278</v>
      </c>
      <c r="AE59">
        <v>2.089780325</v>
      </c>
      <c r="AF59">
        <v>1.715970516</v>
      </c>
      <c r="AG59">
        <v>1.489118952</v>
      </c>
      <c r="AH59">
        <v>1.452499393</v>
      </c>
      <c r="AI59">
        <v>1.345235776</v>
      </c>
      <c r="AJ59">
        <v>1.369000451</v>
      </c>
      <c r="AK59">
        <v>0.87977893</v>
      </c>
      <c r="AL59">
        <v>1.347631136</v>
      </c>
      <c r="AM59">
        <v>1.337629779</v>
      </c>
      <c r="AN59">
        <v>1.18755786</v>
      </c>
      <c r="AO59">
        <v>0.992320765</v>
      </c>
      <c r="AP59">
        <v>0.671426638</v>
      </c>
      <c r="AQ59">
        <v>1.84078712</v>
      </c>
      <c r="AR59">
        <v>1.19947353</v>
      </c>
      <c r="AS59">
        <v>1.123246292</v>
      </c>
      <c r="AT59">
        <v>1.142166889</v>
      </c>
      <c r="AU59">
        <v>0.988285176</v>
      </c>
      <c r="AV59">
        <v>0.980880195</v>
      </c>
    </row>
    <row r="60" spans="1:48">
      <c r="A60" t="s">
        <v>101</v>
      </c>
      <c r="B60" s="10" t="str">
        <f t="shared" si="0"/>
        <v>A/T</v>
      </c>
      <c r="C60">
        <v>0.867084203</v>
      </c>
      <c r="D60">
        <v>0.377525253</v>
      </c>
      <c r="E60">
        <v>0</v>
      </c>
      <c r="F60">
        <v>0.32358871</v>
      </c>
      <c r="G60">
        <v>0.444687363</v>
      </c>
      <c r="H60">
        <v>0.133547009</v>
      </c>
      <c r="I60">
        <v>0.244108984</v>
      </c>
      <c r="J60">
        <v>0.869891008</v>
      </c>
      <c r="K60">
        <v>0.194623027</v>
      </c>
      <c r="L60">
        <v>0.100813583</v>
      </c>
      <c r="M60">
        <v>0.542969936</v>
      </c>
      <c r="N60">
        <v>0.140099626</v>
      </c>
      <c r="O60">
        <v>0.840673958</v>
      </c>
      <c r="P60">
        <v>0.994838104</v>
      </c>
      <c r="Q60">
        <v>0.940382452</v>
      </c>
      <c r="R60">
        <v>1.062225476</v>
      </c>
      <c r="S60">
        <v>0.442875481</v>
      </c>
      <c r="T60">
        <v>1.501652589</v>
      </c>
      <c r="U60">
        <v>0.660110633</v>
      </c>
      <c r="V60">
        <v>0.380352645</v>
      </c>
      <c r="W60">
        <v>0.498091603</v>
      </c>
      <c r="X60">
        <v>0.443729904</v>
      </c>
      <c r="Y60">
        <v>0.708303762</v>
      </c>
      <c r="Z60">
        <v>0.240625</v>
      </c>
      <c r="AA60">
        <v>0.414673046</v>
      </c>
      <c r="AB60">
        <v>0.315705128</v>
      </c>
      <c r="AC60">
        <v>0.843996494</v>
      </c>
      <c r="AD60">
        <v>0.811667432</v>
      </c>
      <c r="AE60">
        <v>0.178087649</v>
      </c>
      <c r="AF60">
        <v>0.525243168</v>
      </c>
      <c r="AG60">
        <v>0.252321136</v>
      </c>
      <c r="AH60">
        <v>0.797401063</v>
      </c>
      <c r="AI60">
        <v>0.466510539</v>
      </c>
      <c r="AJ60">
        <v>0.96731055</v>
      </c>
      <c r="AK60">
        <v>0.689284043</v>
      </c>
      <c r="AL60">
        <v>0.841113106</v>
      </c>
      <c r="AM60">
        <v>0.842915564</v>
      </c>
      <c r="AN60">
        <v>0.29569378</v>
      </c>
      <c r="AO60">
        <v>0.30764774</v>
      </c>
      <c r="AP60">
        <v>0.316300129</v>
      </c>
      <c r="AQ60">
        <v>0.245244216</v>
      </c>
      <c r="AR60">
        <v>1.011857708</v>
      </c>
      <c r="AS60">
        <v>0</v>
      </c>
      <c r="AT60">
        <v>0</v>
      </c>
      <c r="AU60">
        <v>0</v>
      </c>
      <c r="AV60">
        <v>0</v>
      </c>
    </row>
    <row r="61" spans="1:48">
      <c r="A61" t="s">
        <v>102</v>
      </c>
      <c r="B61" s="10" t="str">
        <f t="shared" si="0"/>
        <v>G/C</v>
      </c>
      <c r="C61">
        <v>1.115771812</v>
      </c>
      <c r="D61">
        <v>0.481413324</v>
      </c>
      <c r="E61">
        <v>0</v>
      </c>
      <c r="F61">
        <v>0</v>
      </c>
      <c r="G61">
        <v>0.446864528</v>
      </c>
      <c r="H61">
        <v>0.379692247</v>
      </c>
      <c r="I61">
        <v>0.395320605</v>
      </c>
      <c r="J61">
        <v>1.106856005</v>
      </c>
      <c r="K61">
        <v>0.523419587</v>
      </c>
      <c r="L61">
        <v>0.411938534</v>
      </c>
      <c r="M61">
        <v>1.370321211</v>
      </c>
      <c r="N61">
        <v>0.354415274</v>
      </c>
      <c r="O61">
        <v>0.566826295</v>
      </c>
      <c r="P61">
        <v>1.097864565</v>
      </c>
      <c r="Q61">
        <v>1.400677854</v>
      </c>
      <c r="R61">
        <v>1.783700809</v>
      </c>
      <c r="S61">
        <v>0.837083836</v>
      </c>
      <c r="T61">
        <v>1.336927817</v>
      </c>
      <c r="U61">
        <v>1.189788884</v>
      </c>
      <c r="V61">
        <v>0.482480279</v>
      </c>
      <c r="W61">
        <v>1.556009186</v>
      </c>
      <c r="X61">
        <v>1.044376221</v>
      </c>
      <c r="Y61">
        <v>0.854044332</v>
      </c>
      <c r="Z61">
        <v>0.759975445</v>
      </c>
      <c r="AA61">
        <v>1.520583637</v>
      </c>
      <c r="AB61">
        <v>1.708199811</v>
      </c>
      <c r="AC61">
        <v>1.350323466</v>
      </c>
      <c r="AD61">
        <v>1.358966472</v>
      </c>
      <c r="AE61">
        <v>0.214839424</v>
      </c>
      <c r="AF61">
        <v>0.470588235</v>
      </c>
      <c r="AG61">
        <v>0.556076888</v>
      </c>
      <c r="AH61">
        <v>0.675710594</v>
      </c>
      <c r="AI61">
        <v>0.559615898</v>
      </c>
      <c r="AJ61">
        <v>1.073290454</v>
      </c>
      <c r="AK61">
        <v>1.426221577</v>
      </c>
      <c r="AL61">
        <v>0.788916563</v>
      </c>
      <c r="AM61">
        <v>0.802477024</v>
      </c>
      <c r="AN61">
        <v>0.709962889</v>
      </c>
      <c r="AO61">
        <v>0.696373057</v>
      </c>
      <c r="AP61">
        <v>1.474956358</v>
      </c>
      <c r="AQ61">
        <v>0.328108224</v>
      </c>
      <c r="AR61">
        <v>1.116287035</v>
      </c>
      <c r="AS61">
        <v>1.074541629</v>
      </c>
      <c r="AT61">
        <v>1.050862852</v>
      </c>
      <c r="AU61">
        <v>1.183393897</v>
      </c>
      <c r="AV61">
        <v>1.180719811</v>
      </c>
    </row>
    <row r="62" spans="1:48">
      <c r="A62" t="s">
        <v>103</v>
      </c>
      <c r="B62" s="10" t="str">
        <f t="shared" si="0"/>
        <v>A/T</v>
      </c>
      <c r="C62">
        <v>0.884228188</v>
      </c>
      <c r="D62">
        <v>1.518586676</v>
      </c>
      <c r="E62">
        <v>0</v>
      </c>
      <c r="F62">
        <v>0</v>
      </c>
      <c r="G62">
        <v>1.553135472</v>
      </c>
      <c r="H62">
        <v>1.620307753</v>
      </c>
      <c r="I62">
        <v>1.604679395</v>
      </c>
      <c r="J62">
        <v>0.893143995</v>
      </c>
      <c r="K62">
        <v>1.476580413</v>
      </c>
      <c r="L62">
        <v>1.588061466</v>
      </c>
      <c r="M62">
        <v>0.629678789</v>
      </c>
      <c r="N62">
        <v>1.645584726</v>
      </c>
      <c r="O62">
        <v>1.433173705</v>
      </c>
      <c r="P62">
        <v>0.902135435</v>
      </c>
      <c r="Q62">
        <v>0.599322146</v>
      </c>
      <c r="R62">
        <v>0.216299191</v>
      </c>
      <c r="S62">
        <v>1.162916164</v>
      </c>
      <c r="T62">
        <v>0.663072183</v>
      </c>
      <c r="U62">
        <v>0.810211116</v>
      </c>
      <c r="V62">
        <v>1.517519721</v>
      </c>
      <c r="W62">
        <v>0.443990814</v>
      </c>
      <c r="X62">
        <v>0.955623779</v>
      </c>
      <c r="Y62">
        <v>1.145955668</v>
      </c>
      <c r="Z62">
        <v>1.240024555</v>
      </c>
      <c r="AA62">
        <v>0.479416363</v>
      </c>
      <c r="AB62">
        <v>0.291800189</v>
      </c>
      <c r="AC62">
        <v>0.649676534</v>
      </c>
      <c r="AD62">
        <v>0.641033528</v>
      </c>
      <c r="AE62">
        <v>1.785160576</v>
      </c>
      <c r="AF62">
        <v>1.529411765</v>
      </c>
      <c r="AG62">
        <v>1.443923112</v>
      </c>
      <c r="AH62">
        <v>1.324289406</v>
      </c>
      <c r="AI62">
        <v>1.440384102</v>
      </c>
      <c r="AJ62">
        <v>0.926709546</v>
      </c>
      <c r="AK62">
        <v>0.573778423</v>
      </c>
      <c r="AL62">
        <v>1.211083437</v>
      </c>
      <c r="AM62">
        <v>1.197522976</v>
      </c>
      <c r="AN62">
        <v>1.290037111</v>
      </c>
      <c r="AO62">
        <v>1.303626943</v>
      </c>
      <c r="AP62">
        <v>0.525043642</v>
      </c>
      <c r="AQ62">
        <v>1.671891776</v>
      </c>
      <c r="AR62">
        <v>0.883712965</v>
      </c>
      <c r="AS62">
        <v>0.925458371</v>
      </c>
      <c r="AT62">
        <v>0.949137148</v>
      </c>
      <c r="AU62">
        <v>0.816606103</v>
      </c>
      <c r="AV62">
        <v>0.819280189</v>
      </c>
    </row>
    <row r="63" spans="1:48">
      <c r="A63" t="s">
        <v>104</v>
      </c>
      <c r="B63" s="10" t="str">
        <f t="shared" si="0"/>
        <v>A/T</v>
      </c>
      <c r="C63">
        <v>0.776612869</v>
      </c>
      <c r="D63">
        <v>3.05269492</v>
      </c>
      <c r="E63">
        <v>0.228838429</v>
      </c>
      <c r="F63">
        <v>2.350085412</v>
      </c>
      <c r="G63">
        <v>1.998841304</v>
      </c>
      <c r="H63">
        <v>3.791901427</v>
      </c>
      <c r="I63">
        <v>3.620394163</v>
      </c>
      <c r="J63">
        <v>0.777245254</v>
      </c>
      <c r="K63">
        <v>2.92057345</v>
      </c>
      <c r="L63">
        <v>3.943232064</v>
      </c>
      <c r="M63">
        <v>0.691368275</v>
      </c>
      <c r="N63">
        <v>4.00723275</v>
      </c>
      <c r="O63">
        <v>3.000973218</v>
      </c>
      <c r="P63">
        <v>0.502392838</v>
      </c>
      <c r="Q63">
        <v>0.552810452</v>
      </c>
      <c r="R63">
        <v>0.095151483</v>
      </c>
      <c r="S63">
        <v>0.736823324</v>
      </c>
      <c r="T63">
        <v>0.208324045</v>
      </c>
      <c r="U63">
        <v>0.513350756</v>
      </c>
      <c r="V63">
        <v>3.048616091</v>
      </c>
      <c r="W63">
        <v>0.640993381</v>
      </c>
      <c r="X63">
        <v>0.779066156</v>
      </c>
      <c r="Y63">
        <v>0.858963931</v>
      </c>
      <c r="Z63">
        <v>2.035112766</v>
      </c>
      <c r="AA63">
        <v>0.669144573</v>
      </c>
      <c r="AB63">
        <v>0.074193768</v>
      </c>
      <c r="AC63">
        <v>0.481725422</v>
      </c>
      <c r="AD63">
        <v>0.472649357</v>
      </c>
      <c r="AE63">
        <v>3.327160154</v>
      </c>
      <c r="AF63">
        <v>2.180952968</v>
      </c>
      <c r="AG63">
        <v>1.490363531</v>
      </c>
      <c r="AH63">
        <v>2.601936863</v>
      </c>
      <c r="AI63">
        <v>1.57018999</v>
      </c>
      <c r="AJ63">
        <v>0.411392064</v>
      </c>
      <c r="AK63">
        <v>0.56480877</v>
      </c>
      <c r="AL63">
        <v>0.649779358</v>
      </c>
      <c r="AM63">
        <v>0.835186306</v>
      </c>
      <c r="AN63">
        <v>2.574092386</v>
      </c>
      <c r="AO63">
        <v>1.948047323</v>
      </c>
      <c r="AP63">
        <v>0.253524885</v>
      </c>
      <c r="AQ63">
        <v>3.334886451</v>
      </c>
      <c r="AR63">
        <v>0.374460982</v>
      </c>
      <c r="AS63">
        <v>0.473371606</v>
      </c>
      <c r="AT63">
        <v>0.499468713</v>
      </c>
      <c r="AU63">
        <v>0.344779365</v>
      </c>
      <c r="AV63">
        <v>0.349595847</v>
      </c>
    </row>
    <row r="64" spans="1:48">
      <c r="A64" t="s">
        <v>105</v>
      </c>
      <c r="B64" s="10" t="str">
        <f t="shared" si="0"/>
        <v>G/C</v>
      </c>
      <c r="C64">
        <v>0.853430214</v>
      </c>
      <c r="D64">
        <v>0.466990231</v>
      </c>
      <c r="E64">
        <v>0</v>
      </c>
      <c r="F64">
        <v>0</v>
      </c>
      <c r="G64">
        <v>0.722002374</v>
      </c>
      <c r="H64">
        <v>0.356454942</v>
      </c>
      <c r="I64">
        <v>0.506689936</v>
      </c>
      <c r="J64">
        <v>0.847303468</v>
      </c>
      <c r="K64">
        <v>0.437461842</v>
      </c>
      <c r="L64">
        <v>0.388490245</v>
      </c>
      <c r="M64">
        <v>0.902422255</v>
      </c>
      <c r="N64">
        <v>0.300737711</v>
      </c>
      <c r="O64">
        <v>0.338765432</v>
      </c>
      <c r="P64">
        <v>0.774121382</v>
      </c>
      <c r="Q64">
        <v>0.755835157</v>
      </c>
      <c r="R64">
        <v>1.423350896</v>
      </c>
      <c r="S64">
        <v>0.695063528</v>
      </c>
      <c r="T64">
        <v>1.093939546</v>
      </c>
      <c r="U64">
        <v>0.724950232</v>
      </c>
      <c r="V64">
        <v>0.467247278</v>
      </c>
      <c r="W64">
        <v>1.002131249</v>
      </c>
      <c r="X64">
        <v>0.600083822</v>
      </c>
      <c r="Y64">
        <v>0.935449348</v>
      </c>
      <c r="Z64">
        <v>0.742248618</v>
      </c>
      <c r="AA64">
        <v>0.988849581</v>
      </c>
      <c r="AB64">
        <v>0.991027496</v>
      </c>
      <c r="AC64">
        <v>1.282396738</v>
      </c>
      <c r="AD64">
        <v>1.293733051</v>
      </c>
      <c r="AE64">
        <v>0.310241208</v>
      </c>
      <c r="AF64">
        <v>0.448775021</v>
      </c>
      <c r="AG64">
        <v>0.452083179</v>
      </c>
      <c r="AH64">
        <v>0.165733264</v>
      </c>
      <c r="AI64">
        <v>0.558361221</v>
      </c>
      <c r="AJ64">
        <v>0.864548996</v>
      </c>
      <c r="AK64">
        <v>0.875568576</v>
      </c>
      <c r="AL64">
        <v>0.619359742</v>
      </c>
      <c r="AM64">
        <v>0.639032361</v>
      </c>
      <c r="AN64">
        <v>0.479892019</v>
      </c>
      <c r="AO64">
        <v>0.647199485</v>
      </c>
      <c r="AP64">
        <v>1.267688104</v>
      </c>
      <c r="AQ64">
        <v>0.282160821</v>
      </c>
      <c r="AR64">
        <v>0.86681835</v>
      </c>
      <c r="AS64">
        <v>1.066713959</v>
      </c>
      <c r="AT64">
        <v>1.046902294</v>
      </c>
      <c r="AU64">
        <v>1.170898386</v>
      </c>
      <c r="AV64">
        <v>1.17440078</v>
      </c>
    </row>
    <row r="65" spans="1:48">
      <c r="A65" t="s">
        <v>106</v>
      </c>
      <c r="B65" s="10" t="str">
        <f t="shared" si="0"/>
        <v>G/C</v>
      </c>
      <c r="C65">
        <v>0.767710418</v>
      </c>
      <c r="D65">
        <v>1.135648586</v>
      </c>
      <c r="E65">
        <v>0.325181593</v>
      </c>
      <c r="F65">
        <v>0.974410659</v>
      </c>
      <c r="G65">
        <v>0.845878245</v>
      </c>
      <c r="H65">
        <v>0.342793955</v>
      </c>
      <c r="I65">
        <v>0.59855864</v>
      </c>
      <c r="J65">
        <v>0.759257095</v>
      </c>
      <c r="K65">
        <v>0.905529697</v>
      </c>
      <c r="L65">
        <v>0.243759806</v>
      </c>
      <c r="M65">
        <v>0.757516001</v>
      </c>
      <c r="N65">
        <v>0.345302607</v>
      </c>
      <c r="O65">
        <v>0.783549003</v>
      </c>
      <c r="P65">
        <v>0.612684249</v>
      </c>
      <c r="Q65">
        <v>0.955757255</v>
      </c>
      <c r="R65">
        <v>0.274631532</v>
      </c>
      <c r="S65">
        <v>0.619776612</v>
      </c>
      <c r="T65">
        <v>0.698938874</v>
      </c>
      <c r="U65">
        <v>1.309896603</v>
      </c>
      <c r="V65">
        <v>1.137272336</v>
      </c>
      <c r="W65">
        <v>1.652426016</v>
      </c>
      <c r="X65">
        <v>1.327259551</v>
      </c>
      <c r="Y65">
        <v>1.504880238</v>
      </c>
      <c r="Z65">
        <v>1.736461328</v>
      </c>
      <c r="AA65">
        <v>1.643584298</v>
      </c>
      <c r="AB65">
        <v>0.563239897</v>
      </c>
      <c r="AC65">
        <v>1.040950127</v>
      </c>
      <c r="AD65">
        <v>1.045027729</v>
      </c>
      <c r="AE65">
        <v>0.473032471</v>
      </c>
      <c r="AF65">
        <v>1.965195429</v>
      </c>
      <c r="AG65">
        <v>1.842815926</v>
      </c>
      <c r="AH65">
        <v>0.963005552</v>
      </c>
      <c r="AI65">
        <v>1.675920999</v>
      </c>
      <c r="AJ65">
        <v>1.322002372</v>
      </c>
      <c r="AK65">
        <v>1.047720268</v>
      </c>
      <c r="AL65">
        <v>0.635576882</v>
      </c>
      <c r="AM65">
        <v>0.682268523</v>
      </c>
      <c r="AN65">
        <v>1.752027122</v>
      </c>
      <c r="AO65">
        <v>1.033197483</v>
      </c>
      <c r="AP65">
        <v>0.872792777</v>
      </c>
      <c r="AQ65">
        <v>0.768152798</v>
      </c>
      <c r="AR65">
        <v>0.466546112</v>
      </c>
      <c r="AS65">
        <v>0.815619032</v>
      </c>
      <c r="AT65">
        <v>0.839656923</v>
      </c>
      <c r="AU65">
        <v>0.715115048</v>
      </c>
      <c r="AV65">
        <v>0.714729286</v>
      </c>
    </row>
    <row r="66" spans="1:48">
      <c r="A66" t="s">
        <v>107</v>
      </c>
      <c r="B66" s="10" t="str">
        <f t="shared" si="0"/>
        <v>A/T</v>
      </c>
      <c r="C66">
        <v>1.146569786</v>
      </c>
      <c r="D66">
        <v>1.533009769</v>
      </c>
      <c r="E66">
        <v>0</v>
      </c>
      <c r="F66">
        <v>0</v>
      </c>
      <c r="G66">
        <v>1.277997626</v>
      </c>
      <c r="H66">
        <v>1.643545058</v>
      </c>
      <c r="I66">
        <v>1.493310064</v>
      </c>
      <c r="J66">
        <v>1.152696532</v>
      </c>
      <c r="K66">
        <v>1.562538158</v>
      </c>
      <c r="L66">
        <v>1.611509755</v>
      </c>
      <c r="M66">
        <v>1.097577745</v>
      </c>
      <c r="N66">
        <v>1.699262289</v>
      </c>
      <c r="O66">
        <v>1.661234568</v>
      </c>
      <c r="P66">
        <v>1.225878618</v>
      </c>
      <c r="Q66">
        <v>1.244164843</v>
      </c>
      <c r="R66">
        <v>0.576649104</v>
      </c>
      <c r="S66">
        <v>1.304936472</v>
      </c>
      <c r="T66">
        <v>0.906060454</v>
      </c>
      <c r="U66">
        <v>1.275049768</v>
      </c>
      <c r="V66">
        <v>1.532752722</v>
      </c>
      <c r="W66">
        <v>0.997868751</v>
      </c>
      <c r="X66">
        <v>1.399916178</v>
      </c>
      <c r="Y66">
        <v>1.064550652</v>
      </c>
      <c r="Z66">
        <v>1.257751382</v>
      </c>
      <c r="AA66">
        <v>1.011150419</v>
      </c>
      <c r="AB66">
        <v>1.008972504</v>
      </c>
      <c r="AC66">
        <v>0.717603262</v>
      </c>
      <c r="AD66">
        <v>0.706266949</v>
      </c>
      <c r="AE66">
        <v>1.689758792</v>
      </c>
      <c r="AF66">
        <v>1.551224979</v>
      </c>
      <c r="AG66">
        <v>1.547916821</v>
      </c>
      <c r="AH66">
        <v>1.834266736</v>
      </c>
      <c r="AI66">
        <v>1.441638779</v>
      </c>
      <c r="AJ66">
        <v>1.135451004</v>
      </c>
      <c r="AK66">
        <v>1.124431424</v>
      </c>
      <c r="AL66">
        <v>1.380640258</v>
      </c>
      <c r="AM66">
        <v>1.360967639</v>
      </c>
      <c r="AN66">
        <v>1.520107981</v>
      </c>
      <c r="AO66">
        <v>1.352800515</v>
      </c>
      <c r="AP66">
        <v>0.732311896</v>
      </c>
      <c r="AQ66">
        <v>1.717839179</v>
      </c>
      <c r="AR66">
        <v>1.13318165</v>
      </c>
      <c r="AS66">
        <v>0.933286041</v>
      </c>
      <c r="AT66">
        <v>0.953097706</v>
      </c>
      <c r="AU66">
        <v>0.829101614</v>
      </c>
      <c r="AV66">
        <v>0.82559922</v>
      </c>
    </row>
    <row r="67" spans="1:48">
      <c r="A67" s="3" t="s">
        <v>150</v>
      </c>
      <c r="C67">
        <f>AVERAGEIF($B5:$B66,"A/T",C5:C66)</f>
        <v>0.90899040278125</v>
      </c>
      <c r="D67">
        <f t="shared" ref="D67:AE67" si="1">AVERAGEIF($B5:$B66,"A/T",D5:D66)</f>
        <v>1.41441613559375</v>
      </c>
      <c r="E67">
        <f t="shared" si="1"/>
        <v>0.19386721709375</v>
      </c>
      <c r="F67">
        <f t="shared" si="1"/>
        <v>0.71684540140625</v>
      </c>
      <c r="G67">
        <f t="shared" si="1"/>
        <v>1.42798972634375</v>
      </c>
      <c r="H67">
        <f t="shared" si="1"/>
        <v>1.7084742300625</v>
      </c>
      <c r="I67">
        <f t="shared" si="1"/>
        <v>1.50965583834375</v>
      </c>
      <c r="J67">
        <f t="shared" si="1"/>
        <v>0.91146861771875</v>
      </c>
      <c r="K67">
        <f t="shared" si="1"/>
        <v>1.5319887820625</v>
      </c>
      <c r="L67">
        <f t="shared" si="1"/>
        <v>1.69892955725</v>
      </c>
      <c r="M67">
        <f t="shared" si="1"/>
        <v>0.92000511503125</v>
      </c>
      <c r="N67">
        <f t="shared" si="1"/>
        <v>1.7197576551875</v>
      </c>
      <c r="O67">
        <f t="shared" si="1"/>
        <v>1.61015178196875</v>
      </c>
      <c r="P67">
        <f t="shared" si="1"/>
        <v>0.874715863</v>
      </c>
      <c r="Q67">
        <f t="shared" si="1"/>
        <v>0.79976534025</v>
      </c>
      <c r="R67">
        <f t="shared" si="1"/>
        <v>0.2937280335625</v>
      </c>
      <c r="S67">
        <f t="shared" si="1"/>
        <v>1.15003482709375</v>
      </c>
      <c r="T67">
        <f t="shared" si="1"/>
        <v>0.76655068709375</v>
      </c>
      <c r="U67">
        <f t="shared" si="1"/>
        <v>1.25091152209375</v>
      </c>
      <c r="V67">
        <f t="shared" si="1"/>
        <v>1.41380685828125</v>
      </c>
      <c r="W67">
        <f t="shared" si="1"/>
        <v>0.73486264115625</v>
      </c>
      <c r="X67">
        <f t="shared" si="1"/>
        <v>0.97840061371875</v>
      </c>
      <c r="Y67">
        <f t="shared" si="1"/>
        <v>1.095351583</v>
      </c>
      <c r="Z67">
        <f t="shared" si="1"/>
        <v>1.35846000528125</v>
      </c>
      <c r="AA67">
        <f t="shared" si="1"/>
        <v>0.75518653553125</v>
      </c>
      <c r="AB67">
        <f t="shared" si="1"/>
        <v>0.4788658939375</v>
      </c>
      <c r="AC67">
        <f t="shared" si="1"/>
        <v>0.664050324875</v>
      </c>
      <c r="AD67">
        <f t="shared" si="1"/>
        <v>0.65751557509375</v>
      </c>
      <c r="AE67">
        <f t="shared" si="1"/>
        <v>1.7174321326875</v>
      </c>
      <c r="AF67">
        <f t="shared" ref="AF67" si="2">AVERAGEIF($B5:$B66,"A/T",AF5:AF66)</f>
        <v>1.38022571390625</v>
      </c>
      <c r="AG67">
        <f t="shared" ref="AG67" si="3">AVERAGEIF($B5:$B66,"A/T",AG5:AG66)</f>
        <v>1.4534230583125</v>
      </c>
      <c r="AH67">
        <f t="shared" ref="AH67" si="4">AVERAGEIF($B5:$B66,"A/T",AH5:AH66)</f>
        <v>1.53495497565625</v>
      </c>
      <c r="AI67">
        <f t="shared" ref="AI67" si="5">AVERAGEIF($B5:$B66,"A/T",AI5:AI66)</f>
        <v>1.418084605375</v>
      </c>
      <c r="AJ67">
        <f t="shared" ref="AJ67" si="6">AVERAGEIF($B5:$B66,"A/T",AJ5:AJ66)</f>
        <v>1.04246837490625</v>
      </c>
      <c r="AK67">
        <f t="shared" ref="AK67" si="7">AVERAGEIF($B5:$B66,"A/T",AK5:AK66)</f>
        <v>0.95884198028125</v>
      </c>
      <c r="AL67">
        <f t="shared" ref="AL67" si="8">AVERAGEIF($B5:$B66,"A/T",AL5:AL66)</f>
        <v>1.2308952525</v>
      </c>
      <c r="AM67">
        <f t="shared" ref="AM67" si="9">AVERAGEIF($B5:$B66,"A/T",AM5:AM66)</f>
        <v>1.2039934946875</v>
      </c>
      <c r="AN67">
        <f t="shared" ref="AN67" si="10">AVERAGEIF($B5:$B66,"A/T",AN5:AN66)</f>
        <v>1.23489287921875</v>
      </c>
      <c r="AO67">
        <f t="shared" ref="AO67" si="11">AVERAGEIF($B5:$B66,"A/T",AO5:AO66)</f>
        <v>1.29438899428125</v>
      </c>
      <c r="AP67">
        <f t="shared" ref="AP67" si="12">AVERAGEIF($B5:$B66,"A/T",AP5:AP66)</f>
        <v>0.7368072356875</v>
      </c>
      <c r="AQ67">
        <f t="shared" ref="AQ67" si="13">AVERAGEIF($B5:$B66,"A/T",AQ5:AQ66)</f>
        <v>1.6900433574375</v>
      </c>
      <c r="AR67">
        <f t="shared" ref="AR67" si="14">AVERAGEIF($B5:$B66,"A/T",AR5:AR66)</f>
        <v>1.026174609625</v>
      </c>
      <c r="AS67">
        <f t="shared" ref="AS67" si="15">AVERAGEIF($B5:$B66,"A/T",AS5:AS66)</f>
        <v>0.7836195741875</v>
      </c>
      <c r="AT67">
        <f t="shared" ref="AT67" si="16">AVERAGEIF($B5:$B66,"A/T",AT5:AT66)</f>
        <v>0.8030275834375</v>
      </c>
      <c r="AU67">
        <f t="shared" ref="AU67:AV67" si="17">AVERAGEIF($B5:$B66,"A/T",AU5:AU66)</f>
        <v>0.6829230671875</v>
      </c>
      <c r="AV67">
        <f t="shared" si="17"/>
        <v>0.680456174375</v>
      </c>
    </row>
    <row r="68" spans="1:48">
      <c r="A68" s="3" t="s">
        <v>151</v>
      </c>
      <c r="C68">
        <f>AVERAGEIF($B5:$B66,"G/C",C5:C66)</f>
        <v>1.09707690366667</v>
      </c>
      <c r="D68">
        <f t="shared" ref="D68:AE68" si="18">AVERAGEIF($B5:$B66,"G/C",D5:D66)</f>
        <v>0.557956122066667</v>
      </c>
      <c r="E68">
        <f t="shared" si="18"/>
        <v>0.5265416351</v>
      </c>
      <c r="F68">
        <f t="shared" si="18"/>
        <v>0.3353649052</v>
      </c>
      <c r="G68">
        <f t="shared" si="18"/>
        <v>0.5434776252</v>
      </c>
      <c r="H68">
        <f t="shared" si="18"/>
        <v>0.2442941546</v>
      </c>
      <c r="I68">
        <f t="shared" si="18"/>
        <v>0.456367105766667</v>
      </c>
      <c r="J68">
        <f t="shared" si="18"/>
        <v>1.0944334744</v>
      </c>
      <c r="K68">
        <f t="shared" si="18"/>
        <v>0.4325452992</v>
      </c>
      <c r="L68">
        <f t="shared" si="18"/>
        <v>0.254475138966667</v>
      </c>
      <c r="M68">
        <f t="shared" si="18"/>
        <v>1.08532787733333</v>
      </c>
      <c r="N68">
        <f t="shared" si="18"/>
        <v>0.232258501133333</v>
      </c>
      <c r="O68">
        <f t="shared" si="18"/>
        <v>0.3491714326</v>
      </c>
      <c r="P68">
        <f t="shared" si="18"/>
        <v>1.13363641276667</v>
      </c>
      <c r="Q68">
        <f t="shared" si="18"/>
        <v>1.21358363703333</v>
      </c>
      <c r="R68">
        <f t="shared" si="18"/>
        <v>1.75335676416667</v>
      </c>
      <c r="S68">
        <f t="shared" si="18"/>
        <v>0.839962851233333</v>
      </c>
      <c r="T68">
        <f t="shared" si="18"/>
        <v>1.2490126004</v>
      </c>
      <c r="U68">
        <f t="shared" si="18"/>
        <v>0.7323610431</v>
      </c>
      <c r="V68">
        <f t="shared" si="18"/>
        <v>0.558606017833333</v>
      </c>
      <c r="W68">
        <f t="shared" si="18"/>
        <v>1.28281318276667</v>
      </c>
      <c r="X68">
        <f t="shared" si="18"/>
        <v>1.02303934546667</v>
      </c>
      <c r="Y68">
        <f t="shared" si="18"/>
        <v>0.898291644833333</v>
      </c>
      <c r="Z68">
        <f t="shared" si="18"/>
        <v>0.617642661</v>
      </c>
      <c r="AA68">
        <f t="shared" si="18"/>
        <v>1.26113436193333</v>
      </c>
      <c r="AB68">
        <f t="shared" si="18"/>
        <v>1.55587637966667</v>
      </c>
      <c r="AC68">
        <f t="shared" si="18"/>
        <v>1.35834632016667</v>
      </c>
      <c r="AD68">
        <f t="shared" si="18"/>
        <v>1.3653167199</v>
      </c>
      <c r="AE68">
        <f t="shared" si="18"/>
        <v>0.234739058533333</v>
      </c>
      <c r="AF68">
        <f t="shared" ref="AF68:AV68" si="19">AVERAGEIF($B5:$B66,"G/C",AF5:AF66)</f>
        <v>0.594425905066667</v>
      </c>
      <c r="AG68">
        <f t="shared" si="19"/>
        <v>0.5163487377</v>
      </c>
      <c r="AH68">
        <f t="shared" si="19"/>
        <v>0.4293813592</v>
      </c>
      <c r="AI68">
        <f t="shared" si="19"/>
        <v>0.554043087666667</v>
      </c>
      <c r="AJ68">
        <f t="shared" si="19"/>
        <v>0.9547004002</v>
      </c>
      <c r="AK68">
        <f t="shared" si="19"/>
        <v>1.04390188753333</v>
      </c>
      <c r="AL68">
        <f t="shared" si="19"/>
        <v>0.7537117306</v>
      </c>
      <c r="AM68">
        <f t="shared" si="19"/>
        <v>0.7824069391</v>
      </c>
      <c r="AN68">
        <f t="shared" si="19"/>
        <v>0.749447595466667</v>
      </c>
      <c r="AO68">
        <f t="shared" si="19"/>
        <v>0.6859850728</v>
      </c>
      <c r="AP68">
        <f t="shared" si="19"/>
        <v>1.2807389486</v>
      </c>
      <c r="AQ68">
        <f t="shared" si="19"/>
        <v>0.2639537521</v>
      </c>
      <c r="AR68">
        <f t="shared" si="19"/>
        <v>0.972080416533333</v>
      </c>
      <c r="AS68">
        <f t="shared" si="19"/>
        <v>1.1308057875</v>
      </c>
      <c r="AT68">
        <f t="shared" si="19"/>
        <v>1.1101039111</v>
      </c>
      <c r="AU68">
        <f t="shared" si="19"/>
        <v>1.23821539506667</v>
      </c>
      <c r="AV68">
        <f t="shared" si="19"/>
        <v>1.24084674726667</v>
      </c>
    </row>
  </sheetData>
  <conditionalFormatting sqref="$A1:$XFD3 AS4:XFD4">
    <cfRule type="duplicateValues" dxfId="0" priority="2"/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1"/>
  <sheetViews>
    <sheetView workbookViewId="0">
      <selection activeCell="B1" sqref="B1:AB1"/>
    </sheetView>
  </sheetViews>
  <sheetFormatPr defaultColWidth="8.88495575221239" defaultRowHeight="13.5"/>
  <cols>
    <col min="1" max="1" width="13.1061946902655" customWidth="1"/>
    <col min="2" max="32" width="12.8849557522124"/>
  </cols>
  <sheetData>
    <row r="1" spans="1:32">
      <c r="A1" t="s">
        <v>238</v>
      </c>
      <c r="B1" t="s">
        <v>124</v>
      </c>
      <c r="C1" t="s">
        <v>127</v>
      </c>
      <c r="D1" t="s">
        <v>126</v>
      </c>
      <c r="E1" t="s">
        <v>119</v>
      </c>
      <c r="F1" t="s">
        <v>118</v>
      </c>
      <c r="G1" t="s">
        <v>117</v>
      </c>
      <c r="H1" t="s">
        <v>114</v>
      </c>
      <c r="I1" t="s">
        <v>113</v>
      </c>
      <c r="J1" t="s">
        <v>112</v>
      </c>
      <c r="K1" t="s">
        <v>141</v>
      </c>
      <c r="L1" t="s">
        <v>125</v>
      </c>
      <c r="M1" t="s">
        <v>122</v>
      </c>
      <c r="N1" t="s">
        <v>123</v>
      </c>
      <c r="O1" t="s">
        <v>121</v>
      </c>
      <c r="P1" t="s">
        <v>129</v>
      </c>
      <c r="Q1" t="s">
        <v>135</v>
      </c>
      <c r="R1" t="s">
        <v>134</v>
      </c>
      <c r="S1" t="s">
        <v>132</v>
      </c>
      <c r="T1" t="s">
        <v>128</v>
      </c>
      <c r="U1" t="s">
        <v>148</v>
      </c>
      <c r="V1" t="s">
        <v>144</v>
      </c>
      <c r="W1" t="s">
        <v>143</v>
      </c>
      <c r="X1" t="s">
        <v>140</v>
      </c>
      <c r="Y1" t="s">
        <v>137</v>
      </c>
      <c r="Z1" t="s">
        <v>136</v>
      </c>
      <c r="AA1" t="s">
        <v>133</v>
      </c>
      <c r="AB1" t="s">
        <v>131</v>
      </c>
      <c r="AC1" t="s">
        <v>42</v>
      </c>
      <c r="AD1" t="s">
        <v>43</v>
      </c>
      <c r="AE1" t="s">
        <v>44</v>
      </c>
      <c r="AF1" t="s">
        <v>45</v>
      </c>
    </row>
    <row r="2" s="10" customFormat="1" spans="1:32">
      <c r="A2" s="10" t="s">
        <v>54</v>
      </c>
      <c r="B2" s="24">
        <v>1.979077189</v>
      </c>
      <c r="C2" s="24">
        <v>1.108194765</v>
      </c>
      <c r="D2" s="24">
        <v>2.837799271</v>
      </c>
      <c r="E2" s="24">
        <v>4.93016182</v>
      </c>
      <c r="F2" s="24">
        <v>1.481321776</v>
      </c>
      <c r="G2" s="24">
        <v>5.146539666</v>
      </c>
      <c r="H2" s="24">
        <v>1.059213479</v>
      </c>
      <c r="I2" s="24">
        <v>4.949419849</v>
      </c>
      <c r="J2" s="24">
        <v>2.15070922</v>
      </c>
      <c r="K2" s="24">
        <v>1.625921993</v>
      </c>
      <c r="L2" s="24">
        <v>0.76583682</v>
      </c>
      <c r="M2" s="24">
        <v>0.562843476</v>
      </c>
      <c r="N2" s="24">
        <v>0.139777678</v>
      </c>
      <c r="O2" s="24">
        <v>1.04392284</v>
      </c>
      <c r="P2" s="24">
        <v>0.423860029</v>
      </c>
      <c r="Q2" s="24">
        <v>0.242925631</v>
      </c>
      <c r="R2" s="24">
        <v>0.246026223</v>
      </c>
      <c r="S2" s="24">
        <v>1.010196278</v>
      </c>
      <c r="T2" s="24">
        <v>0.970588235</v>
      </c>
      <c r="U2" s="24">
        <v>5.080768271</v>
      </c>
      <c r="V2" s="24">
        <v>2.10776628</v>
      </c>
      <c r="W2" s="24">
        <v>2.038995027</v>
      </c>
      <c r="X2" s="24">
        <v>0.691974417</v>
      </c>
      <c r="Y2" s="24">
        <v>3.070413223</v>
      </c>
      <c r="Z2" s="24">
        <v>5.343662578</v>
      </c>
      <c r="AA2" s="24">
        <v>0.090549592</v>
      </c>
      <c r="AB2" s="24">
        <v>1.780347341</v>
      </c>
      <c r="AC2" s="24">
        <v>1.214155979</v>
      </c>
      <c r="AD2" s="24">
        <v>1.278536776</v>
      </c>
      <c r="AE2" s="24">
        <v>1.027482735</v>
      </c>
      <c r="AF2" s="24">
        <v>1.023943063</v>
      </c>
    </row>
    <row r="3" s="10" customFormat="1" spans="1:32">
      <c r="A3" s="10" t="s">
        <v>72</v>
      </c>
      <c r="B3" s="24">
        <v>1.422079324</v>
      </c>
      <c r="C3" s="24">
        <v>2.502497949</v>
      </c>
      <c r="D3" s="24">
        <v>1.471063897</v>
      </c>
      <c r="E3" s="24">
        <v>0.274485947</v>
      </c>
      <c r="F3" s="24">
        <v>0.75584107</v>
      </c>
      <c r="G3" s="24">
        <v>0.209218677</v>
      </c>
      <c r="H3" s="24">
        <v>2.830231675</v>
      </c>
      <c r="I3" s="24">
        <v>0.289286921</v>
      </c>
      <c r="J3" s="24">
        <v>2.427748227</v>
      </c>
      <c r="K3" s="24">
        <v>1.603708062</v>
      </c>
      <c r="L3" s="24">
        <v>0.631505872</v>
      </c>
      <c r="M3" s="24">
        <v>1.052106656</v>
      </c>
      <c r="N3" s="24">
        <v>0.263632267</v>
      </c>
      <c r="O3" s="24">
        <v>0.926303959</v>
      </c>
      <c r="P3" s="24">
        <v>1.497561353</v>
      </c>
      <c r="Q3" s="24">
        <v>0.958547708</v>
      </c>
      <c r="R3" s="24">
        <v>0.957381065</v>
      </c>
      <c r="S3" s="24">
        <v>0.613051236</v>
      </c>
      <c r="T3" s="24">
        <v>0.598209719</v>
      </c>
      <c r="U3" s="24">
        <v>0.22509354</v>
      </c>
      <c r="V3" s="24">
        <v>1.369499321</v>
      </c>
      <c r="W3" s="24">
        <v>1.683459827</v>
      </c>
      <c r="X3" s="24">
        <v>3.338064782</v>
      </c>
      <c r="Y3" s="24">
        <v>0.692892562</v>
      </c>
      <c r="Z3" s="24">
        <v>0.219281257</v>
      </c>
      <c r="AA3" s="24">
        <v>1.319506093</v>
      </c>
      <c r="AB3" s="24">
        <v>2.377215873</v>
      </c>
      <c r="AC3" s="24">
        <v>0.513418341</v>
      </c>
      <c r="AD3" s="24">
        <v>0.513243741</v>
      </c>
      <c r="AE3" s="24">
        <v>0.470457574</v>
      </c>
      <c r="AF3" s="24">
        <v>0.466599621</v>
      </c>
    </row>
    <row r="4" s="10" customFormat="1" spans="1:32">
      <c r="A4" s="10" t="s">
        <v>69</v>
      </c>
      <c r="B4" s="24">
        <v>0.426422247</v>
      </c>
      <c r="C4" s="24">
        <v>0.758109015</v>
      </c>
      <c r="D4" s="24">
        <v>0.549865229</v>
      </c>
      <c r="E4" s="24">
        <v>0.116802531</v>
      </c>
      <c r="F4" s="24">
        <v>0.333568003</v>
      </c>
      <c r="G4" s="24">
        <v>0.037367615</v>
      </c>
      <c r="H4" s="24">
        <v>1.094430826</v>
      </c>
      <c r="I4" s="24">
        <v>0.125267545</v>
      </c>
      <c r="J4" s="24">
        <v>0.360593972</v>
      </c>
      <c r="K4" s="24">
        <v>0.398128749</v>
      </c>
      <c r="L4" s="24">
        <v>0.541373392</v>
      </c>
      <c r="M4" s="24">
        <v>0.280734785</v>
      </c>
      <c r="N4" s="24">
        <v>0.097566471</v>
      </c>
      <c r="O4" s="24">
        <v>0.204782873</v>
      </c>
      <c r="P4" s="24">
        <v>0.692807928</v>
      </c>
      <c r="Q4" s="24">
        <v>0.232050982</v>
      </c>
      <c r="R4" s="24">
        <v>0.244857055</v>
      </c>
      <c r="S4" s="24">
        <v>0.210553148</v>
      </c>
      <c r="T4" s="24">
        <v>0.199744246</v>
      </c>
      <c r="U4" s="24">
        <v>0.136193564</v>
      </c>
      <c r="V4" s="24">
        <v>0.427197659</v>
      </c>
      <c r="W4" s="24">
        <v>0.5902905</v>
      </c>
      <c r="X4" s="24">
        <v>0.608541366</v>
      </c>
      <c r="Y4" s="24">
        <v>1.30137741</v>
      </c>
      <c r="Z4" s="24">
        <v>0.032709275</v>
      </c>
      <c r="AA4" s="24">
        <v>0.26825922</v>
      </c>
      <c r="AB4" s="24">
        <v>0.488616935</v>
      </c>
      <c r="AC4" s="24">
        <v>0.739880643</v>
      </c>
      <c r="AD4" s="24">
        <v>0.747002732</v>
      </c>
      <c r="AE4" s="24">
        <v>0.675154477</v>
      </c>
      <c r="AF4" s="24">
        <v>0.676459212</v>
      </c>
    </row>
    <row r="5" s="10" customFormat="1" spans="1:32">
      <c r="A5" s="10" t="s">
        <v>70</v>
      </c>
      <c r="B5" s="24">
        <v>0.67677616</v>
      </c>
      <c r="C5" s="24">
        <v>1.095220342</v>
      </c>
      <c r="D5" s="24">
        <v>0.586015538</v>
      </c>
      <c r="E5" s="24">
        <v>0.029930648</v>
      </c>
      <c r="F5" s="24">
        <v>0.960311524</v>
      </c>
      <c r="G5" s="24">
        <v>0.017984414</v>
      </c>
      <c r="H5" s="24">
        <v>0.639091254</v>
      </c>
      <c r="I5" s="24">
        <v>0.034020502</v>
      </c>
      <c r="J5" s="24">
        <v>0.618794326</v>
      </c>
      <c r="K5" s="24">
        <v>1.042504951</v>
      </c>
      <c r="L5" s="24">
        <v>2.077790848</v>
      </c>
      <c r="M5" s="24">
        <v>1.967585996</v>
      </c>
      <c r="N5" s="24">
        <v>2.576460868</v>
      </c>
      <c r="O5" s="24">
        <v>0.895627982</v>
      </c>
      <c r="P5" s="24">
        <v>1.856158551</v>
      </c>
      <c r="Q5" s="24">
        <v>2.860558934</v>
      </c>
      <c r="R5" s="24">
        <v>2.835564958</v>
      </c>
      <c r="S5" s="24">
        <v>1.593678307</v>
      </c>
      <c r="T5" s="24">
        <v>1.586189258</v>
      </c>
      <c r="U5" s="24">
        <v>0.023946121</v>
      </c>
      <c r="V5" s="24">
        <v>0.725201213</v>
      </c>
      <c r="W5" s="24">
        <v>0.640669982</v>
      </c>
      <c r="X5" s="24">
        <v>1.014813287</v>
      </c>
      <c r="Y5" s="24">
        <v>0.14369146</v>
      </c>
      <c r="Z5" s="24">
        <v>0.007531741</v>
      </c>
      <c r="AA5" s="24">
        <v>3.763860867</v>
      </c>
      <c r="AB5" s="24">
        <v>0.917574012</v>
      </c>
      <c r="AC5" s="24">
        <v>1.043906146</v>
      </c>
      <c r="AD5" s="24">
        <v>0.995371661</v>
      </c>
      <c r="AE5" s="24">
        <v>1.185897177</v>
      </c>
      <c r="AF5" s="24">
        <v>1.177638959</v>
      </c>
    </row>
    <row r="6" s="10" customFormat="1" spans="1:32">
      <c r="A6" s="10" t="s">
        <v>71</v>
      </c>
      <c r="B6" s="24">
        <v>0.920651678</v>
      </c>
      <c r="C6" s="24">
        <v>0.325702781</v>
      </c>
      <c r="D6" s="24">
        <v>0.068178215</v>
      </c>
      <c r="E6" s="24">
        <v>0.012410269</v>
      </c>
      <c r="F6" s="24">
        <v>1.125577507</v>
      </c>
      <c r="G6" s="24">
        <v>0.005195497</v>
      </c>
      <c r="H6" s="24">
        <v>0.156199289</v>
      </c>
      <c r="I6" s="24">
        <v>0.006308438</v>
      </c>
      <c r="J6" s="24">
        <v>0.119237589</v>
      </c>
      <c r="K6" s="24">
        <v>1.050942801</v>
      </c>
      <c r="L6" s="24">
        <v>1.14997011</v>
      </c>
      <c r="M6" s="24">
        <v>1.207510686</v>
      </c>
      <c r="N6" s="24">
        <v>2.451028992</v>
      </c>
      <c r="O6" s="24">
        <v>1.69585644</v>
      </c>
      <c r="P6" s="24">
        <v>1.379112797</v>
      </c>
      <c r="Q6" s="24">
        <v>1.510173059</v>
      </c>
      <c r="R6" s="24">
        <v>1.515742004</v>
      </c>
      <c r="S6" s="24">
        <v>2.244710681</v>
      </c>
      <c r="T6" s="24">
        <v>2.320204604</v>
      </c>
      <c r="U6" s="24">
        <v>0.024245448</v>
      </c>
      <c r="V6" s="24">
        <v>0.668339082</v>
      </c>
      <c r="W6" s="24">
        <v>0.539649306</v>
      </c>
      <c r="X6" s="24">
        <v>0.148793068</v>
      </c>
      <c r="Y6" s="24">
        <v>0.31030303</v>
      </c>
      <c r="Z6" s="24">
        <v>0.005379815</v>
      </c>
      <c r="AA6" s="24">
        <v>0.298765233</v>
      </c>
      <c r="AB6" s="24">
        <v>0.232970395</v>
      </c>
      <c r="AC6" s="24">
        <v>1.292219586</v>
      </c>
      <c r="AD6" s="24">
        <v>1.251491663</v>
      </c>
      <c r="AE6" s="24">
        <v>1.432636</v>
      </c>
      <c r="AF6" s="24">
        <v>1.447433567</v>
      </c>
    </row>
    <row r="7" s="10" customFormat="1" spans="1:32">
      <c r="A7" s="10" t="s">
        <v>56</v>
      </c>
      <c r="B7" s="24">
        <v>0.574993402</v>
      </c>
      <c r="C7" s="24">
        <v>0.210275147</v>
      </c>
      <c r="D7" s="24">
        <v>0.48707785</v>
      </c>
      <c r="E7" s="24">
        <v>0.636208785</v>
      </c>
      <c r="F7" s="24">
        <v>1.343380121</v>
      </c>
      <c r="G7" s="24">
        <v>0.583694132</v>
      </c>
      <c r="H7" s="24">
        <v>0.220833477</v>
      </c>
      <c r="I7" s="24">
        <v>0.595696744</v>
      </c>
      <c r="J7" s="24">
        <v>0.322916667</v>
      </c>
      <c r="K7" s="24">
        <v>0.278793445</v>
      </c>
      <c r="L7" s="24">
        <v>0.833522957</v>
      </c>
      <c r="M7" s="24">
        <v>0.9292184</v>
      </c>
      <c r="N7" s="24">
        <v>0.471533724</v>
      </c>
      <c r="O7" s="24">
        <v>1.233505905</v>
      </c>
      <c r="P7" s="24">
        <v>0.150499342</v>
      </c>
      <c r="Q7" s="24">
        <v>0.195743686</v>
      </c>
      <c r="R7" s="24">
        <v>0.200428695</v>
      </c>
      <c r="S7" s="24">
        <v>0.327810349</v>
      </c>
      <c r="T7" s="24">
        <v>0.325063939</v>
      </c>
      <c r="U7" s="24">
        <v>0.509753056</v>
      </c>
      <c r="V7" s="24">
        <v>0.701996446</v>
      </c>
      <c r="W7" s="24">
        <v>0.506935357</v>
      </c>
      <c r="X7" s="24">
        <v>0.19781308</v>
      </c>
      <c r="Y7" s="24">
        <v>0.481322314</v>
      </c>
      <c r="Z7" s="24">
        <v>0.391435335</v>
      </c>
      <c r="AA7" s="24">
        <v>0.259058994</v>
      </c>
      <c r="AB7" s="24">
        <v>0.203275443</v>
      </c>
      <c r="AC7" s="24">
        <v>1.196419305</v>
      </c>
      <c r="AD7" s="24">
        <v>1.214353427</v>
      </c>
      <c r="AE7" s="24">
        <v>1.208372037</v>
      </c>
      <c r="AF7" s="24">
        <v>1.207925579</v>
      </c>
    </row>
    <row r="8" spans="1:32">
      <c r="A8" t="s">
        <v>323</v>
      </c>
      <c r="B8">
        <v>1.27585958666667</v>
      </c>
      <c r="C8">
        <v>1.456267243</v>
      </c>
      <c r="D8">
        <v>1.61957613233333</v>
      </c>
      <c r="E8">
        <v>1.773816766</v>
      </c>
      <c r="F8">
        <v>0.856910283</v>
      </c>
      <c r="G8">
        <v>1.79770865266667</v>
      </c>
      <c r="H8">
        <v>1.66129199333333</v>
      </c>
      <c r="I8">
        <v>1.78799143833333</v>
      </c>
      <c r="J8">
        <v>1.646350473</v>
      </c>
      <c r="K8">
        <v>1.20925293466667</v>
      </c>
      <c r="L8">
        <v>0.646238694666667</v>
      </c>
      <c r="M8">
        <v>0.631894972333333</v>
      </c>
      <c r="N8">
        <v>0.166992138666667</v>
      </c>
      <c r="O8">
        <v>0.725003224</v>
      </c>
      <c r="P8">
        <v>0.87140977</v>
      </c>
      <c r="Q8">
        <v>0.477841440333333</v>
      </c>
      <c r="R8">
        <v>0.482754781</v>
      </c>
      <c r="S8">
        <v>0.611266887333333</v>
      </c>
      <c r="T8">
        <v>0.589514066666667</v>
      </c>
      <c r="U8">
        <v>1.81401845833333</v>
      </c>
      <c r="V8">
        <v>1.30148775333333</v>
      </c>
      <c r="W8">
        <v>1.43758178466667</v>
      </c>
      <c r="X8">
        <v>1.54619352166667</v>
      </c>
      <c r="Y8">
        <v>1.68822773166667</v>
      </c>
      <c r="Z8">
        <v>1.86521770333333</v>
      </c>
      <c r="AA8">
        <v>0.559438301666667</v>
      </c>
      <c r="AB8">
        <v>1.54872671633333</v>
      </c>
      <c r="AC8">
        <v>0.822484987666667</v>
      </c>
      <c r="AD8">
        <v>0.846261083</v>
      </c>
      <c r="AE8">
        <v>0.724364928666667</v>
      </c>
      <c r="AF8">
        <v>0.722333965333333</v>
      </c>
    </row>
    <row r="9" spans="1:32">
      <c r="A9" t="s">
        <v>324</v>
      </c>
      <c r="B9">
        <v>0.724140413333333</v>
      </c>
      <c r="C9">
        <v>0.543732756666667</v>
      </c>
      <c r="D9">
        <v>0.380423867666667</v>
      </c>
      <c r="E9">
        <v>0.226183234</v>
      </c>
      <c r="F9">
        <v>1.14308971733333</v>
      </c>
      <c r="G9">
        <v>0.202291347666667</v>
      </c>
      <c r="H9">
        <v>0.338708006666667</v>
      </c>
      <c r="I9">
        <v>0.212008561333333</v>
      </c>
      <c r="J9">
        <v>0.353649527333333</v>
      </c>
      <c r="K9">
        <v>0.790747065666667</v>
      </c>
      <c r="L9">
        <v>1.353761305</v>
      </c>
      <c r="M9">
        <v>1.36810502733333</v>
      </c>
      <c r="N9">
        <v>1.83300786133333</v>
      </c>
      <c r="O9">
        <v>1.27499677566667</v>
      </c>
      <c r="P9">
        <v>1.12859023</v>
      </c>
      <c r="Q9">
        <v>1.52215855966667</v>
      </c>
      <c r="R9">
        <v>1.517245219</v>
      </c>
      <c r="S9">
        <v>1.38873311233333</v>
      </c>
      <c r="T9">
        <v>1.41048593366667</v>
      </c>
      <c r="U9">
        <v>0.185981541666667</v>
      </c>
      <c r="V9">
        <v>0.698512247</v>
      </c>
      <c r="W9">
        <v>0.562418215</v>
      </c>
      <c r="X9">
        <v>0.453806478333333</v>
      </c>
      <c r="Y9">
        <v>0.311772268</v>
      </c>
      <c r="Z9">
        <v>0.134782297</v>
      </c>
      <c r="AA9">
        <v>1.440561698</v>
      </c>
      <c r="AB9">
        <v>0.451273283333333</v>
      </c>
      <c r="AC9">
        <v>1.17751501233333</v>
      </c>
      <c r="AD9">
        <v>1.153738917</v>
      </c>
      <c r="AE9">
        <v>1.27563507133333</v>
      </c>
      <c r="AF9">
        <v>1.277666035</v>
      </c>
    </row>
    <row r="10" spans="1:32">
      <c r="A10" t="s">
        <v>150</v>
      </c>
      <c r="B10">
        <v>1.15003482709375</v>
      </c>
      <c r="C10">
        <v>1.41380685828125</v>
      </c>
      <c r="D10">
        <v>1.25091152209375</v>
      </c>
      <c r="E10">
        <v>1.7197576551875</v>
      </c>
      <c r="F10">
        <v>0.92000511503125</v>
      </c>
      <c r="G10">
        <v>1.69892955725</v>
      </c>
      <c r="H10">
        <v>1.50965583834375</v>
      </c>
      <c r="I10">
        <v>1.7084742300625</v>
      </c>
      <c r="J10">
        <v>1.42798972634375</v>
      </c>
      <c r="K10">
        <v>1.04246837490625</v>
      </c>
      <c r="L10">
        <v>1.6900433574375</v>
      </c>
      <c r="M10">
        <v>1.2039934946875</v>
      </c>
      <c r="N10">
        <v>1.2308952525</v>
      </c>
      <c r="O10">
        <v>1.418084605375</v>
      </c>
      <c r="P10">
        <v>1.38022571390625</v>
      </c>
      <c r="Q10">
        <v>1.7174321326875</v>
      </c>
      <c r="R10">
        <v>0.4788658939375</v>
      </c>
      <c r="S10">
        <v>1.35846000528125</v>
      </c>
      <c r="T10">
        <v>0.76655068709375</v>
      </c>
      <c r="U10">
        <v>0.79976534025</v>
      </c>
      <c r="V10">
        <v>0.2937280335625</v>
      </c>
      <c r="W10">
        <v>0.874715863</v>
      </c>
      <c r="X10">
        <v>0.97840061371875</v>
      </c>
      <c r="Y10">
        <v>0.65751557509375</v>
      </c>
      <c r="Z10">
        <v>0.664050324875</v>
      </c>
      <c r="AA10">
        <v>0.75518653553125</v>
      </c>
      <c r="AB10">
        <v>0.73486264115625</v>
      </c>
      <c r="AC10">
        <v>0.7836195741875</v>
      </c>
      <c r="AD10">
        <v>0.8030275834375</v>
      </c>
      <c r="AE10">
        <v>0.6829230671875</v>
      </c>
      <c r="AF10">
        <v>0.680456174375</v>
      </c>
    </row>
    <row r="11" spans="1:32">
      <c r="A11" t="s">
        <v>151</v>
      </c>
      <c r="B11">
        <v>0.839962851233333</v>
      </c>
      <c r="C11">
        <v>0.558606017833333</v>
      </c>
      <c r="D11">
        <v>0.7323610431</v>
      </c>
      <c r="E11">
        <v>0.232258501133333</v>
      </c>
      <c r="F11">
        <v>1.08532787733333</v>
      </c>
      <c r="G11">
        <v>0.254475138966667</v>
      </c>
      <c r="H11">
        <v>0.456367105766667</v>
      </c>
      <c r="I11">
        <v>0.2442941546</v>
      </c>
      <c r="J11">
        <v>0.5434776252</v>
      </c>
      <c r="K11">
        <v>0.9547004002</v>
      </c>
      <c r="L11">
        <v>0.2639537521</v>
      </c>
      <c r="M11">
        <v>0.7824069391</v>
      </c>
      <c r="N11">
        <v>0.7537117306</v>
      </c>
      <c r="O11">
        <v>0.554043087666667</v>
      </c>
      <c r="P11">
        <v>0.594425905066667</v>
      </c>
      <c r="Q11">
        <v>0.234739058533333</v>
      </c>
      <c r="R11">
        <v>1.55587637966667</v>
      </c>
      <c r="S11">
        <v>0.617642661</v>
      </c>
      <c r="T11">
        <v>1.2490126004</v>
      </c>
      <c r="U11">
        <v>1.21358363703333</v>
      </c>
      <c r="V11">
        <v>1.75335676416667</v>
      </c>
      <c r="W11">
        <v>1.13363641276667</v>
      </c>
      <c r="X11">
        <v>1.02303934546667</v>
      </c>
      <c r="Y11">
        <v>1.3653167199</v>
      </c>
      <c r="Z11">
        <v>1.35834632016667</v>
      </c>
      <c r="AA11">
        <v>1.26113436193333</v>
      </c>
      <c r="AB11">
        <v>1.28281318276667</v>
      </c>
      <c r="AC11">
        <v>1.1308057875</v>
      </c>
      <c r="AD11">
        <v>1.1101039111</v>
      </c>
      <c r="AE11">
        <v>1.23821539506667</v>
      </c>
      <c r="AF11">
        <v>1.24084674726667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66"/>
  <sheetViews>
    <sheetView topLeftCell="L1" workbookViewId="0">
      <selection activeCell="C1" sqref="C1:AC1"/>
    </sheetView>
  </sheetViews>
  <sheetFormatPr defaultColWidth="9" defaultRowHeight="13.5"/>
  <sheetData>
    <row r="1" spans="1:33">
      <c r="A1" t="s">
        <v>325</v>
      </c>
      <c r="C1" s="7" t="s">
        <v>169</v>
      </c>
      <c r="D1" s="8" t="s">
        <v>172</v>
      </c>
      <c r="E1" s="7" t="s">
        <v>171</v>
      </c>
      <c r="F1" s="7" t="s">
        <v>164</v>
      </c>
      <c r="G1" s="7" t="s">
        <v>163</v>
      </c>
      <c r="H1" s="8" t="s">
        <v>162</v>
      </c>
      <c r="I1" s="7" t="s">
        <v>159</v>
      </c>
      <c r="J1" s="8" t="s">
        <v>158</v>
      </c>
      <c r="K1" s="7" t="s">
        <v>157</v>
      </c>
      <c r="L1" s="7" t="s">
        <v>186</v>
      </c>
      <c r="M1" s="8" t="s">
        <v>170</v>
      </c>
      <c r="N1" s="7" t="s">
        <v>167</v>
      </c>
      <c r="O1" s="7" t="s">
        <v>168</v>
      </c>
      <c r="P1" s="7" t="s">
        <v>166</v>
      </c>
      <c r="Q1" s="11" t="s">
        <v>174</v>
      </c>
      <c r="R1" s="11" t="s">
        <v>180</v>
      </c>
      <c r="S1" s="11" t="s">
        <v>179</v>
      </c>
      <c r="T1" s="12" t="s">
        <v>177</v>
      </c>
      <c r="U1" s="11" t="s">
        <v>173</v>
      </c>
      <c r="V1" s="11" t="s">
        <v>193</v>
      </c>
      <c r="W1" s="11" t="s">
        <v>189</v>
      </c>
      <c r="X1" s="11" t="s">
        <v>188</v>
      </c>
      <c r="Y1" s="12" t="s">
        <v>185</v>
      </c>
      <c r="Z1" s="12" t="s">
        <v>182</v>
      </c>
      <c r="AA1" s="12" t="s">
        <v>181</v>
      </c>
      <c r="AB1" s="11" t="s">
        <v>178</v>
      </c>
      <c r="AC1" s="12" t="s">
        <v>176</v>
      </c>
      <c r="AD1" s="22" t="s">
        <v>42</v>
      </c>
      <c r="AE1" s="22" t="s">
        <v>43</v>
      </c>
      <c r="AF1" s="23" t="s">
        <v>44</v>
      </c>
      <c r="AG1" s="23" t="s">
        <v>45</v>
      </c>
    </row>
    <row r="2" spans="1:33">
      <c r="A2" t="s">
        <v>238</v>
      </c>
      <c r="C2" t="s">
        <v>212</v>
      </c>
      <c r="D2" t="s">
        <v>215</v>
      </c>
      <c r="E2" t="s">
        <v>214</v>
      </c>
      <c r="F2" t="s">
        <v>207</v>
      </c>
      <c r="G2" t="s">
        <v>206</v>
      </c>
      <c r="H2" t="s">
        <v>205</v>
      </c>
      <c r="I2" t="s">
        <v>202</v>
      </c>
      <c r="J2" t="s">
        <v>201</v>
      </c>
      <c r="K2" t="s">
        <v>200</v>
      </c>
      <c r="L2" t="s">
        <v>326</v>
      </c>
      <c r="M2" t="s">
        <v>213</v>
      </c>
      <c r="N2" t="s">
        <v>210</v>
      </c>
      <c r="O2" t="s">
        <v>211</v>
      </c>
      <c r="P2" t="s">
        <v>209</v>
      </c>
      <c r="Q2" t="s">
        <v>217</v>
      </c>
      <c r="R2" t="s">
        <v>223</v>
      </c>
      <c r="S2" t="s">
        <v>222</v>
      </c>
      <c r="T2" t="s">
        <v>220</v>
      </c>
      <c r="U2" t="s">
        <v>216</v>
      </c>
      <c r="V2" t="s">
        <v>236</v>
      </c>
      <c r="W2" t="s">
        <v>232</v>
      </c>
      <c r="X2" t="s">
        <v>231</v>
      </c>
      <c r="Y2" t="s">
        <v>228</v>
      </c>
      <c r="Z2" t="s">
        <v>225</v>
      </c>
      <c r="AA2" t="s">
        <v>224</v>
      </c>
      <c r="AB2" t="s">
        <v>221</v>
      </c>
      <c r="AC2" t="s">
        <v>219</v>
      </c>
      <c r="AD2" t="s">
        <v>42</v>
      </c>
      <c r="AE2" t="s">
        <v>43</v>
      </c>
      <c r="AF2" t="s">
        <v>44</v>
      </c>
      <c r="AG2" t="s">
        <v>45</v>
      </c>
    </row>
    <row r="3" s="10" customFormat="1" spans="1:33">
      <c r="A3" s="10" t="s">
        <v>46</v>
      </c>
      <c r="B3" s="10" t="str">
        <f>IF(OR(RIGHT(A3,1)="A",RIGHT(A3,1)="T"),"A/T","G/C")</f>
        <v>A/T</v>
      </c>
      <c r="C3" s="10">
        <v>1.208842924</v>
      </c>
      <c r="D3" s="10">
        <v>1.552148951</v>
      </c>
      <c r="E3" s="10">
        <v>1.121476758</v>
      </c>
      <c r="F3" s="10">
        <v>1.418329847</v>
      </c>
      <c r="G3" s="10">
        <v>0.86034145</v>
      </c>
      <c r="H3" s="10">
        <v>1.384437477</v>
      </c>
      <c r="I3" s="10">
        <v>1.559194631</v>
      </c>
      <c r="J3" s="10">
        <v>1.518749091</v>
      </c>
      <c r="K3" s="10">
        <v>1.100300903</v>
      </c>
      <c r="L3" s="10">
        <v>1.4902614</v>
      </c>
      <c r="M3" s="10">
        <v>1.684311807</v>
      </c>
      <c r="N3" s="10">
        <v>1.274511457</v>
      </c>
      <c r="O3" s="10">
        <v>1.364296081</v>
      </c>
      <c r="P3" s="10">
        <v>1.597018402</v>
      </c>
      <c r="Q3" s="10">
        <v>1.527847325</v>
      </c>
      <c r="R3" s="10">
        <v>1.620527843</v>
      </c>
      <c r="S3" s="10">
        <v>0.326216844</v>
      </c>
      <c r="T3" s="10">
        <v>0.945444234</v>
      </c>
      <c r="U3" s="10">
        <v>1.044384855</v>
      </c>
      <c r="V3" s="10">
        <v>1.115887297</v>
      </c>
      <c r="W3" s="10">
        <v>0.457275548</v>
      </c>
      <c r="X3" s="10">
        <v>1.119021518</v>
      </c>
      <c r="Y3" s="10">
        <v>0.889900396</v>
      </c>
      <c r="Z3" s="10">
        <v>1.070551173</v>
      </c>
      <c r="AA3" s="10">
        <v>1.068537829</v>
      </c>
      <c r="AB3" s="10">
        <v>0.517712976</v>
      </c>
      <c r="AC3" s="10">
        <v>0.509284228</v>
      </c>
      <c r="AD3" s="10">
        <v>0.824203329</v>
      </c>
      <c r="AE3" s="10">
        <v>0.847612247</v>
      </c>
      <c r="AF3" s="10">
        <v>0.72913694</v>
      </c>
      <c r="AG3" s="10">
        <v>0.728899253</v>
      </c>
    </row>
    <row r="4" s="10" customFormat="1" spans="1:33">
      <c r="A4" s="10" t="s">
        <v>47</v>
      </c>
      <c r="B4" s="10" t="str">
        <f t="shared" ref="B4:B64" si="0">IF(OR(RIGHT(A4,1)="A",RIGHT(A4,1)="T"),"A/T","G/C")</f>
        <v>G/C</v>
      </c>
      <c r="C4" s="10">
        <v>0.668316591</v>
      </c>
      <c r="D4" s="10">
        <v>0.441873112</v>
      </c>
      <c r="E4" s="10">
        <v>0.939241786</v>
      </c>
      <c r="F4" s="10">
        <v>0.261503299</v>
      </c>
      <c r="G4" s="10">
        <v>0.747774481</v>
      </c>
      <c r="H4" s="10">
        <v>0.348299414</v>
      </c>
      <c r="I4" s="10">
        <v>0.418200661</v>
      </c>
      <c r="J4" s="10">
        <v>0.331130559</v>
      </c>
      <c r="K4" s="10">
        <v>0.449656493</v>
      </c>
      <c r="L4" s="10">
        <v>0.937562261</v>
      </c>
      <c r="M4" s="10">
        <v>0.26299282</v>
      </c>
      <c r="N4" s="10">
        <v>0.656988222</v>
      </c>
      <c r="O4" s="10">
        <v>0.633902093</v>
      </c>
      <c r="P4" s="10">
        <v>0.564255402</v>
      </c>
      <c r="Q4" s="10">
        <v>0.418534261</v>
      </c>
      <c r="R4" s="10">
        <v>0.304170037</v>
      </c>
      <c r="S4" s="10">
        <v>1.565343466</v>
      </c>
      <c r="T4" s="10">
        <v>0.83513347</v>
      </c>
      <c r="U4" s="10">
        <v>0.952156968</v>
      </c>
      <c r="V4" s="10">
        <v>1.054861258</v>
      </c>
      <c r="W4" s="10">
        <v>1.63685379</v>
      </c>
      <c r="X4" s="10">
        <v>0.837261066</v>
      </c>
      <c r="Y4" s="10">
        <v>0.946394499</v>
      </c>
      <c r="Z4" s="10">
        <v>1.055835897</v>
      </c>
      <c r="AA4" s="10">
        <v>1.036747102</v>
      </c>
      <c r="AB4" s="10">
        <v>1.293171255</v>
      </c>
      <c r="AC4" s="10">
        <v>1.316601448</v>
      </c>
      <c r="AD4" s="10">
        <v>1.095302467</v>
      </c>
      <c r="AE4" s="10">
        <v>1.07553091</v>
      </c>
      <c r="AF4" s="10">
        <v>1.209384858</v>
      </c>
      <c r="AG4" s="10">
        <v>1.211784364</v>
      </c>
    </row>
    <row r="5" s="10" customFormat="1" spans="1:33">
      <c r="A5" s="10" t="s">
        <v>48</v>
      </c>
      <c r="B5" s="10" t="str">
        <f t="shared" si="0"/>
        <v>G/C</v>
      </c>
      <c r="C5" s="10">
        <v>0.791157076</v>
      </c>
      <c r="D5" s="10">
        <v>0.447851049</v>
      </c>
      <c r="E5" s="10">
        <v>0.878523242</v>
      </c>
      <c r="F5" s="10">
        <v>0.581670153</v>
      </c>
      <c r="G5" s="10">
        <v>1.13965855</v>
      </c>
      <c r="H5" s="10">
        <v>0.615562523</v>
      </c>
      <c r="I5" s="10">
        <v>0.440805369</v>
      </c>
      <c r="J5" s="10">
        <v>0.481250909</v>
      </c>
      <c r="K5" s="10">
        <v>0.899699097</v>
      </c>
      <c r="L5" s="10">
        <v>0.5097386</v>
      </c>
      <c r="M5" s="10">
        <v>0.315688193</v>
      </c>
      <c r="N5" s="10">
        <v>0.725488543</v>
      </c>
      <c r="O5" s="10">
        <v>0.635703919</v>
      </c>
      <c r="P5" s="10">
        <v>0.402981598</v>
      </c>
      <c r="Q5" s="10">
        <v>0.472152675</v>
      </c>
      <c r="R5" s="10">
        <v>0.379472157</v>
      </c>
      <c r="S5" s="10">
        <v>1.673783156</v>
      </c>
      <c r="T5" s="10">
        <v>1.054555766</v>
      </c>
      <c r="U5" s="10">
        <v>0.955615145</v>
      </c>
      <c r="V5" s="10">
        <v>0.884112703</v>
      </c>
      <c r="W5" s="10">
        <v>1.542724452</v>
      </c>
      <c r="X5" s="10">
        <v>0.880978482</v>
      </c>
      <c r="Y5" s="10">
        <v>1.110099604</v>
      </c>
      <c r="Z5" s="10">
        <v>0.929448827</v>
      </c>
      <c r="AA5" s="10">
        <v>0.931462171</v>
      </c>
      <c r="AB5" s="10">
        <v>1.482287024</v>
      </c>
      <c r="AC5" s="10">
        <v>1.490715772</v>
      </c>
      <c r="AD5" s="10">
        <v>1.175796671</v>
      </c>
      <c r="AE5" s="10">
        <v>1.152387753</v>
      </c>
      <c r="AF5" s="10">
        <v>1.27086306</v>
      </c>
      <c r="AG5" s="10">
        <v>1.271100747</v>
      </c>
    </row>
    <row r="6" s="10" customFormat="1" spans="1:33">
      <c r="A6" s="10" t="s">
        <v>49</v>
      </c>
      <c r="B6" s="10" t="str">
        <f t="shared" si="0"/>
        <v>A/T</v>
      </c>
      <c r="C6" s="10">
        <v>1.331683409</v>
      </c>
      <c r="D6" s="10">
        <v>1.558126888</v>
      </c>
      <c r="E6" s="10">
        <v>1.060758214</v>
      </c>
      <c r="F6" s="10">
        <v>1.738496701</v>
      </c>
      <c r="G6" s="10">
        <v>1.252225519</v>
      </c>
      <c r="H6" s="10">
        <v>1.651700586</v>
      </c>
      <c r="I6" s="10">
        <v>1.581799339</v>
      </c>
      <c r="J6" s="10">
        <v>1.668869441</v>
      </c>
      <c r="K6" s="10">
        <v>1.550343507</v>
      </c>
      <c r="L6" s="10">
        <v>1.062437739</v>
      </c>
      <c r="M6" s="10">
        <v>1.73700718</v>
      </c>
      <c r="N6" s="10">
        <v>1.343011778</v>
      </c>
      <c r="O6" s="10">
        <v>1.366097907</v>
      </c>
      <c r="P6" s="10">
        <v>1.435744598</v>
      </c>
      <c r="Q6" s="10">
        <v>1.581465739</v>
      </c>
      <c r="R6" s="10">
        <v>1.695829963</v>
      </c>
      <c r="S6" s="10">
        <v>0.434656534</v>
      </c>
      <c r="T6" s="10">
        <v>1.16486653</v>
      </c>
      <c r="U6" s="10">
        <v>1.047843032</v>
      </c>
      <c r="V6" s="10">
        <v>0.945138742</v>
      </c>
      <c r="W6" s="10">
        <v>0.36314621</v>
      </c>
      <c r="X6" s="10">
        <v>1.162738934</v>
      </c>
      <c r="Y6" s="10">
        <v>1.053605501</v>
      </c>
      <c r="Z6" s="10">
        <v>0.944164103</v>
      </c>
      <c r="AA6" s="10">
        <v>0.963252898</v>
      </c>
      <c r="AB6" s="10">
        <v>0.706828745</v>
      </c>
      <c r="AC6" s="10">
        <v>0.683398552</v>
      </c>
      <c r="AD6" s="10">
        <v>0.904697533</v>
      </c>
      <c r="AE6" s="10">
        <v>0.92446909</v>
      </c>
      <c r="AF6" s="10">
        <v>0.790615142</v>
      </c>
      <c r="AG6" s="10">
        <v>0.788215636</v>
      </c>
    </row>
    <row r="7" s="10" customFormat="1" spans="1:33">
      <c r="A7" s="10" t="s">
        <v>50</v>
      </c>
      <c r="B7" s="10" t="str">
        <f t="shared" si="0"/>
        <v>A/T</v>
      </c>
      <c r="C7" s="10">
        <v>1.695285969</v>
      </c>
      <c r="D7" s="10">
        <v>1.274281192</v>
      </c>
      <c r="E7" s="10">
        <v>1.925398725</v>
      </c>
      <c r="F7" s="10">
        <v>1.807739932</v>
      </c>
      <c r="G7" s="10">
        <v>1.044137601</v>
      </c>
      <c r="H7" s="10">
        <v>1.672414212</v>
      </c>
      <c r="I7" s="10">
        <v>1.701085762</v>
      </c>
      <c r="J7" s="10">
        <v>1.793359211</v>
      </c>
      <c r="K7" s="10">
        <v>2.2324906</v>
      </c>
      <c r="L7" s="10">
        <v>1.863372093</v>
      </c>
      <c r="M7" s="10">
        <v>1.972937046</v>
      </c>
      <c r="N7" s="10">
        <v>1.843151448</v>
      </c>
      <c r="O7" s="10">
        <v>1.881372582</v>
      </c>
      <c r="P7" s="10">
        <v>1.704075364</v>
      </c>
      <c r="Q7" s="10">
        <v>1.441668003</v>
      </c>
      <c r="R7" s="10">
        <v>1.768081196</v>
      </c>
      <c r="S7" s="10">
        <v>0.206024297</v>
      </c>
      <c r="T7" s="10">
        <v>0.760342097</v>
      </c>
      <c r="U7" s="10">
        <v>0.822515328</v>
      </c>
      <c r="V7" s="10">
        <v>0.793793421</v>
      </c>
      <c r="W7" s="10">
        <v>0.216432509</v>
      </c>
      <c r="X7" s="10">
        <v>0.871044248</v>
      </c>
      <c r="Y7" s="10">
        <v>0.364624139</v>
      </c>
      <c r="Z7" s="10">
        <v>0.509728548</v>
      </c>
      <c r="AA7" s="10">
        <v>0.519820108</v>
      </c>
      <c r="AB7" s="10">
        <v>0.318694019</v>
      </c>
      <c r="AC7" s="10">
        <v>0.311467741</v>
      </c>
      <c r="AD7" s="10">
        <v>1.075281021</v>
      </c>
      <c r="AE7" s="10">
        <v>1.097373987</v>
      </c>
      <c r="AF7" s="10">
        <v>0.950892912</v>
      </c>
      <c r="AG7" s="10">
        <v>0.941365577</v>
      </c>
    </row>
    <row r="8" s="10" customFormat="1" spans="1:33">
      <c r="A8" s="10" t="s">
        <v>51</v>
      </c>
      <c r="B8" s="10" t="str">
        <f t="shared" si="0"/>
        <v>G/C</v>
      </c>
      <c r="C8" s="10">
        <v>0.898754821</v>
      </c>
      <c r="D8" s="10">
        <v>0.761171195</v>
      </c>
      <c r="E8" s="10">
        <v>0.80722073</v>
      </c>
      <c r="F8" s="10">
        <v>0.145128639</v>
      </c>
      <c r="G8" s="10">
        <v>1.144305212</v>
      </c>
      <c r="H8" s="10">
        <v>0.253799946</v>
      </c>
      <c r="I8" s="10">
        <v>0.45786628</v>
      </c>
      <c r="J8" s="10">
        <v>0.122234035</v>
      </c>
      <c r="K8" s="10">
        <v>0.353377415</v>
      </c>
      <c r="L8" s="10">
        <v>1.140063425</v>
      </c>
      <c r="M8" s="10">
        <v>0.164831794</v>
      </c>
      <c r="N8" s="10">
        <v>0.807683742</v>
      </c>
      <c r="O8" s="10">
        <v>0.711019274</v>
      </c>
      <c r="P8" s="10">
        <v>0.538193733</v>
      </c>
      <c r="Q8" s="10">
        <v>0.728019246</v>
      </c>
      <c r="R8" s="10">
        <v>0.121686779</v>
      </c>
      <c r="S8" s="10">
        <v>2.003439286</v>
      </c>
      <c r="T8" s="10">
        <v>0.735761799</v>
      </c>
      <c r="U8" s="10">
        <v>1.3480238</v>
      </c>
      <c r="V8" s="10">
        <v>0.927918648</v>
      </c>
      <c r="W8" s="10">
        <v>2.804078487</v>
      </c>
      <c r="X8" s="10">
        <v>1.615362832</v>
      </c>
      <c r="Y8" s="10">
        <v>1.142023847</v>
      </c>
      <c r="Z8" s="10">
        <v>1.309707485</v>
      </c>
      <c r="AA8" s="10">
        <v>1.302597626</v>
      </c>
      <c r="AB8" s="10">
        <v>1.663825484</v>
      </c>
      <c r="AC8" s="10">
        <v>1.681839444</v>
      </c>
      <c r="AD8" s="10">
        <v>1.416697588</v>
      </c>
      <c r="AE8" s="10">
        <v>1.392007402</v>
      </c>
      <c r="AF8" s="10">
        <v>1.578408994</v>
      </c>
      <c r="AG8" s="10">
        <v>1.575404251</v>
      </c>
    </row>
    <row r="9" s="10" customFormat="1" spans="1:33">
      <c r="A9" s="10" t="s">
        <v>52</v>
      </c>
      <c r="B9" s="10" t="str">
        <f t="shared" si="0"/>
        <v>G/C</v>
      </c>
      <c r="C9" s="10">
        <v>0.738972775</v>
      </c>
      <c r="D9" s="10">
        <v>0.782590346</v>
      </c>
      <c r="E9" s="10">
        <v>0.349648992</v>
      </c>
      <c r="F9" s="10">
        <v>0.118713025</v>
      </c>
      <c r="G9" s="10">
        <v>1.267299864</v>
      </c>
      <c r="H9" s="10">
        <v>0.060896423</v>
      </c>
      <c r="I9" s="10">
        <v>0.918633786</v>
      </c>
      <c r="J9" s="10">
        <v>0.163868767</v>
      </c>
      <c r="K9" s="10">
        <v>0.463632828</v>
      </c>
      <c r="L9" s="10">
        <v>0.433756166</v>
      </c>
      <c r="M9" s="10">
        <v>0.146698933</v>
      </c>
      <c r="N9" s="10">
        <v>0.466481069</v>
      </c>
      <c r="O9" s="10">
        <v>0.621320416</v>
      </c>
      <c r="P9" s="10">
        <v>0.642330535</v>
      </c>
      <c r="Q9" s="10">
        <v>0.719422614</v>
      </c>
      <c r="R9" s="10">
        <v>0.041343669</v>
      </c>
      <c r="S9" s="10">
        <v>1.507294614</v>
      </c>
      <c r="T9" s="10">
        <v>0.504909724</v>
      </c>
      <c r="U9" s="10">
        <v>1.265039253</v>
      </c>
      <c r="V9" s="10">
        <v>1.943062526</v>
      </c>
      <c r="W9" s="10">
        <v>0.83626771</v>
      </c>
      <c r="X9" s="10">
        <v>1.096353982</v>
      </c>
      <c r="Y9" s="10">
        <v>1.646984817</v>
      </c>
      <c r="Z9" s="10">
        <v>1.786893447</v>
      </c>
      <c r="AA9" s="10">
        <v>1.791944165</v>
      </c>
      <c r="AB9" s="10">
        <v>0.782432823</v>
      </c>
      <c r="AC9" s="10">
        <v>0.795653269</v>
      </c>
      <c r="AD9" s="10">
        <v>0.559336462</v>
      </c>
      <c r="AE9" s="10">
        <v>0.539742686</v>
      </c>
      <c r="AF9" s="10">
        <v>0.645972438</v>
      </c>
      <c r="AG9" s="10">
        <v>0.660476944</v>
      </c>
    </row>
    <row r="10" s="10" customFormat="1" spans="1:33">
      <c r="A10" s="10" t="s">
        <v>53</v>
      </c>
      <c r="B10" s="10" t="str">
        <f t="shared" si="0"/>
        <v>A/T</v>
      </c>
      <c r="C10" s="10">
        <v>0.666986435</v>
      </c>
      <c r="D10" s="10">
        <v>1.181957267</v>
      </c>
      <c r="E10" s="10">
        <v>0.917731552</v>
      </c>
      <c r="F10" s="10">
        <v>1.928418404</v>
      </c>
      <c r="G10" s="10">
        <v>0.544257323</v>
      </c>
      <c r="H10" s="10">
        <v>2.012889419</v>
      </c>
      <c r="I10" s="10">
        <v>0.922414172</v>
      </c>
      <c r="J10" s="10">
        <v>1.920537988</v>
      </c>
      <c r="K10" s="10">
        <v>0.950499157</v>
      </c>
      <c r="L10" s="10">
        <v>0.562808316</v>
      </c>
      <c r="M10" s="10">
        <v>1.715532227</v>
      </c>
      <c r="N10" s="10">
        <v>0.882683742</v>
      </c>
      <c r="O10" s="10">
        <v>0.786287727</v>
      </c>
      <c r="P10" s="10">
        <v>1.115400369</v>
      </c>
      <c r="Q10" s="10">
        <v>1.110890136</v>
      </c>
      <c r="R10" s="10">
        <v>2.068888356</v>
      </c>
      <c r="S10" s="10">
        <v>0.283241804</v>
      </c>
      <c r="T10" s="10">
        <v>1.998986379</v>
      </c>
      <c r="U10" s="10">
        <v>0.564421619</v>
      </c>
      <c r="V10" s="10">
        <v>0.335225405</v>
      </c>
      <c r="W10" s="10">
        <v>0.143221293</v>
      </c>
      <c r="X10" s="10">
        <v>0.417238938</v>
      </c>
      <c r="Y10" s="10">
        <v>0.846367198</v>
      </c>
      <c r="Z10" s="10">
        <v>0.393670519</v>
      </c>
      <c r="AA10" s="10">
        <v>0.385638102</v>
      </c>
      <c r="AB10" s="10">
        <v>1.235047674</v>
      </c>
      <c r="AC10" s="10">
        <v>1.211039545</v>
      </c>
      <c r="AD10" s="10">
        <v>0.948684929</v>
      </c>
      <c r="AE10" s="10">
        <v>0.970875925</v>
      </c>
      <c r="AF10" s="10">
        <v>0.824725657</v>
      </c>
      <c r="AG10" s="10">
        <v>0.822753227</v>
      </c>
    </row>
    <row r="11" s="10" customFormat="1" spans="1:33">
      <c r="A11" s="10" t="s">
        <v>54</v>
      </c>
      <c r="B11" s="10" t="str">
        <f t="shared" si="0"/>
        <v>A/T</v>
      </c>
      <c r="C11" s="10">
        <v>1.979077189</v>
      </c>
      <c r="D11" s="10">
        <v>1.108194765</v>
      </c>
      <c r="E11" s="10">
        <v>2.837799271</v>
      </c>
      <c r="F11" s="10">
        <v>4.93016182</v>
      </c>
      <c r="G11" s="10">
        <v>1.481321776</v>
      </c>
      <c r="H11" s="10">
        <v>5.146539666</v>
      </c>
      <c r="I11" s="10">
        <v>1.059213479</v>
      </c>
      <c r="J11" s="10">
        <v>4.949419849</v>
      </c>
      <c r="K11" s="10">
        <v>2.15070922</v>
      </c>
      <c r="L11" s="10">
        <v>1.625921993</v>
      </c>
      <c r="M11" s="10">
        <v>5.080768271</v>
      </c>
      <c r="N11" s="10">
        <v>2.10776628</v>
      </c>
      <c r="O11" s="10">
        <v>2.038995027</v>
      </c>
      <c r="P11" s="10">
        <v>0.691974417</v>
      </c>
      <c r="Q11" s="10">
        <v>3.070413223</v>
      </c>
      <c r="R11" s="10">
        <v>5.343662578</v>
      </c>
      <c r="S11" s="10">
        <v>0.090549592</v>
      </c>
      <c r="T11" s="10">
        <v>1.780347341</v>
      </c>
      <c r="U11" s="10">
        <v>0.76583682</v>
      </c>
      <c r="V11" s="10">
        <v>0.562843476</v>
      </c>
      <c r="W11" s="10">
        <v>0.139777678</v>
      </c>
      <c r="X11" s="10">
        <v>1.04392284</v>
      </c>
      <c r="Y11" s="10">
        <v>0.423860029</v>
      </c>
      <c r="Z11" s="10">
        <v>0.242925631</v>
      </c>
      <c r="AA11" s="10">
        <v>0.246026223</v>
      </c>
      <c r="AB11" s="10">
        <v>1.010196278</v>
      </c>
      <c r="AC11" s="10">
        <v>0.970588235</v>
      </c>
      <c r="AD11" s="10">
        <v>1.214155979</v>
      </c>
      <c r="AE11" s="10">
        <v>1.278536776</v>
      </c>
      <c r="AF11" s="10">
        <v>1.027482735</v>
      </c>
      <c r="AG11" s="10">
        <v>1.023943063</v>
      </c>
    </row>
    <row r="12" s="10" customFormat="1" spans="1:33">
      <c r="A12" s="10" t="s">
        <v>55</v>
      </c>
      <c r="B12" s="10" t="str">
        <f t="shared" si="0"/>
        <v>G/C</v>
      </c>
      <c r="C12" s="10">
        <v>1.034681972</v>
      </c>
      <c r="D12" s="10">
        <v>0.707017011</v>
      </c>
      <c r="E12" s="10">
        <v>1.203754538</v>
      </c>
      <c r="F12" s="10">
        <v>0.49070632</v>
      </c>
      <c r="G12" s="10">
        <v>1.582250079</v>
      </c>
      <c r="H12" s="10">
        <v>0.517520794</v>
      </c>
      <c r="I12" s="10">
        <v>0.417939734</v>
      </c>
      <c r="J12" s="10">
        <v>0.462834777</v>
      </c>
      <c r="K12" s="10">
        <v>0.766688334</v>
      </c>
      <c r="L12" s="10">
        <v>1.493273862</v>
      </c>
      <c r="M12" s="10">
        <v>0.395460644</v>
      </c>
      <c r="N12" s="10">
        <v>1.035058475</v>
      </c>
      <c r="O12" s="10">
        <v>0.957238469</v>
      </c>
      <c r="P12" s="10">
        <v>0.846599766</v>
      </c>
      <c r="Q12" s="10">
        <v>0.666044226</v>
      </c>
      <c r="R12" s="10">
        <v>0.324737345</v>
      </c>
      <c r="S12" s="10">
        <v>1.606442277</v>
      </c>
      <c r="T12" s="10">
        <v>0.900894743</v>
      </c>
      <c r="U12" s="10">
        <v>1.242340967</v>
      </c>
      <c r="V12" s="10">
        <v>1.763312583</v>
      </c>
      <c r="W12" s="10">
        <v>2.018353033</v>
      </c>
      <c r="X12" s="10">
        <v>1.609063877</v>
      </c>
      <c r="Y12" s="10">
        <v>1.418249601</v>
      </c>
      <c r="Z12" s="10">
        <v>1.624837721</v>
      </c>
      <c r="AA12" s="10">
        <v>1.646784789</v>
      </c>
      <c r="AB12" s="10">
        <v>2.001626898</v>
      </c>
      <c r="AC12" s="10">
        <v>2.031904705</v>
      </c>
      <c r="AD12" s="10">
        <v>1.435390787</v>
      </c>
      <c r="AE12" s="10">
        <v>1.412801471</v>
      </c>
      <c r="AF12" s="10">
        <v>1.60482098</v>
      </c>
      <c r="AG12" s="10">
        <v>1.603235542</v>
      </c>
    </row>
    <row r="13" s="10" customFormat="1" spans="1:33">
      <c r="A13" s="10" t="s">
        <v>56</v>
      </c>
      <c r="B13" s="10" t="str">
        <f t="shared" si="0"/>
        <v>G/C</v>
      </c>
      <c r="C13" s="10">
        <v>0.574993402</v>
      </c>
      <c r="D13" s="10">
        <v>0.210275147</v>
      </c>
      <c r="E13" s="10">
        <v>0.48707785</v>
      </c>
      <c r="F13" s="10">
        <v>0.636208785</v>
      </c>
      <c r="G13" s="10">
        <v>1.343380121</v>
      </c>
      <c r="H13" s="10">
        <v>0.583694132</v>
      </c>
      <c r="I13" s="10">
        <v>0.220833477</v>
      </c>
      <c r="J13" s="10">
        <v>0.595696744</v>
      </c>
      <c r="K13" s="10">
        <v>0.322916667</v>
      </c>
      <c r="L13" s="10">
        <v>0.278793445</v>
      </c>
      <c r="M13" s="10">
        <v>0.509753056</v>
      </c>
      <c r="N13" s="10">
        <v>0.701996446</v>
      </c>
      <c r="O13" s="10">
        <v>0.506935357</v>
      </c>
      <c r="P13" s="10">
        <v>0.19781308</v>
      </c>
      <c r="Q13" s="10">
        <v>0.481322314</v>
      </c>
      <c r="R13" s="10">
        <v>0.391435335</v>
      </c>
      <c r="S13" s="10">
        <v>0.259058994</v>
      </c>
      <c r="T13" s="10">
        <v>0.203275443</v>
      </c>
      <c r="U13" s="10">
        <v>0.833522957</v>
      </c>
      <c r="V13" s="10">
        <v>0.9292184</v>
      </c>
      <c r="W13" s="10">
        <v>0.471533724</v>
      </c>
      <c r="X13" s="10">
        <v>1.233505905</v>
      </c>
      <c r="Y13" s="10">
        <v>0.150499342</v>
      </c>
      <c r="Z13" s="10">
        <v>0.195743686</v>
      </c>
      <c r="AA13" s="10">
        <v>0.200428695</v>
      </c>
      <c r="AB13" s="10">
        <v>0.327810349</v>
      </c>
      <c r="AC13" s="10">
        <v>0.325063939</v>
      </c>
      <c r="AD13" s="10">
        <v>1.196419305</v>
      </c>
      <c r="AE13" s="10">
        <v>1.214353427</v>
      </c>
      <c r="AF13" s="10">
        <v>1.208372037</v>
      </c>
      <c r="AG13" s="10">
        <v>1.207925579</v>
      </c>
    </row>
    <row r="14" s="10" customFormat="1" spans="1:33">
      <c r="A14" s="10" t="s">
        <v>57</v>
      </c>
      <c r="B14" s="10" t="str">
        <f t="shared" si="0"/>
        <v>A/T</v>
      </c>
      <c r="C14" s="10">
        <v>1.197236015</v>
      </c>
      <c r="D14" s="10">
        <v>1.766555286</v>
      </c>
      <c r="E14" s="10">
        <v>0.665545028</v>
      </c>
      <c r="F14" s="10">
        <v>1.881104168</v>
      </c>
      <c r="G14" s="10">
        <v>0.690488994</v>
      </c>
      <c r="H14" s="10">
        <v>1.746498524</v>
      </c>
      <c r="I14" s="10">
        <v>1.596556212</v>
      </c>
      <c r="J14" s="10">
        <v>1.820461711</v>
      </c>
      <c r="K14" s="10">
        <v>1.454022701</v>
      </c>
      <c r="L14" s="10">
        <v>0.80998363</v>
      </c>
      <c r="M14" s="10">
        <v>1.599284436</v>
      </c>
      <c r="N14" s="10">
        <v>1.153503879</v>
      </c>
      <c r="O14" s="10">
        <v>1.254656952</v>
      </c>
      <c r="P14" s="10">
        <v>1.273041699</v>
      </c>
      <c r="Q14" s="10">
        <v>1.386191646</v>
      </c>
      <c r="R14" s="10">
        <v>1.888388593</v>
      </c>
      <c r="S14" s="10">
        <v>0.282827741</v>
      </c>
      <c r="T14" s="10">
        <v>1.371007829</v>
      </c>
      <c r="U14" s="10">
        <v>0.490890585</v>
      </c>
      <c r="V14" s="10">
        <v>0.575624146</v>
      </c>
      <c r="W14" s="10">
        <v>0.195545409</v>
      </c>
      <c r="X14" s="10">
        <v>0.68506088</v>
      </c>
      <c r="Y14" s="10">
        <v>1.068524765</v>
      </c>
      <c r="Z14" s="10">
        <v>0.648178328</v>
      </c>
      <c r="AA14" s="10">
        <v>0.660158601</v>
      </c>
      <c r="AB14" s="10">
        <v>0.633586406</v>
      </c>
      <c r="AC14" s="10">
        <v>0.608045014</v>
      </c>
      <c r="AD14" s="10">
        <v>0.923463838</v>
      </c>
      <c r="AE14" s="10">
        <v>0.938243813</v>
      </c>
      <c r="AF14" s="10">
        <v>0.80201005</v>
      </c>
      <c r="AG14" s="10">
        <v>0.807866868</v>
      </c>
    </row>
    <row r="15" s="10" customFormat="1" spans="1:33">
      <c r="A15" s="10" t="s">
        <v>58</v>
      </c>
      <c r="B15" s="10" t="str">
        <f t="shared" si="0"/>
        <v>A/T</v>
      </c>
      <c r="C15" s="10">
        <v>0.347792529</v>
      </c>
      <c r="D15" s="10">
        <v>0.321371306</v>
      </c>
      <c r="E15" s="10">
        <v>0.495422055</v>
      </c>
      <c r="F15" s="10">
        <v>1.646768508</v>
      </c>
      <c r="G15" s="10">
        <v>0.580319322</v>
      </c>
      <c r="H15" s="10">
        <v>1.864243943</v>
      </c>
      <c r="I15" s="10">
        <v>0.279445428</v>
      </c>
      <c r="J15" s="10">
        <v>2.054509009</v>
      </c>
      <c r="K15" s="10">
        <v>0.404217466</v>
      </c>
      <c r="L15" s="10">
        <v>0.244025531</v>
      </c>
      <c r="M15" s="10">
        <v>1.561097422</v>
      </c>
      <c r="N15" s="10">
        <v>0.50228429</v>
      </c>
      <c r="O15" s="10">
        <v>0.4436248</v>
      </c>
      <c r="P15" s="10">
        <v>0.207768707</v>
      </c>
      <c r="Q15" s="10">
        <v>0.573684304</v>
      </c>
      <c r="R15" s="10">
        <v>1.652555478</v>
      </c>
      <c r="S15" s="10">
        <v>0.09398756</v>
      </c>
      <c r="T15" s="10">
        <v>0.201312963</v>
      </c>
      <c r="U15" s="10">
        <v>0.555673434</v>
      </c>
      <c r="V15" s="10">
        <v>0.41068371</v>
      </c>
      <c r="W15" s="10">
        <v>0.141789189</v>
      </c>
      <c r="X15" s="10">
        <v>0.669920925</v>
      </c>
      <c r="Y15" s="10">
        <v>0.104173083</v>
      </c>
      <c r="Z15" s="10">
        <v>0.158136483</v>
      </c>
      <c r="AA15" s="10">
        <v>0.16465519</v>
      </c>
      <c r="AB15" s="10">
        <v>0.119362445</v>
      </c>
      <c r="AC15" s="10">
        <v>0.116339752</v>
      </c>
      <c r="AD15" s="10">
        <v>0.466312194</v>
      </c>
      <c r="AE15" s="10">
        <v>0.486349914</v>
      </c>
      <c r="AF15" s="10">
        <v>0.39227241</v>
      </c>
      <c r="AG15" s="10">
        <v>0.39377709</v>
      </c>
    </row>
    <row r="16" s="10" customFormat="1" spans="1:33">
      <c r="A16" s="10" t="s">
        <v>59</v>
      </c>
      <c r="B16" s="10" t="str">
        <f t="shared" si="0"/>
        <v>G/C</v>
      </c>
      <c r="C16" s="10">
        <v>1.400390132</v>
      </c>
      <c r="D16" s="10">
        <v>0.73619913</v>
      </c>
      <c r="E16" s="10">
        <v>0.939207765</v>
      </c>
      <c r="F16" s="10">
        <v>0.111780259</v>
      </c>
      <c r="G16" s="10">
        <v>1.371823069</v>
      </c>
      <c r="H16" s="10">
        <v>0.136904762</v>
      </c>
      <c r="I16" s="10">
        <v>0.607653436</v>
      </c>
      <c r="J16" s="10">
        <v>0.109986105</v>
      </c>
      <c r="K16" s="10">
        <v>0.774789388</v>
      </c>
      <c r="L16" s="10">
        <v>1.384722428</v>
      </c>
      <c r="M16" s="10">
        <v>0.192346492</v>
      </c>
      <c r="N16" s="10">
        <v>1.163555186</v>
      </c>
      <c r="O16" s="10">
        <v>1.258696417</v>
      </c>
      <c r="P16" s="10">
        <v>0.806152454</v>
      </c>
      <c r="Q16" s="10">
        <v>0.532622837</v>
      </c>
      <c r="R16" s="10">
        <v>0.281003423</v>
      </c>
      <c r="S16" s="10">
        <v>2.097011057</v>
      </c>
      <c r="T16" s="10">
        <v>0.945261399</v>
      </c>
      <c r="U16" s="10">
        <v>1.462361962</v>
      </c>
      <c r="V16" s="10">
        <v>1.515028735</v>
      </c>
      <c r="W16" s="10">
        <v>2.328774362</v>
      </c>
      <c r="X16" s="10">
        <v>1.180642606</v>
      </c>
      <c r="Y16" s="10">
        <v>1.357714814</v>
      </c>
      <c r="Z16" s="10">
        <v>2.022112861</v>
      </c>
      <c r="AA16" s="10">
        <v>2.007801878</v>
      </c>
      <c r="AB16" s="10">
        <v>1.84693908</v>
      </c>
      <c r="AC16" s="10">
        <v>1.880780997</v>
      </c>
      <c r="AD16" s="10">
        <v>1.464488085</v>
      </c>
      <c r="AE16" s="10">
        <v>1.421461797</v>
      </c>
      <c r="AF16" s="10">
        <v>1.663940388</v>
      </c>
      <c r="AG16" s="10">
        <v>1.66512456</v>
      </c>
    </row>
    <row r="17" s="10" customFormat="1" spans="1:33">
      <c r="A17" s="10" t="s">
        <v>60</v>
      </c>
      <c r="B17" s="10" t="str">
        <f t="shared" si="0"/>
        <v>A/T</v>
      </c>
      <c r="C17" s="10">
        <v>1.25181734</v>
      </c>
      <c r="D17" s="10">
        <v>1.942429564</v>
      </c>
      <c r="E17" s="10">
        <v>1.56537018</v>
      </c>
      <c r="F17" s="10">
        <v>1.241451234</v>
      </c>
      <c r="G17" s="10">
        <v>1.047857608</v>
      </c>
      <c r="H17" s="10">
        <v>0.998851295</v>
      </c>
      <c r="I17" s="10">
        <v>2.112901136</v>
      </c>
      <c r="J17" s="10">
        <v>0.835504886</v>
      </c>
      <c r="K17" s="10">
        <v>1.820993145</v>
      </c>
      <c r="L17" s="10">
        <v>1.371252041</v>
      </c>
      <c r="M17" s="10">
        <v>1.246556087</v>
      </c>
      <c r="N17" s="10">
        <v>1.334160523</v>
      </c>
      <c r="O17" s="10">
        <v>1.297678783</v>
      </c>
      <c r="P17" s="10">
        <v>1.986078839</v>
      </c>
      <c r="Q17" s="10">
        <v>1.893692859</v>
      </c>
      <c r="R17" s="10">
        <v>1.066441099</v>
      </c>
      <c r="S17" s="10">
        <v>0.809001382</v>
      </c>
      <c r="T17" s="10">
        <v>1.853425639</v>
      </c>
      <c r="U17" s="10">
        <v>0.981964604</v>
      </c>
      <c r="V17" s="10">
        <v>1.074287555</v>
      </c>
      <c r="W17" s="10">
        <v>0.529436449</v>
      </c>
      <c r="X17" s="10">
        <v>1.149436469</v>
      </c>
      <c r="Y17" s="10">
        <v>1.538112103</v>
      </c>
      <c r="Z17" s="10">
        <v>0.819750656</v>
      </c>
      <c r="AA17" s="10">
        <v>0.827542931</v>
      </c>
      <c r="AB17" s="10">
        <v>1.033698475</v>
      </c>
      <c r="AC17" s="10">
        <v>1.002879251</v>
      </c>
      <c r="AD17" s="10">
        <v>1.069199721</v>
      </c>
      <c r="AE17" s="10">
        <v>1.09218829</v>
      </c>
      <c r="AF17" s="10">
        <v>0.943787202</v>
      </c>
      <c r="AG17" s="10">
        <v>0.941098349</v>
      </c>
    </row>
    <row r="18" s="10" customFormat="1" spans="1:33">
      <c r="A18" s="10" t="s">
        <v>61</v>
      </c>
      <c r="B18" s="10" t="str">
        <f t="shared" si="0"/>
        <v>A/T</v>
      </c>
      <c r="C18" s="10">
        <v>0.3029693</v>
      </c>
      <c r="D18" s="10">
        <v>1.666918341</v>
      </c>
      <c r="E18" s="10">
        <v>1.112649727</v>
      </c>
      <c r="F18" s="10">
        <v>1.787615631</v>
      </c>
      <c r="G18" s="10">
        <v>0.34444796</v>
      </c>
      <c r="H18" s="10">
        <v>1.71632176</v>
      </c>
      <c r="I18" s="10">
        <v>1.596565708</v>
      </c>
      <c r="J18" s="10">
        <v>1.737026879</v>
      </c>
      <c r="K18" s="10">
        <v>0.92921603</v>
      </c>
      <c r="L18" s="10">
        <v>0.379497113</v>
      </c>
      <c r="M18" s="10">
        <v>1.737289422</v>
      </c>
      <c r="N18" s="10">
        <v>0.339483722</v>
      </c>
      <c r="O18" s="10">
        <v>0.276400921</v>
      </c>
      <c r="P18" s="10">
        <v>1.629311403</v>
      </c>
      <c r="Q18" s="10">
        <v>1.476740025</v>
      </c>
      <c r="R18" s="10">
        <v>1.720160307</v>
      </c>
      <c r="S18" s="10">
        <v>0.3281471</v>
      </c>
      <c r="T18" s="10">
        <v>1.629501005</v>
      </c>
      <c r="U18" s="10">
        <v>0.518309031</v>
      </c>
      <c r="V18" s="10">
        <v>0.572942817</v>
      </c>
      <c r="W18" s="10">
        <v>0.198947657</v>
      </c>
      <c r="X18" s="10">
        <v>0.322805342</v>
      </c>
      <c r="Y18" s="10">
        <v>0.871179987</v>
      </c>
      <c r="Z18" s="10">
        <v>0.334868371</v>
      </c>
      <c r="AA18" s="10">
        <v>0.340989783</v>
      </c>
      <c r="AB18" s="10">
        <v>0.736911979</v>
      </c>
      <c r="AC18" s="10">
        <v>0.706394045</v>
      </c>
      <c r="AD18" s="10">
        <v>0.459319986</v>
      </c>
      <c r="AE18" s="10">
        <v>0.472883672</v>
      </c>
      <c r="AF18" s="10">
        <v>0.389131059</v>
      </c>
      <c r="AG18" s="10">
        <v>0.3857489</v>
      </c>
    </row>
    <row r="19" s="10" customFormat="1" spans="1:33">
      <c r="A19" s="10" t="s">
        <v>62</v>
      </c>
      <c r="B19" s="10" t="str">
        <f t="shared" si="0"/>
        <v>G/C</v>
      </c>
      <c r="C19" s="10">
        <v>0.558056661</v>
      </c>
      <c r="D19" s="10">
        <v>0.442748092</v>
      </c>
      <c r="E19" s="10">
        <v>1.105806142</v>
      </c>
      <c r="F19" s="10">
        <v>0.282203726</v>
      </c>
      <c r="G19" s="10">
        <v>0.597218147</v>
      </c>
      <c r="H19" s="10">
        <v>0.373682858</v>
      </c>
      <c r="I19" s="10">
        <v>0.403145695</v>
      </c>
      <c r="J19" s="10">
        <v>0.325656133</v>
      </c>
      <c r="K19" s="10">
        <v>0.244264219</v>
      </c>
      <c r="L19" s="10">
        <v>0.615125342</v>
      </c>
      <c r="M19" s="10">
        <v>0.321759579</v>
      </c>
      <c r="N19" s="10">
        <v>0.518045272</v>
      </c>
      <c r="O19" s="10">
        <v>0.478345524</v>
      </c>
      <c r="P19" s="10">
        <v>0.75069462</v>
      </c>
      <c r="Q19" s="10">
        <v>0.367256259</v>
      </c>
      <c r="R19" s="10">
        <v>0.428571429</v>
      </c>
      <c r="S19" s="10">
        <v>1.245158315</v>
      </c>
      <c r="T19" s="10">
        <v>0.947926153</v>
      </c>
      <c r="U19" s="10">
        <v>0.988735039</v>
      </c>
      <c r="V19" s="10">
        <v>0.803514035</v>
      </c>
      <c r="W19" s="10">
        <v>1.643325538</v>
      </c>
      <c r="X19" s="10">
        <v>0.547717842</v>
      </c>
      <c r="Y19" s="10">
        <v>0.742106409</v>
      </c>
      <c r="Z19" s="10">
        <v>0.91174478</v>
      </c>
      <c r="AA19" s="10">
        <v>0.899200374</v>
      </c>
      <c r="AB19" s="10">
        <v>1.356387709</v>
      </c>
      <c r="AC19" s="10">
        <v>1.377015925</v>
      </c>
      <c r="AD19" s="10">
        <v>1.184267316</v>
      </c>
      <c r="AE19" s="10">
        <v>1.164066852</v>
      </c>
      <c r="AF19" s="10">
        <v>1.309084224</v>
      </c>
      <c r="AG19" s="10">
        <v>1.314156171</v>
      </c>
    </row>
    <row r="20" s="10" customFormat="1" spans="1:33">
      <c r="A20" s="10" t="s">
        <v>63</v>
      </c>
      <c r="B20" s="10" t="str">
        <f t="shared" si="0"/>
        <v>G/C</v>
      </c>
      <c r="C20" s="10">
        <v>1.6970307</v>
      </c>
      <c r="D20" s="10">
        <v>0.333081659</v>
      </c>
      <c r="E20" s="10">
        <v>0.887350273</v>
      </c>
      <c r="F20" s="10">
        <v>0.212384369</v>
      </c>
      <c r="G20" s="10">
        <v>1.65555204</v>
      </c>
      <c r="H20" s="10">
        <v>0.28367824</v>
      </c>
      <c r="I20" s="10">
        <v>0.403434292</v>
      </c>
      <c r="J20" s="10">
        <v>0.262973121</v>
      </c>
      <c r="K20" s="10">
        <v>1.07078397</v>
      </c>
      <c r="L20" s="10">
        <v>1.620502887</v>
      </c>
      <c r="M20" s="10">
        <v>0.262710578</v>
      </c>
      <c r="N20" s="10">
        <v>1.660516278</v>
      </c>
      <c r="O20" s="10">
        <v>1.723599079</v>
      </c>
      <c r="P20" s="10">
        <v>0.370688597</v>
      </c>
      <c r="Q20" s="10">
        <v>0.523259975</v>
      </c>
      <c r="R20" s="10">
        <v>0.279839693</v>
      </c>
      <c r="S20" s="10">
        <v>1.6718529</v>
      </c>
      <c r="T20" s="10">
        <v>0.370498995</v>
      </c>
      <c r="U20" s="10">
        <v>1.481690969</v>
      </c>
      <c r="V20" s="10">
        <v>1.427057183</v>
      </c>
      <c r="W20" s="10">
        <v>1.801052343</v>
      </c>
      <c r="X20" s="10">
        <v>1.677194658</v>
      </c>
      <c r="Y20" s="10">
        <v>1.128820013</v>
      </c>
      <c r="Z20" s="10">
        <v>1.665131629</v>
      </c>
      <c r="AA20" s="10">
        <v>1.659010217</v>
      </c>
      <c r="AB20" s="10">
        <v>1.263088021</v>
      </c>
      <c r="AC20" s="10">
        <v>1.293605955</v>
      </c>
      <c r="AD20" s="10">
        <v>1.540680014</v>
      </c>
      <c r="AE20" s="10">
        <v>1.527116328</v>
      </c>
      <c r="AF20" s="10">
        <v>1.610868941</v>
      </c>
      <c r="AG20" s="10">
        <v>1.6142511</v>
      </c>
    </row>
    <row r="21" s="10" customFormat="1" spans="1:33">
      <c r="A21" s="10" t="s">
        <v>64</v>
      </c>
      <c r="B21" s="10" t="str">
        <f t="shared" si="0"/>
        <v>A/T</v>
      </c>
      <c r="C21" s="10">
        <v>1.441943339</v>
      </c>
      <c r="D21" s="10">
        <v>1.557251908</v>
      </c>
      <c r="E21" s="10">
        <v>0.894193858</v>
      </c>
      <c r="F21" s="10">
        <v>1.717796274</v>
      </c>
      <c r="G21" s="10">
        <v>1.402781853</v>
      </c>
      <c r="H21" s="10">
        <v>1.626317142</v>
      </c>
      <c r="I21" s="10">
        <v>1.596854305</v>
      </c>
      <c r="J21" s="10">
        <v>1.674343867</v>
      </c>
      <c r="K21" s="10">
        <v>1.755735781</v>
      </c>
      <c r="L21" s="10">
        <v>1.384874658</v>
      </c>
      <c r="M21" s="10">
        <v>1.678240421</v>
      </c>
      <c r="N21" s="10">
        <v>1.481954728</v>
      </c>
      <c r="O21" s="10">
        <v>1.521654476</v>
      </c>
      <c r="P21" s="10">
        <v>1.24930538</v>
      </c>
      <c r="Q21" s="10">
        <v>1.632743741</v>
      </c>
      <c r="R21" s="10">
        <v>1.571428571</v>
      </c>
      <c r="S21" s="10">
        <v>0.754841685</v>
      </c>
      <c r="T21" s="10">
        <v>1.052073847</v>
      </c>
      <c r="U21" s="10">
        <v>1.011264961</v>
      </c>
      <c r="V21" s="10">
        <v>1.196485965</v>
      </c>
      <c r="W21" s="10">
        <v>0.356674462</v>
      </c>
      <c r="X21" s="10">
        <v>1.452282158</v>
      </c>
      <c r="Y21" s="10">
        <v>1.257893591</v>
      </c>
      <c r="Z21" s="10">
        <v>1.08825522</v>
      </c>
      <c r="AA21" s="10">
        <v>1.100799626</v>
      </c>
      <c r="AB21" s="10">
        <v>0.643612291</v>
      </c>
      <c r="AC21" s="10">
        <v>0.622984075</v>
      </c>
      <c r="AD21" s="10">
        <v>0.815732684</v>
      </c>
      <c r="AE21" s="10">
        <v>0.835933148</v>
      </c>
      <c r="AF21" s="10">
        <v>0.690915776</v>
      </c>
      <c r="AG21" s="10">
        <v>0.685843829</v>
      </c>
    </row>
    <row r="22" s="10" customFormat="1" spans="1:33">
      <c r="A22" s="10" t="s">
        <v>65</v>
      </c>
      <c r="B22" s="10" t="str">
        <f t="shared" si="0"/>
        <v>A/T</v>
      </c>
      <c r="C22" s="10">
        <v>0.991783658</v>
      </c>
      <c r="D22" s="10">
        <v>1.954206373</v>
      </c>
      <c r="E22" s="10">
        <v>0.78775936</v>
      </c>
      <c r="F22" s="10">
        <v>2.339284358</v>
      </c>
      <c r="G22" s="10">
        <v>0.839093572</v>
      </c>
      <c r="H22" s="10">
        <v>2.119310793</v>
      </c>
      <c r="I22" s="10">
        <v>1.991362876</v>
      </c>
      <c r="J22" s="10">
        <v>2.173238236</v>
      </c>
      <c r="K22" s="10">
        <v>1.7866128</v>
      </c>
      <c r="L22" s="10">
        <v>0.526338391</v>
      </c>
      <c r="M22" s="10">
        <v>1.835365452</v>
      </c>
      <c r="N22" s="10">
        <v>0.915073762</v>
      </c>
      <c r="O22" s="10">
        <v>1.145858869</v>
      </c>
      <c r="P22" s="10">
        <v>2.183973876</v>
      </c>
      <c r="Q22" s="10">
        <v>0.708218063</v>
      </c>
      <c r="R22" s="10">
        <v>2.138760407</v>
      </c>
      <c r="S22" s="10">
        <v>0.179281858</v>
      </c>
      <c r="T22" s="10">
        <v>2.147810581</v>
      </c>
      <c r="U22" s="10">
        <v>0.52811284</v>
      </c>
      <c r="V22" s="10">
        <v>0.378460122</v>
      </c>
      <c r="W22" s="10">
        <v>0.109624485</v>
      </c>
      <c r="X22" s="10">
        <v>0.263812207</v>
      </c>
      <c r="Y22" s="10">
        <v>1.764237003</v>
      </c>
      <c r="Z22" s="10">
        <v>0.252256186</v>
      </c>
      <c r="AA22" s="10">
        <v>0.257699213</v>
      </c>
      <c r="AB22" s="10">
        <v>1.319424688</v>
      </c>
      <c r="AC22" s="10">
        <v>1.278852285</v>
      </c>
      <c r="AD22" s="10">
        <v>1.045865178</v>
      </c>
      <c r="AE22" s="10">
        <v>1.07014966</v>
      </c>
      <c r="AF22" s="10">
        <v>0.93597447</v>
      </c>
      <c r="AG22" s="10">
        <v>0.93617498</v>
      </c>
    </row>
    <row r="23" s="10" customFormat="1" spans="1:33">
      <c r="A23" s="10" t="s">
        <v>66</v>
      </c>
      <c r="B23" s="10" t="str">
        <f t="shared" si="0"/>
        <v>G/C</v>
      </c>
      <c r="C23" s="10">
        <v>0.167561623</v>
      </c>
      <c r="D23" s="10">
        <v>0.242335389</v>
      </c>
      <c r="E23" s="10">
        <v>0.255708821</v>
      </c>
      <c r="F23" s="10">
        <v>0.070804528</v>
      </c>
      <c r="G23" s="10">
        <v>0.588376754</v>
      </c>
      <c r="H23" s="10">
        <v>0.08810143</v>
      </c>
      <c r="I23" s="10">
        <v>0.253666887</v>
      </c>
      <c r="J23" s="10">
        <v>0.055084556</v>
      </c>
      <c r="K23" s="10">
        <v>0.300431549</v>
      </c>
      <c r="L23" s="10">
        <v>1.228743201</v>
      </c>
      <c r="M23" s="10">
        <v>0.13866737</v>
      </c>
      <c r="N23" s="10">
        <v>0.428735605</v>
      </c>
      <c r="O23" s="10">
        <v>0.188641802</v>
      </c>
      <c r="P23" s="10">
        <v>0.181060035</v>
      </c>
      <c r="Q23" s="10">
        <v>0.526823976</v>
      </c>
      <c r="R23" s="10">
        <v>0.078445883</v>
      </c>
      <c r="S23" s="10">
        <v>1.830501105</v>
      </c>
      <c r="T23" s="10">
        <v>0.18922132</v>
      </c>
      <c r="U23" s="10">
        <v>1.314299611</v>
      </c>
      <c r="V23" s="10">
        <v>0.87513972</v>
      </c>
      <c r="W23" s="10">
        <v>2.643924693</v>
      </c>
      <c r="X23" s="10">
        <v>1.190760563</v>
      </c>
      <c r="Y23" s="10">
        <v>0.417323532</v>
      </c>
      <c r="Z23" s="10">
        <v>1.079475983</v>
      </c>
      <c r="AA23" s="10">
        <v>1.067117801</v>
      </c>
      <c r="AB23" s="10">
        <v>0.552341815</v>
      </c>
      <c r="AC23" s="10">
        <v>0.564293305</v>
      </c>
      <c r="AD23" s="10">
        <v>1.283761248</v>
      </c>
      <c r="AE23" s="10">
        <v>1.254204082</v>
      </c>
      <c r="AF23" s="10">
        <v>1.42694228</v>
      </c>
      <c r="AG23" s="10">
        <v>1.429934373</v>
      </c>
    </row>
    <row r="24" s="10" customFormat="1" spans="1:33">
      <c r="A24" s="10" t="s">
        <v>67</v>
      </c>
      <c r="B24" s="10" t="str">
        <f t="shared" si="0"/>
        <v>G/C</v>
      </c>
      <c r="C24" s="10">
        <v>2.277544155</v>
      </c>
      <c r="D24" s="10">
        <v>0.543659178</v>
      </c>
      <c r="E24" s="10">
        <v>1.480931958</v>
      </c>
      <c r="F24" s="10">
        <v>0.162880802</v>
      </c>
      <c r="G24" s="10">
        <v>1.746138431</v>
      </c>
      <c r="H24" s="10">
        <v>0.053803641</v>
      </c>
      <c r="I24" s="10">
        <v>0.560245886</v>
      </c>
      <c r="J24" s="10">
        <v>0.177095949</v>
      </c>
      <c r="K24" s="10">
        <v>0.220549077</v>
      </c>
      <c r="L24" s="10">
        <v>0.684511881</v>
      </c>
      <c r="M24" s="10">
        <v>0.2628353</v>
      </c>
      <c r="N24" s="10">
        <v>1.636888149</v>
      </c>
      <c r="O24" s="10">
        <v>1.948053464</v>
      </c>
      <c r="P24" s="10">
        <v>0.451745793</v>
      </c>
      <c r="Q24" s="10">
        <v>1.297965826</v>
      </c>
      <c r="R24" s="10">
        <v>0.05106383</v>
      </c>
      <c r="S24" s="10">
        <v>1.555418675</v>
      </c>
      <c r="T24" s="10">
        <v>0.347136913</v>
      </c>
      <c r="U24" s="10">
        <v>1.311964981</v>
      </c>
      <c r="V24" s="10">
        <v>2.112564929</v>
      </c>
      <c r="W24" s="10">
        <v>1.070438838</v>
      </c>
      <c r="X24" s="10">
        <v>1.619330203</v>
      </c>
      <c r="Y24" s="10">
        <v>1.076432557</v>
      </c>
      <c r="Z24" s="10">
        <v>2.074818049</v>
      </c>
      <c r="AA24" s="10">
        <v>2.078994614</v>
      </c>
      <c r="AB24" s="10">
        <v>1.424793214</v>
      </c>
      <c r="AC24" s="10">
        <v>1.454410202</v>
      </c>
      <c r="AD24" s="10">
        <v>0.523735207</v>
      </c>
      <c r="AE24" s="10">
        <v>0.518603175</v>
      </c>
      <c r="AF24" s="10">
        <v>0.60059991</v>
      </c>
      <c r="AG24" s="10">
        <v>0.606865134</v>
      </c>
    </row>
    <row r="25" s="10" customFormat="1" spans="1:33">
      <c r="A25" s="10" t="s">
        <v>68</v>
      </c>
      <c r="B25" s="10" t="str">
        <f t="shared" si="0"/>
        <v>A/T</v>
      </c>
      <c r="C25" s="10">
        <v>0.563110565</v>
      </c>
      <c r="D25" s="10">
        <v>1.25979906</v>
      </c>
      <c r="E25" s="10">
        <v>1.475599861</v>
      </c>
      <c r="F25" s="10">
        <v>1.427030312</v>
      </c>
      <c r="G25" s="10">
        <v>0.826391244</v>
      </c>
      <c r="H25" s="10">
        <v>1.738784135</v>
      </c>
      <c r="I25" s="10">
        <v>1.194724351</v>
      </c>
      <c r="J25" s="10">
        <v>1.594581259</v>
      </c>
      <c r="K25" s="10">
        <v>1.692406574</v>
      </c>
      <c r="L25" s="10">
        <v>1.560406527</v>
      </c>
      <c r="M25" s="10">
        <v>1.763131879</v>
      </c>
      <c r="N25" s="10">
        <v>1.019302484</v>
      </c>
      <c r="O25" s="10">
        <v>0.717445865</v>
      </c>
      <c r="P25" s="10">
        <v>1.183220296</v>
      </c>
      <c r="Q25" s="10">
        <v>1.466992135</v>
      </c>
      <c r="R25" s="10">
        <v>1.73172988</v>
      </c>
      <c r="S25" s="10">
        <v>0.434798362</v>
      </c>
      <c r="T25" s="10">
        <v>1.315831187</v>
      </c>
      <c r="U25" s="10">
        <v>0.845622568</v>
      </c>
      <c r="V25" s="10">
        <v>0.633835229</v>
      </c>
      <c r="W25" s="10">
        <v>0.176011984</v>
      </c>
      <c r="X25" s="10">
        <v>0.926097027</v>
      </c>
      <c r="Y25" s="10">
        <v>0.742006908</v>
      </c>
      <c r="Z25" s="10">
        <v>0.593449782</v>
      </c>
      <c r="AA25" s="10">
        <v>0.596188372</v>
      </c>
      <c r="AB25" s="10">
        <v>0.703440282</v>
      </c>
      <c r="AC25" s="10">
        <v>0.702444208</v>
      </c>
      <c r="AD25" s="10">
        <v>1.146638367</v>
      </c>
      <c r="AE25" s="10">
        <v>1.157043084</v>
      </c>
      <c r="AF25" s="10">
        <v>1.03648334</v>
      </c>
      <c r="AG25" s="10">
        <v>1.027025513</v>
      </c>
    </row>
    <row r="26" s="10" customFormat="1" spans="1:33">
      <c r="A26" s="10" t="s">
        <v>69</v>
      </c>
      <c r="B26" s="10" t="str">
        <f t="shared" si="0"/>
        <v>A/T</v>
      </c>
      <c r="C26" s="10">
        <v>0.426422247</v>
      </c>
      <c r="D26" s="10">
        <v>0.758109015</v>
      </c>
      <c r="E26" s="10">
        <v>0.549865229</v>
      </c>
      <c r="F26" s="10">
        <v>0.116802531</v>
      </c>
      <c r="G26" s="10">
        <v>0.333568003</v>
      </c>
      <c r="H26" s="10">
        <v>0.037367615</v>
      </c>
      <c r="I26" s="10">
        <v>1.094430826</v>
      </c>
      <c r="J26" s="10">
        <v>0.125267545</v>
      </c>
      <c r="K26" s="10">
        <v>0.360593972</v>
      </c>
      <c r="L26" s="10">
        <v>0.398128749</v>
      </c>
      <c r="M26" s="10">
        <v>0.136193564</v>
      </c>
      <c r="N26" s="10">
        <v>0.427197659</v>
      </c>
      <c r="O26" s="10">
        <v>0.5902905</v>
      </c>
      <c r="P26" s="10">
        <v>0.608541366</v>
      </c>
      <c r="Q26" s="10">
        <v>1.30137741</v>
      </c>
      <c r="R26" s="10">
        <v>0.032709275</v>
      </c>
      <c r="S26" s="10">
        <v>0.26825922</v>
      </c>
      <c r="T26" s="10">
        <v>0.488616935</v>
      </c>
      <c r="U26" s="10">
        <v>0.541373392</v>
      </c>
      <c r="V26" s="10">
        <v>0.280734785</v>
      </c>
      <c r="W26" s="10">
        <v>0.097566471</v>
      </c>
      <c r="X26" s="10">
        <v>0.204782873</v>
      </c>
      <c r="Y26" s="10">
        <v>0.692807928</v>
      </c>
      <c r="Z26" s="10">
        <v>0.232050982</v>
      </c>
      <c r="AA26" s="10">
        <v>0.244857055</v>
      </c>
      <c r="AB26" s="10">
        <v>0.210553148</v>
      </c>
      <c r="AC26" s="10">
        <v>0.199744246</v>
      </c>
      <c r="AD26" s="10">
        <v>0.739880643</v>
      </c>
      <c r="AE26" s="10">
        <v>0.747002732</v>
      </c>
      <c r="AF26" s="10">
        <v>0.675154477</v>
      </c>
      <c r="AG26" s="10">
        <v>0.676459212</v>
      </c>
    </row>
    <row r="27" s="10" customFormat="1" spans="1:33">
      <c r="A27" s="10" t="s">
        <v>70</v>
      </c>
      <c r="B27" s="10" t="str">
        <f t="shared" si="0"/>
        <v>G/C</v>
      </c>
      <c r="C27" s="10">
        <v>0.67677616</v>
      </c>
      <c r="D27" s="10">
        <v>1.095220342</v>
      </c>
      <c r="E27" s="10">
        <v>0.586015538</v>
      </c>
      <c r="F27" s="10">
        <v>0.029930648</v>
      </c>
      <c r="G27" s="10">
        <v>0.960311524</v>
      </c>
      <c r="H27" s="10">
        <v>0.017984414</v>
      </c>
      <c r="I27" s="10">
        <v>0.639091254</v>
      </c>
      <c r="J27" s="10">
        <v>0.034020502</v>
      </c>
      <c r="K27" s="10">
        <v>0.618794326</v>
      </c>
      <c r="L27" s="10">
        <v>1.042504951</v>
      </c>
      <c r="M27" s="10">
        <v>0.023946121</v>
      </c>
      <c r="N27" s="10">
        <v>0.725201213</v>
      </c>
      <c r="O27" s="10">
        <v>0.640669982</v>
      </c>
      <c r="P27" s="10">
        <v>1.014813287</v>
      </c>
      <c r="Q27" s="10">
        <v>0.14369146</v>
      </c>
      <c r="R27" s="10">
        <v>0.007531741</v>
      </c>
      <c r="S27" s="10">
        <v>3.763860867</v>
      </c>
      <c r="T27" s="10">
        <v>0.917574012</v>
      </c>
      <c r="U27" s="10">
        <v>2.077790848</v>
      </c>
      <c r="V27" s="10">
        <v>1.967585996</v>
      </c>
      <c r="W27" s="10">
        <v>2.576460868</v>
      </c>
      <c r="X27" s="10">
        <v>0.895627982</v>
      </c>
      <c r="Y27" s="10">
        <v>1.856158551</v>
      </c>
      <c r="Z27" s="10">
        <v>2.860558934</v>
      </c>
      <c r="AA27" s="10">
        <v>2.835564958</v>
      </c>
      <c r="AB27" s="10">
        <v>1.593678307</v>
      </c>
      <c r="AC27" s="10">
        <v>1.586189258</v>
      </c>
      <c r="AD27" s="10">
        <v>1.043906146</v>
      </c>
      <c r="AE27" s="10">
        <v>0.995371661</v>
      </c>
      <c r="AF27" s="10">
        <v>1.185897177</v>
      </c>
      <c r="AG27" s="10">
        <v>1.177638959</v>
      </c>
    </row>
    <row r="28" s="10" customFormat="1" spans="1:33">
      <c r="A28" s="10" t="s">
        <v>71</v>
      </c>
      <c r="B28" s="10" t="str">
        <f t="shared" si="0"/>
        <v>G/C</v>
      </c>
      <c r="C28" s="10">
        <v>0.920651678</v>
      </c>
      <c r="D28" s="10">
        <v>0.325702781</v>
      </c>
      <c r="E28" s="10">
        <v>0.068178215</v>
      </c>
      <c r="F28" s="10">
        <v>0.012410269</v>
      </c>
      <c r="G28" s="10">
        <v>1.125577507</v>
      </c>
      <c r="H28" s="10">
        <v>0.005195497</v>
      </c>
      <c r="I28" s="10">
        <v>0.156199289</v>
      </c>
      <c r="J28" s="10">
        <v>0.006308438</v>
      </c>
      <c r="K28" s="10">
        <v>0.119237589</v>
      </c>
      <c r="L28" s="10">
        <v>1.050942801</v>
      </c>
      <c r="M28" s="10">
        <v>0.024245448</v>
      </c>
      <c r="N28" s="10">
        <v>0.668339082</v>
      </c>
      <c r="O28" s="10">
        <v>0.539649306</v>
      </c>
      <c r="P28" s="10">
        <v>0.148793068</v>
      </c>
      <c r="Q28" s="10">
        <v>0.31030303</v>
      </c>
      <c r="R28" s="10">
        <v>0.005379815</v>
      </c>
      <c r="S28" s="10">
        <v>0.298765233</v>
      </c>
      <c r="T28" s="10">
        <v>0.232970395</v>
      </c>
      <c r="U28" s="10">
        <v>1.14997011</v>
      </c>
      <c r="V28" s="10">
        <v>1.207510686</v>
      </c>
      <c r="W28" s="10">
        <v>2.451028992</v>
      </c>
      <c r="X28" s="10">
        <v>1.69585644</v>
      </c>
      <c r="Y28" s="10">
        <v>1.379112797</v>
      </c>
      <c r="Z28" s="10">
        <v>1.510173059</v>
      </c>
      <c r="AA28" s="10">
        <v>1.515742004</v>
      </c>
      <c r="AB28" s="10">
        <v>2.244710681</v>
      </c>
      <c r="AC28" s="10">
        <v>2.320204604</v>
      </c>
      <c r="AD28" s="10">
        <v>1.292219586</v>
      </c>
      <c r="AE28" s="10">
        <v>1.251491663</v>
      </c>
      <c r="AF28" s="10">
        <v>1.432636</v>
      </c>
      <c r="AG28" s="10">
        <v>1.447433567</v>
      </c>
    </row>
    <row r="29" s="10" customFormat="1" spans="1:33">
      <c r="A29" s="10" t="s">
        <v>72</v>
      </c>
      <c r="B29" s="10" t="str">
        <f t="shared" si="0"/>
        <v>A/T</v>
      </c>
      <c r="C29" s="10">
        <v>1.422079324</v>
      </c>
      <c r="D29" s="10">
        <v>2.502497949</v>
      </c>
      <c r="E29" s="10">
        <v>1.471063897</v>
      </c>
      <c r="F29" s="10">
        <v>0.274485947</v>
      </c>
      <c r="G29" s="10">
        <v>0.75584107</v>
      </c>
      <c r="H29" s="10">
        <v>0.209218677</v>
      </c>
      <c r="I29" s="10">
        <v>2.830231675</v>
      </c>
      <c r="J29" s="10">
        <v>0.289286921</v>
      </c>
      <c r="K29" s="10">
        <v>2.427748227</v>
      </c>
      <c r="L29" s="10">
        <v>1.603708062</v>
      </c>
      <c r="M29" s="10">
        <v>0.22509354</v>
      </c>
      <c r="N29" s="10">
        <v>1.369499321</v>
      </c>
      <c r="O29" s="10">
        <v>1.683459827</v>
      </c>
      <c r="P29" s="10">
        <v>3.338064782</v>
      </c>
      <c r="Q29" s="10">
        <v>0.692892562</v>
      </c>
      <c r="R29" s="10">
        <v>0.219281257</v>
      </c>
      <c r="S29" s="10">
        <v>1.319506093</v>
      </c>
      <c r="T29" s="10">
        <v>2.377215873</v>
      </c>
      <c r="U29" s="10">
        <v>0.631505872</v>
      </c>
      <c r="V29" s="10">
        <v>1.052106656</v>
      </c>
      <c r="W29" s="10">
        <v>0.263632267</v>
      </c>
      <c r="X29" s="10">
        <v>0.926303959</v>
      </c>
      <c r="Y29" s="10">
        <v>1.497561353</v>
      </c>
      <c r="Z29" s="10">
        <v>0.958547708</v>
      </c>
      <c r="AA29" s="10">
        <v>0.957381065</v>
      </c>
      <c r="AB29" s="10">
        <v>0.613051236</v>
      </c>
      <c r="AC29" s="10">
        <v>0.598209719</v>
      </c>
      <c r="AD29" s="10">
        <v>0.513418341</v>
      </c>
      <c r="AE29" s="10">
        <v>0.513243741</v>
      </c>
      <c r="AF29" s="10">
        <v>0.470457574</v>
      </c>
      <c r="AG29" s="10">
        <v>0.466599621</v>
      </c>
    </row>
    <row r="30" s="10" customFormat="1" spans="1:33">
      <c r="A30" s="10" t="s">
        <v>73</v>
      </c>
      <c r="B30" s="10" t="str">
        <f t="shared" si="0"/>
        <v>A/T</v>
      </c>
      <c r="C30" s="10">
        <v>0.148877708</v>
      </c>
      <c r="D30" s="10">
        <v>0.66100674</v>
      </c>
      <c r="E30" s="10">
        <v>0.126531076</v>
      </c>
      <c r="F30" s="10">
        <v>0.481567615</v>
      </c>
      <c r="G30" s="10">
        <v>0.262791905</v>
      </c>
      <c r="H30" s="10">
        <v>0.517187277</v>
      </c>
      <c r="I30" s="10">
        <v>0.503615351</v>
      </c>
      <c r="J30" s="10">
        <v>0.757385077</v>
      </c>
      <c r="K30" s="10">
        <v>0.433779025</v>
      </c>
      <c r="L30" s="10">
        <v>0.101655165</v>
      </c>
      <c r="M30" s="10">
        <v>0.580782842</v>
      </c>
      <c r="N30" s="10">
        <v>0.152554681</v>
      </c>
      <c r="O30" s="10">
        <v>0.126986847</v>
      </c>
      <c r="P30" s="10">
        <v>0.498419356</v>
      </c>
      <c r="Q30" s="10">
        <v>0.387993963</v>
      </c>
      <c r="R30" s="10">
        <v>0.782608696</v>
      </c>
      <c r="S30" s="10">
        <v>0.153592325</v>
      </c>
      <c r="T30" s="10">
        <v>0.440105724</v>
      </c>
      <c r="U30" s="10">
        <v>0.137366802</v>
      </c>
      <c r="V30" s="10">
        <v>0.178029224</v>
      </c>
      <c r="W30" s="10">
        <v>0.066606038</v>
      </c>
      <c r="X30" s="10">
        <v>0.115828069</v>
      </c>
      <c r="Y30" s="10">
        <v>0.307174656</v>
      </c>
      <c r="Z30" s="10">
        <v>0.090748677</v>
      </c>
      <c r="AA30" s="10">
        <v>0.094771587</v>
      </c>
      <c r="AB30" s="10">
        <v>0.205324447</v>
      </c>
      <c r="AC30" s="10">
        <v>0.190142771</v>
      </c>
      <c r="AD30" s="10">
        <v>0.383666127</v>
      </c>
      <c r="AE30" s="10">
        <v>0.39397444</v>
      </c>
      <c r="AF30" s="10">
        <v>0.325419684</v>
      </c>
      <c r="AG30" s="10">
        <v>0.325082653</v>
      </c>
    </row>
    <row r="31" s="10" customFormat="1" spans="1:33">
      <c r="A31" s="10" t="s">
        <v>74</v>
      </c>
      <c r="B31" s="10" t="str">
        <f t="shared" si="0"/>
        <v>G/C</v>
      </c>
      <c r="C31" s="10">
        <v>0.476108911</v>
      </c>
      <c r="D31" s="10">
        <v>0.2172666</v>
      </c>
      <c r="E31" s="10">
        <v>1.011566867</v>
      </c>
      <c r="F31" s="10">
        <v>0.024235276</v>
      </c>
      <c r="G31" s="10">
        <v>0.386922678</v>
      </c>
      <c r="H31" s="10">
        <v>0.028170019</v>
      </c>
      <c r="I31" s="10">
        <v>0.226386681</v>
      </c>
      <c r="J31" s="10">
        <v>0.029698278</v>
      </c>
      <c r="K31" s="10">
        <v>0.61636505</v>
      </c>
      <c r="L31" s="10">
        <v>0.458297391</v>
      </c>
      <c r="M31" s="10">
        <v>0.058366382</v>
      </c>
      <c r="N31" s="10">
        <v>0.410772024</v>
      </c>
      <c r="O31" s="10">
        <v>0.463476286</v>
      </c>
      <c r="P31" s="10">
        <v>0.381326489</v>
      </c>
      <c r="Q31" s="10">
        <v>0.188129485</v>
      </c>
      <c r="R31" s="10">
        <v>0.095514584</v>
      </c>
      <c r="S31" s="10">
        <v>1.93740645</v>
      </c>
      <c r="T31" s="10">
        <v>0.235332703</v>
      </c>
      <c r="U31" s="10">
        <v>2.118016853</v>
      </c>
      <c r="V31" s="10">
        <v>0.789857137</v>
      </c>
      <c r="W31" s="10">
        <v>1.23399298</v>
      </c>
      <c r="X31" s="10">
        <v>0.526483191</v>
      </c>
      <c r="Y31" s="10">
        <v>0.297856921</v>
      </c>
      <c r="Z31" s="10">
        <v>1.638013612</v>
      </c>
      <c r="AA31" s="10">
        <v>1.613468176</v>
      </c>
      <c r="AB31" s="10">
        <v>0.634649187</v>
      </c>
      <c r="AC31" s="10">
        <v>0.642634429</v>
      </c>
      <c r="AD31" s="10">
        <v>1.153976884</v>
      </c>
      <c r="AE31" s="10">
        <v>1.125882788</v>
      </c>
      <c r="AF31" s="10">
        <v>1.262805422</v>
      </c>
      <c r="AG31" s="10">
        <v>1.261562056</v>
      </c>
    </row>
    <row r="32" s="10" customFormat="1" spans="1:33">
      <c r="A32" s="10" t="s">
        <v>75</v>
      </c>
      <c r="B32" s="10" t="str">
        <f t="shared" si="0"/>
        <v>G/C</v>
      </c>
      <c r="C32" s="10">
        <v>2.195696392</v>
      </c>
      <c r="D32" s="10">
        <v>0.262010612</v>
      </c>
      <c r="E32" s="10">
        <v>0.338961482</v>
      </c>
      <c r="F32" s="10">
        <v>0.051408161</v>
      </c>
      <c r="G32" s="10">
        <v>2.554298564</v>
      </c>
      <c r="H32" s="10">
        <v>0.030452147</v>
      </c>
      <c r="I32" s="10">
        <v>0.166867851</v>
      </c>
      <c r="J32" s="10">
        <v>0.066505187</v>
      </c>
      <c r="K32" s="10">
        <v>0.381637725</v>
      </c>
      <c r="L32" s="10">
        <v>2.982046582</v>
      </c>
      <c r="M32" s="10">
        <v>0.134765521</v>
      </c>
      <c r="N32" s="10">
        <v>2.268297744</v>
      </c>
      <c r="O32" s="10">
        <v>2.300544107</v>
      </c>
      <c r="P32" s="10">
        <v>0.299633791</v>
      </c>
      <c r="Q32" s="10">
        <v>0.461360766</v>
      </c>
      <c r="R32" s="10">
        <v>0.08346175</v>
      </c>
      <c r="S32" s="10">
        <v>2.340828684</v>
      </c>
      <c r="T32" s="10">
        <v>0.394960739</v>
      </c>
      <c r="U32" s="10">
        <v>1.503945784</v>
      </c>
      <c r="V32" s="10">
        <v>2.144165412</v>
      </c>
      <c r="W32" s="10">
        <v>4.060082224</v>
      </c>
      <c r="X32" s="10">
        <v>2.995538278</v>
      </c>
      <c r="Y32" s="10">
        <v>2.573351279</v>
      </c>
      <c r="Z32" s="10">
        <v>2.385933955</v>
      </c>
      <c r="AA32" s="10">
        <v>2.38375861</v>
      </c>
      <c r="AB32" s="10">
        <v>2.170133294</v>
      </c>
      <c r="AC32" s="10">
        <v>2.211585799</v>
      </c>
      <c r="AD32" s="10">
        <v>2.370817686</v>
      </c>
      <c r="AE32" s="10">
        <v>2.314604235</v>
      </c>
      <c r="AF32" s="10">
        <v>2.678910264</v>
      </c>
      <c r="AG32" s="10">
        <v>2.679103446</v>
      </c>
    </row>
    <row r="33" s="10" customFormat="1" spans="1:33">
      <c r="A33" s="10" t="s">
        <v>76</v>
      </c>
      <c r="B33" s="10" t="str">
        <f t="shared" si="0"/>
        <v>A/T</v>
      </c>
      <c r="C33" s="10">
        <v>1.822717054</v>
      </c>
      <c r="D33" s="10">
        <v>0.673827621</v>
      </c>
      <c r="E33" s="10">
        <v>2.699693217</v>
      </c>
      <c r="F33" s="10">
        <v>1.090253591</v>
      </c>
      <c r="G33" s="10">
        <v>1.347102577</v>
      </c>
      <c r="H33" s="10">
        <v>1.237198688</v>
      </c>
      <c r="I33" s="10">
        <v>0.884177314</v>
      </c>
      <c r="J33" s="10">
        <v>1.011716076</v>
      </c>
      <c r="K33" s="10">
        <v>1.723498651</v>
      </c>
      <c r="L33" s="10">
        <v>0.724606427</v>
      </c>
      <c r="M33" s="10">
        <v>1.123046007</v>
      </c>
      <c r="N33" s="10">
        <v>1.650920723</v>
      </c>
      <c r="O33" s="10">
        <v>1.823636519</v>
      </c>
      <c r="P33" s="10">
        <v>1.574509374</v>
      </c>
      <c r="Q33" s="10">
        <v>0.816367388</v>
      </c>
      <c r="R33" s="10">
        <v>1.238222345</v>
      </c>
      <c r="S33" s="10">
        <v>0.930738876</v>
      </c>
      <c r="T33" s="10">
        <v>1.15802674</v>
      </c>
      <c r="U33" s="10">
        <v>1.333407642</v>
      </c>
      <c r="V33" s="10">
        <v>1.37938052</v>
      </c>
      <c r="W33" s="10">
        <v>0.269535742</v>
      </c>
      <c r="X33" s="10">
        <v>1.247073375</v>
      </c>
      <c r="Y33" s="10">
        <v>0.715291438</v>
      </c>
      <c r="Z33" s="10">
        <v>0.36762667</v>
      </c>
      <c r="AA33" s="10">
        <v>0.385326079</v>
      </c>
      <c r="AB33" s="10">
        <v>0.677164201</v>
      </c>
      <c r="AC33" s="10">
        <v>0.662217603</v>
      </c>
      <c r="AD33" s="10">
        <v>0.802548663</v>
      </c>
      <c r="AE33" s="10">
        <v>0.826412901</v>
      </c>
      <c r="AF33" s="10">
        <v>0.672970216</v>
      </c>
      <c r="AG33" s="10">
        <v>0.669926712</v>
      </c>
    </row>
    <row r="34" s="10" customFormat="1" spans="1:33">
      <c r="A34" s="10" t="s">
        <v>77</v>
      </c>
      <c r="B34" s="10" t="str">
        <f t="shared" si="0"/>
        <v>A/T</v>
      </c>
      <c r="C34" s="10">
        <v>1.346535946</v>
      </c>
      <c r="D34" s="10">
        <v>1.645540098</v>
      </c>
      <c r="E34" s="10">
        <v>1.402311323</v>
      </c>
      <c r="F34" s="10">
        <v>1.653536168</v>
      </c>
      <c r="G34" s="10">
        <v>1.117791912</v>
      </c>
      <c r="H34" s="10">
        <v>1.532772697</v>
      </c>
      <c r="I34" s="10">
        <v>1.465194431</v>
      </c>
      <c r="J34" s="10">
        <v>1.630605016</v>
      </c>
      <c r="K34" s="10">
        <v>1.664425273</v>
      </c>
      <c r="L34" s="10">
        <v>1.659871851</v>
      </c>
      <c r="M34" s="10">
        <v>1.715132937</v>
      </c>
      <c r="N34" s="10">
        <v>1.295858582</v>
      </c>
      <c r="O34" s="10">
        <v>1.410820625</v>
      </c>
      <c r="P34" s="10">
        <v>1.606156094</v>
      </c>
      <c r="Q34" s="10">
        <v>1.579529129</v>
      </c>
      <c r="R34" s="10">
        <v>1.236683849</v>
      </c>
      <c r="S34" s="10">
        <v>0.326985995</v>
      </c>
      <c r="T34" s="10">
        <v>1.69579328</v>
      </c>
      <c r="U34" s="10">
        <v>1.123547328</v>
      </c>
      <c r="V34" s="10">
        <v>1.197854385</v>
      </c>
      <c r="W34" s="10">
        <v>0.294501038</v>
      </c>
      <c r="X34" s="10">
        <v>1.282489811</v>
      </c>
      <c r="Y34" s="10">
        <v>1.384254385</v>
      </c>
      <c r="Z34" s="10">
        <v>1.776666262</v>
      </c>
      <c r="AA34" s="10">
        <v>1.769110189</v>
      </c>
      <c r="AB34" s="10">
        <v>1.527354152</v>
      </c>
      <c r="AC34" s="10">
        <v>1.527880006</v>
      </c>
      <c r="AD34" s="10">
        <v>0.841170747</v>
      </c>
      <c r="AE34" s="10">
        <v>0.865549218</v>
      </c>
      <c r="AF34" s="10">
        <v>0.72364134</v>
      </c>
      <c r="AG34" s="10">
        <v>0.723762345</v>
      </c>
    </row>
    <row r="35" s="10" customFormat="1" spans="1:33">
      <c r="A35" s="10" t="s">
        <v>78</v>
      </c>
      <c r="B35" s="10" t="str">
        <f t="shared" si="0"/>
        <v>G/C</v>
      </c>
      <c r="C35" s="10">
        <v>0.567691423</v>
      </c>
      <c r="D35" s="10">
        <v>0.382471217</v>
      </c>
      <c r="E35" s="10">
        <v>0.9318346</v>
      </c>
      <c r="F35" s="10">
        <v>0.184609979</v>
      </c>
      <c r="G35" s="10">
        <v>0.779069767</v>
      </c>
      <c r="H35" s="10">
        <v>0.254384731</v>
      </c>
      <c r="I35" s="10">
        <v>0.301668563</v>
      </c>
      <c r="J35" s="10">
        <v>0.269200025</v>
      </c>
      <c r="K35" s="10">
        <v>0.344110332</v>
      </c>
      <c r="L35" s="10">
        <v>0.85776579</v>
      </c>
      <c r="M35" s="10">
        <v>0.24565986</v>
      </c>
      <c r="N35" s="10">
        <v>0.594051404</v>
      </c>
      <c r="O35" s="10">
        <v>0.534018306</v>
      </c>
      <c r="P35" s="10">
        <v>0.636093309</v>
      </c>
      <c r="Q35" s="10">
        <v>0.479845444</v>
      </c>
      <c r="R35" s="10">
        <v>0.232110161</v>
      </c>
      <c r="S35" s="10">
        <v>1.275540915</v>
      </c>
      <c r="T35" s="10">
        <v>0.617262276</v>
      </c>
      <c r="U35" s="10">
        <v>0.942232145</v>
      </c>
      <c r="V35" s="10">
        <v>1.013258436</v>
      </c>
      <c r="W35" s="10">
        <v>1.637567799</v>
      </c>
      <c r="X35" s="10">
        <v>0.673930134</v>
      </c>
      <c r="Y35" s="10">
        <v>0.773996343</v>
      </c>
      <c r="Z35" s="10">
        <v>1.084860311</v>
      </c>
      <c r="AA35" s="10">
        <v>1.070850742</v>
      </c>
      <c r="AB35" s="10">
        <v>1.392110341</v>
      </c>
      <c r="AC35" s="10">
        <v>1.405179829</v>
      </c>
      <c r="AD35" s="10">
        <v>1.068485103</v>
      </c>
      <c r="AE35" s="10">
        <v>1.047051667</v>
      </c>
      <c r="AF35" s="10">
        <v>1.183397221</v>
      </c>
      <c r="AG35" s="10">
        <v>1.185032246</v>
      </c>
    </row>
    <row r="36" s="10" customFormat="1" spans="1:33">
      <c r="A36" s="10" t="s">
        <v>79</v>
      </c>
      <c r="B36" s="10" t="str">
        <f t="shared" si="0"/>
        <v>G/C</v>
      </c>
      <c r="C36" s="10">
        <v>0.653464054</v>
      </c>
      <c r="D36" s="10">
        <v>0.354459902</v>
      </c>
      <c r="E36" s="10">
        <v>0.597688677</v>
      </c>
      <c r="F36" s="10">
        <v>0.346463832</v>
      </c>
      <c r="G36" s="10">
        <v>0.882208088</v>
      </c>
      <c r="H36" s="10">
        <v>0.467227303</v>
      </c>
      <c r="I36" s="10">
        <v>0.534805569</v>
      </c>
      <c r="J36" s="10">
        <v>0.369394984</v>
      </c>
      <c r="K36" s="10">
        <v>0.335574727</v>
      </c>
      <c r="L36" s="10">
        <v>0.340128149</v>
      </c>
      <c r="M36" s="10">
        <v>0.284867063</v>
      </c>
      <c r="N36" s="10">
        <v>0.704141418</v>
      </c>
      <c r="O36" s="10">
        <v>0.589179375</v>
      </c>
      <c r="P36" s="10">
        <v>0.393843906</v>
      </c>
      <c r="Q36" s="10">
        <v>0.420470871</v>
      </c>
      <c r="R36" s="10">
        <v>0.763316151</v>
      </c>
      <c r="S36" s="10">
        <v>1.673014005</v>
      </c>
      <c r="T36" s="10">
        <v>0.30420672</v>
      </c>
      <c r="U36" s="10">
        <v>0.876452672</v>
      </c>
      <c r="V36" s="10">
        <v>0.802145615</v>
      </c>
      <c r="W36" s="10">
        <v>1.705498962</v>
      </c>
      <c r="X36" s="10">
        <v>0.717510189</v>
      </c>
      <c r="Y36" s="10">
        <v>0.615745615</v>
      </c>
      <c r="Z36" s="10">
        <v>0.223333738</v>
      </c>
      <c r="AA36" s="10">
        <v>0.230889811</v>
      </c>
      <c r="AB36" s="10">
        <v>0.472645848</v>
      </c>
      <c r="AC36" s="10">
        <v>0.472119994</v>
      </c>
      <c r="AD36" s="10">
        <v>1.158829253</v>
      </c>
      <c r="AE36" s="10">
        <v>1.134450782</v>
      </c>
      <c r="AF36" s="10">
        <v>1.27635866</v>
      </c>
      <c r="AG36" s="10">
        <v>1.276237655</v>
      </c>
    </row>
    <row r="37" s="10" customFormat="1" spans="1:33">
      <c r="A37" s="10" t="s">
        <v>80</v>
      </c>
      <c r="B37" s="10" t="str">
        <f t="shared" si="0"/>
        <v>A/T</v>
      </c>
      <c r="C37" s="10">
        <v>1.432308577</v>
      </c>
      <c r="D37" s="10">
        <v>1.617528783</v>
      </c>
      <c r="E37" s="10">
        <v>1.0681654</v>
      </c>
      <c r="F37" s="10">
        <v>1.815390021</v>
      </c>
      <c r="G37" s="10">
        <v>1.220930233</v>
      </c>
      <c r="H37" s="10">
        <v>1.745615269</v>
      </c>
      <c r="I37" s="10">
        <v>1.698331437</v>
      </c>
      <c r="J37" s="10">
        <v>1.730799975</v>
      </c>
      <c r="K37" s="10">
        <v>1.655889668</v>
      </c>
      <c r="L37" s="10">
        <v>1.14223421</v>
      </c>
      <c r="M37" s="10">
        <v>1.75434014</v>
      </c>
      <c r="N37" s="10">
        <v>1.405948596</v>
      </c>
      <c r="O37" s="10">
        <v>1.465981694</v>
      </c>
      <c r="P37" s="10">
        <v>1.363906691</v>
      </c>
      <c r="Q37" s="10">
        <v>1.520154556</v>
      </c>
      <c r="R37" s="10">
        <v>1.767889839</v>
      </c>
      <c r="S37" s="10">
        <v>0.724459085</v>
      </c>
      <c r="T37" s="10">
        <v>1.382737724</v>
      </c>
      <c r="U37" s="10">
        <v>1.057767855</v>
      </c>
      <c r="V37" s="10">
        <v>0.986741564</v>
      </c>
      <c r="W37" s="10">
        <v>0.362432201</v>
      </c>
      <c r="X37" s="10">
        <v>1.326069866</v>
      </c>
      <c r="Y37" s="10">
        <v>1.226003657</v>
      </c>
      <c r="Z37" s="10">
        <v>0.915139689</v>
      </c>
      <c r="AA37" s="10">
        <v>0.929149258</v>
      </c>
      <c r="AB37" s="10">
        <v>0.607889659</v>
      </c>
      <c r="AC37" s="10">
        <v>0.594820171</v>
      </c>
      <c r="AD37" s="10">
        <v>0.931514897</v>
      </c>
      <c r="AE37" s="10">
        <v>0.952948333</v>
      </c>
      <c r="AF37" s="10">
        <v>0.816602779</v>
      </c>
      <c r="AG37" s="10">
        <v>0.814967754</v>
      </c>
    </row>
    <row r="38" s="10" customFormat="1" spans="1:33">
      <c r="A38" s="10" t="s">
        <v>81</v>
      </c>
      <c r="B38" s="10" t="str">
        <f t="shared" si="0"/>
        <v>A/T</v>
      </c>
      <c r="C38" s="10">
        <v>2.106243861</v>
      </c>
      <c r="D38" s="10">
        <v>1.225179552</v>
      </c>
      <c r="E38" s="10">
        <v>2.015611536</v>
      </c>
      <c r="F38" s="10">
        <v>1.948874824</v>
      </c>
      <c r="G38" s="10">
        <v>1.341334537</v>
      </c>
      <c r="H38" s="10">
        <v>1.468885792</v>
      </c>
      <c r="I38" s="10">
        <v>1.449114522</v>
      </c>
      <c r="J38" s="10">
        <v>1.863723433</v>
      </c>
      <c r="K38" s="10">
        <v>1.256084002</v>
      </c>
      <c r="L38" s="10">
        <v>1.607088592</v>
      </c>
      <c r="M38" s="10">
        <v>1.898048795</v>
      </c>
      <c r="N38" s="10">
        <v>1.985310272</v>
      </c>
      <c r="O38" s="10">
        <v>2.093394254</v>
      </c>
      <c r="P38" s="10">
        <v>1.159983216</v>
      </c>
      <c r="Q38" s="10">
        <v>1.513906615</v>
      </c>
      <c r="R38" s="10">
        <v>1.335129005</v>
      </c>
      <c r="S38" s="10">
        <v>0.421585251</v>
      </c>
      <c r="T38" s="10">
        <v>1.211222817</v>
      </c>
      <c r="U38" s="10">
        <v>0.717962874</v>
      </c>
      <c r="V38" s="10">
        <v>0.780729352</v>
      </c>
      <c r="W38" s="10">
        <v>0.174685019</v>
      </c>
      <c r="X38" s="10">
        <v>0.937621856</v>
      </c>
      <c r="Y38" s="10">
        <v>0.872528024</v>
      </c>
      <c r="Z38" s="10">
        <v>0.458893306</v>
      </c>
      <c r="AA38" s="10">
        <v>0.477121952</v>
      </c>
      <c r="AB38" s="10">
        <v>0.560303057</v>
      </c>
      <c r="AC38" s="10">
        <v>0.537702034</v>
      </c>
      <c r="AD38" s="10">
        <v>0.873954203</v>
      </c>
      <c r="AE38" s="10">
        <v>0.90200925</v>
      </c>
      <c r="AF38" s="10">
        <v>0.763912893</v>
      </c>
      <c r="AG38" s="10">
        <v>0.761537038</v>
      </c>
    </row>
    <row r="39" s="10" customFormat="1" spans="1:33">
      <c r="A39" s="10" t="s">
        <v>82</v>
      </c>
      <c r="B39" s="10" t="str">
        <f t="shared" si="0"/>
        <v>G/C</v>
      </c>
      <c r="C39" s="10">
        <v>0.533015294</v>
      </c>
      <c r="D39" s="10">
        <v>0.743154888</v>
      </c>
      <c r="E39" s="10">
        <v>0.509503776</v>
      </c>
      <c r="F39" s="10">
        <v>0.149085795</v>
      </c>
      <c r="G39" s="10">
        <v>1.023764637</v>
      </c>
      <c r="H39" s="10">
        <v>0.306878741</v>
      </c>
      <c r="I39" s="10">
        <v>0.545454545</v>
      </c>
      <c r="J39" s="10">
        <v>0.15068868</v>
      </c>
      <c r="K39" s="10">
        <v>0.75808112</v>
      </c>
      <c r="L39" s="10">
        <v>0.841303988</v>
      </c>
      <c r="M39" s="10">
        <v>0.224839338</v>
      </c>
      <c r="N39" s="10">
        <v>0.637904668</v>
      </c>
      <c r="O39" s="10">
        <v>0.533983841</v>
      </c>
      <c r="P39" s="10">
        <v>0.529880717</v>
      </c>
      <c r="Q39" s="10">
        <v>0.646133841</v>
      </c>
      <c r="R39" s="10">
        <v>0.152348549</v>
      </c>
      <c r="S39" s="10">
        <v>1.977768806</v>
      </c>
      <c r="T39" s="10">
        <v>0.744110956</v>
      </c>
      <c r="U39" s="10">
        <v>1.29289444</v>
      </c>
      <c r="V39" s="10">
        <v>0.835006703</v>
      </c>
      <c r="W39" s="10">
        <v>2.459652562</v>
      </c>
      <c r="X39" s="10">
        <v>1.299611272</v>
      </c>
      <c r="Y39" s="10">
        <v>1.403484401</v>
      </c>
      <c r="Z39" s="10">
        <v>2.132184996</v>
      </c>
      <c r="AA39" s="10">
        <v>2.109084433</v>
      </c>
      <c r="AB39" s="10">
        <v>1.835785393</v>
      </c>
      <c r="AC39" s="10">
        <v>1.871885651</v>
      </c>
      <c r="AD39" s="10">
        <v>1.603624667</v>
      </c>
      <c r="AE39" s="10">
        <v>1.567634371</v>
      </c>
      <c r="AF39" s="10">
        <v>1.75800372</v>
      </c>
      <c r="AG39" s="10">
        <v>1.76632319</v>
      </c>
    </row>
    <row r="40" s="10" customFormat="1" spans="1:33">
      <c r="A40" s="10" t="s">
        <v>83</v>
      </c>
      <c r="B40" s="10" t="str">
        <f t="shared" si="0"/>
        <v>G/C</v>
      </c>
      <c r="C40" s="10">
        <v>0.694598008</v>
      </c>
      <c r="D40" s="10">
        <v>0.718691532</v>
      </c>
      <c r="E40" s="10">
        <v>0.425870546</v>
      </c>
      <c r="F40" s="10">
        <v>0.13628692</v>
      </c>
      <c r="G40" s="10">
        <v>1.053344308</v>
      </c>
      <c r="H40" s="10">
        <v>0.086414692</v>
      </c>
      <c r="I40" s="10">
        <v>0.62463597</v>
      </c>
      <c r="J40" s="10">
        <v>0.164827146</v>
      </c>
      <c r="K40" s="10">
        <v>0.449495573</v>
      </c>
      <c r="L40" s="10">
        <v>0.708257488</v>
      </c>
      <c r="M40" s="10">
        <v>0.166797522</v>
      </c>
      <c r="N40" s="10">
        <v>0.526676288</v>
      </c>
      <c r="O40" s="10">
        <v>0.548542812</v>
      </c>
      <c r="P40" s="10">
        <v>0.529241343</v>
      </c>
      <c r="Q40" s="10">
        <v>0.636694199</v>
      </c>
      <c r="R40" s="10">
        <v>0.050940365</v>
      </c>
      <c r="S40" s="10">
        <v>1.06096084</v>
      </c>
      <c r="T40" s="10">
        <v>0.315745701</v>
      </c>
      <c r="U40" s="10">
        <v>1.525314563</v>
      </c>
      <c r="V40" s="10">
        <v>1.921155582</v>
      </c>
      <c r="W40" s="10">
        <v>1.237993778</v>
      </c>
      <c r="X40" s="10">
        <v>1.139833125</v>
      </c>
      <c r="Y40" s="10">
        <v>0.62657483</v>
      </c>
      <c r="Z40" s="10">
        <v>0.485077923</v>
      </c>
      <c r="AA40" s="10">
        <v>0.497662476</v>
      </c>
      <c r="AB40" s="10">
        <v>0.515637389</v>
      </c>
      <c r="AC40" s="10">
        <v>0.514040682</v>
      </c>
      <c r="AD40" s="10">
        <v>0.472826461</v>
      </c>
      <c r="AE40" s="10">
        <v>0.459896623</v>
      </c>
      <c r="AF40" s="10">
        <v>0.53199019</v>
      </c>
      <c r="AG40" s="10">
        <v>0.53997442</v>
      </c>
    </row>
    <row r="41" s="10" customFormat="1" spans="1:33">
      <c r="A41" s="10" t="s">
        <v>84</v>
      </c>
      <c r="B41" s="10" t="str">
        <f t="shared" si="0"/>
        <v>A/T</v>
      </c>
      <c r="C41" s="10">
        <v>0.666142837</v>
      </c>
      <c r="D41" s="10">
        <v>1.312974028</v>
      </c>
      <c r="E41" s="10">
        <v>1.049014142</v>
      </c>
      <c r="F41" s="10">
        <v>1.765752461</v>
      </c>
      <c r="G41" s="10">
        <v>0.581556517</v>
      </c>
      <c r="H41" s="10">
        <v>2.137820776</v>
      </c>
      <c r="I41" s="10">
        <v>1.380794963</v>
      </c>
      <c r="J41" s="10">
        <v>1.820760741</v>
      </c>
      <c r="K41" s="10">
        <v>1.536339304</v>
      </c>
      <c r="L41" s="10">
        <v>0.843349932</v>
      </c>
      <c r="M41" s="10">
        <v>1.710314345</v>
      </c>
      <c r="N41" s="10">
        <v>0.850108773</v>
      </c>
      <c r="O41" s="10">
        <v>0.824079093</v>
      </c>
      <c r="P41" s="10">
        <v>1.780894723</v>
      </c>
      <c r="Q41" s="10">
        <v>1.203265345</v>
      </c>
      <c r="R41" s="10">
        <v>2.461582081</v>
      </c>
      <c r="S41" s="10">
        <v>0.539685103</v>
      </c>
      <c r="T41" s="10">
        <v>1.728920525</v>
      </c>
      <c r="U41" s="10">
        <v>0.463828123</v>
      </c>
      <c r="V41" s="10">
        <v>0.463108363</v>
      </c>
      <c r="W41" s="10">
        <v>0.127668641</v>
      </c>
      <c r="X41" s="10">
        <v>0.622933747</v>
      </c>
      <c r="Y41" s="10">
        <v>1.097412745</v>
      </c>
      <c r="Z41" s="10">
        <v>0.923843776</v>
      </c>
      <c r="AA41" s="10">
        <v>0.916131139</v>
      </c>
      <c r="AB41" s="10">
        <v>1.088274161</v>
      </c>
      <c r="AC41" s="10">
        <v>1.076371633</v>
      </c>
      <c r="AD41" s="10">
        <v>1.04959467</v>
      </c>
      <c r="AE41" s="10">
        <v>1.070459757</v>
      </c>
      <c r="AF41" s="10">
        <v>0.946093197</v>
      </c>
      <c r="AG41" s="10">
        <v>0.932165351</v>
      </c>
    </row>
    <row r="42" s="10" customFormat="1" spans="1:33">
      <c r="A42" s="10" t="s">
        <v>85</v>
      </c>
      <c r="B42" s="10" t="str">
        <f t="shared" si="0"/>
        <v>A/T</v>
      </c>
      <c r="C42" s="10">
        <v>2.038892541</v>
      </c>
      <c r="D42" s="10">
        <v>1.000774666</v>
      </c>
      <c r="E42" s="10">
        <v>0.810649604</v>
      </c>
      <c r="F42" s="10">
        <v>2.086732477</v>
      </c>
      <c r="G42" s="10">
        <v>1.628833719</v>
      </c>
      <c r="H42" s="10">
        <v>2.350534076</v>
      </c>
      <c r="I42" s="10">
        <v>2.02582728</v>
      </c>
      <c r="J42" s="10">
        <v>2.015698707</v>
      </c>
      <c r="K42" s="10">
        <v>0.843489026</v>
      </c>
      <c r="L42" s="10">
        <v>0.709334336</v>
      </c>
      <c r="M42" s="10">
        <v>2.312220847</v>
      </c>
      <c r="N42" s="10">
        <v>1.81900668</v>
      </c>
      <c r="O42" s="10">
        <v>1.881866703</v>
      </c>
      <c r="P42" s="10">
        <v>1.043069093</v>
      </c>
      <c r="Q42" s="10">
        <v>2.781360737</v>
      </c>
      <c r="R42" s="10">
        <v>2.844134289</v>
      </c>
      <c r="S42" s="10">
        <v>0.279092572</v>
      </c>
      <c r="T42" s="10">
        <v>0.56569232</v>
      </c>
      <c r="U42" s="10">
        <v>0.844040962</v>
      </c>
      <c r="V42" s="10">
        <v>0.968869123</v>
      </c>
      <c r="W42" s="10">
        <v>0.222097273</v>
      </c>
      <c r="X42" s="10">
        <v>1.214344171</v>
      </c>
      <c r="Y42" s="10">
        <v>0.592365337</v>
      </c>
      <c r="Z42" s="10">
        <v>0.36979356</v>
      </c>
      <c r="AA42" s="10">
        <v>0.374842496</v>
      </c>
      <c r="AB42" s="10">
        <v>0.329348974</v>
      </c>
      <c r="AC42" s="10">
        <v>0.324393359</v>
      </c>
      <c r="AD42" s="10">
        <v>1.000968733</v>
      </c>
      <c r="AE42" s="10">
        <v>1.027193035</v>
      </c>
      <c r="AF42" s="10">
        <v>0.883672998</v>
      </c>
      <c r="AG42" s="10">
        <v>0.87829586</v>
      </c>
    </row>
    <row r="43" s="10" customFormat="1" spans="1:33">
      <c r="A43" s="10" t="s">
        <v>86</v>
      </c>
      <c r="B43" s="10" t="str">
        <f t="shared" si="0"/>
        <v>G/C</v>
      </c>
      <c r="C43" s="10">
        <v>0.572664183</v>
      </c>
      <c r="D43" s="10">
        <v>0.803586939</v>
      </c>
      <c r="E43" s="10">
        <v>1.654809674</v>
      </c>
      <c r="F43" s="10">
        <v>0.202831067</v>
      </c>
      <c r="G43" s="10">
        <v>1.277689315</v>
      </c>
      <c r="H43" s="10">
        <v>0.204336125</v>
      </c>
      <c r="I43" s="10">
        <v>0.260194473</v>
      </c>
      <c r="J43" s="10">
        <v>0.191211016</v>
      </c>
      <c r="K43" s="10">
        <v>0.950275746</v>
      </c>
      <c r="L43" s="10">
        <v>1.59663492</v>
      </c>
      <c r="M43" s="10">
        <v>0.179949416</v>
      </c>
      <c r="N43" s="10">
        <v>0.686363688</v>
      </c>
      <c r="O43" s="10">
        <v>0.660955248</v>
      </c>
      <c r="P43" s="10">
        <v>0.598261872</v>
      </c>
      <c r="Q43" s="10">
        <v>0.236534373</v>
      </c>
      <c r="R43" s="10">
        <v>0.051829498</v>
      </c>
      <c r="S43" s="10">
        <v>2.618039186</v>
      </c>
      <c r="T43" s="10">
        <v>1.103841155</v>
      </c>
      <c r="U43" s="10">
        <v>1.810734258</v>
      </c>
      <c r="V43" s="10">
        <v>1.796442186</v>
      </c>
      <c r="W43" s="10">
        <v>2.448798145</v>
      </c>
      <c r="X43" s="10">
        <v>1.178607742</v>
      </c>
      <c r="Y43" s="10">
        <v>1.716642358</v>
      </c>
      <c r="Z43" s="10">
        <v>2.421183538</v>
      </c>
      <c r="AA43" s="10">
        <v>2.400475213</v>
      </c>
      <c r="AB43" s="10">
        <v>2.011230333</v>
      </c>
      <c r="AC43" s="10">
        <v>2.02665334</v>
      </c>
      <c r="AD43" s="10">
        <v>1.357796633</v>
      </c>
      <c r="AE43" s="10">
        <v>1.335891193</v>
      </c>
      <c r="AF43" s="10">
        <v>1.483768945</v>
      </c>
      <c r="AG43" s="10">
        <v>1.491405175</v>
      </c>
    </row>
    <row r="44" s="10" customFormat="1" spans="1:33">
      <c r="A44" s="10" t="s">
        <v>87</v>
      </c>
      <c r="B44" s="10" t="str">
        <f t="shared" si="0"/>
        <v>G/C</v>
      </c>
      <c r="C44" s="10">
        <v>0.44689897</v>
      </c>
      <c r="D44" s="10">
        <v>0.557477875</v>
      </c>
      <c r="E44" s="10">
        <v>0.093482269</v>
      </c>
      <c r="F44" s="10">
        <v>0.346371143</v>
      </c>
      <c r="G44" s="10">
        <v>0.724443029</v>
      </c>
      <c r="H44" s="10">
        <v>0.330174013</v>
      </c>
      <c r="I44" s="10">
        <v>0.651754487</v>
      </c>
      <c r="J44" s="10">
        <v>0.317640992</v>
      </c>
      <c r="K44" s="10">
        <v>0.41030951</v>
      </c>
      <c r="L44" s="10">
        <v>0.535813826</v>
      </c>
      <c r="M44" s="10">
        <v>0.445138029</v>
      </c>
      <c r="N44" s="10">
        <v>0.43353106</v>
      </c>
      <c r="O44" s="10">
        <v>0.331627207</v>
      </c>
      <c r="P44" s="10">
        <v>0.437989149</v>
      </c>
      <c r="Q44" s="10">
        <v>0.487774628</v>
      </c>
      <c r="R44" s="10">
        <v>0.348170502</v>
      </c>
      <c r="S44" s="10">
        <v>0.304210903</v>
      </c>
      <c r="T44" s="10">
        <v>0.238046514</v>
      </c>
      <c r="U44" s="10">
        <v>0.75526182</v>
      </c>
      <c r="V44" s="10">
        <v>0.657433291</v>
      </c>
      <c r="W44" s="10">
        <v>1.153324431</v>
      </c>
      <c r="X44" s="10">
        <v>0.990303301</v>
      </c>
      <c r="Y44" s="10">
        <v>0.515515767</v>
      </c>
      <c r="Z44" s="10">
        <v>0.521476266</v>
      </c>
      <c r="AA44" s="10">
        <v>0.537711056</v>
      </c>
      <c r="AB44" s="10">
        <v>0.98393284</v>
      </c>
      <c r="AC44" s="10">
        <v>1.003609306</v>
      </c>
      <c r="AD44" s="10">
        <v>0.961417691</v>
      </c>
      <c r="AE44" s="10">
        <v>0.954070353</v>
      </c>
      <c r="AF44" s="10">
        <v>1.024821876</v>
      </c>
      <c r="AG44" s="10">
        <v>1.03095549</v>
      </c>
    </row>
    <row r="45" s="10" customFormat="1" spans="1:33">
      <c r="A45" s="10" t="s">
        <v>88</v>
      </c>
      <c r="B45" s="10" t="str">
        <f t="shared" si="0"/>
        <v>A/T</v>
      </c>
      <c r="C45" s="10">
        <v>0.941544306</v>
      </c>
      <c r="D45" s="10">
        <v>1.63816052</v>
      </c>
      <c r="E45" s="10">
        <v>1.441058454</v>
      </c>
      <c r="F45" s="10">
        <v>1.364065313</v>
      </c>
      <c r="G45" s="10">
        <v>0.369033937</v>
      </c>
      <c r="H45" s="10">
        <v>1.114955786</v>
      </c>
      <c r="I45" s="10">
        <v>1.06222376</v>
      </c>
      <c r="J45" s="10">
        <v>1.475449285</v>
      </c>
      <c r="K45" s="10">
        <v>1.795925718</v>
      </c>
      <c r="L45" s="10">
        <v>1.158216918</v>
      </c>
      <c r="M45" s="10">
        <v>1.062691707</v>
      </c>
      <c r="N45" s="10">
        <v>1.061098572</v>
      </c>
      <c r="O45" s="10">
        <v>1.125550842</v>
      </c>
      <c r="P45" s="10">
        <v>1.920679887</v>
      </c>
      <c r="Q45" s="10">
        <v>0.494330262</v>
      </c>
      <c r="R45" s="10">
        <v>0.755865711</v>
      </c>
      <c r="S45" s="10">
        <v>0.798657338</v>
      </c>
      <c r="T45" s="10">
        <v>2.092420011</v>
      </c>
      <c r="U45" s="10">
        <v>0.58996296</v>
      </c>
      <c r="V45" s="10">
        <v>0.5772554</v>
      </c>
      <c r="W45" s="10">
        <v>0.175780152</v>
      </c>
      <c r="X45" s="10">
        <v>0.616744786</v>
      </c>
      <c r="Y45" s="10">
        <v>1.175476538</v>
      </c>
      <c r="Z45" s="10">
        <v>0.687546636</v>
      </c>
      <c r="AA45" s="10">
        <v>0.686971235</v>
      </c>
      <c r="AB45" s="10">
        <v>0.675487852</v>
      </c>
      <c r="AC45" s="10">
        <v>0.645343995</v>
      </c>
      <c r="AD45" s="10">
        <v>0.679816943</v>
      </c>
      <c r="AE45" s="10">
        <v>0.682845419</v>
      </c>
      <c r="AF45" s="10">
        <v>0.607736181</v>
      </c>
      <c r="AG45" s="10">
        <v>0.599343475</v>
      </c>
    </row>
    <row r="46" s="10" customFormat="1" spans="1:33">
      <c r="A46" s="10" t="s">
        <v>89</v>
      </c>
      <c r="B46" s="10" t="str">
        <f t="shared" si="0"/>
        <v>A/T</v>
      </c>
      <c r="C46" s="10">
        <v>1.391529845</v>
      </c>
      <c r="D46" s="10">
        <v>0.991774484</v>
      </c>
      <c r="E46" s="10">
        <v>0.76263338</v>
      </c>
      <c r="F46" s="10">
        <v>1.778511295</v>
      </c>
      <c r="G46" s="10">
        <v>1.285646076</v>
      </c>
      <c r="H46" s="10">
        <v>1.607779799</v>
      </c>
      <c r="I46" s="10">
        <v>0.875038653</v>
      </c>
      <c r="J46" s="10">
        <v>2.017102226</v>
      </c>
      <c r="K46" s="10">
        <v>0.83465359</v>
      </c>
      <c r="L46" s="10">
        <v>1.151784625</v>
      </c>
      <c r="M46" s="10">
        <v>1.586574202</v>
      </c>
      <c r="N46" s="10">
        <v>1.442228874</v>
      </c>
      <c r="O46" s="10">
        <v>1.375412048</v>
      </c>
      <c r="P46" s="10">
        <v>0.587405934</v>
      </c>
      <c r="Q46" s="10">
        <v>1.293230202</v>
      </c>
      <c r="R46" s="10">
        <v>2.301180863</v>
      </c>
      <c r="S46" s="10">
        <v>0.223246524</v>
      </c>
      <c r="T46" s="10">
        <v>1.076866955</v>
      </c>
      <c r="U46" s="10">
        <v>0.534448517</v>
      </c>
      <c r="V46" s="10">
        <v>0.97961271</v>
      </c>
      <c r="W46" s="10">
        <v>0.212781553</v>
      </c>
      <c r="X46" s="10">
        <v>1.012352689</v>
      </c>
      <c r="Y46" s="10">
        <v>0.623726206</v>
      </c>
      <c r="Z46" s="10">
        <v>0.489794291</v>
      </c>
      <c r="AA46" s="10">
        <v>0.511967254</v>
      </c>
      <c r="AB46" s="10">
        <v>0.444797371</v>
      </c>
      <c r="AC46" s="10">
        <v>0.434699714</v>
      </c>
      <c r="AD46" s="10">
        <v>0.468216032</v>
      </c>
      <c r="AE46" s="10">
        <v>0.483003097</v>
      </c>
      <c r="AF46" s="10">
        <v>0.368248987</v>
      </c>
      <c r="AG46" s="10">
        <v>0.370613251</v>
      </c>
    </row>
    <row r="47" s="10" customFormat="1" spans="1:33">
      <c r="A47" s="10" t="s">
        <v>90</v>
      </c>
      <c r="B47" s="10" t="str">
        <f t="shared" si="0"/>
        <v>G/C</v>
      </c>
      <c r="C47" s="10">
        <v>0.566405838</v>
      </c>
      <c r="D47" s="10">
        <v>0.825807557</v>
      </c>
      <c r="E47" s="10">
        <v>0.430944232</v>
      </c>
      <c r="F47" s="10">
        <v>0.066379989</v>
      </c>
      <c r="G47" s="10">
        <v>0.689883617</v>
      </c>
      <c r="H47" s="10">
        <v>0.083102399</v>
      </c>
      <c r="I47" s="10">
        <v>0.571585638</v>
      </c>
      <c r="J47" s="10">
        <v>0.093157263</v>
      </c>
      <c r="K47" s="10">
        <v>0.962823253</v>
      </c>
      <c r="L47" s="10">
        <v>0.53906645</v>
      </c>
      <c r="M47" s="10">
        <v>0.174424411</v>
      </c>
      <c r="N47" s="10">
        <v>0.454616624</v>
      </c>
      <c r="O47" s="10">
        <v>0.536879147</v>
      </c>
      <c r="P47" s="10">
        <v>0.672779171</v>
      </c>
      <c r="Q47" s="10">
        <v>0.586987236</v>
      </c>
      <c r="R47" s="10">
        <v>0.08886905</v>
      </c>
      <c r="S47" s="10">
        <v>1.587846662</v>
      </c>
      <c r="T47" s="10">
        <v>0.52540518</v>
      </c>
      <c r="U47" s="10">
        <v>1.491999419</v>
      </c>
      <c r="V47" s="10">
        <v>0.849379517</v>
      </c>
      <c r="W47" s="10">
        <v>1.057624847</v>
      </c>
      <c r="X47" s="10">
        <v>0.601343728</v>
      </c>
      <c r="Y47" s="10">
        <v>1.119111709</v>
      </c>
      <c r="Z47" s="10">
        <v>2.644315101</v>
      </c>
      <c r="AA47" s="10">
        <v>2.615171786</v>
      </c>
      <c r="AB47" s="10">
        <v>1.486966046</v>
      </c>
      <c r="AC47" s="10">
        <v>1.51981479</v>
      </c>
      <c r="AD47" s="10">
        <v>0.950423969</v>
      </c>
      <c r="AE47" s="10">
        <v>0.938542483</v>
      </c>
      <c r="AF47" s="10">
        <v>1.032038708</v>
      </c>
      <c r="AG47" s="10">
        <v>1.027940066</v>
      </c>
    </row>
    <row r="48" s="10" customFormat="1" spans="1:33">
      <c r="A48" s="10" t="s">
        <v>91</v>
      </c>
      <c r="B48" s="10" t="str">
        <f t="shared" si="0"/>
        <v>G/C</v>
      </c>
      <c r="C48" s="10">
        <v>0.974505104</v>
      </c>
      <c r="D48" s="10">
        <v>0.964184731</v>
      </c>
      <c r="E48" s="10">
        <v>0.572277028</v>
      </c>
      <c r="F48" s="10">
        <v>0.208951608</v>
      </c>
      <c r="G48" s="10">
        <v>1.298239332</v>
      </c>
      <c r="H48" s="10">
        <v>0.226865469</v>
      </c>
      <c r="I48" s="10">
        <v>0.740010308</v>
      </c>
      <c r="J48" s="10">
        <v>0.222144242</v>
      </c>
      <c r="K48" s="10">
        <v>0.618802129</v>
      </c>
      <c r="L48" s="10">
        <v>1.323638646</v>
      </c>
      <c r="M48" s="10">
        <v>0.366601942</v>
      </c>
      <c r="N48" s="10">
        <v>0.954962008</v>
      </c>
      <c r="O48" s="10">
        <v>0.849826836</v>
      </c>
      <c r="P48" s="10">
        <v>0.675201107</v>
      </c>
      <c r="Q48" s="10">
        <v>0.947628056</v>
      </c>
      <c r="R48" s="10">
        <v>0.281865033</v>
      </c>
      <c r="S48" s="10">
        <v>1.492893908</v>
      </c>
      <c r="T48" s="10">
        <v>0.460367919</v>
      </c>
      <c r="U48" s="10">
        <v>1.395508049</v>
      </c>
      <c r="V48" s="10">
        <v>1.365607528</v>
      </c>
      <c r="W48" s="10">
        <v>2.527074149</v>
      </c>
      <c r="X48" s="10">
        <v>1.542244448</v>
      </c>
      <c r="Y48" s="10">
        <v>0.595846953</v>
      </c>
      <c r="Z48" s="10">
        <v>0.424732897</v>
      </c>
      <c r="AA48" s="10">
        <v>0.434118517</v>
      </c>
      <c r="AB48" s="10">
        <v>0.784008762</v>
      </c>
      <c r="AC48" s="10">
        <v>0.801743157</v>
      </c>
      <c r="AD48" s="10">
        <v>1.844404154</v>
      </c>
      <c r="AE48" s="10">
        <v>1.811895966</v>
      </c>
      <c r="AF48" s="10">
        <v>1.988793997</v>
      </c>
      <c r="AG48" s="10">
        <v>1.998807679</v>
      </c>
    </row>
    <row r="49" s="10" customFormat="1" spans="1:33">
      <c r="A49" s="10" t="s">
        <v>92</v>
      </c>
      <c r="B49" s="10" t="str">
        <f t="shared" si="0"/>
        <v>A/T</v>
      </c>
      <c r="C49" s="10">
        <v>1.067559214</v>
      </c>
      <c r="D49" s="10">
        <v>1.218233228</v>
      </c>
      <c r="E49" s="10">
        <v>2.234145359</v>
      </c>
      <c r="F49" s="10">
        <v>1.946157107</v>
      </c>
      <c r="G49" s="10">
        <v>0.726230976</v>
      </c>
      <c r="H49" s="10">
        <v>2.082252333</v>
      </c>
      <c r="I49" s="10">
        <v>1.813365401</v>
      </c>
      <c r="J49" s="10">
        <v>1.667596269</v>
      </c>
      <c r="K49" s="10">
        <v>1.583721028</v>
      </c>
      <c r="L49" s="10">
        <v>0.985510279</v>
      </c>
      <c r="M49" s="10">
        <v>1.872399445</v>
      </c>
      <c r="N49" s="10">
        <v>1.148192494</v>
      </c>
      <c r="O49" s="10">
        <v>1.23788197</v>
      </c>
      <c r="P49" s="10">
        <v>2.064613788</v>
      </c>
      <c r="Q49" s="10">
        <v>1.172154506</v>
      </c>
      <c r="R49" s="10">
        <v>1.328085055</v>
      </c>
      <c r="S49" s="10">
        <v>0.696012906</v>
      </c>
      <c r="T49" s="10">
        <v>1.937359946</v>
      </c>
      <c r="U49" s="10">
        <v>0.578044015</v>
      </c>
      <c r="V49" s="10">
        <v>0.805400245</v>
      </c>
      <c r="W49" s="10">
        <v>0.202519451</v>
      </c>
      <c r="X49" s="10">
        <v>0.844059136</v>
      </c>
      <c r="Y49" s="10">
        <v>1.661315132</v>
      </c>
      <c r="Z49" s="10">
        <v>0.44115771</v>
      </c>
      <c r="AA49" s="10">
        <v>0.438742443</v>
      </c>
      <c r="AB49" s="10">
        <v>1.28422782</v>
      </c>
      <c r="AC49" s="10">
        <v>1.24374234</v>
      </c>
      <c r="AD49" s="10">
        <v>0.736955845</v>
      </c>
      <c r="AE49" s="10">
        <v>0.766558454</v>
      </c>
      <c r="AF49" s="10">
        <v>0.610918309</v>
      </c>
      <c r="AG49" s="10">
        <v>0.602639005</v>
      </c>
    </row>
    <row r="50" s="10" customFormat="1" spans="1:33">
      <c r="A50" s="10" t="s">
        <v>93</v>
      </c>
      <c r="B50" s="10" t="str">
        <f t="shared" si="0"/>
        <v>A/T</v>
      </c>
      <c r="C50" s="10">
        <v>1.758023107</v>
      </c>
      <c r="D50" s="10">
        <v>2.073047859</v>
      </c>
      <c r="E50" s="10">
        <v>2.1462815</v>
      </c>
      <c r="F50" s="10">
        <v>2.192092154</v>
      </c>
      <c r="G50" s="10">
        <v>1.543273611</v>
      </c>
      <c r="H50" s="10">
        <v>2.252918288</v>
      </c>
      <c r="I50" s="10">
        <v>2.180412371</v>
      </c>
      <c r="J50" s="10">
        <v>2.230769231</v>
      </c>
      <c r="K50" s="10">
        <v>1.780061216</v>
      </c>
      <c r="L50" s="10">
        <v>1.846582467</v>
      </c>
      <c r="M50" s="10">
        <v>2.142416452</v>
      </c>
      <c r="N50" s="10">
        <v>1.713254751</v>
      </c>
      <c r="O50" s="10">
        <v>1.766606822</v>
      </c>
      <c r="P50" s="10">
        <v>2.034660422</v>
      </c>
      <c r="Q50" s="10">
        <v>1.711903659</v>
      </c>
      <c r="R50" s="10">
        <v>2.077290837</v>
      </c>
      <c r="S50" s="10">
        <v>1.224358974</v>
      </c>
      <c r="T50" s="10">
        <v>2.0953125</v>
      </c>
      <c r="U50" s="10">
        <v>0.93977231</v>
      </c>
      <c r="V50" s="10">
        <v>1.643419573</v>
      </c>
      <c r="W50" s="10">
        <v>1.163250366</v>
      </c>
      <c r="X50" s="10">
        <v>1.475363679</v>
      </c>
      <c r="Y50" s="10">
        <v>1.749196141</v>
      </c>
      <c r="Z50" s="10">
        <v>1.554432706</v>
      </c>
      <c r="AA50" s="10">
        <v>1.551270815</v>
      </c>
      <c r="AB50" s="10">
        <v>1.893141946</v>
      </c>
      <c r="AC50" s="10">
        <v>1.761927481</v>
      </c>
      <c r="AD50" s="10">
        <v>0</v>
      </c>
      <c r="AE50" s="10">
        <v>0</v>
      </c>
      <c r="AF50" s="10">
        <v>0</v>
      </c>
      <c r="AG50" s="10">
        <v>0</v>
      </c>
    </row>
    <row r="51" s="10" customFormat="1" spans="1:33">
      <c r="A51" s="10" t="s">
        <v>94</v>
      </c>
      <c r="B51" s="10" t="str">
        <f t="shared" si="0"/>
        <v>G/C</v>
      </c>
      <c r="C51" s="10">
        <v>0.573312449</v>
      </c>
      <c r="D51" s="10">
        <v>0.400258835</v>
      </c>
      <c r="E51" s="10">
        <v>0.687676056</v>
      </c>
      <c r="F51" s="10">
        <v>0.242165505</v>
      </c>
      <c r="G51" s="10">
        <v>0.616172978</v>
      </c>
      <c r="H51" s="10">
        <v>0.328121995</v>
      </c>
      <c r="I51" s="10">
        <v>0.377176837</v>
      </c>
      <c r="J51" s="10">
        <v>0.364028538</v>
      </c>
      <c r="K51" s="10">
        <v>0.262245081</v>
      </c>
      <c r="L51" s="10">
        <v>0.628690472</v>
      </c>
      <c r="M51" s="10">
        <v>0.273991265</v>
      </c>
      <c r="N51" s="10">
        <v>0.503477596</v>
      </c>
      <c r="O51" s="10">
        <v>0.495515796</v>
      </c>
      <c r="P51" s="10">
        <v>0.682978308</v>
      </c>
      <c r="Q51" s="10">
        <v>0.355675165</v>
      </c>
      <c r="R51" s="10">
        <v>0.258213291</v>
      </c>
      <c r="S51" s="10">
        <v>1.242135519</v>
      </c>
      <c r="T51" s="10">
        <v>0.86294964</v>
      </c>
      <c r="U51" s="10">
        <v>0.831671135</v>
      </c>
      <c r="V51" s="10">
        <v>0.733001022</v>
      </c>
      <c r="W51" s="10">
        <v>1.540519599</v>
      </c>
      <c r="X51" s="10">
        <v>0.596105554</v>
      </c>
      <c r="Y51" s="10">
        <v>0.801363867</v>
      </c>
      <c r="Z51" s="10">
        <v>0.844544628</v>
      </c>
      <c r="AA51" s="10">
        <v>0.837726831</v>
      </c>
      <c r="AB51" s="10">
        <v>1.332482951</v>
      </c>
      <c r="AC51" s="10">
        <v>1.368904974</v>
      </c>
      <c r="AD51" s="10">
        <v>1.140068368</v>
      </c>
      <c r="AE51" s="10">
        <v>1.115120723</v>
      </c>
      <c r="AF51" s="10">
        <v>1.237425738</v>
      </c>
      <c r="AG51" s="10">
        <v>1.245175192</v>
      </c>
    </row>
    <row r="52" s="10" customFormat="1" spans="1:33">
      <c r="A52" s="10" t="s">
        <v>95</v>
      </c>
      <c r="B52" s="10" t="str">
        <f t="shared" si="0"/>
        <v>G/C</v>
      </c>
      <c r="C52" s="10">
        <v>0.799101412</v>
      </c>
      <c r="D52" s="10">
        <v>0.546599496</v>
      </c>
      <c r="E52" s="10">
        <v>0.193607867</v>
      </c>
      <c r="F52" s="10">
        <v>0.667808219</v>
      </c>
      <c r="G52" s="10">
        <v>0.913756453</v>
      </c>
      <c r="H52" s="10">
        <v>0.646268129</v>
      </c>
      <c r="I52" s="10">
        <v>0.575478645</v>
      </c>
      <c r="J52" s="10">
        <v>0.635683761</v>
      </c>
      <c r="K52" s="10">
        <v>0.775251421</v>
      </c>
      <c r="L52" s="10">
        <v>0.186106984</v>
      </c>
      <c r="M52" s="10">
        <v>0.612339332</v>
      </c>
      <c r="N52" s="10">
        <v>0.443829685</v>
      </c>
      <c r="O52" s="10">
        <v>0.392280072</v>
      </c>
      <c r="P52" s="10">
        <v>0.49882904</v>
      </c>
      <c r="Q52" s="10">
        <v>0.762853173</v>
      </c>
      <c r="R52" s="10">
        <v>0.744621514</v>
      </c>
      <c r="S52" s="10">
        <v>1.459935897</v>
      </c>
      <c r="T52" s="10">
        <v>0.6640625</v>
      </c>
      <c r="U52" s="10">
        <v>0.558575101</v>
      </c>
      <c r="V52" s="10">
        <v>0.416197975</v>
      </c>
      <c r="W52" s="10">
        <v>0.774524158</v>
      </c>
      <c r="X52" s="10">
        <v>0.529798217</v>
      </c>
      <c r="Y52" s="10">
        <v>0.807073955</v>
      </c>
      <c r="Z52" s="10">
        <v>0.633899862</v>
      </c>
      <c r="AA52" s="10">
        <v>0.604732691</v>
      </c>
      <c r="AB52" s="10">
        <v>0.692185008</v>
      </c>
      <c r="AC52" s="10">
        <v>0.739980916</v>
      </c>
      <c r="AD52" s="10">
        <v>0</v>
      </c>
      <c r="AE52" s="10">
        <v>0</v>
      </c>
      <c r="AF52" s="10">
        <v>0</v>
      </c>
      <c r="AG52" s="10">
        <v>0</v>
      </c>
    </row>
    <row r="53" s="10" customFormat="1" spans="1:33">
      <c r="A53" s="10" t="s">
        <v>96</v>
      </c>
      <c r="B53" s="10" t="str">
        <f t="shared" si="0"/>
        <v>A/T</v>
      </c>
      <c r="C53" s="10">
        <v>1.426687551</v>
      </c>
      <c r="D53" s="10">
        <v>1.599741165</v>
      </c>
      <c r="E53" s="10">
        <v>1.312323944</v>
      </c>
      <c r="F53" s="10">
        <v>1.757834495</v>
      </c>
      <c r="G53" s="10">
        <v>1.383827022</v>
      </c>
      <c r="H53" s="10">
        <v>1.671878005</v>
      </c>
      <c r="I53" s="10">
        <v>1.622823163</v>
      </c>
      <c r="J53" s="10">
        <v>1.635971462</v>
      </c>
      <c r="K53" s="10">
        <v>1.737754919</v>
      </c>
      <c r="L53" s="10">
        <v>1.371309528</v>
      </c>
      <c r="M53" s="10">
        <v>1.726008735</v>
      </c>
      <c r="N53" s="10">
        <v>1.496522404</v>
      </c>
      <c r="O53" s="10">
        <v>1.504484204</v>
      </c>
      <c r="P53" s="10">
        <v>1.317021692</v>
      </c>
      <c r="Q53" s="10">
        <v>1.644324835</v>
      </c>
      <c r="R53" s="10">
        <v>1.741786709</v>
      </c>
      <c r="S53" s="10">
        <v>0.757864481</v>
      </c>
      <c r="T53" s="10">
        <v>1.13705036</v>
      </c>
      <c r="U53" s="10">
        <v>1.168328865</v>
      </c>
      <c r="V53" s="10">
        <v>1.266998978</v>
      </c>
      <c r="W53" s="10">
        <v>0.459480401</v>
      </c>
      <c r="X53" s="10">
        <v>1.403894446</v>
      </c>
      <c r="Y53" s="10">
        <v>1.198636133</v>
      </c>
      <c r="Z53" s="10">
        <v>1.155455372</v>
      </c>
      <c r="AA53" s="10">
        <v>1.162273169</v>
      </c>
      <c r="AB53" s="10">
        <v>0.667517049</v>
      </c>
      <c r="AC53" s="10">
        <v>0.631095026</v>
      </c>
      <c r="AD53" s="10">
        <v>0.859931632</v>
      </c>
      <c r="AE53" s="10">
        <v>0.884879277</v>
      </c>
      <c r="AF53" s="10">
        <v>0.762574262</v>
      </c>
      <c r="AG53" s="10">
        <v>0.754824808</v>
      </c>
    </row>
    <row r="54" s="10" customFormat="1" spans="1:33">
      <c r="A54" s="10" t="s">
        <v>97</v>
      </c>
      <c r="B54" s="10" t="str">
        <f t="shared" si="0"/>
        <v>A/T</v>
      </c>
      <c r="C54" s="10">
        <v>1.02890479</v>
      </c>
      <c r="D54" s="10">
        <v>1.362849332</v>
      </c>
      <c r="E54" s="10">
        <v>1.863101036</v>
      </c>
      <c r="F54" s="10">
        <v>1.896480266</v>
      </c>
      <c r="G54" s="10">
        <v>0.71140616</v>
      </c>
      <c r="H54" s="10">
        <v>1.938610142</v>
      </c>
      <c r="I54" s="10">
        <v>2.011132245</v>
      </c>
      <c r="J54" s="10">
        <v>1.688362991</v>
      </c>
      <c r="K54" s="10">
        <v>1.672433622</v>
      </c>
      <c r="L54" s="10">
        <v>0.364563809</v>
      </c>
      <c r="M54" s="10">
        <v>1.813953488</v>
      </c>
      <c r="N54" s="10">
        <v>0.938979091</v>
      </c>
      <c r="O54" s="10">
        <v>0.953578847</v>
      </c>
      <c r="P54" s="10">
        <v>1.959908418</v>
      </c>
      <c r="Q54" s="10">
        <v>0.681081081</v>
      </c>
      <c r="R54" s="10">
        <v>1.498976668</v>
      </c>
      <c r="S54" s="10">
        <v>0.240218673</v>
      </c>
      <c r="T54" s="10">
        <v>1.940661116</v>
      </c>
      <c r="U54" s="10">
        <v>0.721526718</v>
      </c>
      <c r="V54" s="10">
        <v>0.450296076</v>
      </c>
      <c r="W54" s="10">
        <v>0.128951835</v>
      </c>
      <c r="X54" s="10">
        <v>0.408067882</v>
      </c>
      <c r="Y54" s="10">
        <v>1.304988461</v>
      </c>
      <c r="Z54" s="10">
        <v>0.312736514</v>
      </c>
      <c r="AA54" s="10">
        <v>0.314062132</v>
      </c>
      <c r="AB54" s="10">
        <v>1.097433116</v>
      </c>
      <c r="AC54" s="10">
        <v>1.055010176</v>
      </c>
      <c r="AD54" s="10">
        <v>0.845271829</v>
      </c>
      <c r="AE54" s="10">
        <v>0.865272954</v>
      </c>
      <c r="AF54" s="10">
        <v>0.733935302</v>
      </c>
      <c r="AG54" s="10">
        <v>0.740312759</v>
      </c>
    </row>
    <row r="55" s="10" customFormat="1" spans="1:33">
      <c r="A55" s="10" t="s">
        <v>98</v>
      </c>
      <c r="B55" s="10" t="str">
        <f t="shared" si="0"/>
        <v>G/C</v>
      </c>
      <c r="C55" s="10">
        <v>1.048048785</v>
      </c>
      <c r="D55" s="10">
        <v>0.385176185</v>
      </c>
      <c r="E55" s="10">
        <v>0.454617905</v>
      </c>
      <c r="F55" s="10">
        <v>0.118832556</v>
      </c>
      <c r="G55" s="10">
        <v>1.536744117</v>
      </c>
      <c r="H55" s="10">
        <v>0.226777569</v>
      </c>
      <c r="I55" s="10">
        <v>0.230413455</v>
      </c>
      <c r="J55" s="10">
        <v>0.106548762</v>
      </c>
      <c r="K55" s="10">
        <v>0.534476724</v>
      </c>
      <c r="L55" s="10">
        <v>1.765024081</v>
      </c>
      <c r="M55" s="10">
        <v>0.178443649</v>
      </c>
      <c r="N55" s="10">
        <v>1.241235381</v>
      </c>
      <c r="O55" s="10">
        <v>1.121921466</v>
      </c>
      <c r="P55" s="10">
        <v>0.206060016</v>
      </c>
      <c r="Q55" s="10">
        <v>1.13985258</v>
      </c>
      <c r="R55" s="10">
        <v>0.12675672</v>
      </c>
      <c r="S55" s="10">
        <v>1.527334119</v>
      </c>
      <c r="T55" s="10">
        <v>0.366285572</v>
      </c>
      <c r="U55" s="10">
        <v>1.246208651</v>
      </c>
      <c r="V55" s="10">
        <v>1.405288159</v>
      </c>
      <c r="W55" s="10">
        <v>2.853521169</v>
      </c>
      <c r="X55" s="10">
        <v>2.149463726</v>
      </c>
      <c r="Y55" s="10">
        <v>0.63571809</v>
      </c>
      <c r="Z55" s="10">
        <v>1.516117449</v>
      </c>
      <c r="AA55" s="10">
        <v>1.506713078</v>
      </c>
      <c r="AB55" s="10">
        <v>1.25</v>
      </c>
      <c r="AC55" s="10">
        <v>1.287202203</v>
      </c>
      <c r="AD55" s="10">
        <v>1.274475706</v>
      </c>
      <c r="AE55" s="10">
        <v>1.253393914</v>
      </c>
      <c r="AF55" s="10">
        <v>1.405873116</v>
      </c>
      <c r="AG55" s="10">
        <v>1.400983739</v>
      </c>
    </row>
    <row r="56" s="10" customFormat="1" spans="1:33">
      <c r="A56" s="10" t="s">
        <v>99</v>
      </c>
      <c r="B56" s="10" t="str">
        <f t="shared" si="0"/>
        <v>G/C</v>
      </c>
      <c r="C56" s="10">
        <v>0.540562992</v>
      </c>
      <c r="D56" s="10">
        <v>0.440309842</v>
      </c>
      <c r="E56" s="10">
        <v>0.854688745</v>
      </c>
      <c r="F56" s="10">
        <v>0.10554457</v>
      </c>
      <c r="G56" s="10">
        <v>0.523374191</v>
      </c>
      <c r="H56" s="10">
        <v>0.031768178</v>
      </c>
      <c r="I56" s="10">
        <v>0.486294924</v>
      </c>
      <c r="J56" s="10">
        <v>0.141014025</v>
      </c>
      <c r="K56" s="10">
        <v>0.285314266</v>
      </c>
      <c r="L56" s="10">
        <v>0.198154167</v>
      </c>
      <c r="M56" s="10">
        <v>0.172070662</v>
      </c>
      <c r="N56" s="10">
        <v>0.293593395</v>
      </c>
      <c r="O56" s="10">
        <v>0.36497313</v>
      </c>
      <c r="P56" s="10">
        <v>0.369154326</v>
      </c>
      <c r="Q56" s="10">
        <v>0.410859951</v>
      </c>
      <c r="R56" s="10">
        <v>0.071360349</v>
      </c>
      <c r="S56" s="10">
        <v>1.837978347</v>
      </c>
      <c r="T56" s="10">
        <v>0.272896732</v>
      </c>
      <c r="U56" s="10">
        <v>1.608244275</v>
      </c>
      <c r="V56" s="10">
        <v>1.15541288</v>
      </c>
      <c r="W56" s="10">
        <v>0.604028055</v>
      </c>
      <c r="X56" s="10">
        <v>0.503992844</v>
      </c>
      <c r="Y56" s="10">
        <v>0.865258299</v>
      </c>
      <c r="Z56" s="10">
        <v>1.279617711</v>
      </c>
      <c r="AA56" s="10">
        <v>1.26095946</v>
      </c>
      <c r="AB56" s="10">
        <v>0.28615329</v>
      </c>
      <c r="AC56" s="10">
        <v>0.290195139</v>
      </c>
      <c r="AD56" s="10">
        <v>0.398151548</v>
      </c>
      <c r="AE56" s="10">
        <v>0.388120959</v>
      </c>
      <c r="AF56" s="10">
        <v>0.465075377</v>
      </c>
      <c r="AG56" s="10">
        <v>0.466720896</v>
      </c>
    </row>
    <row r="57" s="10" customFormat="1" spans="1:33">
      <c r="A57" s="10" t="s">
        <v>100</v>
      </c>
      <c r="B57" s="10" t="str">
        <f t="shared" si="0"/>
        <v>A/T</v>
      </c>
      <c r="C57" s="10">
        <v>1.150565446</v>
      </c>
      <c r="D57" s="10">
        <v>1.338092345</v>
      </c>
      <c r="E57" s="10">
        <v>0.958292748</v>
      </c>
      <c r="F57" s="10">
        <v>1.507332121</v>
      </c>
      <c r="G57" s="10">
        <v>0.955736459</v>
      </c>
      <c r="H57" s="10">
        <v>1.538824792</v>
      </c>
      <c r="I57" s="10">
        <v>1.25766343</v>
      </c>
      <c r="J57" s="10">
        <v>1.780777733</v>
      </c>
      <c r="K57" s="10">
        <v>1.287064353</v>
      </c>
      <c r="L57" s="10">
        <v>1.369000451</v>
      </c>
      <c r="M57" s="10">
        <v>1.84078712</v>
      </c>
      <c r="N57" s="10">
        <v>1.337629779</v>
      </c>
      <c r="O57" s="10">
        <v>1.347631136</v>
      </c>
      <c r="P57" s="10">
        <v>1.345235776</v>
      </c>
      <c r="Q57" s="10">
        <v>1.715970516</v>
      </c>
      <c r="R57" s="10">
        <v>2.089780325</v>
      </c>
      <c r="S57" s="10">
        <v>0.505198842</v>
      </c>
      <c r="T57" s="10">
        <v>1.148254008</v>
      </c>
      <c r="U57" s="10">
        <v>0.690788804</v>
      </c>
      <c r="V57" s="10">
        <v>0.650066156</v>
      </c>
      <c r="W57" s="10">
        <v>0.199600499</v>
      </c>
      <c r="X57" s="10">
        <v>0.64435079</v>
      </c>
      <c r="Y57" s="10">
        <v>0.707260785</v>
      </c>
      <c r="Z57" s="10">
        <v>0.618512278</v>
      </c>
      <c r="AA57" s="10">
        <v>0.61132194</v>
      </c>
      <c r="AB57" s="10">
        <v>0.731200289</v>
      </c>
      <c r="AC57" s="10">
        <v>0.727642763</v>
      </c>
      <c r="AD57" s="10">
        <v>1.123246292</v>
      </c>
      <c r="AE57" s="10">
        <v>1.142166889</v>
      </c>
      <c r="AF57" s="10">
        <v>0.988285176</v>
      </c>
      <c r="AG57" s="10">
        <v>0.980880195</v>
      </c>
    </row>
    <row r="58" s="10" customFormat="1" spans="1:33">
      <c r="A58" s="10" t="s">
        <v>101</v>
      </c>
      <c r="B58" s="10" t="str">
        <f t="shared" si="0"/>
        <v>A/T</v>
      </c>
      <c r="C58" s="10">
        <v>0.442875481</v>
      </c>
      <c r="D58" s="10">
        <v>0.380352645</v>
      </c>
      <c r="E58" s="10">
        <v>0.660110633</v>
      </c>
      <c r="F58" s="10">
        <v>0.140099626</v>
      </c>
      <c r="G58" s="10">
        <v>0.542969936</v>
      </c>
      <c r="H58" s="10">
        <v>0.100813583</v>
      </c>
      <c r="I58" s="10">
        <v>0.244108984</v>
      </c>
      <c r="J58" s="10">
        <v>0.133547009</v>
      </c>
      <c r="K58" s="10">
        <v>0.444687363</v>
      </c>
      <c r="L58" s="10">
        <v>0.96731055</v>
      </c>
      <c r="M58" s="10">
        <v>0.245244216</v>
      </c>
      <c r="N58" s="10">
        <v>0.842915564</v>
      </c>
      <c r="O58" s="10">
        <v>0.841113106</v>
      </c>
      <c r="P58" s="10">
        <v>0.466510539</v>
      </c>
      <c r="Q58" s="10">
        <v>0.525243168</v>
      </c>
      <c r="R58" s="10">
        <v>0.178087649</v>
      </c>
      <c r="S58" s="10">
        <v>0.315705128</v>
      </c>
      <c r="T58" s="10">
        <v>0.240625</v>
      </c>
      <c r="U58" s="10">
        <v>1.501652589</v>
      </c>
      <c r="V58" s="10">
        <v>0.940382452</v>
      </c>
      <c r="W58" s="10">
        <v>1.062225476</v>
      </c>
      <c r="X58" s="10">
        <v>0.994838104</v>
      </c>
      <c r="Y58" s="10">
        <v>0.443729904</v>
      </c>
      <c r="Z58" s="10">
        <v>0.811667432</v>
      </c>
      <c r="AA58" s="10">
        <v>0.843996494</v>
      </c>
      <c r="AB58" s="10">
        <v>0.414673046</v>
      </c>
      <c r="AC58" s="10">
        <v>0.498091603</v>
      </c>
      <c r="AD58" s="10">
        <v>0</v>
      </c>
      <c r="AE58" s="10">
        <v>0</v>
      </c>
      <c r="AF58" s="10">
        <v>0</v>
      </c>
      <c r="AG58" s="10">
        <v>0</v>
      </c>
    </row>
    <row r="59" s="10" customFormat="1" spans="1:33">
      <c r="A59" s="10" t="s">
        <v>102</v>
      </c>
      <c r="B59" s="10" t="str">
        <f t="shared" si="0"/>
        <v>G/C</v>
      </c>
      <c r="C59" s="10">
        <v>0.837083836</v>
      </c>
      <c r="D59" s="10">
        <v>0.482480279</v>
      </c>
      <c r="E59" s="10">
        <v>1.189788884</v>
      </c>
      <c r="F59" s="10">
        <v>0.354415274</v>
      </c>
      <c r="G59" s="10">
        <v>1.370321211</v>
      </c>
      <c r="H59" s="10">
        <v>0.411938534</v>
      </c>
      <c r="I59" s="10">
        <v>0.395320605</v>
      </c>
      <c r="J59" s="10">
        <v>0.379692247</v>
      </c>
      <c r="K59" s="10">
        <v>0.446864528</v>
      </c>
      <c r="L59" s="10">
        <v>1.073290454</v>
      </c>
      <c r="M59" s="10">
        <v>0.328108224</v>
      </c>
      <c r="N59" s="10">
        <v>0.802477024</v>
      </c>
      <c r="O59" s="10">
        <v>0.788916563</v>
      </c>
      <c r="P59" s="10">
        <v>0.559615898</v>
      </c>
      <c r="Q59" s="10">
        <v>0.470588235</v>
      </c>
      <c r="R59" s="10">
        <v>0.214839424</v>
      </c>
      <c r="S59" s="10">
        <v>1.708199811</v>
      </c>
      <c r="T59" s="10">
        <v>0.759975445</v>
      </c>
      <c r="U59" s="10">
        <v>1.336927817</v>
      </c>
      <c r="V59" s="10">
        <v>1.400677854</v>
      </c>
      <c r="W59" s="10">
        <v>1.783700809</v>
      </c>
      <c r="X59" s="10">
        <v>1.097864565</v>
      </c>
      <c r="Y59" s="10">
        <v>1.044376221</v>
      </c>
      <c r="Z59" s="10">
        <v>1.358966472</v>
      </c>
      <c r="AA59" s="10">
        <v>1.350323466</v>
      </c>
      <c r="AB59" s="10">
        <v>1.520583637</v>
      </c>
      <c r="AC59" s="10">
        <v>1.556009186</v>
      </c>
      <c r="AD59" s="10">
        <v>1.074541629</v>
      </c>
      <c r="AE59" s="10">
        <v>1.050862852</v>
      </c>
      <c r="AF59" s="10">
        <v>1.183393897</v>
      </c>
      <c r="AG59" s="10">
        <v>1.180719811</v>
      </c>
    </row>
    <row r="60" s="10" customFormat="1" spans="1:33">
      <c r="A60" s="10" t="s">
        <v>103</v>
      </c>
      <c r="B60" s="10" t="str">
        <f t="shared" si="0"/>
        <v>A/T</v>
      </c>
      <c r="C60" s="10">
        <v>1.162916164</v>
      </c>
      <c r="D60" s="10">
        <v>1.517519721</v>
      </c>
      <c r="E60" s="10">
        <v>0.810211116</v>
      </c>
      <c r="F60" s="10">
        <v>1.645584726</v>
      </c>
      <c r="G60" s="10">
        <v>0.629678789</v>
      </c>
      <c r="H60" s="10">
        <v>1.588061466</v>
      </c>
      <c r="I60" s="10">
        <v>1.604679395</v>
      </c>
      <c r="J60" s="10">
        <v>1.620307753</v>
      </c>
      <c r="K60" s="10">
        <v>1.553135472</v>
      </c>
      <c r="L60" s="10">
        <v>0.926709546</v>
      </c>
      <c r="M60" s="10">
        <v>1.671891776</v>
      </c>
      <c r="N60" s="10">
        <v>1.197522976</v>
      </c>
      <c r="O60" s="10">
        <v>1.211083437</v>
      </c>
      <c r="P60" s="10">
        <v>1.440384102</v>
      </c>
      <c r="Q60" s="10">
        <v>1.529411765</v>
      </c>
      <c r="R60" s="10">
        <v>1.785160576</v>
      </c>
      <c r="S60" s="10">
        <v>0.291800189</v>
      </c>
      <c r="T60" s="10">
        <v>1.240024555</v>
      </c>
      <c r="U60" s="10">
        <v>0.663072183</v>
      </c>
      <c r="V60" s="10">
        <v>0.599322146</v>
      </c>
      <c r="W60" s="10">
        <v>0.216299191</v>
      </c>
      <c r="X60" s="10">
        <v>0.902135435</v>
      </c>
      <c r="Y60" s="10">
        <v>0.955623779</v>
      </c>
      <c r="Z60" s="10">
        <v>0.641033528</v>
      </c>
      <c r="AA60" s="10">
        <v>0.649676534</v>
      </c>
      <c r="AB60" s="10">
        <v>0.479416363</v>
      </c>
      <c r="AC60" s="10">
        <v>0.443990814</v>
      </c>
      <c r="AD60" s="10">
        <v>0.925458371</v>
      </c>
      <c r="AE60" s="10">
        <v>0.949137148</v>
      </c>
      <c r="AF60" s="10">
        <v>0.816606103</v>
      </c>
      <c r="AG60" s="10">
        <v>0.819280189</v>
      </c>
    </row>
    <row r="61" s="10" customFormat="1" spans="1:33">
      <c r="A61" s="10" t="s">
        <v>104</v>
      </c>
      <c r="B61" s="10" t="str">
        <f t="shared" si="0"/>
        <v>A/T</v>
      </c>
      <c r="C61" s="10">
        <v>0.736823324</v>
      </c>
      <c r="D61" s="10">
        <v>3.048616091</v>
      </c>
      <c r="E61" s="10">
        <v>0.513350756</v>
      </c>
      <c r="F61" s="10">
        <v>4.00723275</v>
      </c>
      <c r="G61" s="10">
        <v>0.691368275</v>
      </c>
      <c r="H61" s="10">
        <v>3.943232064</v>
      </c>
      <c r="I61" s="10">
        <v>3.620394163</v>
      </c>
      <c r="J61" s="10">
        <v>3.791901427</v>
      </c>
      <c r="K61" s="10">
        <v>1.998841304</v>
      </c>
      <c r="L61" s="10">
        <v>0.411392064</v>
      </c>
      <c r="M61" s="10">
        <v>3.334886451</v>
      </c>
      <c r="N61" s="10">
        <v>0.835186306</v>
      </c>
      <c r="O61" s="10">
        <v>0.649779358</v>
      </c>
      <c r="P61" s="10">
        <v>1.57018999</v>
      </c>
      <c r="Q61" s="10">
        <v>2.180952968</v>
      </c>
      <c r="R61" s="10">
        <v>3.327160154</v>
      </c>
      <c r="S61" s="10">
        <v>0.074193768</v>
      </c>
      <c r="T61" s="10">
        <v>2.035112766</v>
      </c>
      <c r="U61" s="10">
        <v>0.208324045</v>
      </c>
      <c r="V61" s="10">
        <v>0.552810452</v>
      </c>
      <c r="W61" s="10">
        <v>0.095151483</v>
      </c>
      <c r="X61" s="10">
        <v>0.502392838</v>
      </c>
      <c r="Y61" s="10">
        <v>0.779066156</v>
      </c>
      <c r="Z61" s="10">
        <v>0.472649357</v>
      </c>
      <c r="AA61" s="10">
        <v>0.481725422</v>
      </c>
      <c r="AB61" s="10">
        <v>0.669144573</v>
      </c>
      <c r="AC61" s="10">
        <v>0.640993381</v>
      </c>
      <c r="AD61" s="10">
        <v>0.473371606</v>
      </c>
      <c r="AE61" s="10">
        <v>0.499468713</v>
      </c>
      <c r="AF61" s="10">
        <v>0.344779365</v>
      </c>
      <c r="AG61" s="10">
        <v>0.349595847</v>
      </c>
    </row>
    <row r="62" s="10" customFormat="1" spans="1:33">
      <c r="A62" s="10" t="s">
        <v>105</v>
      </c>
      <c r="B62" s="10" t="str">
        <f t="shared" si="0"/>
        <v>G/C</v>
      </c>
      <c r="C62" s="10">
        <v>0.695063528</v>
      </c>
      <c r="D62" s="10">
        <v>0.467247278</v>
      </c>
      <c r="E62" s="10">
        <v>0.724950232</v>
      </c>
      <c r="F62" s="10">
        <v>0.300737711</v>
      </c>
      <c r="G62" s="10">
        <v>0.902422255</v>
      </c>
      <c r="H62" s="10">
        <v>0.388490245</v>
      </c>
      <c r="I62" s="10">
        <v>0.506689936</v>
      </c>
      <c r="J62" s="10">
        <v>0.356454942</v>
      </c>
      <c r="K62" s="10">
        <v>0.722002374</v>
      </c>
      <c r="L62" s="10">
        <v>0.864548996</v>
      </c>
      <c r="M62" s="10">
        <v>0.282160821</v>
      </c>
      <c r="N62" s="10">
        <v>0.639032361</v>
      </c>
      <c r="O62" s="10">
        <v>0.619359742</v>
      </c>
      <c r="P62" s="10">
        <v>0.558361221</v>
      </c>
      <c r="Q62" s="10">
        <v>0.448775021</v>
      </c>
      <c r="R62" s="10">
        <v>0.310241208</v>
      </c>
      <c r="S62" s="10">
        <v>0.991027496</v>
      </c>
      <c r="T62" s="10">
        <v>0.742248618</v>
      </c>
      <c r="U62" s="10">
        <v>1.093939546</v>
      </c>
      <c r="V62" s="10">
        <v>0.755835157</v>
      </c>
      <c r="W62" s="10">
        <v>1.423350896</v>
      </c>
      <c r="X62" s="10">
        <v>0.774121382</v>
      </c>
      <c r="Y62" s="10">
        <v>0.600083822</v>
      </c>
      <c r="Z62" s="10">
        <v>1.293733051</v>
      </c>
      <c r="AA62" s="10">
        <v>1.282396738</v>
      </c>
      <c r="AB62" s="10">
        <v>0.988849581</v>
      </c>
      <c r="AC62" s="10">
        <v>1.002131249</v>
      </c>
      <c r="AD62" s="10">
        <v>1.066713959</v>
      </c>
      <c r="AE62" s="10">
        <v>1.046902294</v>
      </c>
      <c r="AF62" s="10">
        <v>1.170898386</v>
      </c>
      <c r="AG62" s="10">
        <v>1.17440078</v>
      </c>
    </row>
    <row r="63" s="10" customFormat="1" spans="1:33">
      <c r="A63" s="10" t="s">
        <v>106</v>
      </c>
      <c r="B63" s="10" t="str">
        <f t="shared" si="0"/>
        <v>G/C</v>
      </c>
      <c r="C63" s="10">
        <v>0.619776612</v>
      </c>
      <c r="D63" s="10">
        <v>1.137272336</v>
      </c>
      <c r="E63" s="10">
        <v>1.309896603</v>
      </c>
      <c r="F63" s="10">
        <v>0.345302607</v>
      </c>
      <c r="G63" s="10">
        <v>0.757516001</v>
      </c>
      <c r="H63" s="10">
        <v>0.243759806</v>
      </c>
      <c r="I63" s="10">
        <v>0.59855864</v>
      </c>
      <c r="J63" s="10">
        <v>0.342793955</v>
      </c>
      <c r="K63" s="10">
        <v>0.845878245</v>
      </c>
      <c r="L63" s="10">
        <v>1.322002372</v>
      </c>
      <c r="M63" s="10">
        <v>0.768152798</v>
      </c>
      <c r="N63" s="10">
        <v>0.682268523</v>
      </c>
      <c r="O63" s="10">
        <v>0.635576882</v>
      </c>
      <c r="P63" s="10">
        <v>1.675920999</v>
      </c>
      <c r="Q63" s="10">
        <v>1.965195429</v>
      </c>
      <c r="R63" s="10">
        <v>0.473032471</v>
      </c>
      <c r="S63" s="10">
        <v>0.563239897</v>
      </c>
      <c r="T63" s="10">
        <v>1.736461328</v>
      </c>
      <c r="U63" s="10">
        <v>0.698938874</v>
      </c>
      <c r="V63" s="10">
        <v>0.955757255</v>
      </c>
      <c r="W63" s="10">
        <v>0.274631532</v>
      </c>
      <c r="X63" s="10">
        <v>0.612684249</v>
      </c>
      <c r="Y63" s="10">
        <v>1.327259551</v>
      </c>
      <c r="Z63" s="10">
        <v>1.045027729</v>
      </c>
      <c r="AA63" s="10">
        <v>1.040950127</v>
      </c>
      <c r="AB63" s="10">
        <v>1.643584298</v>
      </c>
      <c r="AC63" s="10">
        <v>1.652426016</v>
      </c>
      <c r="AD63" s="10">
        <v>0.815619032</v>
      </c>
      <c r="AE63" s="10">
        <v>0.839656923</v>
      </c>
      <c r="AF63" s="10">
        <v>0.715115048</v>
      </c>
      <c r="AG63" s="10">
        <v>0.714729286</v>
      </c>
    </row>
    <row r="64" s="10" customFormat="1" spans="1:33">
      <c r="A64" s="10" t="s">
        <v>107</v>
      </c>
      <c r="B64" s="10" t="str">
        <f t="shared" si="0"/>
        <v>A/T</v>
      </c>
      <c r="C64" s="10">
        <v>1.304936472</v>
      </c>
      <c r="D64" s="10">
        <v>1.532752722</v>
      </c>
      <c r="E64" s="10">
        <v>1.275049768</v>
      </c>
      <c r="F64" s="10">
        <v>1.699262289</v>
      </c>
      <c r="G64" s="10">
        <v>1.097577745</v>
      </c>
      <c r="H64" s="10">
        <v>1.611509755</v>
      </c>
      <c r="I64" s="10">
        <v>1.493310064</v>
      </c>
      <c r="J64" s="10">
        <v>1.643545058</v>
      </c>
      <c r="K64" s="10">
        <v>1.277997626</v>
      </c>
      <c r="L64" s="10">
        <v>1.135451004</v>
      </c>
      <c r="M64" s="10">
        <v>1.717839179</v>
      </c>
      <c r="N64" s="10">
        <v>1.360967639</v>
      </c>
      <c r="O64" s="10">
        <v>1.380640258</v>
      </c>
      <c r="P64" s="10">
        <v>1.441638779</v>
      </c>
      <c r="Q64" s="10">
        <v>1.551224979</v>
      </c>
      <c r="R64" s="10">
        <v>1.689758792</v>
      </c>
      <c r="S64" s="10">
        <v>1.008972504</v>
      </c>
      <c r="T64" s="10">
        <v>1.257751382</v>
      </c>
      <c r="U64" s="10">
        <v>0.906060454</v>
      </c>
      <c r="V64" s="10">
        <v>1.244164843</v>
      </c>
      <c r="W64" s="10">
        <v>0.576649104</v>
      </c>
      <c r="X64" s="10">
        <v>1.225878618</v>
      </c>
      <c r="Y64" s="10">
        <v>1.399916178</v>
      </c>
      <c r="Z64" s="10">
        <v>0.706266949</v>
      </c>
      <c r="AA64" s="10">
        <v>0.717603262</v>
      </c>
      <c r="AB64" s="10">
        <v>1.011150419</v>
      </c>
      <c r="AC64" s="10">
        <v>0.997868751</v>
      </c>
      <c r="AD64" s="10">
        <v>0.933286041</v>
      </c>
      <c r="AE64" s="10">
        <v>0.953097706</v>
      </c>
      <c r="AF64" s="10">
        <v>0.829101614</v>
      </c>
      <c r="AG64" s="10">
        <v>0.82559922</v>
      </c>
    </row>
    <row r="65" spans="1:33">
      <c r="A65" t="s">
        <v>323</v>
      </c>
      <c r="B65" s="6"/>
      <c r="C65">
        <f t="shared" ref="C65:AG65" si="1">AVERAGEIF($B:$B,"A/T",C:C)</f>
        <v>1.15003482709375</v>
      </c>
      <c r="D65">
        <f t="shared" si="1"/>
        <v>1.41380685828125</v>
      </c>
      <c r="E65">
        <f t="shared" si="1"/>
        <v>1.25091152209375</v>
      </c>
      <c r="F65">
        <f t="shared" si="1"/>
        <v>1.7197576551875</v>
      </c>
      <c r="G65">
        <f t="shared" si="1"/>
        <v>0.92000511503125</v>
      </c>
      <c r="H65">
        <f t="shared" si="1"/>
        <v>1.69892955725</v>
      </c>
      <c r="I65">
        <f t="shared" si="1"/>
        <v>1.50965583834375</v>
      </c>
      <c r="J65">
        <f t="shared" si="1"/>
        <v>1.7084742300625</v>
      </c>
      <c r="K65">
        <f t="shared" si="1"/>
        <v>1.42798972634375</v>
      </c>
      <c r="L65">
        <f t="shared" si="1"/>
        <v>1.04246837490625</v>
      </c>
      <c r="M65">
        <f t="shared" si="1"/>
        <v>1.6900433574375</v>
      </c>
      <c r="N65">
        <f t="shared" si="1"/>
        <v>1.2039934946875</v>
      </c>
      <c r="O65">
        <f t="shared" si="1"/>
        <v>1.2308952525</v>
      </c>
      <c r="P65">
        <f t="shared" si="1"/>
        <v>1.418084605375</v>
      </c>
      <c r="Q65">
        <f t="shared" si="1"/>
        <v>1.38022571390625</v>
      </c>
      <c r="R65">
        <f t="shared" si="1"/>
        <v>1.7174321326875</v>
      </c>
      <c r="S65">
        <f t="shared" si="1"/>
        <v>0.4788658939375</v>
      </c>
      <c r="T65">
        <f t="shared" si="1"/>
        <v>1.35846000528125</v>
      </c>
      <c r="U65">
        <f t="shared" si="1"/>
        <v>0.76655068709375</v>
      </c>
      <c r="V65">
        <f t="shared" si="1"/>
        <v>0.79976534025</v>
      </c>
      <c r="W65">
        <f t="shared" si="1"/>
        <v>0.2937280335625</v>
      </c>
      <c r="X65">
        <f t="shared" si="1"/>
        <v>0.874715863</v>
      </c>
      <c r="Y65">
        <f t="shared" si="1"/>
        <v>0.97840061371875</v>
      </c>
      <c r="Z65">
        <f t="shared" si="1"/>
        <v>0.65751557509375</v>
      </c>
      <c r="AA65">
        <f t="shared" si="1"/>
        <v>0.664050324875</v>
      </c>
      <c r="AB65">
        <f t="shared" si="1"/>
        <v>0.75518653553125</v>
      </c>
      <c r="AC65">
        <f t="shared" si="1"/>
        <v>0.73486264115625</v>
      </c>
      <c r="AD65">
        <f t="shared" si="1"/>
        <v>0.7836195741875</v>
      </c>
      <c r="AE65">
        <f t="shared" si="1"/>
        <v>0.8030275834375</v>
      </c>
      <c r="AF65">
        <f t="shared" si="1"/>
        <v>0.6829230671875</v>
      </c>
      <c r="AG65">
        <f t="shared" si="1"/>
        <v>0.680456174375</v>
      </c>
    </row>
    <row r="66" spans="1:33">
      <c r="A66" t="s">
        <v>324</v>
      </c>
      <c r="B66" s="6"/>
      <c r="C66">
        <f t="shared" ref="C66:AG66" si="2">AVERAGEIF($B:$B,"G/C",C:C)</f>
        <v>0.839962851233333</v>
      </c>
      <c r="D66">
        <f t="shared" si="2"/>
        <v>0.558606017833333</v>
      </c>
      <c r="E66">
        <f t="shared" si="2"/>
        <v>0.7323610431</v>
      </c>
      <c r="F66">
        <f t="shared" si="2"/>
        <v>0.232258501133333</v>
      </c>
      <c r="G66">
        <f t="shared" si="2"/>
        <v>1.08532787733333</v>
      </c>
      <c r="H66">
        <f t="shared" si="2"/>
        <v>0.254475138966667</v>
      </c>
      <c r="I66">
        <f t="shared" si="2"/>
        <v>0.456367105766667</v>
      </c>
      <c r="J66">
        <f t="shared" si="2"/>
        <v>0.2442941546</v>
      </c>
      <c r="K66">
        <f t="shared" si="2"/>
        <v>0.5434776252</v>
      </c>
      <c r="L66">
        <f t="shared" si="2"/>
        <v>0.9547004002</v>
      </c>
      <c r="M66">
        <f t="shared" si="2"/>
        <v>0.2639537521</v>
      </c>
      <c r="N66">
        <f t="shared" si="2"/>
        <v>0.7824069391</v>
      </c>
      <c r="O66">
        <f t="shared" si="2"/>
        <v>0.7537117306</v>
      </c>
      <c r="P66">
        <f t="shared" si="2"/>
        <v>0.554043087666667</v>
      </c>
      <c r="Q66">
        <f t="shared" si="2"/>
        <v>0.594425905066667</v>
      </c>
      <c r="R66">
        <f t="shared" si="2"/>
        <v>0.234739058533333</v>
      </c>
      <c r="S66">
        <f t="shared" si="2"/>
        <v>1.55587637966667</v>
      </c>
      <c r="T66">
        <f t="shared" si="2"/>
        <v>0.617642661</v>
      </c>
      <c r="U66">
        <f t="shared" si="2"/>
        <v>1.2490126004</v>
      </c>
      <c r="V66">
        <f t="shared" si="2"/>
        <v>1.21358363703333</v>
      </c>
      <c r="W66">
        <f t="shared" si="2"/>
        <v>1.75335676416667</v>
      </c>
      <c r="X66">
        <f t="shared" si="2"/>
        <v>1.13363641276667</v>
      </c>
      <c r="Y66">
        <f t="shared" si="2"/>
        <v>1.02303934546667</v>
      </c>
      <c r="Z66">
        <f t="shared" si="2"/>
        <v>1.3653167199</v>
      </c>
      <c r="AA66">
        <f t="shared" si="2"/>
        <v>1.35834632016667</v>
      </c>
      <c r="AB66">
        <f t="shared" si="2"/>
        <v>1.26113436193333</v>
      </c>
      <c r="AC66">
        <f t="shared" si="2"/>
        <v>1.28281318276667</v>
      </c>
      <c r="AD66">
        <f t="shared" si="2"/>
        <v>1.1308057875</v>
      </c>
      <c r="AE66">
        <f t="shared" si="2"/>
        <v>1.1101039111</v>
      </c>
      <c r="AF66">
        <f t="shared" si="2"/>
        <v>1.23821539506667</v>
      </c>
      <c r="AG66">
        <f t="shared" si="2"/>
        <v>1.24084674726667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83"/>
  <sheetViews>
    <sheetView workbookViewId="0">
      <selection activeCell="D3" sqref="D3"/>
    </sheetView>
  </sheetViews>
  <sheetFormatPr defaultColWidth="9.02654867256637" defaultRowHeight="13.5"/>
  <sheetData>
    <row r="1" spans="1:1">
      <c r="A1" t="s">
        <v>152</v>
      </c>
    </row>
    <row r="3" spans="1:5">
      <c r="A3" s="7" t="s">
        <v>169</v>
      </c>
      <c r="B3" t="str">
        <f>VLOOKUP(A3,[1]ALL!$G:$I,2,FALSE)</f>
        <v>g__Coprococcus</v>
      </c>
      <c r="C3" t="str">
        <f>VLOOKUP(A3,[1]ALL!$G:$I,3,FALSE)</f>
        <v>s__unclassified_g__Coprococcus</v>
      </c>
      <c r="D3" s="21" t="str">
        <f>A3&amp;":"&amp;C3</f>
        <v>ASV8:s__unclassified_g__Coprococcus</v>
      </c>
      <c r="E3" t="s">
        <v>124</v>
      </c>
    </row>
    <row r="4" spans="1:5">
      <c r="A4" s="8" t="s">
        <v>172</v>
      </c>
      <c r="B4" t="str">
        <f>VLOOKUP(A4,[1]ALL!$G:$I,2,FALSE)</f>
        <v>g__Enterococcus</v>
      </c>
      <c r="C4" t="str">
        <f>VLOOKUP(A4,[1]ALL!$G:$I,3,FALSE)</f>
        <v>s__unclassified_g__Enterococcus</v>
      </c>
      <c r="D4" s="21" t="str">
        <f t="shared" ref="D4:D44" si="0">A4&amp;":"&amp;C4</f>
        <v>ASV1555:s__unclassified_g__Enterococcus</v>
      </c>
      <c r="E4" t="s">
        <v>127</v>
      </c>
    </row>
    <row r="5" spans="1:5">
      <c r="A5" s="7" t="s">
        <v>171</v>
      </c>
      <c r="B5" t="str">
        <f>VLOOKUP(A5,[1]ALL!$G:$I,2,FALSE)</f>
        <v>g__norank_f__Eubacterium_coprostanoligenes_group</v>
      </c>
      <c r="C5" t="str">
        <f>VLOOKUP(A5,[1]ALL!$G:$I,3,FALSE)</f>
        <v>s__Eubacterium_coprostanoligenes</v>
      </c>
      <c r="D5" s="21" t="str">
        <f t="shared" si="0"/>
        <v>ASV1831:s__Eubacterium_coprostanoligenes</v>
      </c>
      <c r="E5" t="s">
        <v>126</v>
      </c>
    </row>
    <row r="6" spans="1:5">
      <c r="A6" s="7" t="s">
        <v>164</v>
      </c>
      <c r="B6" t="str">
        <f>VLOOKUP(A6,[1]ALL!$G:$I,2,FALSE)</f>
        <v>g__Clostridium_sensu_stricto_1</v>
      </c>
      <c r="C6" t="str">
        <f>VLOOKUP(A6,[1]ALL!$G:$I,3,FALSE)</f>
        <v>s__unclassified_g__Clostridium_sensu_stricto_1</v>
      </c>
      <c r="D6" s="21" t="str">
        <f t="shared" si="0"/>
        <v>ASV54:s__unclassified_g__Clostridium_sensu_stricto_1</v>
      </c>
      <c r="E6" t="s">
        <v>119</v>
      </c>
    </row>
    <row r="7" spans="1:5">
      <c r="A7" s="7" t="s">
        <v>163</v>
      </c>
      <c r="B7" t="str">
        <f>VLOOKUP(A7,[1]ALL!$G:$I,2,FALSE)</f>
        <v>g__Lachnoclostridium</v>
      </c>
      <c r="C7" t="str">
        <f>VLOOKUP(A7,[1]ALL!$G:$I,3,FALSE)</f>
        <v>s__Clostridium_scindens</v>
      </c>
      <c r="D7" s="21" t="str">
        <f t="shared" si="0"/>
        <v>ASV21:s__Clostridium_scindens</v>
      </c>
      <c r="E7" t="s">
        <v>118</v>
      </c>
    </row>
    <row r="8" spans="1:5">
      <c r="A8" s="8" t="s">
        <v>162</v>
      </c>
      <c r="B8" t="str">
        <f>VLOOKUP(A8,[1]ALL!$G:$I,2,FALSE)</f>
        <v>g__Clostridium_sensu_stricto_1</v>
      </c>
      <c r="C8" t="str">
        <f>VLOOKUP(A8,[1]ALL!$G:$I,3,FALSE)</f>
        <v>s__unclassified_g__Clostridium_sensu_stricto_1</v>
      </c>
      <c r="D8" s="21" t="str">
        <f t="shared" si="0"/>
        <v>ASV30:s__unclassified_g__Clostridium_sensu_stricto_1</v>
      </c>
      <c r="E8" t="s">
        <v>117</v>
      </c>
    </row>
    <row r="9" spans="1:5">
      <c r="A9" s="7" t="s">
        <v>159</v>
      </c>
      <c r="B9" t="str">
        <f>VLOOKUP(A9,[1]ALL!$G:$I,2,FALSE)</f>
        <v>g__Turicibacter</v>
      </c>
      <c r="C9" t="str">
        <f>VLOOKUP(A9,[1]ALL!$G:$I,3,FALSE)</f>
        <v>s__unclassified_g__Turicibacter</v>
      </c>
      <c r="D9" s="21" t="str">
        <f t="shared" si="0"/>
        <v>ASV73:s__unclassified_g__Turicibacter</v>
      </c>
      <c r="E9" t="s">
        <v>114</v>
      </c>
    </row>
    <row r="10" spans="1:5">
      <c r="A10" s="8" t="s">
        <v>158</v>
      </c>
      <c r="B10" t="str">
        <f>VLOOKUP(A10,[1]ALL!$G:$I,2,FALSE)</f>
        <v>g__Romboutsia</v>
      </c>
      <c r="C10" t="str">
        <f>VLOOKUP(A10,[1]ALL!$G:$I,3,FALSE)</f>
        <v>s__unclassified_g__Romboutsia</v>
      </c>
      <c r="D10" s="21" t="str">
        <f t="shared" si="0"/>
        <v>ASV9:s__unclassified_g__Romboutsia</v>
      </c>
      <c r="E10" t="s">
        <v>113</v>
      </c>
    </row>
    <row r="11" spans="1:5">
      <c r="A11" s="7" t="s">
        <v>157</v>
      </c>
      <c r="B11" t="str">
        <f>VLOOKUP(A11,[1]ALL!$G:$I,2,FALSE)</f>
        <v>g__Sharpea</v>
      </c>
      <c r="C11" t="str">
        <f>VLOOKUP(A11,[1]ALL!$G:$I,3,FALSE)</f>
        <v>s__uncultured_bacterium_g__Sharpea</v>
      </c>
      <c r="D11" s="21" t="str">
        <f t="shared" si="0"/>
        <v>ASV17:s__uncultured_bacterium_g__Sharpea</v>
      </c>
      <c r="E11" t="s">
        <v>112</v>
      </c>
    </row>
    <row r="12" spans="1:5">
      <c r="A12" s="7" t="s">
        <v>186</v>
      </c>
      <c r="B12" t="str">
        <f>VLOOKUP(A12,[1]ALL!$G:$I,2,FALSE)</f>
        <v>g__UCG-002</v>
      </c>
      <c r="C12" t="str">
        <f>VLOOKUP(A12,[1]ALL!$G:$I,3,FALSE)</f>
        <v>s__unclassified_g__UCG-002</v>
      </c>
      <c r="D12" s="21" t="str">
        <f t="shared" si="0"/>
        <v>ASV5:s__unclassified_g__UCG-002</v>
      </c>
      <c r="E12" t="s">
        <v>141</v>
      </c>
    </row>
    <row r="13" spans="1:5">
      <c r="A13" s="8" t="s">
        <v>170</v>
      </c>
      <c r="B13" t="str">
        <f>VLOOKUP(A13,[1]ALL!$G:$I,2,FALSE)</f>
        <v>g__Christensenellaceae_R-7_group</v>
      </c>
      <c r="C13" t="str">
        <f>VLOOKUP(A13,[1]ALL!$G:$I,3,FALSE)</f>
        <v>s__uncultured_spirochete_g__Christensenellaceae_R-7_group</v>
      </c>
      <c r="D13" s="21" t="str">
        <f t="shared" si="0"/>
        <v>ASV4:s__uncultured_spirochete_g__Christensenellaceae_R-7_group</v>
      </c>
      <c r="E13" t="s">
        <v>125</v>
      </c>
    </row>
    <row r="14" spans="1:5">
      <c r="A14" s="7" t="s">
        <v>167</v>
      </c>
      <c r="B14" t="str">
        <f>VLOOKUP(A14,[1]ALL!$G:$I,2,FALSE)</f>
        <v>g__Christensenellaceae_R-7_group</v>
      </c>
      <c r="C14" t="str">
        <f>VLOOKUP(A14,[1]ALL!$G:$I,3,FALSE)</f>
        <v>s__uncultured_prokaryote_g__Christensenellaceae_R-7_group</v>
      </c>
      <c r="D14" s="21" t="str">
        <f t="shared" si="0"/>
        <v>ASV28:s__uncultured_prokaryote_g__Christensenellaceae_R-7_group</v>
      </c>
      <c r="E14" t="s">
        <v>122</v>
      </c>
    </row>
    <row r="15" spans="1:5">
      <c r="A15" s="7" t="s">
        <v>168</v>
      </c>
      <c r="B15" t="str">
        <f>VLOOKUP(A15,[1]ALL!$G:$I,2,FALSE)</f>
        <v>g__UCG-002</v>
      </c>
      <c r="C15" t="str">
        <f>VLOOKUP(A15,[1]ALL!$G:$I,3,FALSE)</f>
        <v>s__uncultured_organism_g__UCG-002</v>
      </c>
      <c r="D15" s="21" t="str">
        <f t="shared" si="0"/>
        <v>ASV3787:s__uncultured_organism_g__UCG-002</v>
      </c>
      <c r="E15" t="s">
        <v>123</v>
      </c>
    </row>
    <row r="16" spans="1:5">
      <c r="A16" s="7" t="s">
        <v>166</v>
      </c>
      <c r="B16" t="str">
        <f>VLOOKUP(A16,[1]ALL!$G:$I,2,FALSE)</f>
        <v>g__unclassified_f__Lachnospiraceae</v>
      </c>
      <c r="C16" t="str">
        <f>VLOOKUP(A16,[1]ALL!$G:$I,3,FALSE)</f>
        <v>s__unclassified_f__Lachnospiraceae</v>
      </c>
      <c r="D16" s="21" t="str">
        <f t="shared" si="0"/>
        <v>ASV1834:s__unclassified_f__Lachnospiraceae</v>
      </c>
      <c r="E16" t="s">
        <v>121</v>
      </c>
    </row>
    <row r="17" spans="1:5">
      <c r="A17" s="11" t="s">
        <v>174</v>
      </c>
      <c r="B17" t="str">
        <f>VLOOKUP(A17,[1]ALL!$G:$I,2,FALSE)</f>
        <v>g__Lactobacillus</v>
      </c>
      <c r="C17" t="str">
        <f>VLOOKUP(A17,[1]ALL!$G:$I,3,FALSE)</f>
        <v>s__unclassified_g__Lactobacillus</v>
      </c>
      <c r="D17" s="21" t="str">
        <f t="shared" si="0"/>
        <v>ASV22:s__unclassified_g__Lactobacillus</v>
      </c>
      <c r="E17" t="s">
        <v>129</v>
      </c>
    </row>
    <row r="18" spans="1:5">
      <c r="A18" s="11" t="s">
        <v>180</v>
      </c>
      <c r="B18" t="str">
        <f>VLOOKUP(A18,[1]ALL!$G:$I,2,FALSE)</f>
        <v>g__Megasphaera</v>
      </c>
      <c r="C18" t="str">
        <f>VLOOKUP(A18,[1]ALL!$G:$I,3,FALSE)</f>
        <v>s__unclassified_g__Megasphaera</v>
      </c>
      <c r="D18" s="21" t="str">
        <f t="shared" si="0"/>
        <v>ASV3402:s__unclassified_g__Megasphaera</v>
      </c>
      <c r="E18" t="s">
        <v>135</v>
      </c>
    </row>
    <row r="19" spans="1:5">
      <c r="A19" s="11" t="s">
        <v>179</v>
      </c>
      <c r="B19" t="str">
        <f>VLOOKUP(A19,[1]ALL!$G:$I,2,FALSE)</f>
        <v>g__Megasphaera</v>
      </c>
      <c r="C19" t="str">
        <f>VLOOKUP(A19,[1]ALL!$G:$I,3,FALSE)</f>
        <v>s__unclassified_g__Megasphaera</v>
      </c>
      <c r="D19" s="21" t="str">
        <f t="shared" si="0"/>
        <v>ASV1540:s__unclassified_g__Megasphaera</v>
      </c>
      <c r="E19" t="s">
        <v>134</v>
      </c>
    </row>
    <row r="20" spans="1:5">
      <c r="A20" s="12" t="s">
        <v>177</v>
      </c>
      <c r="B20" t="str">
        <f>VLOOKUP(A20,[1]ALL!$G:$I,2,FALSE)</f>
        <v>g__Lactobacillus</v>
      </c>
      <c r="C20" t="str">
        <f>VLOOKUP(A20,[1]ALL!$G:$I,3,FALSE)</f>
        <v>s__unclassified_g__Lactobacillus</v>
      </c>
      <c r="D20" s="21" t="str">
        <f t="shared" si="0"/>
        <v>ASV77:s__unclassified_g__Lactobacillus</v>
      </c>
      <c r="E20" t="s">
        <v>132</v>
      </c>
    </row>
    <row r="21" spans="1:5">
      <c r="A21" s="11" t="s">
        <v>173</v>
      </c>
      <c r="B21" t="str">
        <f>VLOOKUP(A21,[1]ALL!$G:$I,2,FALSE)</f>
        <v>g__Lactobacillus</v>
      </c>
      <c r="C21" t="str">
        <f>VLOOKUP(A21,[1]ALL!$G:$I,3,FALSE)</f>
        <v>s__unclassified_g__Lactobacillus</v>
      </c>
      <c r="D21" s="21" t="str">
        <f t="shared" si="0"/>
        <v>ASV1853:s__unclassified_g__Lactobacillus</v>
      </c>
      <c r="E21" t="s">
        <v>128</v>
      </c>
    </row>
    <row r="22" spans="1:5">
      <c r="A22" s="11" t="s">
        <v>193</v>
      </c>
      <c r="B22" t="str">
        <f>VLOOKUP(A22,[1]ALL!$G:$I,2,FALSE)</f>
        <v>g__Fusobacterium</v>
      </c>
      <c r="C22" t="str">
        <f>VLOOKUP(A22,[1]ALL!$G:$I,3,FALSE)</f>
        <v>s__Fusobacterium_gastrosuis</v>
      </c>
      <c r="D22" s="21" t="str">
        <f t="shared" si="0"/>
        <v>ASV1089:s__Fusobacterium_gastrosuis</v>
      </c>
      <c r="E22" t="s">
        <v>148</v>
      </c>
    </row>
    <row r="23" spans="1:5">
      <c r="A23" s="11" t="s">
        <v>189</v>
      </c>
      <c r="B23" t="str">
        <f>VLOOKUP(A23,[1]ALL!$G:$I,2,FALSE)</f>
        <v>g__Blautia</v>
      </c>
      <c r="C23" t="str">
        <f>VLOOKUP(A23,[1]ALL!$G:$I,3,FALSE)</f>
        <v>s__unclassified_g__Blautia</v>
      </c>
      <c r="D23" s="21" t="str">
        <f t="shared" si="0"/>
        <v>ASV38:s__unclassified_g__Blautia</v>
      </c>
      <c r="E23" t="s">
        <v>144</v>
      </c>
    </row>
    <row r="24" spans="1:5">
      <c r="A24" s="11" t="s">
        <v>188</v>
      </c>
      <c r="B24" t="str">
        <f>VLOOKUP(A24,[1]ALL!$G:$I,2,FALSE)</f>
        <v>g__Blautia</v>
      </c>
      <c r="C24" t="str">
        <f>VLOOKUP(A24,[1]ALL!$G:$I,3,FALSE)</f>
        <v>s__unclassified_g__Blautia</v>
      </c>
      <c r="D24" s="21" t="str">
        <f t="shared" si="0"/>
        <v>ASV48:s__unclassified_g__Blautia</v>
      </c>
      <c r="E24" t="s">
        <v>143</v>
      </c>
    </row>
    <row r="25" spans="1:5">
      <c r="A25" s="12" t="s">
        <v>185</v>
      </c>
      <c r="B25" t="str">
        <f>VLOOKUP(A25,[1]ALL!$G:$I,2,FALSE)</f>
        <v>g__Streptococcus</v>
      </c>
      <c r="C25" t="str">
        <f>VLOOKUP(A25,[1]ALL!$G:$I,3,FALSE)</f>
        <v>s__unclassified_g__Streptococcus</v>
      </c>
      <c r="D25" s="21" t="str">
        <f t="shared" si="0"/>
        <v>ASV1515:s__unclassified_g__Streptococcus</v>
      </c>
      <c r="E25" t="s">
        <v>140</v>
      </c>
    </row>
    <row r="26" spans="1:5">
      <c r="A26" s="12" t="s">
        <v>182</v>
      </c>
      <c r="B26" t="str">
        <f>VLOOKUP(A26,[1]ALL!$G:$I,2,FALSE)</f>
        <v>g__Fusobacterium</v>
      </c>
      <c r="C26" t="str">
        <f>VLOOKUP(A26,[1]ALL!$G:$I,3,FALSE)</f>
        <v>s__unclassified_g__Fusobacterium</v>
      </c>
      <c r="D26" s="21" t="str">
        <f t="shared" si="0"/>
        <v>ASV2996:s__unclassified_g__Fusobacterium</v>
      </c>
      <c r="E26" t="s">
        <v>137</v>
      </c>
    </row>
    <row r="27" spans="1:5">
      <c r="A27" s="12" t="s">
        <v>181</v>
      </c>
      <c r="B27" t="str">
        <f>VLOOKUP(A27,[1]ALL!$G:$I,2,FALSE)</f>
        <v>g__Fusobacterium</v>
      </c>
      <c r="C27" t="str">
        <f>VLOOKUP(A27,[1]ALL!$G:$I,3,FALSE)</f>
        <v>s__unclassified_g__Fusobacterium</v>
      </c>
      <c r="D27" s="21" t="str">
        <f t="shared" si="0"/>
        <v>ASV2874:s__unclassified_g__Fusobacterium</v>
      </c>
      <c r="E27" t="s">
        <v>136</v>
      </c>
    </row>
    <row r="28" spans="1:5">
      <c r="A28" s="11" t="s">
        <v>178</v>
      </c>
      <c r="B28" t="str">
        <f>VLOOKUP(A28,[1]ALL!$G:$I,2,FALSE)</f>
        <v>g__Collinsella</v>
      </c>
      <c r="C28" t="str">
        <f>VLOOKUP(A28,[1]ALL!$G:$I,3,FALSE)</f>
        <v>s__unclassified_g__Collinsella</v>
      </c>
      <c r="D28" s="21" t="str">
        <f t="shared" si="0"/>
        <v>ASV167:s__unclassified_g__Collinsella</v>
      </c>
      <c r="E28" t="s">
        <v>133</v>
      </c>
    </row>
    <row r="29" spans="1:5">
      <c r="A29" s="12" t="s">
        <v>176</v>
      </c>
      <c r="B29" t="str">
        <f>VLOOKUP(A29,[1]ALL!$G:$I,2,FALSE)</f>
        <v>g__Lactobacillus</v>
      </c>
      <c r="C29" t="str">
        <f>VLOOKUP(A29,[1]ALL!$G:$I,3,FALSE)</f>
        <v>s__unclassified_g__Lactobacillus</v>
      </c>
      <c r="D29" s="21" t="str">
        <f t="shared" si="0"/>
        <v>ASV2:s__unclassified_g__Lactobacillus</v>
      </c>
      <c r="E29" t="s">
        <v>131</v>
      </c>
    </row>
    <row r="30" spans="1:4">
      <c r="A30" s="12"/>
      <c r="D30" s="21"/>
    </row>
    <row r="31" spans="1:5">
      <c r="A31" t="s">
        <v>180</v>
      </c>
      <c r="B31" t="str">
        <f>VLOOKUP(A31,[1]ALL!$G:$I,2,FALSE)</f>
        <v>g__Megasphaera</v>
      </c>
      <c r="C31" t="str">
        <f>VLOOKUP(A31,[1]ALL!$G:$I,3,FALSE)</f>
        <v>s__unclassified_g__Megasphaera</v>
      </c>
      <c r="D31" s="21" t="str">
        <f t="shared" ref="D31:D45" si="1">A31&amp;":"&amp;C31</f>
        <v>ASV3402:s__unclassified_g__Megasphaera</v>
      </c>
      <c r="E31" t="s">
        <v>135</v>
      </c>
    </row>
    <row r="32" spans="1:5">
      <c r="A32" t="s">
        <v>181</v>
      </c>
      <c r="B32" t="str">
        <f>VLOOKUP(A32,[1]ALL!$G:$I,2,FALSE)</f>
        <v>g__Fusobacterium</v>
      </c>
      <c r="C32" t="str">
        <f>VLOOKUP(A32,[1]ALL!$G:$I,3,FALSE)</f>
        <v>s__unclassified_g__Fusobacterium</v>
      </c>
      <c r="D32" s="21" t="str">
        <f t="shared" si="1"/>
        <v>ASV2874:s__unclassified_g__Fusobacterium</v>
      </c>
      <c r="E32" t="s">
        <v>136</v>
      </c>
    </row>
    <row r="33" spans="1:5">
      <c r="A33" t="s">
        <v>182</v>
      </c>
      <c r="B33" t="str">
        <f>VLOOKUP(A33,[1]ALL!$G:$I,2,FALSE)</f>
        <v>g__Fusobacterium</v>
      </c>
      <c r="C33" t="str">
        <f>VLOOKUP(A33,[1]ALL!$G:$I,3,FALSE)</f>
        <v>s__unclassified_g__Fusobacterium</v>
      </c>
      <c r="D33" s="21" t="str">
        <f t="shared" si="1"/>
        <v>ASV2996:s__unclassified_g__Fusobacterium</v>
      </c>
      <c r="E33" t="s">
        <v>137</v>
      </c>
    </row>
    <row r="34" spans="1:5">
      <c r="A34" t="s">
        <v>183</v>
      </c>
      <c r="B34" t="str">
        <f>VLOOKUP(A34,[1]ALL!$G:$I,2,FALSE)</f>
        <v>g__Peptostreptococcus</v>
      </c>
      <c r="C34" t="str">
        <f>VLOOKUP(A34,[1]ALL!$G:$I,3,FALSE)</f>
        <v>s__unclassified_g__Peptostreptococcus</v>
      </c>
      <c r="D34" s="21" t="str">
        <f t="shared" si="1"/>
        <v>ASV318:s__unclassified_g__Peptostreptococcus</v>
      </c>
      <c r="E34" t="s">
        <v>138</v>
      </c>
    </row>
    <row r="35" spans="1:5">
      <c r="A35" t="s">
        <v>184</v>
      </c>
      <c r="B35" t="str">
        <f>VLOOKUP(A35,[1]ALL!$G:$I,2,FALSE)</f>
        <v>g__Campylobacter</v>
      </c>
      <c r="C35" t="str">
        <f>VLOOKUP(A35,[1]ALL!$G:$I,3,FALSE)</f>
        <v>s__unclassified_g__Campylobacter</v>
      </c>
      <c r="D35" s="21" t="str">
        <f t="shared" si="1"/>
        <v>ASV2586:s__unclassified_g__Campylobacter</v>
      </c>
      <c r="E35" t="s">
        <v>139</v>
      </c>
    </row>
    <row r="36" spans="1:5">
      <c r="A36" t="s">
        <v>185</v>
      </c>
      <c r="B36" t="str">
        <f>VLOOKUP(A36,[1]ALL!$G:$I,2,FALSE)</f>
        <v>g__Streptococcus</v>
      </c>
      <c r="C36" t="str">
        <f>VLOOKUP(A36,[1]ALL!$G:$I,3,FALSE)</f>
        <v>s__unclassified_g__Streptococcus</v>
      </c>
      <c r="D36" s="21" t="str">
        <f t="shared" si="1"/>
        <v>ASV1515:s__unclassified_g__Streptococcus</v>
      </c>
      <c r="E36" t="s">
        <v>140</v>
      </c>
    </row>
    <row r="37" spans="1:5">
      <c r="A37" t="s">
        <v>186</v>
      </c>
      <c r="B37" t="str">
        <f>VLOOKUP(A37,[1]ALL!$G:$I,2,FALSE)</f>
        <v>g__UCG-002</v>
      </c>
      <c r="C37" t="str">
        <f>VLOOKUP(A37,[1]ALL!$G:$I,3,FALSE)</f>
        <v>s__unclassified_g__UCG-002</v>
      </c>
      <c r="D37" s="21" t="str">
        <f t="shared" si="1"/>
        <v>ASV5:s__unclassified_g__UCG-002</v>
      </c>
      <c r="E37" t="s">
        <v>141</v>
      </c>
    </row>
    <row r="38" spans="1:5">
      <c r="A38" t="s">
        <v>187</v>
      </c>
      <c r="B38" t="str">
        <f>VLOOKUP(A38,[1]ALL!$G:$I,2,FALSE)</f>
        <v>g__Phascolarctobacterium</v>
      </c>
      <c r="C38" t="str">
        <f>VLOOKUP(A38,[1]ALL!$G:$I,3,FALSE)</f>
        <v>s__unclassified_g__Phascolarctobacterium</v>
      </c>
      <c r="D38" s="21" t="str">
        <f t="shared" si="1"/>
        <v>ASV2860:s__unclassified_g__Phascolarctobacterium</v>
      </c>
      <c r="E38" t="s">
        <v>142</v>
      </c>
    </row>
    <row r="39" spans="1:5">
      <c r="A39" t="s">
        <v>188</v>
      </c>
      <c r="B39" t="str">
        <f>VLOOKUP(A39,[1]ALL!$G:$I,2,FALSE)</f>
        <v>g__Blautia</v>
      </c>
      <c r="C39" t="str">
        <f>VLOOKUP(A39,[1]ALL!$G:$I,3,FALSE)</f>
        <v>s__unclassified_g__Blautia</v>
      </c>
      <c r="D39" s="21" t="str">
        <f t="shared" si="1"/>
        <v>ASV48:s__unclassified_g__Blautia</v>
      </c>
      <c r="E39" t="s">
        <v>143</v>
      </c>
    </row>
    <row r="40" spans="1:5">
      <c r="A40" t="s">
        <v>189</v>
      </c>
      <c r="B40" t="str">
        <f>VLOOKUP(A40,[1]ALL!$G:$I,2,FALSE)</f>
        <v>g__Blautia</v>
      </c>
      <c r="C40" t="str">
        <f>VLOOKUP(A40,[1]ALL!$G:$I,3,FALSE)</f>
        <v>s__unclassified_g__Blautia</v>
      </c>
      <c r="D40" s="21" t="str">
        <f t="shared" si="1"/>
        <v>ASV38:s__unclassified_g__Blautia</v>
      </c>
      <c r="E40" t="s">
        <v>144</v>
      </c>
    </row>
    <row r="41" spans="1:5">
      <c r="A41" t="s">
        <v>190</v>
      </c>
      <c r="B41" t="str">
        <f>VLOOKUP(A41,[1]ALL!$G:$I,2,FALSE)</f>
        <v>g__Pasteurella</v>
      </c>
      <c r="C41" t="str">
        <f>VLOOKUP(A41,[1]ALL!$G:$I,3,FALSE)</f>
        <v>s__Pasteurella_aerogenes</v>
      </c>
      <c r="D41" s="21" t="str">
        <f t="shared" si="1"/>
        <v>ASV2839:s__Pasteurella_aerogenes</v>
      </c>
      <c r="E41" t="s">
        <v>145</v>
      </c>
    </row>
    <row r="42" spans="1:5">
      <c r="A42" t="s">
        <v>191</v>
      </c>
      <c r="B42" t="str">
        <f>VLOOKUP(A42,[1]ALL!$G:$I,2,FALSE)</f>
        <v>g__Bacillus</v>
      </c>
      <c r="C42" t="str">
        <f>VLOOKUP(A42,[1]ALL!$G:$I,3,FALSE)</f>
        <v>s__Lactobacillus_vaginalis_g__Bacillus</v>
      </c>
      <c r="D42" s="21" t="str">
        <f t="shared" si="1"/>
        <v>ASV1527:s__Lactobacillus_vaginalis_g__Bacillus</v>
      </c>
      <c r="E42" t="s">
        <v>146</v>
      </c>
    </row>
    <row r="43" spans="1:5">
      <c r="A43" t="s">
        <v>192</v>
      </c>
      <c r="B43" t="str">
        <f>VLOOKUP(A43,[1]ALL!$G:$I,2,FALSE)</f>
        <v>g__Mogibacterium</v>
      </c>
      <c r="C43" t="str">
        <f>VLOOKUP(A43,[1]ALL!$G:$I,3,FALSE)</f>
        <v>s__uncultured_bacterium_g__Mogibacterium</v>
      </c>
      <c r="D43" s="21" t="str">
        <f t="shared" si="1"/>
        <v>ASV172:s__uncultured_bacterium_g__Mogibacterium</v>
      </c>
      <c r="E43" t="s">
        <v>147</v>
      </c>
    </row>
    <row r="44" spans="1:5">
      <c r="A44" t="s">
        <v>193</v>
      </c>
      <c r="B44" t="str">
        <f>VLOOKUP(A44,[1]ALL!$G:$I,2,FALSE)</f>
        <v>g__Fusobacterium</v>
      </c>
      <c r="C44" t="str">
        <f>VLOOKUP(A44,[1]ALL!$G:$I,3,FALSE)</f>
        <v>s__Fusobacterium_gastrosuis</v>
      </c>
      <c r="D44" s="21" t="str">
        <f t="shared" si="1"/>
        <v>ASV1089:s__Fusobacterium_gastrosuis</v>
      </c>
      <c r="E44" t="s">
        <v>148</v>
      </c>
    </row>
    <row r="45" spans="1:5">
      <c r="A45" t="s">
        <v>194</v>
      </c>
      <c r="B45" t="str">
        <f>VLOOKUP(A45,[1]ALL!$G:$I,2,FALSE)</f>
        <v>g__Allisonella</v>
      </c>
      <c r="C45" t="str">
        <f>VLOOKUP(A45,[1]ALL!$G:$I,3,FALSE)</f>
        <v>s__uncultured_bacterium_g__Allisonella</v>
      </c>
      <c r="D45" s="21" t="str">
        <f t="shared" si="1"/>
        <v>ASV3058:s__uncultured_bacterium_g__Allisonella</v>
      </c>
      <c r="E45" t="s">
        <v>149</v>
      </c>
    </row>
    <row r="46" spans="1:3">
      <c r="A46" t="e">
        <v>#N/A</v>
      </c>
      <c r="B46" t="e">
        <f>VLOOKUP(A46,[1]ALL!$G:$I,2,FALSE)</f>
        <v>#N/A</v>
      </c>
      <c r="C46" t="e">
        <f>VLOOKUP(A46,[1]ALL!$G:$I,3,FALSE)</f>
        <v>#N/A</v>
      </c>
    </row>
    <row r="47" spans="1:3">
      <c r="A47" t="e">
        <v>#N/A</v>
      </c>
      <c r="B47" t="e">
        <f>VLOOKUP(A47,[1]ALL!$G:$I,2,FALSE)</f>
        <v>#N/A</v>
      </c>
      <c r="C47" t="e">
        <f>VLOOKUP(A47,[1]ALL!$G:$I,3,FALSE)</f>
        <v>#N/A</v>
      </c>
    </row>
    <row r="48" spans="1:3">
      <c r="A48" t="e">
        <v>#N/A</v>
      </c>
      <c r="B48" t="e">
        <f>VLOOKUP(A48,[1]ALL!$G:$I,2,FALSE)</f>
        <v>#N/A</v>
      </c>
      <c r="C48" t="e">
        <f>VLOOKUP(A48,[1]ALL!$G:$I,3,FALSE)</f>
        <v>#N/A</v>
      </c>
    </row>
    <row r="49" spans="1:3">
      <c r="A49" t="e">
        <v>#N/A</v>
      </c>
      <c r="B49" t="e">
        <f>VLOOKUP(A49,[1]ALL!$G:$I,2,FALSE)</f>
        <v>#N/A</v>
      </c>
      <c r="C49" t="e">
        <f>VLOOKUP(A49,[1]ALL!$G:$I,3,FALSE)</f>
        <v>#N/A</v>
      </c>
    </row>
    <row r="56" spans="3:44">
      <c r="C56" t="s">
        <v>108</v>
      </c>
      <c r="D56" t="s">
        <v>109</v>
      </c>
      <c r="E56" t="s">
        <v>110</v>
      </c>
      <c r="F56" t="s">
        <v>111</v>
      </c>
      <c r="G56" t="s">
        <v>112</v>
      </c>
      <c r="H56" t="s">
        <v>113</v>
      </c>
      <c r="I56" t="s">
        <v>114</v>
      </c>
      <c r="J56" t="s">
        <v>115</v>
      </c>
      <c r="K56" t="s">
        <v>116</v>
      </c>
      <c r="L56" t="s">
        <v>117</v>
      </c>
      <c r="M56" t="s">
        <v>118</v>
      </c>
      <c r="N56" t="s">
        <v>119</v>
      </c>
      <c r="O56" t="s">
        <v>120</v>
      </c>
      <c r="P56" t="s">
        <v>121</v>
      </c>
      <c r="Q56" t="s">
        <v>122</v>
      </c>
      <c r="R56" t="s">
        <v>123</v>
      </c>
      <c r="S56" t="s">
        <v>124</v>
      </c>
      <c r="T56" t="s">
        <v>125</v>
      </c>
      <c r="U56" t="s">
        <v>126</v>
      </c>
      <c r="V56" t="s">
        <v>127</v>
      </c>
      <c r="W56" t="s">
        <v>128</v>
      </c>
      <c r="X56" t="s">
        <v>129</v>
      </c>
      <c r="Y56" t="s">
        <v>130</v>
      </c>
      <c r="Z56" t="s">
        <v>131</v>
      </c>
      <c r="AA56" t="s">
        <v>132</v>
      </c>
      <c r="AB56" t="s">
        <v>133</v>
      </c>
      <c r="AC56" t="s">
        <v>134</v>
      </c>
      <c r="AD56" t="s">
        <v>135</v>
      </c>
      <c r="AE56" t="s">
        <v>136</v>
      </c>
      <c r="AF56" t="s">
        <v>137</v>
      </c>
      <c r="AG56" t="s">
        <v>138</v>
      </c>
      <c r="AH56" t="s">
        <v>139</v>
      </c>
      <c r="AI56" t="s">
        <v>140</v>
      </c>
      <c r="AJ56" t="s">
        <v>141</v>
      </c>
      <c r="AK56" t="s">
        <v>142</v>
      </c>
      <c r="AL56" t="s">
        <v>143</v>
      </c>
      <c r="AM56" t="s">
        <v>144</v>
      </c>
      <c r="AN56" t="s">
        <v>145</v>
      </c>
      <c r="AO56" t="s">
        <v>146</v>
      </c>
      <c r="AP56" t="s">
        <v>147</v>
      </c>
      <c r="AQ56" t="s">
        <v>148</v>
      </c>
      <c r="AR56" t="s">
        <v>149</v>
      </c>
    </row>
    <row r="57" spans="1:1">
      <c r="A57" s="7" t="s">
        <v>169</v>
      </c>
    </row>
    <row r="58" spans="1:1">
      <c r="A58" s="8" t="s">
        <v>172</v>
      </c>
    </row>
    <row r="59" spans="1:1">
      <c r="A59" s="7" t="s">
        <v>171</v>
      </c>
    </row>
    <row r="60" spans="1:1">
      <c r="A60" s="7" t="s">
        <v>164</v>
      </c>
    </row>
    <row r="61" spans="1:1">
      <c r="A61" s="7" t="s">
        <v>163</v>
      </c>
    </row>
    <row r="62" spans="1:1">
      <c r="A62" s="8" t="s">
        <v>162</v>
      </c>
    </row>
    <row r="63" spans="1:1">
      <c r="A63" s="7" t="s">
        <v>159</v>
      </c>
    </row>
    <row r="64" spans="1:1">
      <c r="A64" s="8" t="s">
        <v>158</v>
      </c>
    </row>
    <row r="65" spans="1:1">
      <c r="A65" s="7" t="s">
        <v>157</v>
      </c>
    </row>
    <row r="66" spans="1:1">
      <c r="A66" s="7" t="s">
        <v>186</v>
      </c>
    </row>
    <row r="67" spans="1:1">
      <c r="A67" s="8" t="s">
        <v>170</v>
      </c>
    </row>
    <row r="68" spans="1:1">
      <c r="A68" s="7" t="s">
        <v>167</v>
      </c>
    </row>
    <row r="69" spans="1:1">
      <c r="A69" s="7" t="s">
        <v>168</v>
      </c>
    </row>
    <row r="70" spans="1:1">
      <c r="A70" s="7" t="s">
        <v>166</v>
      </c>
    </row>
    <row r="71" spans="1:1">
      <c r="A71" s="11" t="s">
        <v>174</v>
      </c>
    </row>
    <row r="72" spans="1:1">
      <c r="A72" s="11" t="s">
        <v>180</v>
      </c>
    </row>
    <row r="73" spans="1:1">
      <c r="A73" s="11" t="s">
        <v>179</v>
      </c>
    </row>
    <row r="74" spans="1:1">
      <c r="A74" s="12" t="s">
        <v>177</v>
      </c>
    </row>
    <row r="75" spans="1:1">
      <c r="A75" s="11" t="s">
        <v>173</v>
      </c>
    </row>
    <row r="76" spans="1:1">
      <c r="A76" s="11" t="s">
        <v>193</v>
      </c>
    </row>
    <row r="77" spans="1:1">
      <c r="A77" s="11" t="s">
        <v>189</v>
      </c>
    </row>
    <row r="78" spans="1:1">
      <c r="A78" s="11" t="s">
        <v>188</v>
      </c>
    </row>
    <row r="79" spans="1:1">
      <c r="A79" s="12" t="s">
        <v>185</v>
      </c>
    </row>
    <row r="80" spans="1:1">
      <c r="A80" s="12" t="s">
        <v>182</v>
      </c>
    </row>
    <row r="81" spans="1:1">
      <c r="A81" s="12" t="s">
        <v>181</v>
      </c>
    </row>
    <row r="82" spans="1:1">
      <c r="A82" s="11" t="s">
        <v>178</v>
      </c>
    </row>
    <row r="83" spans="1:1">
      <c r="A83" s="12" t="s">
        <v>176</v>
      </c>
    </row>
  </sheetData>
  <conditionalFormatting sqref="A1:A2 A31:A56 A84:A16384">
    <cfRule type="duplicateValues" dxfId="0" priority="1"/>
  </conditionalFormatting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9"/>
  <sheetViews>
    <sheetView topLeftCell="I1" workbookViewId="0">
      <selection activeCell="A9" sqref="A9"/>
    </sheetView>
  </sheetViews>
  <sheetFormatPr defaultColWidth="9" defaultRowHeight="13.5"/>
  <cols>
    <col min="1" max="1" width="10.8849557522124" style="19" customWidth="1"/>
    <col min="2" max="31" width="12.8849557522124" style="19"/>
    <col min="32" max="16384" width="9" style="19"/>
  </cols>
  <sheetData>
    <row r="1" spans="1:31">
      <c r="A1" s="19" t="s">
        <v>238</v>
      </c>
      <c r="B1" s="19" t="s">
        <v>212</v>
      </c>
      <c r="C1" s="19" t="s">
        <v>214</v>
      </c>
      <c r="D1" s="19" t="s">
        <v>207</v>
      </c>
      <c r="E1" s="19" t="s">
        <v>205</v>
      </c>
      <c r="F1" s="19" t="s">
        <v>202</v>
      </c>
      <c r="G1" s="19" t="s">
        <v>201</v>
      </c>
      <c r="H1" s="19" t="s">
        <v>200</v>
      </c>
      <c r="I1" s="19" t="s">
        <v>213</v>
      </c>
      <c r="J1" s="19" t="s">
        <v>210</v>
      </c>
      <c r="K1" s="19" t="s">
        <v>207</v>
      </c>
      <c r="L1" s="19" t="s">
        <v>211</v>
      </c>
      <c r="M1" s="19" t="s">
        <v>196</v>
      </c>
      <c r="N1" s="19" t="s">
        <v>209</v>
      </c>
      <c r="O1" s="19" t="s">
        <v>236</v>
      </c>
      <c r="P1" s="19" t="s">
        <v>234</v>
      </c>
      <c r="Q1" s="19" t="s">
        <v>232</v>
      </c>
      <c r="R1" s="19" t="s">
        <v>231</v>
      </c>
      <c r="S1" s="19" t="s">
        <v>230</v>
      </c>
      <c r="T1" s="19" t="s">
        <v>217</v>
      </c>
      <c r="U1" s="19" t="s">
        <v>228</v>
      </c>
      <c r="V1" s="19" t="s">
        <v>224</v>
      </c>
      <c r="W1" s="19" t="s">
        <v>219</v>
      </c>
      <c r="X1" s="19" t="s">
        <v>233</v>
      </c>
      <c r="Y1" s="19" t="s">
        <v>223</v>
      </c>
      <c r="Z1" s="19" t="s">
        <v>222</v>
      </c>
      <c r="AA1" s="19" t="s">
        <v>221</v>
      </c>
      <c r="AB1" s="19" t="s">
        <v>42</v>
      </c>
      <c r="AC1" s="19" t="s">
        <v>43</v>
      </c>
      <c r="AD1" s="19" t="s">
        <v>44</v>
      </c>
      <c r="AE1" s="19" t="s">
        <v>45</v>
      </c>
    </row>
    <row r="2" spans="1:31">
      <c r="A2" s="19" t="s">
        <v>89</v>
      </c>
      <c r="B2" s="19">
        <v>1.391529845</v>
      </c>
      <c r="C2" s="19">
        <v>0.76263338</v>
      </c>
      <c r="D2" s="19">
        <v>1.778511295</v>
      </c>
      <c r="E2" s="19">
        <v>1.607779799</v>
      </c>
      <c r="F2" s="19">
        <v>0.875038653</v>
      </c>
      <c r="G2" s="19">
        <v>2.017102226</v>
      </c>
      <c r="H2" s="19">
        <v>0.83465359</v>
      </c>
      <c r="I2" s="19">
        <v>0.534448517</v>
      </c>
      <c r="J2" s="19">
        <v>0.97961271</v>
      </c>
      <c r="K2" s="19">
        <v>1.778511295</v>
      </c>
      <c r="L2" s="19">
        <v>0.212781553</v>
      </c>
      <c r="M2" s="19">
        <v>0.615792575</v>
      </c>
      <c r="N2" s="19">
        <v>1.586574202</v>
      </c>
      <c r="O2" s="19">
        <v>0.788032096</v>
      </c>
      <c r="P2" s="19">
        <v>1.442228874</v>
      </c>
      <c r="Q2" s="19">
        <v>1.375412048</v>
      </c>
      <c r="R2" s="19">
        <v>1.212088594</v>
      </c>
      <c r="S2" s="19">
        <v>1.012352689</v>
      </c>
      <c r="T2" s="19">
        <v>0.623726206</v>
      </c>
      <c r="U2" s="19">
        <v>0.587405934</v>
      </c>
      <c r="V2" s="19">
        <v>2.301180863</v>
      </c>
      <c r="W2" s="19">
        <v>1.076866955</v>
      </c>
      <c r="X2" s="19">
        <v>0.927300546</v>
      </c>
      <c r="Y2" s="19">
        <v>0.489794291</v>
      </c>
      <c r="Z2" s="19">
        <v>0.511967254</v>
      </c>
      <c r="AA2" s="19">
        <v>0.223246524</v>
      </c>
      <c r="AB2" s="19">
        <v>0.468216032</v>
      </c>
      <c r="AC2" s="19">
        <v>0.483003097</v>
      </c>
      <c r="AD2" s="19">
        <v>0.368248987</v>
      </c>
      <c r="AE2" s="19">
        <v>0.370613251</v>
      </c>
    </row>
    <row r="3" spans="1:31">
      <c r="A3" s="19" t="s">
        <v>90</v>
      </c>
      <c r="B3" s="19">
        <v>0.566405838</v>
      </c>
      <c r="C3" s="19">
        <v>0.430944232</v>
      </c>
      <c r="D3" s="19">
        <v>0.066379989</v>
      </c>
      <c r="E3" s="19">
        <v>0.083102399</v>
      </c>
      <c r="F3" s="19">
        <v>0.571585638</v>
      </c>
      <c r="G3" s="19">
        <v>0.093157263</v>
      </c>
      <c r="H3" s="19">
        <v>0.962823253</v>
      </c>
      <c r="I3" s="19">
        <v>1.491999419</v>
      </c>
      <c r="J3" s="19">
        <v>0.849379517</v>
      </c>
      <c r="K3" s="19">
        <v>0.066379989</v>
      </c>
      <c r="L3" s="19">
        <v>1.057624847</v>
      </c>
      <c r="M3" s="19">
        <v>0.863751158</v>
      </c>
      <c r="N3" s="19">
        <v>0.174424411</v>
      </c>
      <c r="O3" s="19">
        <v>0.52375901</v>
      </c>
      <c r="P3" s="19">
        <v>0.454616624</v>
      </c>
      <c r="Q3" s="19">
        <v>0.536879147</v>
      </c>
      <c r="R3" s="19">
        <v>0.447857586</v>
      </c>
      <c r="S3" s="19">
        <v>0.601343728</v>
      </c>
      <c r="T3" s="19">
        <v>1.119111709</v>
      </c>
      <c r="U3" s="19">
        <v>0.672779171</v>
      </c>
      <c r="V3" s="19">
        <v>0.08886905</v>
      </c>
      <c r="W3" s="19">
        <v>0.52540518</v>
      </c>
      <c r="X3" s="19">
        <v>0.567169399</v>
      </c>
      <c r="Y3" s="19">
        <v>2.644315101</v>
      </c>
      <c r="Z3" s="19">
        <v>2.615171786</v>
      </c>
      <c r="AA3" s="19">
        <v>1.587846662</v>
      </c>
      <c r="AB3" s="19">
        <v>0.950423969</v>
      </c>
      <c r="AC3" s="19">
        <v>0.938542483</v>
      </c>
      <c r="AD3" s="19">
        <v>1.032038708</v>
      </c>
      <c r="AE3" s="19">
        <v>1.027940066</v>
      </c>
    </row>
    <row r="4" spans="1:31">
      <c r="A4" s="19" t="s">
        <v>91</v>
      </c>
      <c r="B4" s="19">
        <v>0.974505104</v>
      </c>
      <c r="C4" s="19">
        <v>0.572277028</v>
      </c>
      <c r="D4" s="19">
        <v>0.208951608</v>
      </c>
      <c r="E4" s="19">
        <v>0.226865469</v>
      </c>
      <c r="F4" s="19">
        <v>0.740010308</v>
      </c>
      <c r="G4" s="19">
        <v>0.222144242</v>
      </c>
      <c r="H4" s="19">
        <v>0.618802129</v>
      </c>
      <c r="I4" s="19">
        <v>1.395508049</v>
      </c>
      <c r="J4" s="19">
        <v>1.365607528</v>
      </c>
      <c r="K4" s="19">
        <v>0.208951608</v>
      </c>
      <c r="L4" s="19">
        <v>2.527074149</v>
      </c>
      <c r="M4" s="19">
        <v>1.485689031</v>
      </c>
      <c r="N4" s="19">
        <v>0.366601942</v>
      </c>
      <c r="O4" s="19">
        <v>0.403427173</v>
      </c>
      <c r="P4" s="19">
        <v>0.954962008</v>
      </c>
      <c r="Q4" s="19">
        <v>0.849826836</v>
      </c>
      <c r="R4" s="19">
        <v>0.887435314</v>
      </c>
      <c r="S4" s="19">
        <v>1.542244448</v>
      </c>
      <c r="T4" s="19">
        <v>0.595846953</v>
      </c>
      <c r="U4" s="19">
        <v>0.675201107</v>
      </c>
      <c r="V4" s="19">
        <v>0.281865033</v>
      </c>
      <c r="W4" s="19">
        <v>0.460367919</v>
      </c>
      <c r="X4" s="19">
        <v>1.451453552</v>
      </c>
      <c r="Y4" s="19">
        <v>0.424732897</v>
      </c>
      <c r="Z4" s="19">
        <v>0.434118517</v>
      </c>
      <c r="AA4" s="19">
        <v>1.492893908</v>
      </c>
      <c r="AB4" s="19">
        <v>1.844404154</v>
      </c>
      <c r="AC4" s="19">
        <v>1.811895966</v>
      </c>
      <c r="AD4" s="19">
        <v>1.988793997</v>
      </c>
      <c r="AE4" s="19">
        <v>1.998807679</v>
      </c>
    </row>
    <row r="5" spans="1:31">
      <c r="A5" s="19" t="s">
        <v>92</v>
      </c>
      <c r="B5" s="19">
        <v>1.067559214</v>
      </c>
      <c r="C5" s="19">
        <v>2.234145359</v>
      </c>
      <c r="D5" s="19">
        <v>1.946157107</v>
      </c>
      <c r="E5" s="19">
        <v>2.082252333</v>
      </c>
      <c r="F5" s="19">
        <v>1.813365401</v>
      </c>
      <c r="G5" s="19">
        <v>1.667596269</v>
      </c>
      <c r="H5" s="19">
        <v>1.583721028</v>
      </c>
      <c r="I5" s="19">
        <v>0.578044015</v>
      </c>
      <c r="J5" s="19">
        <v>0.805400245</v>
      </c>
      <c r="K5" s="19">
        <v>1.946157107</v>
      </c>
      <c r="L5" s="19">
        <v>0.202519451</v>
      </c>
      <c r="M5" s="19">
        <v>1.034767236</v>
      </c>
      <c r="N5" s="19">
        <v>1.872399445</v>
      </c>
      <c r="O5" s="19">
        <v>2.284781722</v>
      </c>
      <c r="P5" s="19">
        <v>1.148192494</v>
      </c>
      <c r="Q5" s="19">
        <v>1.23788197</v>
      </c>
      <c r="R5" s="19">
        <v>1.452618505</v>
      </c>
      <c r="S5" s="19">
        <v>0.844059136</v>
      </c>
      <c r="T5" s="19">
        <v>1.661315132</v>
      </c>
      <c r="U5" s="19">
        <v>2.064613788</v>
      </c>
      <c r="V5" s="19">
        <v>1.328085055</v>
      </c>
      <c r="W5" s="19">
        <v>1.937359946</v>
      </c>
      <c r="X5" s="19">
        <v>1.054076503</v>
      </c>
      <c r="Y5" s="19">
        <v>0.44115771</v>
      </c>
      <c r="Z5" s="19">
        <v>0.438742443</v>
      </c>
      <c r="AA5" s="19">
        <v>0.696012906</v>
      </c>
      <c r="AB5" s="19">
        <v>0.736955845</v>
      </c>
      <c r="AC5" s="19">
        <v>0.766558454</v>
      </c>
      <c r="AD5" s="19">
        <v>0.610918309</v>
      </c>
      <c r="AE5" s="19">
        <v>0.602639005</v>
      </c>
    </row>
    <row r="6" spans="1:31">
      <c r="A6" s="19" t="s">
        <v>323</v>
      </c>
      <c r="B6" s="19">
        <v>1.2295445295</v>
      </c>
      <c r="C6" s="19">
        <v>1.4983893695</v>
      </c>
      <c r="D6" s="19">
        <v>1.862334201</v>
      </c>
      <c r="E6" s="19">
        <v>1.845016066</v>
      </c>
      <c r="F6" s="19">
        <v>1.344202027</v>
      </c>
      <c r="G6" s="19">
        <v>1.8423492475</v>
      </c>
      <c r="H6" s="19">
        <v>1.209187309</v>
      </c>
      <c r="I6" s="19">
        <v>0.556246266</v>
      </c>
      <c r="J6" s="19">
        <v>0.8925064775</v>
      </c>
      <c r="K6" s="19">
        <v>1.862334201</v>
      </c>
      <c r="L6" s="19">
        <v>0.207650502</v>
      </c>
      <c r="M6" s="19">
        <v>0.8252799055</v>
      </c>
      <c r="N6" s="19">
        <v>0.9282059125</v>
      </c>
      <c r="O6" s="19">
        <v>1.7294868235</v>
      </c>
      <c r="P6" s="19">
        <v>1.536406909</v>
      </c>
      <c r="Q6" s="19">
        <v>1.295210684</v>
      </c>
      <c r="R6" s="19">
        <v>1.306647009</v>
      </c>
      <c r="S6" s="19">
        <v>1.3323535495</v>
      </c>
      <c r="T6" s="19">
        <v>1.142520669</v>
      </c>
      <c r="U6" s="19">
        <v>1.326009861</v>
      </c>
      <c r="V6" s="19">
        <v>1.814632959</v>
      </c>
      <c r="W6" s="19">
        <v>1.5071134505</v>
      </c>
      <c r="X6" s="19">
        <v>0.9906885245</v>
      </c>
      <c r="Y6" s="19">
        <v>0.4654760005</v>
      </c>
      <c r="Z6" s="19">
        <v>0.4753548485</v>
      </c>
      <c r="AA6" s="19">
        <v>0.459629715</v>
      </c>
      <c r="AB6" s="19">
        <v>0.6025859385</v>
      </c>
      <c r="AC6" s="19">
        <v>0.6247807755</v>
      </c>
      <c r="AD6" s="19">
        <v>0.489583648</v>
      </c>
      <c r="AE6" s="19">
        <v>0.486626128</v>
      </c>
    </row>
    <row r="7" spans="1:31">
      <c r="A7" s="19" t="s">
        <v>324</v>
      </c>
      <c r="B7" s="19">
        <v>0.770455471</v>
      </c>
      <c r="C7" s="19">
        <v>0.50161063</v>
      </c>
      <c r="D7" s="19">
        <v>0.1376657985</v>
      </c>
      <c r="E7" s="19">
        <v>0.154983934</v>
      </c>
      <c r="F7" s="19">
        <v>0.655797973</v>
      </c>
      <c r="G7" s="19">
        <v>0.1576507525</v>
      </c>
      <c r="H7" s="19">
        <v>0.790812691</v>
      </c>
      <c r="I7" s="19">
        <v>1.443753734</v>
      </c>
      <c r="J7" s="19">
        <v>1.1074935225</v>
      </c>
      <c r="K7" s="19">
        <v>0.1376657985</v>
      </c>
      <c r="L7" s="19">
        <v>1.792349498</v>
      </c>
      <c r="M7" s="19">
        <v>1.1747200945</v>
      </c>
      <c r="N7" s="19">
        <v>1.071794088</v>
      </c>
      <c r="O7" s="19">
        <v>0.2705131765</v>
      </c>
      <c r="P7" s="19">
        <v>0.4635930915</v>
      </c>
      <c r="Q7" s="19">
        <v>0.704789316</v>
      </c>
      <c r="R7" s="19">
        <v>0.6933529915</v>
      </c>
      <c r="S7" s="19">
        <v>0.66764645</v>
      </c>
      <c r="T7" s="19">
        <v>0.857479331</v>
      </c>
      <c r="U7" s="19">
        <v>0.673990139</v>
      </c>
      <c r="V7" s="19">
        <v>0.1853670415</v>
      </c>
      <c r="W7" s="19">
        <v>0.4928865495</v>
      </c>
      <c r="X7" s="19">
        <v>1.0093114755</v>
      </c>
      <c r="Y7" s="19">
        <v>1.534523999</v>
      </c>
      <c r="Z7" s="19">
        <v>1.5246451515</v>
      </c>
      <c r="AA7" s="19">
        <v>1.540370285</v>
      </c>
      <c r="AB7" s="19">
        <v>1.3974140615</v>
      </c>
      <c r="AC7" s="19">
        <v>1.3752192245</v>
      </c>
      <c r="AD7" s="19">
        <v>1.5104163525</v>
      </c>
      <c r="AE7" s="19">
        <v>1.5133738725</v>
      </c>
    </row>
    <row r="8" spans="1:31">
      <c r="A8" s="20" t="s">
        <v>150</v>
      </c>
      <c r="B8" s="19">
        <v>1.15003482709375</v>
      </c>
      <c r="C8" s="19">
        <v>1.25091152209375</v>
      </c>
      <c r="D8" s="19">
        <v>1.7197576551875</v>
      </c>
      <c r="E8" s="19">
        <v>1.69892955725</v>
      </c>
      <c r="F8" s="19">
        <v>1.50965583834375</v>
      </c>
      <c r="G8" s="19">
        <v>1.7084742300625</v>
      </c>
      <c r="H8" s="19">
        <v>1.42798972634375</v>
      </c>
      <c r="I8" s="19">
        <v>0.76655068709375</v>
      </c>
      <c r="J8" s="19">
        <v>0.79976534025</v>
      </c>
      <c r="K8" s="19">
        <v>1.7197576551875</v>
      </c>
      <c r="L8" s="19">
        <v>0.2937280335625</v>
      </c>
      <c r="M8" s="19">
        <v>0.90899040278125</v>
      </c>
      <c r="N8" s="19">
        <v>0.874715863</v>
      </c>
      <c r="O8" s="19">
        <v>1.6900433574375</v>
      </c>
      <c r="P8" s="19">
        <v>1.29438899428125</v>
      </c>
      <c r="Q8" s="19">
        <v>1.2039934946875</v>
      </c>
      <c r="R8" s="19">
        <v>1.2308952525</v>
      </c>
      <c r="S8" s="19">
        <v>0.95884198028125</v>
      </c>
      <c r="T8" s="19">
        <v>0.97840061371875</v>
      </c>
      <c r="U8" s="19">
        <v>1.418084605375</v>
      </c>
      <c r="V8" s="19">
        <v>1.7174321326875</v>
      </c>
      <c r="W8" s="19">
        <v>1.35846000528125</v>
      </c>
      <c r="X8" s="19">
        <v>1.23489287921875</v>
      </c>
      <c r="Y8" s="19">
        <v>0.65751557509375</v>
      </c>
      <c r="Z8" s="19">
        <v>0.664050324875</v>
      </c>
      <c r="AA8" s="19">
        <v>0.4788658939375</v>
      </c>
      <c r="AB8" s="19">
        <v>0.7836195741875</v>
      </c>
      <c r="AC8" s="19">
        <v>0.8030275834375</v>
      </c>
      <c r="AD8" s="19">
        <v>0.6829230671875</v>
      </c>
      <c r="AE8" s="19">
        <v>0.680456174375</v>
      </c>
    </row>
    <row r="9" spans="1:31">
      <c r="A9" s="20" t="s">
        <v>327</v>
      </c>
      <c r="B9" s="19">
        <v>0.839962851233333</v>
      </c>
      <c r="C9" s="19">
        <v>0.7323610431</v>
      </c>
      <c r="D9" s="19">
        <v>0.232258501133333</v>
      </c>
      <c r="E9" s="19">
        <v>0.254475138966667</v>
      </c>
      <c r="F9" s="19">
        <v>0.456367105766667</v>
      </c>
      <c r="G9" s="19">
        <v>0.2442941546</v>
      </c>
      <c r="H9" s="19">
        <v>0.5434776252</v>
      </c>
      <c r="I9" s="19">
        <v>1.2490126004</v>
      </c>
      <c r="J9" s="19">
        <v>1.21358363703333</v>
      </c>
      <c r="K9" s="19">
        <v>0.232258501133333</v>
      </c>
      <c r="L9" s="19">
        <v>1.75335676416667</v>
      </c>
      <c r="M9" s="19">
        <v>1.09707690366667</v>
      </c>
      <c r="N9" s="19">
        <v>1.13363641276667</v>
      </c>
      <c r="O9" s="19">
        <v>0.2639537521</v>
      </c>
      <c r="P9" s="19">
        <v>0.6859850728</v>
      </c>
      <c r="Q9" s="19">
        <v>0.7824069391</v>
      </c>
      <c r="R9" s="19">
        <v>0.7537117306</v>
      </c>
      <c r="S9" s="19">
        <v>1.04390188753333</v>
      </c>
      <c r="T9" s="19">
        <v>1.02303934546667</v>
      </c>
      <c r="U9" s="19">
        <v>0.554043087666667</v>
      </c>
      <c r="V9" s="19">
        <v>0.234739058533333</v>
      </c>
      <c r="W9" s="19">
        <v>0.617642661</v>
      </c>
      <c r="X9" s="19">
        <v>0.749447595466667</v>
      </c>
      <c r="Y9" s="19">
        <v>1.3653167199</v>
      </c>
      <c r="Z9" s="19">
        <v>1.35834632016667</v>
      </c>
      <c r="AA9" s="19">
        <v>1.55587637966667</v>
      </c>
      <c r="AB9" s="19">
        <v>1.1308057875</v>
      </c>
      <c r="AC9" s="19">
        <v>1.1101039111</v>
      </c>
      <c r="AD9" s="19">
        <v>1.23821539506667</v>
      </c>
      <c r="AE9" s="19">
        <v>1.24084674726667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77"/>
  <sheetViews>
    <sheetView topLeftCell="A55" workbookViewId="0">
      <selection activeCell="A76" sqref="A76:C77"/>
    </sheetView>
  </sheetViews>
  <sheetFormatPr defaultColWidth="9" defaultRowHeight="13.5"/>
  <sheetData>
    <row r="1" spans="3:28">
      <c r="C1" s="7" t="s">
        <v>169</v>
      </c>
      <c r="D1" s="7" t="s">
        <v>171</v>
      </c>
      <c r="E1" s="7" t="s">
        <v>164</v>
      </c>
      <c r="F1" s="8" t="s">
        <v>162</v>
      </c>
      <c r="G1" s="7" t="s">
        <v>159</v>
      </c>
      <c r="H1" s="8" t="s">
        <v>158</v>
      </c>
      <c r="I1" s="7" t="s">
        <v>157</v>
      </c>
      <c r="J1" s="8" t="s">
        <v>170</v>
      </c>
      <c r="K1" s="7" t="s">
        <v>167</v>
      </c>
      <c r="L1" s="7" t="s">
        <v>164</v>
      </c>
      <c r="M1" s="7" t="s">
        <v>168</v>
      </c>
      <c r="N1" s="7" t="s">
        <v>153</v>
      </c>
      <c r="O1" s="7" t="s">
        <v>166</v>
      </c>
      <c r="P1" s="11" t="s">
        <v>193</v>
      </c>
      <c r="Q1" s="12" t="s">
        <v>191</v>
      </c>
      <c r="R1" s="11" t="s">
        <v>189</v>
      </c>
      <c r="S1" s="11" t="s">
        <v>188</v>
      </c>
      <c r="T1" s="11" t="s">
        <v>187</v>
      </c>
      <c r="U1" s="11" t="s">
        <v>174</v>
      </c>
      <c r="V1" s="12" t="s">
        <v>185</v>
      </c>
      <c r="W1" s="12" t="s">
        <v>181</v>
      </c>
      <c r="X1" s="12" t="s">
        <v>176</v>
      </c>
      <c r="Y1" s="11" t="s">
        <v>190</v>
      </c>
      <c r="Z1" s="11" t="s">
        <v>180</v>
      </c>
      <c r="AA1" s="11" t="s">
        <v>179</v>
      </c>
      <c r="AB1" s="11" t="s">
        <v>178</v>
      </c>
    </row>
    <row r="2" spans="3:32">
      <c r="C2" t="s">
        <v>212</v>
      </c>
      <c r="D2" t="s">
        <v>214</v>
      </c>
      <c r="E2" t="s">
        <v>207</v>
      </c>
      <c r="F2" t="s">
        <v>205</v>
      </c>
      <c r="G2" t="s">
        <v>202</v>
      </c>
      <c r="H2" t="s">
        <v>201</v>
      </c>
      <c r="I2" t="s">
        <v>200</v>
      </c>
      <c r="J2" t="s">
        <v>213</v>
      </c>
      <c r="K2" t="s">
        <v>210</v>
      </c>
      <c r="L2" t="s">
        <v>207</v>
      </c>
      <c r="M2" t="s">
        <v>211</v>
      </c>
      <c r="N2" t="s">
        <v>196</v>
      </c>
      <c r="O2" t="s">
        <v>209</v>
      </c>
      <c r="P2" t="s">
        <v>236</v>
      </c>
      <c r="Q2" t="s">
        <v>234</v>
      </c>
      <c r="R2" t="s">
        <v>232</v>
      </c>
      <c r="S2" t="s">
        <v>231</v>
      </c>
      <c r="T2" t="s">
        <v>230</v>
      </c>
      <c r="U2" t="s">
        <v>217</v>
      </c>
      <c r="V2" t="s">
        <v>228</v>
      </c>
      <c r="W2" t="s">
        <v>224</v>
      </c>
      <c r="X2" t="s">
        <v>219</v>
      </c>
      <c r="Y2" t="s">
        <v>233</v>
      </c>
      <c r="Z2" t="s">
        <v>223</v>
      </c>
      <c r="AA2" t="s">
        <v>222</v>
      </c>
      <c r="AB2" t="s">
        <v>221</v>
      </c>
      <c r="AC2" t="s">
        <v>42</v>
      </c>
      <c r="AD2" t="s">
        <v>43</v>
      </c>
      <c r="AE2" t="s">
        <v>44</v>
      </c>
      <c r="AF2" t="s">
        <v>45</v>
      </c>
    </row>
    <row r="3" spans="1:32">
      <c r="A3" s="9" t="s">
        <v>89</v>
      </c>
      <c r="B3" s="10" t="str">
        <f>IF(OR(RIGHT(A3,1)="A",RIGHT(A3,1)="T"),"A/T","G/C")</f>
        <v>A/T</v>
      </c>
      <c r="C3">
        <v>1.391529845</v>
      </c>
      <c r="D3">
        <v>0.76263338</v>
      </c>
      <c r="E3">
        <v>1.778511295</v>
      </c>
      <c r="F3">
        <v>1.607779799</v>
      </c>
      <c r="G3">
        <v>0.875038653</v>
      </c>
      <c r="H3">
        <v>2.017102226</v>
      </c>
      <c r="I3">
        <v>0.83465359</v>
      </c>
      <c r="J3">
        <v>0.534448517</v>
      </c>
      <c r="K3">
        <v>0.97961271</v>
      </c>
      <c r="L3">
        <v>1.778511295</v>
      </c>
      <c r="M3">
        <v>0.212781553</v>
      </c>
      <c r="N3">
        <v>0.615792575</v>
      </c>
      <c r="O3">
        <v>1.012352689</v>
      </c>
      <c r="P3">
        <v>1.586574202</v>
      </c>
      <c r="Q3">
        <v>0.788032096</v>
      </c>
      <c r="R3">
        <v>1.442228874</v>
      </c>
      <c r="S3">
        <v>1.375412048</v>
      </c>
      <c r="T3">
        <v>1.212088594</v>
      </c>
      <c r="U3">
        <v>0.623726206</v>
      </c>
      <c r="V3">
        <v>0.587405934</v>
      </c>
      <c r="W3">
        <v>2.301180863</v>
      </c>
      <c r="X3">
        <v>1.076866955</v>
      </c>
      <c r="Y3">
        <v>0.927300546</v>
      </c>
      <c r="Z3">
        <v>0.489794291</v>
      </c>
      <c r="AA3">
        <v>0.511967254</v>
      </c>
      <c r="AB3">
        <v>0.223246524</v>
      </c>
      <c r="AC3">
        <v>0.468216032</v>
      </c>
      <c r="AD3">
        <v>0.483003097</v>
      </c>
      <c r="AE3">
        <v>0.368248987</v>
      </c>
      <c r="AF3">
        <v>0.370613251</v>
      </c>
    </row>
    <row r="4" spans="1:32">
      <c r="A4" s="9" t="s">
        <v>90</v>
      </c>
      <c r="B4" s="10" t="str">
        <f t="shared" ref="B4:B6" si="0">IF(OR(RIGHT(A4,1)="A",RIGHT(A4,1)="T"),"A/T","G/C")</f>
        <v>G/C</v>
      </c>
      <c r="C4">
        <v>0.566405838</v>
      </c>
      <c r="D4">
        <v>0.430944232</v>
      </c>
      <c r="E4">
        <v>0.066379989</v>
      </c>
      <c r="F4">
        <v>0.083102399</v>
      </c>
      <c r="G4">
        <v>0.571585638</v>
      </c>
      <c r="H4">
        <v>0.093157263</v>
      </c>
      <c r="I4">
        <v>0.962823253</v>
      </c>
      <c r="J4">
        <v>1.491999419</v>
      </c>
      <c r="K4">
        <v>0.849379517</v>
      </c>
      <c r="L4">
        <v>0.066379989</v>
      </c>
      <c r="M4">
        <v>1.057624847</v>
      </c>
      <c r="N4">
        <v>0.863751158</v>
      </c>
      <c r="O4">
        <v>0.601343728</v>
      </c>
      <c r="P4">
        <v>0.174424411</v>
      </c>
      <c r="Q4">
        <v>0.52375901</v>
      </c>
      <c r="R4">
        <v>0.454616624</v>
      </c>
      <c r="S4">
        <v>0.536879147</v>
      </c>
      <c r="T4">
        <v>0.447857586</v>
      </c>
      <c r="U4">
        <v>1.119111709</v>
      </c>
      <c r="V4">
        <v>0.672779171</v>
      </c>
      <c r="W4">
        <v>0.08886905</v>
      </c>
      <c r="X4">
        <v>0.52540518</v>
      </c>
      <c r="Y4">
        <v>0.567169399</v>
      </c>
      <c r="Z4">
        <v>2.644315101</v>
      </c>
      <c r="AA4">
        <v>2.615171786</v>
      </c>
      <c r="AB4">
        <v>1.587846662</v>
      </c>
      <c r="AC4">
        <v>0.950423969</v>
      </c>
      <c r="AD4">
        <v>0.938542483</v>
      </c>
      <c r="AE4">
        <v>1.032038708</v>
      </c>
      <c r="AF4">
        <v>1.027940066</v>
      </c>
    </row>
    <row r="5" spans="1:32">
      <c r="A5" s="9" t="s">
        <v>91</v>
      </c>
      <c r="B5" s="10" t="str">
        <f t="shared" si="0"/>
        <v>G/C</v>
      </c>
      <c r="C5">
        <v>0.974505104</v>
      </c>
      <c r="D5">
        <v>0.572277028</v>
      </c>
      <c r="E5">
        <v>0.208951608</v>
      </c>
      <c r="F5">
        <v>0.226865469</v>
      </c>
      <c r="G5">
        <v>0.740010308</v>
      </c>
      <c r="H5">
        <v>0.222144242</v>
      </c>
      <c r="I5">
        <v>0.618802129</v>
      </c>
      <c r="J5">
        <v>1.395508049</v>
      </c>
      <c r="K5">
        <v>1.365607528</v>
      </c>
      <c r="L5">
        <v>0.208951608</v>
      </c>
      <c r="M5">
        <v>2.527074149</v>
      </c>
      <c r="N5">
        <v>1.485689031</v>
      </c>
      <c r="O5">
        <v>1.542244448</v>
      </c>
      <c r="P5">
        <v>0.366601942</v>
      </c>
      <c r="Q5">
        <v>0.403427173</v>
      </c>
      <c r="R5">
        <v>0.954962008</v>
      </c>
      <c r="S5">
        <v>0.849826836</v>
      </c>
      <c r="T5">
        <v>0.887435314</v>
      </c>
      <c r="U5">
        <v>0.595846953</v>
      </c>
      <c r="V5">
        <v>0.675201107</v>
      </c>
      <c r="W5">
        <v>0.281865033</v>
      </c>
      <c r="X5">
        <v>0.460367919</v>
      </c>
      <c r="Y5">
        <v>1.451453552</v>
      </c>
      <c r="Z5">
        <v>0.424732897</v>
      </c>
      <c r="AA5">
        <v>0.434118517</v>
      </c>
      <c r="AB5">
        <v>1.492893908</v>
      </c>
      <c r="AC5">
        <v>1.844404154</v>
      </c>
      <c r="AD5">
        <v>1.811895966</v>
      </c>
      <c r="AE5">
        <v>1.988793997</v>
      </c>
      <c r="AF5">
        <v>1.998807679</v>
      </c>
    </row>
    <row r="6" spans="1:32">
      <c r="A6" s="9" t="s">
        <v>92</v>
      </c>
      <c r="B6" s="10" t="str">
        <f t="shared" si="0"/>
        <v>A/T</v>
      </c>
      <c r="C6">
        <v>1.067559214</v>
      </c>
      <c r="D6">
        <v>2.234145359</v>
      </c>
      <c r="E6">
        <v>1.946157107</v>
      </c>
      <c r="F6">
        <v>2.082252333</v>
      </c>
      <c r="G6">
        <v>1.813365401</v>
      </c>
      <c r="H6">
        <v>1.667596269</v>
      </c>
      <c r="I6">
        <v>1.583721028</v>
      </c>
      <c r="J6">
        <v>0.578044015</v>
      </c>
      <c r="K6">
        <v>0.805400245</v>
      </c>
      <c r="L6">
        <v>1.946157107</v>
      </c>
      <c r="M6">
        <v>0.202519451</v>
      </c>
      <c r="N6">
        <v>1.034767236</v>
      </c>
      <c r="O6">
        <v>0.844059136</v>
      </c>
      <c r="P6">
        <v>1.872399445</v>
      </c>
      <c r="Q6">
        <v>2.284781722</v>
      </c>
      <c r="R6">
        <v>1.148192494</v>
      </c>
      <c r="S6">
        <v>1.23788197</v>
      </c>
      <c r="T6">
        <v>1.452618505</v>
      </c>
      <c r="U6">
        <v>1.661315132</v>
      </c>
      <c r="V6">
        <v>2.064613788</v>
      </c>
      <c r="W6">
        <v>1.328085055</v>
      </c>
      <c r="X6">
        <v>1.937359946</v>
      </c>
      <c r="Y6">
        <v>1.054076503</v>
      </c>
      <c r="Z6">
        <v>0.44115771</v>
      </c>
      <c r="AA6">
        <v>0.438742443</v>
      </c>
      <c r="AB6">
        <v>0.696012906</v>
      </c>
      <c r="AC6">
        <v>0.736955845</v>
      </c>
      <c r="AD6">
        <v>0.766558454</v>
      </c>
      <c r="AE6">
        <v>0.610918309</v>
      </c>
      <c r="AF6">
        <v>0.602639005</v>
      </c>
    </row>
    <row r="7" spans="1:32">
      <c r="A7" t="s">
        <v>323</v>
      </c>
      <c r="C7">
        <f>AVERAGEIF($B3:$B6,"A/T",C3:C6)</f>
        <v>1.2295445295</v>
      </c>
      <c r="D7">
        <f t="shared" ref="D7:AF7" si="1">AVERAGEIF($B3:$B6,"A/T",D3:D6)</f>
        <v>1.4983893695</v>
      </c>
      <c r="E7">
        <f t="shared" si="1"/>
        <v>1.862334201</v>
      </c>
      <c r="F7">
        <f t="shared" si="1"/>
        <v>1.845016066</v>
      </c>
      <c r="G7">
        <f t="shared" si="1"/>
        <v>1.344202027</v>
      </c>
      <c r="H7">
        <f t="shared" si="1"/>
        <v>1.8423492475</v>
      </c>
      <c r="I7">
        <f t="shared" si="1"/>
        <v>1.209187309</v>
      </c>
      <c r="J7">
        <f t="shared" si="1"/>
        <v>0.556246266</v>
      </c>
      <c r="K7">
        <f t="shared" si="1"/>
        <v>0.8925064775</v>
      </c>
      <c r="L7">
        <f t="shared" si="1"/>
        <v>1.862334201</v>
      </c>
      <c r="M7">
        <f t="shared" si="1"/>
        <v>0.207650502</v>
      </c>
      <c r="N7">
        <f t="shared" si="1"/>
        <v>0.8252799055</v>
      </c>
      <c r="O7">
        <f t="shared" si="1"/>
        <v>0.9282059125</v>
      </c>
      <c r="P7">
        <f t="shared" si="1"/>
        <v>1.7294868235</v>
      </c>
      <c r="Q7">
        <f t="shared" si="1"/>
        <v>1.536406909</v>
      </c>
      <c r="R7">
        <f t="shared" si="1"/>
        <v>1.295210684</v>
      </c>
      <c r="S7">
        <f t="shared" si="1"/>
        <v>1.306647009</v>
      </c>
      <c r="T7">
        <f t="shared" si="1"/>
        <v>1.3323535495</v>
      </c>
      <c r="U7">
        <f t="shared" si="1"/>
        <v>1.142520669</v>
      </c>
      <c r="V7">
        <f t="shared" si="1"/>
        <v>1.326009861</v>
      </c>
      <c r="W7">
        <f t="shared" si="1"/>
        <v>1.814632959</v>
      </c>
      <c r="X7">
        <f t="shared" si="1"/>
        <v>1.5071134505</v>
      </c>
      <c r="Y7">
        <f t="shared" si="1"/>
        <v>0.9906885245</v>
      </c>
      <c r="Z7">
        <f t="shared" si="1"/>
        <v>0.4654760005</v>
      </c>
      <c r="AA7">
        <f t="shared" si="1"/>
        <v>0.4753548485</v>
      </c>
      <c r="AB7">
        <f t="shared" si="1"/>
        <v>0.459629715</v>
      </c>
      <c r="AC7">
        <f t="shared" si="1"/>
        <v>0.6025859385</v>
      </c>
      <c r="AD7">
        <f t="shared" si="1"/>
        <v>0.6247807755</v>
      </c>
      <c r="AE7">
        <f t="shared" si="1"/>
        <v>0.489583648</v>
      </c>
      <c r="AF7">
        <f t="shared" si="1"/>
        <v>0.486626128</v>
      </c>
    </row>
    <row r="8" spans="1:32">
      <c r="A8" t="s">
        <v>324</v>
      </c>
      <c r="C8">
        <f>AVERAGEIF($B3:$B6,"G/C",C3:C6)</f>
        <v>0.770455471</v>
      </c>
      <c r="D8">
        <f t="shared" ref="D8:AF8" si="2">AVERAGEIF($B3:$B6,"G/C",D3:D6)</f>
        <v>0.50161063</v>
      </c>
      <c r="E8">
        <f t="shared" si="2"/>
        <v>0.1376657985</v>
      </c>
      <c r="F8">
        <f t="shared" si="2"/>
        <v>0.154983934</v>
      </c>
      <c r="G8">
        <f t="shared" si="2"/>
        <v>0.655797973</v>
      </c>
      <c r="H8">
        <f t="shared" si="2"/>
        <v>0.1576507525</v>
      </c>
      <c r="I8">
        <f t="shared" si="2"/>
        <v>0.790812691</v>
      </c>
      <c r="J8">
        <f t="shared" si="2"/>
        <v>1.443753734</v>
      </c>
      <c r="K8">
        <f t="shared" si="2"/>
        <v>1.1074935225</v>
      </c>
      <c r="L8">
        <f t="shared" si="2"/>
        <v>0.1376657985</v>
      </c>
      <c r="M8">
        <f t="shared" si="2"/>
        <v>1.792349498</v>
      </c>
      <c r="N8">
        <f t="shared" si="2"/>
        <v>1.1747200945</v>
      </c>
      <c r="O8">
        <f t="shared" si="2"/>
        <v>1.071794088</v>
      </c>
      <c r="P8">
        <f t="shared" si="2"/>
        <v>0.2705131765</v>
      </c>
      <c r="Q8">
        <f t="shared" si="2"/>
        <v>0.4635930915</v>
      </c>
      <c r="R8">
        <f t="shared" si="2"/>
        <v>0.704789316</v>
      </c>
      <c r="S8">
        <f t="shared" si="2"/>
        <v>0.6933529915</v>
      </c>
      <c r="T8">
        <f t="shared" si="2"/>
        <v>0.66764645</v>
      </c>
      <c r="U8">
        <f t="shared" si="2"/>
        <v>0.857479331</v>
      </c>
      <c r="V8">
        <f t="shared" si="2"/>
        <v>0.673990139</v>
      </c>
      <c r="W8">
        <f t="shared" si="2"/>
        <v>0.1853670415</v>
      </c>
      <c r="X8">
        <f t="shared" si="2"/>
        <v>0.4928865495</v>
      </c>
      <c r="Y8">
        <f t="shared" si="2"/>
        <v>1.0093114755</v>
      </c>
      <c r="Z8">
        <f t="shared" si="2"/>
        <v>1.534523999</v>
      </c>
      <c r="AA8">
        <f t="shared" si="2"/>
        <v>1.5246451515</v>
      </c>
      <c r="AB8">
        <f t="shared" si="2"/>
        <v>1.540370285</v>
      </c>
      <c r="AC8">
        <f t="shared" si="2"/>
        <v>1.3974140615</v>
      </c>
      <c r="AD8">
        <f t="shared" si="2"/>
        <v>1.3752192245</v>
      </c>
      <c r="AE8">
        <f t="shared" si="2"/>
        <v>1.5104163525</v>
      </c>
      <c r="AF8">
        <f t="shared" si="2"/>
        <v>1.5133738725</v>
      </c>
    </row>
    <row r="12" spans="1:32">
      <c r="A12" s="10"/>
      <c r="C12" s="7" t="s">
        <v>169</v>
      </c>
      <c r="D12" s="7" t="s">
        <v>171</v>
      </c>
      <c r="E12" s="7" t="s">
        <v>164</v>
      </c>
      <c r="F12" s="8" t="s">
        <v>162</v>
      </c>
      <c r="G12" s="7" t="s">
        <v>159</v>
      </c>
      <c r="H12" s="8" t="s">
        <v>158</v>
      </c>
      <c r="I12" s="7" t="s">
        <v>157</v>
      </c>
      <c r="J12" s="8" t="s">
        <v>170</v>
      </c>
      <c r="K12" s="7" t="s">
        <v>167</v>
      </c>
      <c r="L12" s="7" t="s">
        <v>164</v>
      </c>
      <c r="M12" s="7" t="s">
        <v>168</v>
      </c>
      <c r="N12" s="7" t="s">
        <v>153</v>
      </c>
      <c r="O12" s="7" t="s">
        <v>166</v>
      </c>
      <c r="P12" s="11" t="s">
        <v>193</v>
      </c>
      <c r="Q12" s="12" t="s">
        <v>191</v>
      </c>
      <c r="R12" s="11" t="s">
        <v>189</v>
      </c>
      <c r="S12" s="11" t="s">
        <v>188</v>
      </c>
      <c r="T12" s="11" t="s">
        <v>187</v>
      </c>
      <c r="U12" s="11" t="s">
        <v>174</v>
      </c>
      <c r="V12" s="12" t="s">
        <v>185</v>
      </c>
      <c r="W12" s="12" t="s">
        <v>181</v>
      </c>
      <c r="X12" s="12" t="s">
        <v>176</v>
      </c>
      <c r="Y12" s="11" t="s">
        <v>190</v>
      </c>
      <c r="Z12" s="11" t="s">
        <v>180</v>
      </c>
      <c r="AA12" s="11" t="s">
        <v>179</v>
      </c>
      <c r="AB12" s="11" t="s">
        <v>178</v>
      </c>
      <c r="AC12" s="10"/>
      <c r="AD12" s="10"/>
      <c r="AE12" s="10"/>
      <c r="AF12" s="10"/>
    </row>
    <row r="13" spans="1:32">
      <c r="A13" s="10"/>
      <c r="C13" t="s">
        <v>212</v>
      </c>
      <c r="D13" t="s">
        <v>214</v>
      </c>
      <c r="E13" t="s">
        <v>207</v>
      </c>
      <c r="F13" t="s">
        <v>205</v>
      </c>
      <c r="G13" t="s">
        <v>202</v>
      </c>
      <c r="H13" t="s">
        <v>201</v>
      </c>
      <c r="I13" t="s">
        <v>200</v>
      </c>
      <c r="J13" t="s">
        <v>213</v>
      </c>
      <c r="K13" t="s">
        <v>210</v>
      </c>
      <c r="L13" t="s">
        <v>207</v>
      </c>
      <c r="M13" t="s">
        <v>211</v>
      </c>
      <c r="N13" t="s">
        <v>196</v>
      </c>
      <c r="O13" t="s">
        <v>209</v>
      </c>
      <c r="P13" t="s">
        <v>236</v>
      </c>
      <c r="Q13" t="s">
        <v>234</v>
      </c>
      <c r="R13" t="s">
        <v>232</v>
      </c>
      <c r="S13" t="s">
        <v>231</v>
      </c>
      <c r="T13" t="s">
        <v>230</v>
      </c>
      <c r="U13" t="s">
        <v>217</v>
      </c>
      <c r="V13" t="s">
        <v>228</v>
      </c>
      <c r="W13" t="s">
        <v>224</v>
      </c>
      <c r="X13" t="s">
        <v>219</v>
      </c>
      <c r="Y13" t="s">
        <v>233</v>
      </c>
      <c r="Z13" t="s">
        <v>223</v>
      </c>
      <c r="AA13" t="s">
        <v>222</v>
      </c>
      <c r="AB13" t="s">
        <v>221</v>
      </c>
      <c r="AC13" s="13" t="s">
        <v>42</v>
      </c>
      <c r="AD13" s="13" t="s">
        <v>43</v>
      </c>
      <c r="AE13" s="14" t="s">
        <v>44</v>
      </c>
      <c r="AF13" s="14" t="s">
        <v>45</v>
      </c>
    </row>
    <row r="14" spans="1:32">
      <c r="A14" s="10" t="s">
        <v>46</v>
      </c>
      <c r="B14" s="10" t="str">
        <f>IF(OR(RIGHT(A14,1)="A",RIGHT(A14,1)="T"),"A/T","G/C")</f>
        <v>A/T</v>
      </c>
      <c r="C14" s="10">
        <v>1.208842924</v>
      </c>
      <c r="D14" s="10">
        <v>1.121476758</v>
      </c>
      <c r="E14" s="10">
        <v>1.418329847</v>
      </c>
      <c r="F14" s="10">
        <v>1.384437477</v>
      </c>
      <c r="G14" s="10">
        <v>1.559194631</v>
      </c>
      <c r="H14" s="10">
        <v>1.518749091</v>
      </c>
      <c r="I14" s="10">
        <v>1.100300903</v>
      </c>
      <c r="J14" s="10">
        <v>1.044384855</v>
      </c>
      <c r="K14" s="10">
        <v>1.115887297</v>
      </c>
      <c r="L14" s="10">
        <v>1.418329847</v>
      </c>
      <c r="M14" s="10">
        <v>0.457275548</v>
      </c>
      <c r="N14" s="10">
        <v>1.534493305</v>
      </c>
      <c r="O14" s="10">
        <v>1.119021518</v>
      </c>
      <c r="P14" s="10">
        <v>1.684311807</v>
      </c>
      <c r="Q14" s="10">
        <v>0.844339096</v>
      </c>
      <c r="R14" s="10">
        <v>1.274511457</v>
      </c>
      <c r="S14" s="10">
        <v>1.364296081</v>
      </c>
      <c r="T14" s="10">
        <v>0.929822589</v>
      </c>
      <c r="U14" s="10">
        <v>0.889900396</v>
      </c>
      <c r="V14" s="10">
        <v>1.597018402</v>
      </c>
      <c r="W14" s="10">
        <v>1.620527843</v>
      </c>
      <c r="X14" s="10">
        <v>0.945444234</v>
      </c>
      <c r="Y14" s="10">
        <v>1.798510801</v>
      </c>
      <c r="Z14" s="10">
        <v>1.070551173</v>
      </c>
      <c r="AA14" s="10">
        <v>1.068537829</v>
      </c>
      <c r="AB14" s="10">
        <v>0.326216844</v>
      </c>
      <c r="AC14" s="10">
        <v>0.824203329</v>
      </c>
      <c r="AD14" s="10">
        <v>0.847612247</v>
      </c>
      <c r="AE14" s="10">
        <v>0.72913694</v>
      </c>
      <c r="AF14" s="10">
        <v>0.728899253</v>
      </c>
    </row>
    <row r="15" spans="1:32">
      <c r="A15" s="10" t="s">
        <v>47</v>
      </c>
      <c r="B15" s="10" t="str">
        <f t="shared" ref="B15:B18" si="3">IF(OR(RIGHT(A15,1)="A",RIGHT(A15,1)="T"),"A/T","G/C")</f>
        <v>G/C</v>
      </c>
      <c r="C15" s="10">
        <v>0.668316591</v>
      </c>
      <c r="D15" s="10">
        <v>0.939241786</v>
      </c>
      <c r="E15" s="10">
        <v>0.261503299</v>
      </c>
      <c r="F15" s="10">
        <v>0.348299414</v>
      </c>
      <c r="G15" s="10">
        <v>0.418200661</v>
      </c>
      <c r="H15" s="10">
        <v>0.331130559</v>
      </c>
      <c r="I15" s="10">
        <v>0.449656493</v>
      </c>
      <c r="J15" s="10">
        <v>0.952156968</v>
      </c>
      <c r="K15" s="10">
        <v>1.054861258</v>
      </c>
      <c r="L15" s="10">
        <v>0.261503299</v>
      </c>
      <c r="M15" s="10">
        <v>1.63685379</v>
      </c>
      <c r="N15" s="10">
        <v>1.105657285</v>
      </c>
      <c r="O15" s="10">
        <v>0.837261066</v>
      </c>
      <c r="P15" s="10">
        <v>0.26299282</v>
      </c>
      <c r="Q15" s="10">
        <v>0.766514567</v>
      </c>
      <c r="R15" s="10">
        <v>0.656988222</v>
      </c>
      <c r="S15" s="10">
        <v>0.633902093</v>
      </c>
      <c r="T15" s="10">
        <v>0.963514197</v>
      </c>
      <c r="U15" s="10">
        <v>0.946394499</v>
      </c>
      <c r="V15" s="10">
        <v>0.564255402</v>
      </c>
      <c r="W15" s="10">
        <v>0.304170037</v>
      </c>
      <c r="X15" s="10">
        <v>0.83513347</v>
      </c>
      <c r="Y15" s="10">
        <v>0.574166527</v>
      </c>
      <c r="Z15" s="10">
        <v>1.055835897</v>
      </c>
      <c r="AA15" s="10">
        <v>1.036747102</v>
      </c>
      <c r="AB15" s="10">
        <v>1.565343466</v>
      </c>
      <c r="AC15" s="10">
        <v>1.095302467</v>
      </c>
      <c r="AD15" s="10">
        <v>1.07553091</v>
      </c>
      <c r="AE15" s="10">
        <v>1.209384858</v>
      </c>
      <c r="AF15" s="10">
        <v>1.211784364</v>
      </c>
    </row>
    <row r="16" spans="1:32">
      <c r="A16" s="10" t="s">
        <v>48</v>
      </c>
      <c r="B16" s="10" t="str">
        <f t="shared" si="3"/>
        <v>G/C</v>
      </c>
      <c r="C16" s="10">
        <v>0.791157076</v>
      </c>
      <c r="D16" s="10">
        <v>0.878523242</v>
      </c>
      <c r="E16" s="10">
        <v>0.581670153</v>
      </c>
      <c r="F16" s="10">
        <v>0.615562523</v>
      </c>
      <c r="G16" s="10">
        <v>0.440805369</v>
      </c>
      <c r="H16" s="10">
        <v>0.481250909</v>
      </c>
      <c r="I16" s="10">
        <v>0.899699097</v>
      </c>
      <c r="J16" s="10">
        <v>0.955615145</v>
      </c>
      <c r="K16" s="10">
        <v>0.884112703</v>
      </c>
      <c r="L16" s="10">
        <v>0.581670153</v>
      </c>
      <c r="M16" s="10">
        <v>1.542724452</v>
      </c>
      <c r="N16" s="10">
        <v>0.465506695</v>
      </c>
      <c r="O16" s="10">
        <v>0.880978482</v>
      </c>
      <c r="P16" s="10">
        <v>0.315688193</v>
      </c>
      <c r="Q16" s="10">
        <v>1.155660904</v>
      </c>
      <c r="R16" s="10">
        <v>0.725488543</v>
      </c>
      <c r="S16" s="10">
        <v>0.635703919</v>
      </c>
      <c r="T16" s="10">
        <v>1.070177411</v>
      </c>
      <c r="U16" s="10">
        <v>1.110099604</v>
      </c>
      <c r="V16" s="10">
        <v>0.402981598</v>
      </c>
      <c r="W16" s="10">
        <v>0.379472157</v>
      </c>
      <c r="X16" s="10">
        <v>1.054555766</v>
      </c>
      <c r="Y16" s="10">
        <v>0.201489199</v>
      </c>
      <c r="Z16" s="10">
        <v>0.929448827</v>
      </c>
      <c r="AA16" s="10">
        <v>0.931462171</v>
      </c>
      <c r="AB16" s="10">
        <v>1.673783156</v>
      </c>
      <c r="AC16" s="10">
        <v>1.175796671</v>
      </c>
      <c r="AD16" s="10">
        <v>1.152387753</v>
      </c>
      <c r="AE16" s="10">
        <v>1.27086306</v>
      </c>
      <c r="AF16" s="10">
        <v>1.271100747</v>
      </c>
    </row>
    <row r="17" spans="1:32">
      <c r="A17" s="10" t="s">
        <v>49</v>
      </c>
      <c r="B17" s="10" t="str">
        <f t="shared" si="3"/>
        <v>A/T</v>
      </c>
      <c r="C17" s="10">
        <v>1.331683409</v>
      </c>
      <c r="D17" s="10">
        <v>1.060758214</v>
      </c>
      <c r="E17" s="10">
        <v>1.738496701</v>
      </c>
      <c r="F17" s="10">
        <v>1.651700586</v>
      </c>
      <c r="G17" s="10">
        <v>1.581799339</v>
      </c>
      <c r="H17" s="10">
        <v>1.668869441</v>
      </c>
      <c r="I17" s="10">
        <v>1.550343507</v>
      </c>
      <c r="J17" s="10">
        <v>1.047843032</v>
      </c>
      <c r="K17" s="10">
        <v>0.945138742</v>
      </c>
      <c r="L17" s="10">
        <v>1.738496701</v>
      </c>
      <c r="M17" s="10">
        <v>0.36314621</v>
      </c>
      <c r="N17" s="10">
        <v>0.894342715</v>
      </c>
      <c r="O17" s="10">
        <v>1.162738934</v>
      </c>
      <c r="P17" s="10">
        <v>1.73700718</v>
      </c>
      <c r="Q17" s="10">
        <v>1.233485433</v>
      </c>
      <c r="R17" s="10">
        <v>1.343011778</v>
      </c>
      <c r="S17" s="10">
        <v>1.366097907</v>
      </c>
      <c r="T17" s="10">
        <v>1.036485803</v>
      </c>
      <c r="U17" s="10">
        <v>1.053605501</v>
      </c>
      <c r="V17" s="10">
        <v>1.435744598</v>
      </c>
      <c r="W17" s="10">
        <v>1.695829963</v>
      </c>
      <c r="X17" s="10">
        <v>1.16486653</v>
      </c>
      <c r="Y17" s="10">
        <v>1.425833473</v>
      </c>
      <c r="Z17" s="10">
        <v>0.944164103</v>
      </c>
      <c r="AA17" s="10">
        <v>0.963252898</v>
      </c>
      <c r="AB17" s="10">
        <v>0.434656534</v>
      </c>
      <c r="AC17" s="10">
        <v>0.904697533</v>
      </c>
      <c r="AD17" s="10">
        <v>0.92446909</v>
      </c>
      <c r="AE17" s="10">
        <v>0.790615142</v>
      </c>
      <c r="AF17" s="10">
        <v>0.788215636</v>
      </c>
    </row>
    <row r="18" spans="1:32">
      <c r="A18" s="10" t="s">
        <v>50</v>
      </c>
      <c r="B18" s="10" t="str">
        <f t="shared" si="3"/>
        <v>A/T</v>
      </c>
      <c r="C18" s="10">
        <v>1.695285969</v>
      </c>
      <c r="D18" s="10">
        <v>1.925398725</v>
      </c>
      <c r="E18" s="10">
        <v>1.807739932</v>
      </c>
      <c r="F18" s="10">
        <v>1.672414212</v>
      </c>
      <c r="G18" s="10">
        <v>1.701085762</v>
      </c>
      <c r="H18" s="10">
        <v>1.793359211</v>
      </c>
      <c r="I18" s="10">
        <v>2.2324906</v>
      </c>
      <c r="J18" s="10">
        <v>0.822515328</v>
      </c>
      <c r="K18" s="10">
        <v>0.793793421</v>
      </c>
      <c r="L18" s="10">
        <v>1.807739932</v>
      </c>
      <c r="M18" s="10">
        <v>0.216432509</v>
      </c>
      <c r="N18" s="10">
        <v>0.514691377</v>
      </c>
      <c r="O18" s="10">
        <v>0.871044248</v>
      </c>
      <c r="P18" s="10">
        <v>1.972937046</v>
      </c>
      <c r="Q18" s="10">
        <v>0.971277038</v>
      </c>
      <c r="R18" s="10">
        <v>1.843151448</v>
      </c>
      <c r="S18" s="10">
        <v>1.881372582</v>
      </c>
      <c r="T18" s="10">
        <v>0.778674609</v>
      </c>
      <c r="U18" s="10">
        <v>0.364624139</v>
      </c>
      <c r="V18" s="10">
        <v>1.704075364</v>
      </c>
      <c r="W18" s="10">
        <v>1.768081196</v>
      </c>
      <c r="X18" s="10">
        <v>0.760342097</v>
      </c>
      <c r="Y18" s="10">
        <v>0.785046729</v>
      </c>
      <c r="Z18" s="10">
        <v>0.509728548</v>
      </c>
      <c r="AA18" s="10">
        <v>0.519820108</v>
      </c>
      <c r="AB18" s="10">
        <v>0.206024297</v>
      </c>
      <c r="AC18" s="10">
        <v>1.075281021</v>
      </c>
      <c r="AD18" s="10">
        <v>1.097373987</v>
      </c>
      <c r="AE18" s="10">
        <v>0.950892912</v>
      </c>
      <c r="AF18" s="10">
        <v>0.941365577</v>
      </c>
    </row>
    <row r="19" spans="1:32">
      <c r="A19" s="10" t="s">
        <v>51</v>
      </c>
      <c r="B19" s="10" t="str">
        <f t="shared" ref="B19:B22" si="4">IF(OR(RIGHT(A19,1)="A",RIGHT(A19,1)="T"),"A/T","G/C")</f>
        <v>G/C</v>
      </c>
      <c r="C19" s="10">
        <v>0.898754821</v>
      </c>
      <c r="D19" s="10">
        <v>0.80722073</v>
      </c>
      <c r="E19" s="10">
        <v>0.145128639</v>
      </c>
      <c r="F19" s="10">
        <v>0.253799946</v>
      </c>
      <c r="G19" s="10">
        <v>0.45786628</v>
      </c>
      <c r="H19" s="10">
        <v>0.122234035</v>
      </c>
      <c r="I19" s="10">
        <v>0.353377415</v>
      </c>
      <c r="J19" s="10">
        <v>1.3480238</v>
      </c>
      <c r="K19" s="10">
        <v>0.927918648</v>
      </c>
      <c r="L19" s="10">
        <v>0.145128639</v>
      </c>
      <c r="M19" s="10">
        <v>2.804078487</v>
      </c>
      <c r="N19" s="10">
        <v>1.750628638</v>
      </c>
      <c r="O19" s="10">
        <v>1.615362832</v>
      </c>
      <c r="P19" s="10">
        <v>0.164831794</v>
      </c>
      <c r="Q19" s="10">
        <v>0.893447075</v>
      </c>
      <c r="R19" s="10">
        <v>0.807683742</v>
      </c>
      <c r="S19" s="10">
        <v>0.711019274</v>
      </c>
      <c r="T19" s="10">
        <v>1.446909903</v>
      </c>
      <c r="U19" s="10">
        <v>1.142023847</v>
      </c>
      <c r="V19" s="10">
        <v>0.538193733</v>
      </c>
      <c r="W19" s="10">
        <v>0.121686779</v>
      </c>
      <c r="X19" s="10">
        <v>0.735761799</v>
      </c>
      <c r="Y19" s="10">
        <v>1.448511862</v>
      </c>
      <c r="Z19" s="10">
        <v>1.309707485</v>
      </c>
      <c r="AA19" s="10">
        <v>1.302597626</v>
      </c>
      <c r="AB19" s="10">
        <v>2.003439286</v>
      </c>
      <c r="AC19" s="10">
        <v>1.416697588</v>
      </c>
      <c r="AD19" s="10">
        <v>1.392007402</v>
      </c>
      <c r="AE19" s="10">
        <v>1.578408994</v>
      </c>
      <c r="AF19" s="10">
        <v>1.575404251</v>
      </c>
    </row>
    <row r="20" spans="1:32">
      <c r="A20" s="10" t="s">
        <v>52</v>
      </c>
      <c r="B20" s="10" t="str">
        <f t="shared" si="4"/>
        <v>G/C</v>
      </c>
      <c r="C20" s="10">
        <v>0.738972775</v>
      </c>
      <c r="D20" s="10">
        <v>0.349648992</v>
      </c>
      <c r="E20" s="10">
        <v>0.118713025</v>
      </c>
      <c r="F20" s="10">
        <v>0.060896423</v>
      </c>
      <c r="G20" s="10">
        <v>0.918633786</v>
      </c>
      <c r="H20" s="10">
        <v>0.163868767</v>
      </c>
      <c r="I20" s="10">
        <v>0.463632828</v>
      </c>
      <c r="J20" s="10">
        <v>1.265039253</v>
      </c>
      <c r="K20" s="10">
        <v>1.943062526</v>
      </c>
      <c r="L20" s="10">
        <v>0.118713025</v>
      </c>
      <c r="M20" s="10">
        <v>0.83626771</v>
      </c>
      <c r="N20" s="10">
        <v>1.072505244</v>
      </c>
      <c r="O20" s="10">
        <v>1.096353982</v>
      </c>
      <c r="P20" s="10">
        <v>0.146698933</v>
      </c>
      <c r="Q20" s="10">
        <v>0.630435477</v>
      </c>
      <c r="R20" s="10">
        <v>0.466481069</v>
      </c>
      <c r="S20" s="10">
        <v>0.621320416</v>
      </c>
      <c r="T20" s="10">
        <v>0.781653016</v>
      </c>
      <c r="U20" s="10">
        <v>1.646984817</v>
      </c>
      <c r="V20" s="10">
        <v>0.642330535</v>
      </c>
      <c r="W20" s="10">
        <v>0.041343669</v>
      </c>
      <c r="X20" s="10">
        <v>0.504909724</v>
      </c>
      <c r="Y20" s="10">
        <v>0.772393961</v>
      </c>
      <c r="Z20" s="10">
        <v>1.786893447</v>
      </c>
      <c r="AA20" s="10">
        <v>1.791944165</v>
      </c>
      <c r="AB20" s="10">
        <v>1.507294614</v>
      </c>
      <c r="AC20" s="10">
        <v>0.559336462</v>
      </c>
      <c r="AD20" s="10">
        <v>0.539742686</v>
      </c>
      <c r="AE20" s="10">
        <v>0.645972438</v>
      </c>
      <c r="AF20" s="10">
        <v>0.660476944</v>
      </c>
    </row>
    <row r="21" spans="1:32">
      <c r="A21" s="10" t="s">
        <v>53</v>
      </c>
      <c r="B21" s="10" t="str">
        <f t="shared" si="4"/>
        <v>A/T</v>
      </c>
      <c r="C21" s="10">
        <v>0.666986435</v>
      </c>
      <c r="D21" s="10">
        <v>0.917731552</v>
      </c>
      <c r="E21" s="10">
        <v>1.928418404</v>
      </c>
      <c r="F21" s="10">
        <v>2.012889419</v>
      </c>
      <c r="G21" s="10">
        <v>0.922414172</v>
      </c>
      <c r="H21" s="10">
        <v>1.920537988</v>
      </c>
      <c r="I21" s="10">
        <v>0.950499157</v>
      </c>
      <c r="J21" s="10">
        <v>0.564421619</v>
      </c>
      <c r="K21" s="10">
        <v>0.335225405</v>
      </c>
      <c r="L21" s="10">
        <v>1.928418404</v>
      </c>
      <c r="M21" s="10">
        <v>0.143221293</v>
      </c>
      <c r="N21" s="10">
        <v>0.662174741</v>
      </c>
      <c r="O21" s="10">
        <v>0.417238938</v>
      </c>
      <c r="P21" s="10">
        <v>1.715532227</v>
      </c>
      <c r="Q21" s="10">
        <v>1.50484041</v>
      </c>
      <c r="R21" s="10">
        <v>0.882683742</v>
      </c>
      <c r="S21" s="10">
        <v>0.786287727</v>
      </c>
      <c r="T21" s="10">
        <v>0.992762472</v>
      </c>
      <c r="U21" s="10">
        <v>0.846367198</v>
      </c>
      <c r="V21" s="10">
        <v>1.115400369</v>
      </c>
      <c r="W21" s="10">
        <v>2.068888356</v>
      </c>
      <c r="X21" s="10">
        <v>1.998986379</v>
      </c>
      <c r="Y21" s="10">
        <v>0.994047448</v>
      </c>
      <c r="Z21" s="10">
        <v>0.393670519</v>
      </c>
      <c r="AA21" s="10">
        <v>0.385638102</v>
      </c>
      <c r="AB21" s="10">
        <v>0.283241804</v>
      </c>
      <c r="AC21" s="10">
        <v>0.948684929</v>
      </c>
      <c r="AD21" s="10">
        <v>0.970875925</v>
      </c>
      <c r="AE21" s="10">
        <v>0.824725657</v>
      </c>
      <c r="AF21" s="10">
        <v>0.822753227</v>
      </c>
    </row>
    <row r="22" spans="1:32">
      <c r="A22" s="10" t="s">
        <v>54</v>
      </c>
      <c r="B22" s="10" t="str">
        <f t="shared" si="4"/>
        <v>A/T</v>
      </c>
      <c r="C22" s="10">
        <v>1.979077189</v>
      </c>
      <c r="D22" s="10">
        <v>2.837799271</v>
      </c>
      <c r="E22" s="10">
        <v>4.93016182</v>
      </c>
      <c r="F22" s="10">
        <v>5.146539666</v>
      </c>
      <c r="G22" s="10">
        <v>1.059213479</v>
      </c>
      <c r="H22" s="10">
        <v>4.949419849</v>
      </c>
      <c r="I22" s="10">
        <v>2.15070922</v>
      </c>
      <c r="J22" s="10">
        <v>0.76583682</v>
      </c>
      <c r="K22" s="10">
        <v>0.562843476</v>
      </c>
      <c r="L22" s="10">
        <v>4.93016182</v>
      </c>
      <c r="M22" s="10">
        <v>0.139777678</v>
      </c>
      <c r="N22" s="10">
        <v>0.21333008</v>
      </c>
      <c r="O22" s="10">
        <v>1.04392284</v>
      </c>
      <c r="P22" s="10">
        <v>5.080768271</v>
      </c>
      <c r="Q22" s="10">
        <v>0.438457428</v>
      </c>
      <c r="R22" s="10">
        <v>2.10776628</v>
      </c>
      <c r="S22" s="10">
        <v>2.038995027</v>
      </c>
      <c r="T22" s="10">
        <v>0.799629357</v>
      </c>
      <c r="U22" s="10">
        <v>0.423860029</v>
      </c>
      <c r="V22" s="10">
        <v>0.691974417</v>
      </c>
      <c r="W22" s="10">
        <v>5.343662578</v>
      </c>
      <c r="X22" s="10">
        <v>1.780347341</v>
      </c>
      <c r="Y22" s="10">
        <v>0.419438722</v>
      </c>
      <c r="Z22" s="10">
        <v>0.242925631</v>
      </c>
      <c r="AA22" s="10">
        <v>0.246026223</v>
      </c>
      <c r="AB22" s="10">
        <v>0.090549592</v>
      </c>
      <c r="AC22" s="10">
        <v>1.214155979</v>
      </c>
      <c r="AD22" s="10">
        <v>1.278536776</v>
      </c>
      <c r="AE22" s="10">
        <v>1.027482735</v>
      </c>
      <c r="AF22" s="10">
        <v>1.023943063</v>
      </c>
    </row>
    <row r="23" spans="1:32">
      <c r="A23" s="10" t="s">
        <v>55</v>
      </c>
      <c r="B23" s="10" t="str">
        <f t="shared" ref="B23:B25" si="5">IF(OR(RIGHT(A23,1)="A",RIGHT(A23,1)="T"),"A/T","G/C")</f>
        <v>G/C</v>
      </c>
      <c r="C23" s="10">
        <v>1.034681972</v>
      </c>
      <c r="D23" s="10">
        <v>1.203754538</v>
      </c>
      <c r="E23" s="10">
        <v>0.49070632</v>
      </c>
      <c r="F23" s="10">
        <v>0.517520794</v>
      </c>
      <c r="G23" s="10">
        <v>0.417939734</v>
      </c>
      <c r="H23" s="10">
        <v>0.462834777</v>
      </c>
      <c r="I23" s="10">
        <v>0.766688334</v>
      </c>
      <c r="J23" s="10">
        <v>1.242340967</v>
      </c>
      <c r="K23" s="10">
        <v>1.763312583</v>
      </c>
      <c r="L23" s="10">
        <v>0.49070632</v>
      </c>
      <c r="M23" s="10">
        <v>2.018353033</v>
      </c>
      <c r="N23" s="10">
        <v>1.67049551</v>
      </c>
      <c r="O23" s="10">
        <v>1.609063877</v>
      </c>
      <c r="P23" s="10">
        <v>0.395460644</v>
      </c>
      <c r="Q23" s="10">
        <v>0.787625102</v>
      </c>
      <c r="R23" s="10">
        <v>1.035058475</v>
      </c>
      <c r="S23" s="10">
        <v>0.957238469</v>
      </c>
      <c r="T23" s="10">
        <v>2.269956128</v>
      </c>
      <c r="U23" s="10">
        <v>1.418249601</v>
      </c>
      <c r="V23" s="10">
        <v>0.846599766</v>
      </c>
      <c r="W23" s="10">
        <v>0.324737345</v>
      </c>
      <c r="X23" s="10">
        <v>0.900894743</v>
      </c>
      <c r="Y23" s="10">
        <v>1.10519216</v>
      </c>
      <c r="Z23" s="10">
        <v>1.624837721</v>
      </c>
      <c r="AA23" s="10">
        <v>1.646784789</v>
      </c>
      <c r="AB23" s="10">
        <v>1.606442277</v>
      </c>
      <c r="AC23" s="10">
        <v>1.435390787</v>
      </c>
      <c r="AD23" s="10">
        <v>1.412801471</v>
      </c>
      <c r="AE23" s="10">
        <v>1.60482098</v>
      </c>
      <c r="AF23" s="10">
        <v>1.603235542</v>
      </c>
    </row>
    <row r="24" spans="1:32">
      <c r="A24" s="10" t="s">
        <v>56</v>
      </c>
      <c r="B24" s="10" t="str">
        <f t="shared" si="5"/>
        <v>G/C</v>
      </c>
      <c r="C24" s="10">
        <v>0.574993402</v>
      </c>
      <c r="D24" s="10">
        <v>0.48707785</v>
      </c>
      <c r="E24" s="10">
        <v>0.636208785</v>
      </c>
      <c r="F24" s="10">
        <v>0.583694132</v>
      </c>
      <c r="G24" s="10">
        <v>0.220833477</v>
      </c>
      <c r="H24" s="10">
        <v>0.595696744</v>
      </c>
      <c r="I24" s="10">
        <v>0.322916667</v>
      </c>
      <c r="J24" s="10">
        <v>0.833522957</v>
      </c>
      <c r="K24" s="10">
        <v>0.9292184</v>
      </c>
      <c r="L24" s="10">
        <v>0.636208785</v>
      </c>
      <c r="M24" s="10">
        <v>0.471533724</v>
      </c>
      <c r="N24" s="10">
        <v>0.118254646</v>
      </c>
      <c r="O24" s="10">
        <v>1.233505905</v>
      </c>
      <c r="P24" s="10">
        <v>0.509753056</v>
      </c>
      <c r="Q24" s="10">
        <v>0.240203064</v>
      </c>
      <c r="R24" s="10">
        <v>0.701996446</v>
      </c>
      <c r="S24" s="10">
        <v>0.506935357</v>
      </c>
      <c r="T24" s="10">
        <v>0.327060102</v>
      </c>
      <c r="U24" s="10">
        <v>0.150499342</v>
      </c>
      <c r="V24" s="10">
        <v>0.19781308</v>
      </c>
      <c r="W24" s="10">
        <v>0.391435335</v>
      </c>
      <c r="X24" s="10">
        <v>0.203275443</v>
      </c>
      <c r="Y24" s="10">
        <v>0.060180338</v>
      </c>
      <c r="Z24" s="10">
        <v>0.195743686</v>
      </c>
      <c r="AA24" s="10">
        <v>0.200428695</v>
      </c>
      <c r="AB24" s="10">
        <v>0.259058994</v>
      </c>
      <c r="AC24" s="10">
        <v>1.196419305</v>
      </c>
      <c r="AD24" s="10">
        <v>1.214353427</v>
      </c>
      <c r="AE24" s="10">
        <v>1.208372037</v>
      </c>
      <c r="AF24" s="10">
        <v>1.207925579</v>
      </c>
    </row>
    <row r="25" spans="1:32">
      <c r="A25" s="10" t="s">
        <v>57</v>
      </c>
      <c r="B25" s="10" t="str">
        <f t="shared" si="5"/>
        <v>A/T</v>
      </c>
      <c r="C25" s="10">
        <v>1.197236015</v>
      </c>
      <c r="D25" s="10">
        <v>0.665545028</v>
      </c>
      <c r="E25" s="10">
        <v>1.881104168</v>
      </c>
      <c r="F25" s="10">
        <v>1.746498524</v>
      </c>
      <c r="G25" s="10">
        <v>1.596556212</v>
      </c>
      <c r="H25" s="10">
        <v>1.820461711</v>
      </c>
      <c r="I25" s="10">
        <v>1.454022701</v>
      </c>
      <c r="J25" s="10">
        <v>0.490890585</v>
      </c>
      <c r="K25" s="10">
        <v>0.575624146</v>
      </c>
      <c r="L25" s="10">
        <v>1.881104168</v>
      </c>
      <c r="M25" s="10">
        <v>0.195545409</v>
      </c>
      <c r="N25" s="10">
        <v>0.902151302</v>
      </c>
      <c r="O25" s="10">
        <v>0.68506088</v>
      </c>
      <c r="P25" s="10">
        <v>1.599284436</v>
      </c>
      <c r="Q25" s="10">
        <v>1.60772959</v>
      </c>
      <c r="R25" s="10">
        <v>1.153503879</v>
      </c>
      <c r="S25" s="10">
        <v>1.254656952</v>
      </c>
      <c r="T25" s="10">
        <v>0.805424192</v>
      </c>
      <c r="U25" s="10">
        <v>1.068524765</v>
      </c>
      <c r="V25" s="10">
        <v>1.273041699</v>
      </c>
      <c r="W25" s="10">
        <v>1.888388593</v>
      </c>
      <c r="X25" s="10">
        <v>1.371007829</v>
      </c>
      <c r="Y25" s="10">
        <v>1.247864152</v>
      </c>
      <c r="Z25" s="10">
        <v>0.648178328</v>
      </c>
      <c r="AA25" s="10">
        <v>0.660158601</v>
      </c>
      <c r="AB25" s="10">
        <v>0.282827741</v>
      </c>
      <c r="AC25" s="10">
        <v>0.923463838</v>
      </c>
      <c r="AD25" s="10">
        <v>0.938243813</v>
      </c>
      <c r="AE25" s="10">
        <v>0.80201005</v>
      </c>
      <c r="AF25" s="10">
        <v>0.807866868</v>
      </c>
    </row>
    <row r="26" spans="1:32">
      <c r="A26" s="10" t="s">
        <v>58</v>
      </c>
      <c r="B26" s="10" t="str">
        <f t="shared" ref="B26:B75" si="6">IF(OR(RIGHT(A26,1)="A",RIGHT(A26,1)="T"),"A/T","G/C")</f>
        <v>A/T</v>
      </c>
      <c r="C26" s="10">
        <v>0.347792529</v>
      </c>
      <c r="D26" s="10">
        <v>0.495422055</v>
      </c>
      <c r="E26" s="10">
        <v>1.646768508</v>
      </c>
      <c r="F26" s="10">
        <v>1.864243943</v>
      </c>
      <c r="G26" s="10">
        <v>0.279445428</v>
      </c>
      <c r="H26" s="10">
        <v>2.054509009</v>
      </c>
      <c r="I26" s="10">
        <v>0.404217466</v>
      </c>
      <c r="J26" s="10">
        <v>0.555673434</v>
      </c>
      <c r="K26" s="10">
        <v>0.41068371</v>
      </c>
      <c r="L26" s="10">
        <v>1.646768508</v>
      </c>
      <c r="M26" s="10">
        <v>0.141789189</v>
      </c>
      <c r="N26" s="10">
        <v>0.20843033</v>
      </c>
      <c r="O26" s="10">
        <v>0.669920925</v>
      </c>
      <c r="P26" s="10">
        <v>1.561097422</v>
      </c>
      <c r="Q26" s="10">
        <v>0.184399031</v>
      </c>
      <c r="R26" s="10">
        <v>0.50228429</v>
      </c>
      <c r="S26" s="10">
        <v>0.4436248</v>
      </c>
      <c r="T26" s="10">
        <v>0.345808796</v>
      </c>
      <c r="U26" s="10">
        <v>0.104173083</v>
      </c>
      <c r="V26" s="10">
        <v>0.207768707</v>
      </c>
      <c r="W26" s="10">
        <v>1.652555478</v>
      </c>
      <c r="X26" s="10">
        <v>0.201312963</v>
      </c>
      <c r="Y26" s="10">
        <v>0.16558527</v>
      </c>
      <c r="Z26" s="10">
        <v>0.158136483</v>
      </c>
      <c r="AA26" s="10">
        <v>0.16465519</v>
      </c>
      <c r="AB26" s="10">
        <v>0.09398756</v>
      </c>
      <c r="AC26" s="10">
        <v>0.466312194</v>
      </c>
      <c r="AD26" s="10">
        <v>0.486349914</v>
      </c>
      <c r="AE26" s="10">
        <v>0.39227241</v>
      </c>
      <c r="AF26" s="10">
        <v>0.39377709</v>
      </c>
    </row>
    <row r="27" spans="1:32">
      <c r="A27" s="10" t="s">
        <v>59</v>
      </c>
      <c r="B27" s="10" t="str">
        <f t="shared" si="6"/>
        <v>G/C</v>
      </c>
      <c r="C27" s="10">
        <v>1.400390132</v>
      </c>
      <c r="D27" s="10">
        <v>0.939207765</v>
      </c>
      <c r="E27" s="10">
        <v>0.111780259</v>
      </c>
      <c r="F27" s="10">
        <v>0.136904762</v>
      </c>
      <c r="G27" s="10">
        <v>0.607653436</v>
      </c>
      <c r="H27" s="10">
        <v>0.109986105</v>
      </c>
      <c r="I27" s="10">
        <v>0.774789388</v>
      </c>
      <c r="J27" s="10">
        <v>1.462361962</v>
      </c>
      <c r="K27" s="10">
        <v>1.515028735</v>
      </c>
      <c r="L27" s="10">
        <v>0.111780259</v>
      </c>
      <c r="M27" s="10">
        <v>2.328774362</v>
      </c>
      <c r="N27" s="10">
        <v>1.264848311</v>
      </c>
      <c r="O27" s="10">
        <v>1.180642606</v>
      </c>
      <c r="P27" s="10">
        <v>0.192346492</v>
      </c>
      <c r="Q27" s="10">
        <v>0.73854419</v>
      </c>
      <c r="R27" s="10">
        <v>1.163555186</v>
      </c>
      <c r="S27" s="10">
        <v>1.258696417</v>
      </c>
      <c r="T27" s="10">
        <v>1.112440191</v>
      </c>
      <c r="U27" s="10">
        <v>1.357714814</v>
      </c>
      <c r="V27" s="10">
        <v>0.806152454</v>
      </c>
      <c r="W27" s="10">
        <v>0.281003423</v>
      </c>
      <c r="X27" s="10">
        <v>0.945261399</v>
      </c>
      <c r="Y27" s="10">
        <v>0.759206488</v>
      </c>
      <c r="Z27" s="10">
        <v>2.022112861</v>
      </c>
      <c r="AA27" s="10">
        <v>2.007801878</v>
      </c>
      <c r="AB27" s="10">
        <v>2.097011057</v>
      </c>
      <c r="AC27" s="10">
        <v>1.464488085</v>
      </c>
      <c r="AD27" s="10">
        <v>1.421461797</v>
      </c>
      <c r="AE27" s="10">
        <v>1.663940388</v>
      </c>
      <c r="AF27" s="10">
        <v>1.66512456</v>
      </c>
    </row>
    <row r="28" spans="1:32">
      <c r="A28" s="10" t="s">
        <v>60</v>
      </c>
      <c r="B28" s="10" t="str">
        <f t="shared" si="6"/>
        <v>A/T</v>
      </c>
      <c r="C28" s="10">
        <v>1.25181734</v>
      </c>
      <c r="D28" s="10">
        <v>1.56537018</v>
      </c>
      <c r="E28" s="10">
        <v>1.241451234</v>
      </c>
      <c r="F28" s="10">
        <v>0.998851295</v>
      </c>
      <c r="G28" s="10">
        <v>2.112901136</v>
      </c>
      <c r="H28" s="10">
        <v>0.835504886</v>
      </c>
      <c r="I28" s="10">
        <v>1.820993145</v>
      </c>
      <c r="J28" s="10">
        <v>0.981964604</v>
      </c>
      <c r="K28" s="10">
        <v>1.074287555</v>
      </c>
      <c r="L28" s="10">
        <v>1.241451234</v>
      </c>
      <c r="M28" s="10">
        <v>0.529436449</v>
      </c>
      <c r="N28" s="10">
        <v>1.526721358</v>
      </c>
      <c r="O28" s="10">
        <v>1.149436469</v>
      </c>
      <c r="P28" s="10">
        <v>1.246556087</v>
      </c>
      <c r="Q28" s="10">
        <v>2.077056779</v>
      </c>
      <c r="R28" s="10">
        <v>1.334160523</v>
      </c>
      <c r="S28" s="10">
        <v>1.297678783</v>
      </c>
      <c r="T28" s="10">
        <v>1.541751012</v>
      </c>
      <c r="U28" s="10">
        <v>1.538112103</v>
      </c>
      <c r="V28" s="10">
        <v>1.986078839</v>
      </c>
      <c r="W28" s="10">
        <v>1.066441099</v>
      </c>
      <c r="X28" s="10">
        <v>1.853425639</v>
      </c>
      <c r="Y28" s="10">
        <v>2.075208242</v>
      </c>
      <c r="Z28" s="10">
        <v>0.819750656</v>
      </c>
      <c r="AA28" s="10">
        <v>0.827542931</v>
      </c>
      <c r="AB28" s="10">
        <v>0.809001382</v>
      </c>
      <c r="AC28" s="10">
        <v>1.069199721</v>
      </c>
      <c r="AD28" s="10">
        <v>1.09218829</v>
      </c>
      <c r="AE28" s="10">
        <v>0.943787202</v>
      </c>
      <c r="AF28" s="10">
        <v>0.941098349</v>
      </c>
    </row>
    <row r="29" spans="1:32">
      <c r="A29" s="10" t="s">
        <v>61</v>
      </c>
      <c r="B29" s="10" t="str">
        <f t="shared" si="6"/>
        <v>A/T</v>
      </c>
      <c r="C29" s="10">
        <v>0.3029693</v>
      </c>
      <c r="D29" s="10">
        <v>1.112649727</v>
      </c>
      <c r="E29" s="10">
        <v>1.787615631</v>
      </c>
      <c r="F29" s="10">
        <v>1.71632176</v>
      </c>
      <c r="G29" s="10">
        <v>1.596565708</v>
      </c>
      <c r="H29" s="10">
        <v>1.737026879</v>
      </c>
      <c r="I29" s="10">
        <v>0.92921603</v>
      </c>
      <c r="J29" s="10">
        <v>0.518309031</v>
      </c>
      <c r="K29" s="10">
        <v>0.572942817</v>
      </c>
      <c r="L29" s="10">
        <v>1.787615631</v>
      </c>
      <c r="M29" s="10">
        <v>0.198947657</v>
      </c>
      <c r="N29" s="10">
        <v>0.693746318</v>
      </c>
      <c r="O29" s="10">
        <v>0.322805342</v>
      </c>
      <c r="P29" s="10">
        <v>1.737289422</v>
      </c>
      <c r="Q29" s="10">
        <v>1.350909795</v>
      </c>
      <c r="R29" s="10">
        <v>0.339483722</v>
      </c>
      <c r="S29" s="10">
        <v>0.276400921</v>
      </c>
      <c r="T29" s="10">
        <v>0.520052737</v>
      </c>
      <c r="U29" s="10">
        <v>0.871179987</v>
      </c>
      <c r="V29" s="10">
        <v>1.629311403</v>
      </c>
      <c r="W29" s="10">
        <v>1.720160307</v>
      </c>
      <c r="X29" s="10">
        <v>1.629501005</v>
      </c>
      <c r="Y29" s="10">
        <v>1.689999117</v>
      </c>
      <c r="Z29" s="10">
        <v>0.334868371</v>
      </c>
      <c r="AA29" s="10">
        <v>0.340989783</v>
      </c>
      <c r="AB29" s="10">
        <v>0.3281471</v>
      </c>
      <c r="AC29" s="10">
        <v>0.459319986</v>
      </c>
      <c r="AD29" s="10">
        <v>0.472883672</v>
      </c>
      <c r="AE29" s="10">
        <v>0.389131059</v>
      </c>
      <c r="AF29" s="10">
        <v>0.3857489</v>
      </c>
    </row>
    <row r="30" spans="1:32">
      <c r="A30" s="10" t="s">
        <v>62</v>
      </c>
      <c r="B30" s="10" t="str">
        <f t="shared" si="6"/>
        <v>G/C</v>
      </c>
      <c r="C30" s="10">
        <v>0.558056661</v>
      </c>
      <c r="D30" s="10">
        <v>1.105806142</v>
      </c>
      <c r="E30" s="10">
        <v>0.282203726</v>
      </c>
      <c r="F30" s="10">
        <v>0.373682858</v>
      </c>
      <c r="G30" s="10">
        <v>0.403145695</v>
      </c>
      <c r="H30" s="10">
        <v>0.325656133</v>
      </c>
      <c r="I30" s="10">
        <v>0.244264219</v>
      </c>
      <c r="J30" s="10">
        <v>0.988735039</v>
      </c>
      <c r="K30" s="10">
        <v>0.803514035</v>
      </c>
      <c r="L30" s="10">
        <v>0.282203726</v>
      </c>
      <c r="M30" s="10">
        <v>1.643325538</v>
      </c>
      <c r="N30" s="10">
        <v>0.861328836</v>
      </c>
      <c r="O30" s="10">
        <v>0.547717842</v>
      </c>
      <c r="P30" s="10">
        <v>0.321759579</v>
      </c>
      <c r="Q30" s="10">
        <v>0.881820329</v>
      </c>
      <c r="R30" s="10">
        <v>0.518045272</v>
      </c>
      <c r="S30" s="10">
        <v>0.478345524</v>
      </c>
      <c r="T30" s="10">
        <v>0.632254028</v>
      </c>
      <c r="U30" s="10">
        <v>0.742106409</v>
      </c>
      <c r="V30" s="10">
        <v>0.75069462</v>
      </c>
      <c r="W30" s="10">
        <v>0.428571429</v>
      </c>
      <c r="X30" s="10">
        <v>0.947926153</v>
      </c>
      <c r="Y30" s="10">
        <v>0.565836549</v>
      </c>
      <c r="Z30" s="10">
        <v>0.91174478</v>
      </c>
      <c r="AA30" s="10">
        <v>0.899200374</v>
      </c>
      <c r="AB30" s="10">
        <v>1.245158315</v>
      </c>
      <c r="AC30" s="10">
        <v>1.184267316</v>
      </c>
      <c r="AD30" s="10">
        <v>1.164066852</v>
      </c>
      <c r="AE30" s="10">
        <v>1.309084224</v>
      </c>
      <c r="AF30" s="10">
        <v>1.314156171</v>
      </c>
    </row>
    <row r="31" spans="1:32">
      <c r="A31" s="10" t="s">
        <v>63</v>
      </c>
      <c r="B31" s="10" t="str">
        <f t="shared" si="6"/>
        <v>G/C</v>
      </c>
      <c r="C31" s="10">
        <v>1.6970307</v>
      </c>
      <c r="D31" s="10">
        <v>0.887350273</v>
      </c>
      <c r="E31" s="10">
        <v>0.212384369</v>
      </c>
      <c r="F31" s="10">
        <v>0.28367824</v>
      </c>
      <c r="G31" s="10">
        <v>0.403434292</v>
      </c>
      <c r="H31" s="10">
        <v>0.262973121</v>
      </c>
      <c r="I31" s="10">
        <v>1.07078397</v>
      </c>
      <c r="J31" s="10">
        <v>1.481690969</v>
      </c>
      <c r="K31" s="10">
        <v>1.427057183</v>
      </c>
      <c r="L31" s="10">
        <v>0.212384369</v>
      </c>
      <c r="M31" s="10">
        <v>1.801052343</v>
      </c>
      <c r="N31" s="10">
        <v>1.306253682</v>
      </c>
      <c r="O31" s="10">
        <v>1.677194658</v>
      </c>
      <c r="P31" s="10">
        <v>0.262710578</v>
      </c>
      <c r="Q31" s="10">
        <v>0.649090205</v>
      </c>
      <c r="R31" s="10">
        <v>1.660516278</v>
      </c>
      <c r="S31" s="10">
        <v>1.723599079</v>
      </c>
      <c r="T31" s="10">
        <v>1.479947263</v>
      </c>
      <c r="U31" s="10">
        <v>1.128820013</v>
      </c>
      <c r="V31" s="10">
        <v>0.370688597</v>
      </c>
      <c r="W31" s="10">
        <v>0.279839693</v>
      </c>
      <c r="X31" s="10">
        <v>0.370498995</v>
      </c>
      <c r="Y31" s="10">
        <v>0.310000883</v>
      </c>
      <c r="Z31" s="10">
        <v>1.665131629</v>
      </c>
      <c r="AA31" s="10">
        <v>1.659010217</v>
      </c>
      <c r="AB31" s="10">
        <v>1.6718529</v>
      </c>
      <c r="AC31" s="10">
        <v>1.540680014</v>
      </c>
      <c r="AD31" s="10">
        <v>1.527116328</v>
      </c>
      <c r="AE31" s="10">
        <v>1.610868941</v>
      </c>
      <c r="AF31" s="10">
        <v>1.6142511</v>
      </c>
    </row>
    <row r="32" spans="1:32">
      <c r="A32" s="10" t="s">
        <v>64</v>
      </c>
      <c r="B32" s="10" t="str">
        <f t="shared" si="6"/>
        <v>A/T</v>
      </c>
      <c r="C32" s="10">
        <v>1.441943339</v>
      </c>
      <c r="D32" s="10">
        <v>0.894193858</v>
      </c>
      <c r="E32" s="10">
        <v>1.717796274</v>
      </c>
      <c r="F32" s="10">
        <v>1.626317142</v>
      </c>
      <c r="G32" s="10">
        <v>1.596854305</v>
      </c>
      <c r="H32" s="10">
        <v>1.674343867</v>
      </c>
      <c r="I32" s="10">
        <v>1.755735781</v>
      </c>
      <c r="J32" s="10">
        <v>1.011264961</v>
      </c>
      <c r="K32" s="10">
        <v>1.196485965</v>
      </c>
      <c r="L32" s="10">
        <v>1.717796274</v>
      </c>
      <c r="M32" s="10">
        <v>0.356674462</v>
      </c>
      <c r="N32" s="10">
        <v>1.138671164</v>
      </c>
      <c r="O32" s="10">
        <v>1.452282158</v>
      </c>
      <c r="P32" s="10">
        <v>1.678240421</v>
      </c>
      <c r="Q32" s="10">
        <v>1.118179671</v>
      </c>
      <c r="R32" s="10">
        <v>1.481954728</v>
      </c>
      <c r="S32" s="10">
        <v>1.521654476</v>
      </c>
      <c r="T32" s="10">
        <v>1.367745972</v>
      </c>
      <c r="U32" s="10">
        <v>1.257893591</v>
      </c>
      <c r="V32" s="10">
        <v>1.24930538</v>
      </c>
      <c r="W32" s="10">
        <v>1.571428571</v>
      </c>
      <c r="X32" s="10">
        <v>1.052073847</v>
      </c>
      <c r="Y32" s="10">
        <v>1.434163451</v>
      </c>
      <c r="Z32" s="10">
        <v>1.08825522</v>
      </c>
      <c r="AA32" s="10">
        <v>1.100799626</v>
      </c>
      <c r="AB32" s="10">
        <v>0.754841685</v>
      </c>
      <c r="AC32" s="10">
        <v>0.815732684</v>
      </c>
      <c r="AD32" s="10">
        <v>0.835933148</v>
      </c>
      <c r="AE32" s="10">
        <v>0.690915776</v>
      </c>
      <c r="AF32" s="10">
        <v>0.685843829</v>
      </c>
    </row>
    <row r="33" spans="1:32">
      <c r="A33" s="10" t="s">
        <v>65</v>
      </c>
      <c r="B33" s="10" t="str">
        <f t="shared" si="6"/>
        <v>A/T</v>
      </c>
      <c r="C33" s="10">
        <v>0.991783658</v>
      </c>
      <c r="D33" s="10">
        <v>0.78775936</v>
      </c>
      <c r="E33" s="10">
        <v>2.339284358</v>
      </c>
      <c r="F33" s="10">
        <v>2.119310793</v>
      </c>
      <c r="G33" s="10">
        <v>1.991362876</v>
      </c>
      <c r="H33" s="10">
        <v>2.173238236</v>
      </c>
      <c r="I33" s="10">
        <v>1.7866128</v>
      </c>
      <c r="J33" s="10">
        <v>0.52811284</v>
      </c>
      <c r="K33" s="10">
        <v>0.378460122</v>
      </c>
      <c r="L33" s="10">
        <v>2.339284358</v>
      </c>
      <c r="M33" s="10">
        <v>0.109624485</v>
      </c>
      <c r="N33" s="10">
        <v>0.761328488</v>
      </c>
      <c r="O33" s="10">
        <v>0.263812207</v>
      </c>
      <c r="P33" s="10">
        <v>1.835365452</v>
      </c>
      <c r="Q33" s="10">
        <v>1.951459293</v>
      </c>
      <c r="R33" s="10">
        <v>0.915073762</v>
      </c>
      <c r="S33" s="10">
        <v>1.145858869</v>
      </c>
      <c r="T33" s="10">
        <v>0.280175628</v>
      </c>
      <c r="U33" s="10">
        <v>1.764237003</v>
      </c>
      <c r="V33" s="10">
        <v>2.183973876</v>
      </c>
      <c r="W33" s="10">
        <v>2.138760407</v>
      </c>
      <c r="X33" s="10">
        <v>2.147810581</v>
      </c>
      <c r="Y33" s="10">
        <v>1.260243979</v>
      </c>
      <c r="Z33" s="10">
        <v>0.252256186</v>
      </c>
      <c r="AA33" s="10">
        <v>0.257699213</v>
      </c>
      <c r="AB33" s="10">
        <v>0.179281858</v>
      </c>
      <c r="AC33" s="10">
        <v>1.045865178</v>
      </c>
      <c r="AD33" s="10">
        <v>1.07014966</v>
      </c>
      <c r="AE33" s="10">
        <v>0.93597447</v>
      </c>
      <c r="AF33" s="10">
        <v>0.93617498</v>
      </c>
    </row>
    <row r="34" spans="1:32">
      <c r="A34" s="10" t="s">
        <v>66</v>
      </c>
      <c r="B34" s="10" t="str">
        <f t="shared" si="6"/>
        <v>G/C</v>
      </c>
      <c r="C34" s="10">
        <v>0.167561623</v>
      </c>
      <c r="D34" s="10">
        <v>0.255708821</v>
      </c>
      <c r="E34" s="10">
        <v>0.070804528</v>
      </c>
      <c r="F34" s="10">
        <v>0.08810143</v>
      </c>
      <c r="G34" s="10">
        <v>0.253666887</v>
      </c>
      <c r="H34" s="10">
        <v>0.055084556</v>
      </c>
      <c r="I34" s="10">
        <v>0.300431549</v>
      </c>
      <c r="J34" s="10">
        <v>1.314299611</v>
      </c>
      <c r="K34" s="10">
        <v>0.87513972</v>
      </c>
      <c r="L34" s="10">
        <v>0.070804528</v>
      </c>
      <c r="M34" s="10">
        <v>2.643924693</v>
      </c>
      <c r="N34" s="10">
        <v>0.492723739</v>
      </c>
      <c r="O34" s="10">
        <v>1.190760563</v>
      </c>
      <c r="P34" s="10">
        <v>0.13866737</v>
      </c>
      <c r="Q34" s="10">
        <v>0.356169995</v>
      </c>
      <c r="R34" s="10">
        <v>0.428735605</v>
      </c>
      <c r="S34" s="10">
        <v>0.188641802</v>
      </c>
      <c r="T34" s="10">
        <v>0.6678817</v>
      </c>
      <c r="U34" s="10">
        <v>0.417323532</v>
      </c>
      <c r="V34" s="10">
        <v>0.181060035</v>
      </c>
      <c r="W34" s="10">
        <v>0.078445883</v>
      </c>
      <c r="X34" s="10">
        <v>0.18922132</v>
      </c>
      <c r="Y34" s="10">
        <v>0.282139506</v>
      </c>
      <c r="Z34" s="10">
        <v>1.079475983</v>
      </c>
      <c r="AA34" s="10">
        <v>1.067117801</v>
      </c>
      <c r="AB34" s="10">
        <v>1.830501105</v>
      </c>
      <c r="AC34" s="10">
        <v>1.283761248</v>
      </c>
      <c r="AD34" s="10">
        <v>1.254204082</v>
      </c>
      <c r="AE34" s="10">
        <v>1.42694228</v>
      </c>
      <c r="AF34" s="10">
        <v>1.429934373</v>
      </c>
    </row>
    <row r="35" spans="1:32">
      <c r="A35" s="10" t="s">
        <v>67</v>
      </c>
      <c r="B35" s="10" t="str">
        <f t="shared" si="6"/>
        <v>G/C</v>
      </c>
      <c r="C35" s="10">
        <v>2.277544155</v>
      </c>
      <c r="D35" s="10">
        <v>1.480931958</v>
      </c>
      <c r="E35" s="10">
        <v>0.162880802</v>
      </c>
      <c r="F35" s="10">
        <v>0.053803641</v>
      </c>
      <c r="G35" s="10">
        <v>0.560245886</v>
      </c>
      <c r="H35" s="10">
        <v>0.177095949</v>
      </c>
      <c r="I35" s="10">
        <v>0.220549077</v>
      </c>
      <c r="J35" s="10">
        <v>1.311964981</v>
      </c>
      <c r="K35" s="10">
        <v>2.112564929</v>
      </c>
      <c r="L35" s="10">
        <v>0.162880802</v>
      </c>
      <c r="M35" s="10">
        <v>1.070438838</v>
      </c>
      <c r="N35" s="10">
        <v>2.11740049</v>
      </c>
      <c r="O35" s="10">
        <v>1.619330203</v>
      </c>
      <c r="P35" s="10">
        <v>0.2628353</v>
      </c>
      <c r="Q35" s="10">
        <v>0.777880184</v>
      </c>
      <c r="R35" s="10">
        <v>1.636888149</v>
      </c>
      <c r="S35" s="10">
        <v>1.948053464</v>
      </c>
      <c r="T35" s="10">
        <v>1.906552895</v>
      </c>
      <c r="U35" s="10">
        <v>1.076432557</v>
      </c>
      <c r="V35" s="10">
        <v>0.451745793</v>
      </c>
      <c r="W35" s="10">
        <v>0.05106383</v>
      </c>
      <c r="X35" s="10">
        <v>0.347136913</v>
      </c>
      <c r="Y35" s="10">
        <v>1.685799187</v>
      </c>
      <c r="Z35" s="10">
        <v>2.074818049</v>
      </c>
      <c r="AA35" s="10">
        <v>2.078994614</v>
      </c>
      <c r="AB35" s="10">
        <v>1.555418675</v>
      </c>
      <c r="AC35" s="10">
        <v>0.523735207</v>
      </c>
      <c r="AD35" s="10">
        <v>0.518603175</v>
      </c>
      <c r="AE35" s="10">
        <v>0.60059991</v>
      </c>
      <c r="AF35" s="10">
        <v>0.606865134</v>
      </c>
    </row>
    <row r="36" spans="1:32">
      <c r="A36" s="10" t="s">
        <v>68</v>
      </c>
      <c r="B36" s="10" t="str">
        <f t="shared" si="6"/>
        <v>A/T</v>
      </c>
      <c r="C36" s="10">
        <v>0.563110565</v>
      </c>
      <c r="D36" s="10">
        <v>1.475599861</v>
      </c>
      <c r="E36" s="10">
        <v>1.427030312</v>
      </c>
      <c r="F36" s="10">
        <v>1.738784135</v>
      </c>
      <c r="G36" s="10">
        <v>1.194724351</v>
      </c>
      <c r="H36" s="10">
        <v>1.594581259</v>
      </c>
      <c r="I36" s="10">
        <v>1.692406574</v>
      </c>
      <c r="J36" s="10">
        <v>0.845622568</v>
      </c>
      <c r="K36" s="10">
        <v>0.633835229</v>
      </c>
      <c r="L36" s="10">
        <v>1.427030312</v>
      </c>
      <c r="M36" s="10">
        <v>0.176011984</v>
      </c>
      <c r="N36" s="10">
        <v>0.628547283</v>
      </c>
      <c r="O36" s="10">
        <v>0.926097027</v>
      </c>
      <c r="P36" s="10">
        <v>1.763131879</v>
      </c>
      <c r="Q36" s="10">
        <v>0.914490527</v>
      </c>
      <c r="R36" s="10">
        <v>1.019302484</v>
      </c>
      <c r="S36" s="10">
        <v>0.717445865</v>
      </c>
      <c r="T36" s="10">
        <v>1.145389777</v>
      </c>
      <c r="U36" s="10">
        <v>0.742006908</v>
      </c>
      <c r="V36" s="10">
        <v>1.183220296</v>
      </c>
      <c r="W36" s="10">
        <v>1.73172988</v>
      </c>
      <c r="X36" s="10">
        <v>1.315831187</v>
      </c>
      <c r="Y36" s="10">
        <v>0.771817329</v>
      </c>
      <c r="Z36" s="10">
        <v>0.593449782</v>
      </c>
      <c r="AA36" s="10">
        <v>0.596188372</v>
      </c>
      <c r="AB36" s="10">
        <v>0.434798362</v>
      </c>
      <c r="AC36" s="10">
        <v>1.146638367</v>
      </c>
      <c r="AD36" s="10">
        <v>1.157043084</v>
      </c>
      <c r="AE36" s="10">
        <v>1.03648334</v>
      </c>
      <c r="AF36" s="10">
        <v>1.027025513</v>
      </c>
    </row>
    <row r="37" spans="1:32">
      <c r="A37" s="10" t="s">
        <v>69</v>
      </c>
      <c r="B37" s="10" t="str">
        <f t="shared" si="6"/>
        <v>A/T</v>
      </c>
      <c r="C37" s="10">
        <v>0.426422247</v>
      </c>
      <c r="D37" s="10">
        <v>0.549865229</v>
      </c>
      <c r="E37" s="10">
        <v>0.116802531</v>
      </c>
      <c r="F37" s="10">
        <v>0.037367615</v>
      </c>
      <c r="G37" s="10">
        <v>1.094430826</v>
      </c>
      <c r="H37" s="10">
        <v>0.125267545</v>
      </c>
      <c r="I37" s="10">
        <v>0.360593972</v>
      </c>
      <c r="J37" s="10">
        <v>0.541373392</v>
      </c>
      <c r="K37" s="10">
        <v>0.280734785</v>
      </c>
      <c r="L37" s="10">
        <v>0.116802531</v>
      </c>
      <c r="M37" s="10">
        <v>0.097566471</v>
      </c>
      <c r="N37" s="10">
        <v>0.380057745</v>
      </c>
      <c r="O37" s="10">
        <v>0.204782873</v>
      </c>
      <c r="P37" s="10">
        <v>0.136193564</v>
      </c>
      <c r="Q37" s="10">
        <v>1.112041325</v>
      </c>
      <c r="R37" s="10">
        <v>0.427197659</v>
      </c>
      <c r="S37" s="10">
        <v>0.5902905</v>
      </c>
      <c r="T37" s="10">
        <v>0.198804997</v>
      </c>
      <c r="U37" s="10">
        <v>0.692807928</v>
      </c>
      <c r="V37" s="10">
        <v>0.608541366</v>
      </c>
      <c r="W37" s="10">
        <v>0.032709275</v>
      </c>
      <c r="X37" s="10">
        <v>0.488616935</v>
      </c>
      <c r="Y37" s="10">
        <v>0.521360305</v>
      </c>
      <c r="Z37" s="10">
        <v>0.232050982</v>
      </c>
      <c r="AA37" s="10">
        <v>0.244857055</v>
      </c>
      <c r="AB37" s="10">
        <v>0.26825922</v>
      </c>
      <c r="AC37" s="10">
        <v>0.739880643</v>
      </c>
      <c r="AD37" s="10">
        <v>0.747002732</v>
      </c>
      <c r="AE37" s="10">
        <v>0.675154477</v>
      </c>
      <c r="AF37" s="10">
        <v>0.676459212</v>
      </c>
    </row>
    <row r="38" spans="1:32">
      <c r="A38" s="10" t="s">
        <v>70</v>
      </c>
      <c r="B38" s="10" t="str">
        <f t="shared" si="6"/>
        <v>G/C</v>
      </c>
      <c r="C38" s="10">
        <v>0.67677616</v>
      </c>
      <c r="D38" s="10">
        <v>0.586015538</v>
      </c>
      <c r="E38" s="10">
        <v>0.029930648</v>
      </c>
      <c r="F38" s="10">
        <v>0.017984414</v>
      </c>
      <c r="G38" s="10">
        <v>0.639091254</v>
      </c>
      <c r="H38" s="10">
        <v>0.034020502</v>
      </c>
      <c r="I38" s="10">
        <v>0.618794326</v>
      </c>
      <c r="J38" s="10">
        <v>2.077790848</v>
      </c>
      <c r="K38" s="10">
        <v>1.967585996</v>
      </c>
      <c r="L38" s="10">
        <v>0.029930648</v>
      </c>
      <c r="M38" s="10">
        <v>2.576460868</v>
      </c>
      <c r="N38" s="10">
        <v>2.407547477</v>
      </c>
      <c r="O38" s="10">
        <v>0.895627982</v>
      </c>
      <c r="P38" s="10">
        <v>0.023946121</v>
      </c>
      <c r="Q38" s="10">
        <v>0.648735305</v>
      </c>
      <c r="R38" s="10">
        <v>0.725201213</v>
      </c>
      <c r="S38" s="10">
        <v>0.640669982</v>
      </c>
      <c r="T38" s="10">
        <v>2.225389015</v>
      </c>
      <c r="U38" s="10">
        <v>1.856158551</v>
      </c>
      <c r="V38" s="10">
        <v>1.014813287</v>
      </c>
      <c r="W38" s="10">
        <v>0.007531741</v>
      </c>
      <c r="X38" s="10">
        <v>0.917574012</v>
      </c>
      <c r="Y38" s="10">
        <v>1.866401</v>
      </c>
      <c r="Z38" s="10">
        <v>2.860558934</v>
      </c>
      <c r="AA38" s="10">
        <v>2.835564958</v>
      </c>
      <c r="AB38" s="10">
        <v>3.763860867</v>
      </c>
      <c r="AC38" s="10">
        <v>1.043906146</v>
      </c>
      <c r="AD38" s="10">
        <v>0.995371661</v>
      </c>
      <c r="AE38" s="10">
        <v>1.185897177</v>
      </c>
      <c r="AF38" s="10">
        <v>1.177638959</v>
      </c>
    </row>
    <row r="39" spans="1:32">
      <c r="A39" s="10" t="s">
        <v>71</v>
      </c>
      <c r="B39" s="10" t="str">
        <f t="shared" si="6"/>
        <v>G/C</v>
      </c>
      <c r="C39" s="10">
        <v>0.920651678</v>
      </c>
      <c r="D39" s="10">
        <v>0.068178215</v>
      </c>
      <c r="E39" s="10">
        <v>0.012410269</v>
      </c>
      <c r="F39" s="10">
        <v>0.005195497</v>
      </c>
      <c r="G39" s="10">
        <v>0.156199289</v>
      </c>
      <c r="H39" s="10">
        <v>0.006308438</v>
      </c>
      <c r="I39" s="10">
        <v>0.119237589</v>
      </c>
      <c r="J39" s="10">
        <v>1.14997011</v>
      </c>
      <c r="K39" s="10">
        <v>1.207510686</v>
      </c>
      <c r="L39" s="10">
        <v>0.012410269</v>
      </c>
      <c r="M39" s="10">
        <v>2.451028992</v>
      </c>
      <c r="N39" s="10">
        <v>0.579724289</v>
      </c>
      <c r="O39" s="10">
        <v>1.69585644</v>
      </c>
      <c r="P39" s="10">
        <v>0.024245448</v>
      </c>
      <c r="Q39" s="10">
        <v>1.806198789</v>
      </c>
      <c r="R39" s="10">
        <v>0.668339082</v>
      </c>
      <c r="S39" s="10">
        <v>0.539649306</v>
      </c>
      <c r="T39" s="10">
        <v>0.23599706</v>
      </c>
      <c r="U39" s="10">
        <v>1.379112797</v>
      </c>
      <c r="V39" s="10">
        <v>0.148793068</v>
      </c>
      <c r="W39" s="10">
        <v>0.005379815</v>
      </c>
      <c r="X39" s="10">
        <v>0.232970395</v>
      </c>
      <c r="Y39" s="10">
        <v>0.373037047</v>
      </c>
      <c r="Z39" s="10">
        <v>1.510173059</v>
      </c>
      <c r="AA39" s="10">
        <v>1.515742004</v>
      </c>
      <c r="AB39" s="10">
        <v>0.298765233</v>
      </c>
      <c r="AC39" s="10">
        <v>1.292219586</v>
      </c>
      <c r="AD39" s="10">
        <v>1.251491663</v>
      </c>
      <c r="AE39" s="10">
        <v>1.432636</v>
      </c>
      <c r="AF39" s="10">
        <v>1.447433567</v>
      </c>
    </row>
    <row r="40" spans="1:32">
      <c r="A40" s="10" t="s">
        <v>72</v>
      </c>
      <c r="B40" s="10" t="str">
        <f t="shared" si="6"/>
        <v>A/T</v>
      </c>
      <c r="C40" s="10">
        <v>1.422079324</v>
      </c>
      <c r="D40" s="10">
        <v>1.471063897</v>
      </c>
      <c r="E40" s="10">
        <v>0.274485947</v>
      </c>
      <c r="F40" s="10">
        <v>0.209218677</v>
      </c>
      <c r="G40" s="10">
        <v>2.830231675</v>
      </c>
      <c r="H40" s="10">
        <v>0.289286921</v>
      </c>
      <c r="I40" s="10">
        <v>2.427748227</v>
      </c>
      <c r="J40" s="10">
        <v>0.631505872</v>
      </c>
      <c r="K40" s="10">
        <v>1.052106656</v>
      </c>
      <c r="L40" s="10">
        <v>0.274485947</v>
      </c>
      <c r="M40" s="10">
        <v>0.263632267</v>
      </c>
      <c r="N40" s="10">
        <v>2.301085763</v>
      </c>
      <c r="O40" s="10">
        <v>0.926303959</v>
      </c>
      <c r="P40" s="10">
        <v>0.22509354</v>
      </c>
      <c r="Q40" s="10">
        <v>1.75436409</v>
      </c>
      <c r="R40" s="10">
        <v>1.369499321</v>
      </c>
      <c r="S40" s="10">
        <v>1.683459827</v>
      </c>
      <c r="T40" s="10">
        <v>2.213119468</v>
      </c>
      <c r="U40" s="10">
        <v>1.497561353</v>
      </c>
      <c r="V40" s="10">
        <v>3.338064782</v>
      </c>
      <c r="W40" s="10">
        <v>0.219281257</v>
      </c>
      <c r="X40" s="10">
        <v>2.377215873</v>
      </c>
      <c r="Y40" s="10">
        <v>2.759582588</v>
      </c>
      <c r="Z40" s="10">
        <v>0.958547708</v>
      </c>
      <c r="AA40" s="10">
        <v>0.957381065</v>
      </c>
      <c r="AB40" s="10">
        <v>1.319506093</v>
      </c>
      <c r="AC40" s="10">
        <v>0.513418341</v>
      </c>
      <c r="AD40" s="10">
        <v>0.513243741</v>
      </c>
      <c r="AE40" s="10">
        <v>0.470457574</v>
      </c>
      <c r="AF40" s="10">
        <v>0.466599621</v>
      </c>
    </row>
    <row r="41" spans="1:32">
      <c r="A41" s="10" t="s">
        <v>73</v>
      </c>
      <c r="B41" s="10" t="str">
        <f t="shared" si="6"/>
        <v>A/T</v>
      </c>
      <c r="C41" s="10">
        <v>0.148877708</v>
      </c>
      <c r="D41" s="10">
        <v>0.126531076</v>
      </c>
      <c r="E41" s="10">
        <v>0.481567615</v>
      </c>
      <c r="F41" s="10">
        <v>0.517187277</v>
      </c>
      <c r="G41" s="10">
        <v>0.503615351</v>
      </c>
      <c r="H41" s="10">
        <v>0.757385077</v>
      </c>
      <c r="I41" s="10">
        <v>0.433779025</v>
      </c>
      <c r="J41" s="10">
        <v>0.137366802</v>
      </c>
      <c r="K41" s="10">
        <v>0.178029224</v>
      </c>
      <c r="L41" s="10">
        <v>0.481567615</v>
      </c>
      <c r="M41" s="10">
        <v>0.066606038</v>
      </c>
      <c r="N41" s="10">
        <v>0.218320012</v>
      </c>
      <c r="O41" s="10">
        <v>0.115828069</v>
      </c>
      <c r="P41" s="10">
        <v>0.580782842</v>
      </c>
      <c r="Q41" s="10">
        <v>0.649784355</v>
      </c>
      <c r="R41" s="10">
        <v>0.152554681</v>
      </c>
      <c r="S41" s="10">
        <v>0.126986847</v>
      </c>
      <c r="T41" s="10">
        <v>0.104489622</v>
      </c>
      <c r="U41" s="10">
        <v>0.307174656</v>
      </c>
      <c r="V41" s="10">
        <v>0.498419356</v>
      </c>
      <c r="W41" s="10">
        <v>0.782608696</v>
      </c>
      <c r="X41" s="10">
        <v>0.440105724</v>
      </c>
      <c r="Y41" s="10">
        <v>0.349032349</v>
      </c>
      <c r="Z41" s="10">
        <v>0.090748677</v>
      </c>
      <c r="AA41" s="10">
        <v>0.094771587</v>
      </c>
      <c r="AB41" s="10">
        <v>0.153592325</v>
      </c>
      <c r="AC41" s="10">
        <v>0.383666127</v>
      </c>
      <c r="AD41" s="10">
        <v>0.39397444</v>
      </c>
      <c r="AE41" s="10">
        <v>0.325419684</v>
      </c>
      <c r="AF41" s="10">
        <v>0.325082653</v>
      </c>
    </row>
    <row r="42" spans="1:32">
      <c r="A42" s="10" t="s">
        <v>74</v>
      </c>
      <c r="B42" s="10" t="str">
        <f t="shared" si="6"/>
        <v>G/C</v>
      </c>
      <c r="C42" s="10">
        <v>0.476108911</v>
      </c>
      <c r="D42" s="10">
        <v>1.011566867</v>
      </c>
      <c r="E42" s="10">
        <v>0.024235276</v>
      </c>
      <c r="F42" s="10">
        <v>0.028170019</v>
      </c>
      <c r="G42" s="10">
        <v>0.226386681</v>
      </c>
      <c r="H42" s="10">
        <v>0.029698278</v>
      </c>
      <c r="I42" s="10">
        <v>0.61636505</v>
      </c>
      <c r="J42" s="10">
        <v>2.118016853</v>
      </c>
      <c r="K42" s="10">
        <v>0.789857137</v>
      </c>
      <c r="L42" s="10">
        <v>0.024235276</v>
      </c>
      <c r="M42" s="10">
        <v>1.23399298</v>
      </c>
      <c r="N42" s="10">
        <v>0.627244859</v>
      </c>
      <c r="O42" s="10">
        <v>0.526483191</v>
      </c>
      <c r="P42" s="10">
        <v>0.058366382</v>
      </c>
      <c r="Q42" s="10">
        <v>0.45143038</v>
      </c>
      <c r="R42" s="10">
        <v>0.410772024</v>
      </c>
      <c r="S42" s="10">
        <v>0.463476286</v>
      </c>
      <c r="T42" s="10">
        <v>0.450844936</v>
      </c>
      <c r="U42" s="10">
        <v>0.297856921</v>
      </c>
      <c r="V42" s="10">
        <v>0.381326489</v>
      </c>
      <c r="W42" s="10">
        <v>0.095514584</v>
      </c>
      <c r="X42" s="10">
        <v>0.235332703</v>
      </c>
      <c r="Y42" s="10">
        <v>0.26147761</v>
      </c>
      <c r="Z42" s="10">
        <v>1.638013612</v>
      </c>
      <c r="AA42" s="10">
        <v>1.613468176</v>
      </c>
      <c r="AB42" s="10">
        <v>1.93740645</v>
      </c>
      <c r="AC42" s="10">
        <v>1.153976884</v>
      </c>
      <c r="AD42" s="10">
        <v>1.125882788</v>
      </c>
      <c r="AE42" s="10">
        <v>1.262805422</v>
      </c>
      <c r="AF42" s="10">
        <v>1.261562056</v>
      </c>
    </row>
    <row r="43" spans="1:32">
      <c r="A43" s="10" t="s">
        <v>75</v>
      </c>
      <c r="B43" s="10" t="str">
        <f t="shared" si="6"/>
        <v>G/C</v>
      </c>
      <c r="C43" s="10">
        <v>2.195696392</v>
      </c>
      <c r="D43" s="10">
        <v>0.338961482</v>
      </c>
      <c r="E43" s="10">
        <v>0.051408161</v>
      </c>
      <c r="F43" s="10">
        <v>0.030452147</v>
      </c>
      <c r="G43" s="10">
        <v>0.166867851</v>
      </c>
      <c r="H43" s="10">
        <v>0.066505187</v>
      </c>
      <c r="I43" s="10">
        <v>0.381637725</v>
      </c>
      <c r="J43" s="10">
        <v>1.503945784</v>
      </c>
      <c r="K43" s="10">
        <v>2.144165412</v>
      </c>
      <c r="L43" s="10">
        <v>0.051408161</v>
      </c>
      <c r="M43" s="10">
        <v>4.060082224</v>
      </c>
      <c r="N43" s="10">
        <v>2.991979396</v>
      </c>
      <c r="O43" s="10">
        <v>2.995538278</v>
      </c>
      <c r="P43" s="10">
        <v>0.134765521</v>
      </c>
      <c r="Q43" s="10">
        <v>0.537015788</v>
      </c>
      <c r="R43" s="10">
        <v>2.268297744</v>
      </c>
      <c r="S43" s="10">
        <v>2.300544107</v>
      </c>
      <c r="T43" s="10">
        <v>2.934910344</v>
      </c>
      <c r="U43" s="10">
        <v>2.573351279</v>
      </c>
      <c r="V43" s="10">
        <v>0.299633791</v>
      </c>
      <c r="W43" s="10">
        <v>0.08346175</v>
      </c>
      <c r="X43" s="10">
        <v>0.394960739</v>
      </c>
      <c r="Y43" s="10">
        <v>0.399039412</v>
      </c>
      <c r="Z43" s="10">
        <v>2.385933955</v>
      </c>
      <c r="AA43" s="10">
        <v>2.38375861</v>
      </c>
      <c r="AB43" s="10">
        <v>2.340828684</v>
      </c>
      <c r="AC43" s="10">
        <v>2.370817686</v>
      </c>
      <c r="AD43" s="10">
        <v>2.314604235</v>
      </c>
      <c r="AE43" s="10">
        <v>2.678910264</v>
      </c>
      <c r="AF43" s="10">
        <v>2.679103446</v>
      </c>
    </row>
    <row r="44" spans="1:32">
      <c r="A44" s="10" t="s">
        <v>76</v>
      </c>
      <c r="B44" s="10" t="str">
        <f t="shared" si="6"/>
        <v>A/T</v>
      </c>
      <c r="C44" s="10">
        <v>1.822717054</v>
      </c>
      <c r="D44" s="10">
        <v>2.699693217</v>
      </c>
      <c r="E44" s="10">
        <v>1.090253591</v>
      </c>
      <c r="F44" s="10">
        <v>1.237198688</v>
      </c>
      <c r="G44" s="10">
        <v>0.884177314</v>
      </c>
      <c r="H44" s="10">
        <v>1.011716076</v>
      </c>
      <c r="I44" s="10">
        <v>1.723498651</v>
      </c>
      <c r="J44" s="10">
        <v>1.333407642</v>
      </c>
      <c r="K44" s="10">
        <v>1.37938052</v>
      </c>
      <c r="L44" s="10">
        <v>1.090253591</v>
      </c>
      <c r="M44" s="10">
        <v>0.269535742</v>
      </c>
      <c r="N44" s="10">
        <v>0.618132445</v>
      </c>
      <c r="O44" s="10">
        <v>1.247073375</v>
      </c>
      <c r="P44" s="10">
        <v>1.123046007</v>
      </c>
      <c r="Q44" s="10">
        <v>1.380524671</v>
      </c>
      <c r="R44" s="10">
        <v>1.650920723</v>
      </c>
      <c r="S44" s="10">
        <v>1.823636519</v>
      </c>
      <c r="T44" s="10">
        <v>0.89722606</v>
      </c>
      <c r="U44" s="10">
        <v>0.715291438</v>
      </c>
      <c r="V44" s="10">
        <v>1.574509374</v>
      </c>
      <c r="W44" s="10">
        <v>1.238222345</v>
      </c>
      <c r="X44" s="10">
        <v>1.15802674</v>
      </c>
      <c r="Y44" s="10">
        <v>0.66433112</v>
      </c>
      <c r="Z44" s="10">
        <v>0.36762667</v>
      </c>
      <c r="AA44" s="10">
        <v>0.385326079</v>
      </c>
      <c r="AB44" s="10">
        <v>0.930738876</v>
      </c>
      <c r="AC44" s="10">
        <v>0.802548663</v>
      </c>
      <c r="AD44" s="10">
        <v>0.826412901</v>
      </c>
      <c r="AE44" s="10">
        <v>0.672970216</v>
      </c>
      <c r="AF44" s="10">
        <v>0.669926712</v>
      </c>
    </row>
    <row r="45" spans="1:32">
      <c r="A45" s="10" t="s">
        <v>77</v>
      </c>
      <c r="B45" s="10" t="str">
        <f t="shared" si="6"/>
        <v>A/T</v>
      </c>
      <c r="C45" s="10">
        <v>1.346535946</v>
      </c>
      <c r="D45" s="10">
        <v>1.402311323</v>
      </c>
      <c r="E45" s="10">
        <v>1.653536168</v>
      </c>
      <c r="F45" s="10">
        <v>1.532772697</v>
      </c>
      <c r="G45" s="10">
        <v>1.465194431</v>
      </c>
      <c r="H45" s="10">
        <v>1.630605016</v>
      </c>
      <c r="I45" s="10">
        <v>1.664425273</v>
      </c>
      <c r="J45" s="10">
        <v>1.123547328</v>
      </c>
      <c r="K45" s="10">
        <v>1.197854385</v>
      </c>
      <c r="L45" s="10">
        <v>1.653536168</v>
      </c>
      <c r="M45" s="10">
        <v>0.294501038</v>
      </c>
      <c r="N45" s="10">
        <v>1.381194986</v>
      </c>
      <c r="O45" s="10">
        <v>1.282489811</v>
      </c>
      <c r="P45" s="10">
        <v>1.715132937</v>
      </c>
      <c r="Q45" s="10">
        <v>1.566504154</v>
      </c>
      <c r="R45" s="10">
        <v>1.295858582</v>
      </c>
      <c r="S45" s="10">
        <v>1.410820625</v>
      </c>
      <c r="T45" s="10">
        <v>1.128860394</v>
      </c>
      <c r="U45" s="10">
        <v>1.384254385</v>
      </c>
      <c r="V45" s="10">
        <v>1.606156094</v>
      </c>
      <c r="W45" s="10">
        <v>1.236683849</v>
      </c>
      <c r="X45" s="10">
        <v>1.69579328</v>
      </c>
      <c r="Y45" s="10">
        <v>1.612891977</v>
      </c>
      <c r="Z45" s="10">
        <v>1.776666262</v>
      </c>
      <c r="AA45" s="10">
        <v>1.769110189</v>
      </c>
      <c r="AB45" s="10">
        <v>0.326985995</v>
      </c>
      <c r="AC45" s="10">
        <v>0.841170747</v>
      </c>
      <c r="AD45" s="10">
        <v>0.865549218</v>
      </c>
      <c r="AE45" s="10">
        <v>0.72364134</v>
      </c>
      <c r="AF45" s="10">
        <v>0.723762345</v>
      </c>
    </row>
    <row r="46" spans="1:32">
      <c r="A46" s="10" t="s">
        <v>78</v>
      </c>
      <c r="B46" s="10" t="str">
        <f t="shared" si="6"/>
        <v>G/C</v>
      </c>
      <c r="C46" s="10">
        <v>0.567691423</v>
      </c>
      <c r="D46" s="10">
        <v>0.9318346</v>
      </c>
      <c r="E46" s="10">
        <v>0.184609979</v>
      </c>
      <c r="F46" s="10">
        <v>0.254384731</v>
      </c>
      <c r="G46" s="10">
        <v>0.301668563</v>
      </c>
      <c r="H46" s="10">
        <v>0.269200025</v>
      </c>
      <c r="I46" s="10">
        <v>0.344110332</v>
      </c>
      <c r="J46" s="10">
        <v>0.942232145</v>
      </c>
      <c r="K46" s="10">
        <v>1.013258436</v>
      </c>
      <c r="L46" s="10">
        <v>0.184609979</v>
      </c>
      <c r="M46" s="10">
        <v>1.637567799</v>
      </c>
      <c r="N46" s="10">
        <v>0.747900261</v>
      </c>
      <c r="O46" s="10">
        <v>0.673930134</v>
      </c>
      <c r="P46" s="10">
        <v>0.24565986</v>
      </c>
      <c r="Q46" s="10">
        <v>0.535660432</v>
      </c>
      <c r="R46" s="10">
        <v>0.594051404</v>
      </c>
      <c r="S46" s="10">
        <v>0.534018306</v>
      </c>
      <c r="T46" s="10">
        <v>0.745325779</v>
      </c>
      <c r="U46" s="10">
        <v>0.773996343</v>
      </c>
      <c r="V46" s="10">
        <v>0.636093309</v>
      </c>
      <c r="W46" s="10">
        <v>0.232110161</v>
      </c>
      <c r="X46" s="10">
        <v>0.617262276</v>
      </c>
      <c r="Y46" s="10">
        <v>0.378827255</v>
      </c>
      <c r="Z46" s="10">
        <v>1.084860311</v>
      </c>
      <c r="AA46" s="10">
        <v>1.070850742</v>
      </c>
      <c r="AB46" s="10">
        <v>1.275540915</v>
      </c>
      <c r="AC46" s="10">
        <v>1.068485103</v>
      </c>
      <c r="AD46" s="10">
        <v>1.047051667</v>
      </c>
      <c r="AE46" s="10">
        <v>1.183397221</v>
      </c>
      <c r="AF46" s="10">
        <v>1.185032246</v>
      </c>
    </row>
    <row r="47" spans="1:32">
      <c r="A47" s="10" t="s">
        <v>79</v>
      </c>
      <c r="B47" s="10" t="str">
        <f t="shared" si="6"/>
        <v>G/C</v>
      </c>
      <c r="C47" s="10">
        <v>0.653464054</v>
      </c>
      <c r="D47" s="10">
        <v>0.597688677</v>
      </c>
      <c r="E47" s="10">
        <v>0.346463832</v>
      </c>
      <c r="F47" s="10">
        <v>0.467227303</v>
      </c>
      <c r="G47" s="10">
        <v>0.534805569</v>
      </c>
      <c r="H47" s="10">
        <v>0.369394984</v>
      </c>
      <c r="I47" s="10">
        <v>0.335574727</v>
      </c>
      <c r="J47" s="10">
        <v>0.876452672</v>
      </c>
      <c r="K47" s="10">
        <v>0.802145615</v>
      </c>
      <c r="L47" s="10">
        <v>0.346463832</v>
      </c>
      <c r="M47" s="10">
        <v>1.705498962</v>
      </c>
      <c r="N47" s="10">
        <v>0.618805014</v>
      </c>
      <c r="O47" s="10">
        <v>0.717510189</v>
      </c>
      <c r="P47" s="10">
        <v>0.284867063</v>
      </c>
      <c r="Q47" s="10">
        <v>0.433495846</v>
      </c>
      <c r="R47" s="10">
        <v>0.704141418</v>
      </c>
      <c r="S47" s="10">
        <v>0.589179375</v>
      </c>
      <c r="T47" s="10">
        <v>0.871139606</v>
      </c>
      <c r="U47" s="10">
        <v>0.615745615</v>
      </c>
      <c r="V47" s="10">
        <v>0.393843906</v>
      </c>
      <c r="W47" s="10">
        <v>0.763316151</v>
      </c>
      <c r="X47" s="10">
        <v>0.30420672</v>
      </c>
      <c r="Y47" s="10">
        <v>0.387108023</v>
      </c>
      <c r="Z47" s="10">
        <v>0.223333738</v>
      </c>
      <c r="AA47" s="10">
        <v>0.230889811</v>
      </c>
      <c r="AB47" s="10">
        <v>1.673014005</v>
      </c>
      <c r="AC47" s="10">
        <v>1.158829253</v>
      </c>
      <c r="AD47" s="10">
        <v>1.134450782</v>
      </c>
      <c r="AE47" s="10">
        <v>1.27635866</v>
      </c>
      <c r="AF47" s="10">
        <v>1.276237655</v>
      </c>
    </row>
    <row r="48" spans="1:32">
      <c r="A48" s="10" t="s">
        <v>80</v>
      </c>
      <c r="B48" s="10" t="str">
        <f t="shared" si="6"/>
        <v>A/T</v>
      </c>
      <c r="C48" s="10">
        <v>1.432308577</v>
      </c>
      <c r="D48" s="10">
        <v>1.0681654</v>
      </c>
      <c r="E48" s="10">
        <v>1.815390021</v>
      </c>
      <c r="F48" s="10">
        <v>1.745615269</v>
      </c>
      <c r="G48" s="10">
        <v>1.698331437</v>
      </c>
      <c r="H48" s="10">
        <v>1.730799975</v>
      </c>
      <c r="I48" s="10">
        <v>1.655889668</v>
      </c>
      <c r="J48" s="10">
        <v>1.057767855</v>
      </c>
      <c r="K48" s="10">
        <v>0.986741564</v>
      </c>
      <c r="L48" s="10">
        <v>1.815390021</v>
      </c>
      <c r="M48" s="10">
        <v>0.362432201</v>
      </c>
      <c r="N48" s="10">
        <v>1.252099739</v>
      </c>
      <c r="O48" s="10">
        <v>1.326069866</v>
      </c>
      <c r="P48" s="10">
        <v>1.75434014</v>
      </c>
      <c r="Q48" s="10">
        <v>1.464339568</v>
      </c>
      <c r="R48" s="10">
        <v>1.405948596</v>
      </c>
      <c r="S48" s="10">
        <v>1.465981694</v>
      </c>
      <c r="T48" s="10">
        <v>1.254674221</v>
      </c>
      <c r="U48" s="10">
        <v>1.226003657</v>
      </c>
      <c r="V48" s="10">
        <v>1.363906691</v>
      </c>
      <c r="W48" s="10">
        <v>1.767889839</v>
      </c>
      <c r="X48" s="10">
        <v>1.382737724</v>
      </c>
      <c r="Y48" s="10">
        <v>1.621172745</v>
      </c>
      <c r="Z48" s="10">
        <v>0.915139689</v>
      </c>
      <c r="AA48" s="10">
        <v>0.929149258</v>
      </c>
      <c r="AB48" s="10">
        <v>0.724459085</v>
      </c>
      <c r="AC48" s="10">
        <v>0.931514897</v>
      </c>
      <c r="AD48" s="10">
        <v>0.952948333</v>
      </c>
      <c r="AE48" s="10">
        <v>0.816602779</v>
      </c>
      <c r="AF48" s="10">
        <v>0.814967754</v>
      </c>
    </row>
    <row r="49" spans="1:32">
      <c r="A49" s="10" t="s">
        <v>81</v>
      </c>
      <c r="B49" s="10" t="str">
        <f t="shared" si="6"/>
        <v>A/T</v>
      </c>
      <c r="C49" s="10">
        <v>2.106243861</v>
      </c>
      <c r="D49" s="10">
        <v>2.015611536</v>
      </c>
      <c r="E49" s="10">
        <v>1.948874824</v>
      </c>
      <c r="F49" s="10">
        <v>1.468885792</v>
      </c>
      <c r="G49" s="10">
        <v>1.449114522</v>
      </c>
      <c r="H49" s="10">
        <v>1.863723433</v>
      </c>
      <c r="I49" s="10">
        <v>1.256084002</v>
      </c>
      <c r="J49" s="10">
        <v>0.717962874</v>
      </c>
      <c r="K49" s="10">
        <v>0.780729352</v>
      </c>
      <c r="L49" s="10">
        <v>1.948874824</v>
      </c>
      <c r="M49" s="10">
        <v>0.174685019</v>
      </c>
      <c r="N49" s="10">
        <v>0.849063418</v>
      </c>
      <c r="O49" s="10">
        <v>0.937621856</v>
      </c>
      <c r="P49" s="10">
        <v>1.898048795</v>
      </c>
      <c r="Q49" s="10">
        <v>1.293388731</v>
      </c>
      <c r="R49" s="10">
        <v>1.985310272</v>
      </c>
      <c r="S49" s="10">
        <v>2.093394254</v>
      </c>
      <c r="T49" s="10">
        <v>1.118515556</v>
      </c>
      <c r="U49" s="10">
        <v>0.872528024</v>
      </c>
      <c r="V49" s="10">
        <v>1.159983216</v>
      </c>
      <c r="W49" s="10">
        <v>1.335129005</v>
      </c>
      <c r="X49" s="10">
        <v>1.211222817</v>
      </c>
      <c r="Y49" s="10">
        <v>1.176813983</v>
      </c>
      <c r="Z49" s="10">
        <v>0.458893306</v>
      </c>
      <c r="AA49" s="10">
        <v>0.477121952</v>
      </c>
      <c r="AB49" s="10">
        <v>0.421585251</v>
      </c>
      <c r="AC49" s="10">
        <v>0.873954203</v>
      </c>
      <c r="AD49" s="10">
        <v>0.90200925</v>
      </c>
      <c r="AE49" s="10">
        <v>0.763912893</v>
      </c>
      <c r="AF49" s="10">
        <v>0.761537038</v>
      </c>
    </row>
    <row r="50" spans="1:32">
      <c r="A50" s="10" t="s">
        <v>82</v>
      </c>
      <c r="B50" s="10" t="str">
        <f t="shared" si="6"/>
        <v>G/C</v>
      </c>
      <c r="C50" s="10">
        <v>0.533015294</v>
      </c>
      <c r="D50" s="10">
        <v>0.509503776</v>
      </c>
      <c r="E50" s="10">
        <v>0.149085795</v>
      </c>
      <c r="F50" s="10">
        <v>0.306878741</v>
      </c>
      <c r="G50" s="10">
        <v>0.545454545</v>
      </c>
      <c r="H50" s="10">
        <v>0.15068868</v>
      </c>
      <c r="I50" s="10">
        <v>0.75808112</v>
      </c>
      <c r="J50" s="10">
        <v>1.29289444</v>
      </c>
      <c r="K50" s="10">
        <v>0.835006703</v>
      </c>
      <c r="L50" s="10">
        <v>0.149085795</v>
      </c>
      <c r="M50" s="10">
        <v>2.459652562</v>
      </c>
      <c r="N50" s="10">
        <v>1.079935311</v>
      </c>
      <c r="O50" s="10">
        <v>1.299611272</v>
      </c>
      <c r="P50" s="10">
        <v>0.224839338</v>
      </c>
      <c r="Q50" s="10">
        <v>0.699856646</v>
      </c>
      <c r="R50" s="10">
        <v>0.637904668</v>
      </c>
      <c r="S50" s="10">
        <v>0.533983841</v>
      </c>
      <c r="T50" s="10">
        <v>0.850035991</v>
      </c>
      <c r="U50" s="10">
        <v>1.403484401</v>
      </c>
      <c r="V50" s="10">
        <v>0.529880717</v>
      </c>
      <c r="W50" s="10">
        <v>0.152348549</v>
      </c>
      <c r="X50" s="10">
        <v>0.744110956</v>
      </c>
      <c r="Y50" s="10">
        <v>0.835754267</v>
      </c>
      <c r="Z50" s="10">
        <v>2.132184996</v>
      </c>
      <c r="AA50" s="10">
        <v>2.109084433</v>
      </c>
      <c r="AB50" s="10">
        <v>1.977768806</v>
      </c>
      <c r="AC50" s="10">
        <v>1.603624667</v>
      </c>
      <c r="AD50" s="10">
        <v>1.567634371</v>
      </c>
      <c r="AE50" s="10">
        <v>1.75800372</v>
      </c>
      <c r="AF50" s="10">
        <v>1.76632319</v>
      </c>
    </row>
    <row r="51" spans="1:32">
      <c r="A51" s="10" t="s">
        <v>83</v>
      </c>
      <c r="B51" s="10" t="str">
        <f t="shared" si="6"/>
        <v>G/C</v>
      </c>
      <c r="C51" s="10">
        <v>0.694598008</v>
      </c>
      <c r="D51" s="10">
        <v>0.425870546</v>
      </c>
      <c r="E51" s="10">
        <v>0.13628692</v>
      </c>
      <c r="F51" s="10">
        <v>0.086414692</v>
      </c>
      <c r="G51" s="10">
        <v>0.62463597</v>
      </c>
      <c r="H51" s="10">
        <v>0.164827146</v>
      </c>
      <c r="I51" s="10">
        <v>0.449495573</v>
      </c>
      <c r="J51" s="10">
        <v>1.525314563</v>
      </c>
      <c r="K51" s="10">
        <v>1.921155582</v>
      </c>
      <c r="L51" s="10">
        <v>0.13628692</v>
      </c>
      <c r="M51" s="10">
        <v>1.237993778</v>
      </c>
      <c r="N51" s="10">
        <v>1.428315722</v>
      </c>
      <c r="O51" s="10">
        <v>1.139833125</v>
      </c>
      <c r="P51" s="10">
        <v>0.166797522</v>
      </c>
      <c r="Q51" s="10">
        <v>0.425006682</v>
      </c>
      <c r="R51" s="10">
        <v>0.526676288</v>
      </c>
      <c r="S51" s="10">
        <v>0.548542812</v>
      </c>
      <c r="T51" s="10">
        <v>0.709781652</v>
      </c>
      <c r="U51" s="10">
        <v>0.62657483</v>
      </c>
      <c r="V51" s="10">
        <v>0.529241343</v>
      </c>
      <c r="W51" s="10">
        <v>0.050940365</v>
      </c>
      <c r="X51" s="10">
        <v>0.315745701</v>
      </c>
      <c r="Y51" s="10">
        <v>1.252223481</v>
      </c>
      <c r="Z51" s="10">
        <v>0.485077923</v>
      </c>
      <c r="AA51" s="10">
        <v>0.497662476</v>
      </c>
      <c r="AB51" s="10">
        <v>1.06096084</v>
      </c>
      <c r="AC51" s="10">
        <v>0.472826461</v>
      </c>
      <c r="AD51" s="10">
        <v>0.459896623</v>
      </c>
      <c r="AE51" s="10">
        <v>0.53199019</v>
      </c>
      <c r="AF51" s="10">
        <v>0.53997442</v>
      </c>
    </row>
    <row r="52" spans="1:32">
      <c r="A52" s="10" t="s">
        <v>84</v>
      </c>
      <c r="B52" s="10" t="str">
        <f t="shared" si="6"/>
        <v>A/T</v>
      </c>
      <c r="C52" s="10">
        <v>0.666142837</v>
      </c>
      <c r="D52" s="10">
        <v>1.049014142</v>
      </c>
      <c r="E52" s="10">
        <v>1.765752461</v>
      </c>
      <c r="F52" s="10">
        <v>2.137820776</v>
      </c>
      <c r="G52" s="10">
        <v>1.380794963</v>
      </c>
      <c r="H52" s="10">
        <v>1.820760741</v>
      </c>
      <c r="I52" s="10">
        <v>1.536339304</v>
      </c>
      <c r="J52" s="10">
        <v>0.463828123</v>
      </c>
      <c r="K52" s="10">
        <v>0.463108363</v>
      </c>
      <c r="L52" s="10">
        <v>1.765752461</v>
      </c>
      <c r="M52" s="10">
        <v>0.127668641</v>
      </c>
      <c r="N52" s="10">
        <v>0.64268555</v>
      </c>
      <c r="O52" s="10">
        <v>0.622933747</v>
      </c>
      <c r="P52" s="10">
        <v>1.710314345</v>
      </c>
      <c r="Q52" s="10">
        <v>1.581747941</v>
      </c>
      <c r="R52" s="10">
        <v>0.850108773</v>
      </c>
      <c r="S52" s="10">
        <v>0.824079093</v>
      </c>
      <c r="T52" s="10">
        <v>1.3216668</v>
      </c>
      <c r="U52" s="10">
        <v>1.097412745</v>
      </c>
      <c r="V52" s="10">
        <v>1.780894723</v>
      </c>
      <c r="W52" s="10">
        <v>2.461582081</v>
      </c>
      <c r="X52" s="10">
        <v>1.728920525</v>
      </c>
      <c r="Y52" s="10">
        <v>0.735208269</v>
      </c>
      <c r="Z52" s="10">
        <v>0.923843776</v>
      </c>
      <c r="AA52" s="10">
        <v>0.916131139</v>
      </c>
      <c r="AB52" s="10">
        <v>0.539685103</v>
      </c>
      <c r="AC52" s="10">
        <v>1.04959467</v>
      </c>
      <c r="AD52" s="10">
        <v>1.070459757</v>
      </c>
      <c r="AE52" s="10">
        <v>0.946093197</v>
      </c>
      <c r="AF52" s="10">
        <v>0.932165351</v>
      </c>
    </row>
    <row r="53" spans="1:32">
      <c r="A53" s="10" t="s">
        <v>85</v>
      </c>
      <c r="B53" s="10" t="str">
        <f t="shared" si="6"/>
        <v>A/T</v>
      </c>
      <c r="C53" s="10">
        <v>2.038892541</v>
      </c>
      <c r="D53" s="10">
        <v>0.810649604</v>
      </c>
      <c r="E53" s="10">
        <v>2.086732477</v>
      </c>
      <c r="F53" s="10">
        <v>2.350534076</v>
      </c>
      <c r="G53" s="10">
        <v>2.02582728</v>
      </c>
      <c r="H53" s="10">
        <v>2.015698707</v>
      </c>
      <c r="I53" s="10">
        <v>0.843489026</v>
      </c>
      <c r="J53" s="10">
        <v>0.844040962</v>
      </c>
      <c r="K53" s="10">
        <v>0.968869123</v>
      </c>
      <c r="L53" s="10">
        <v>2.086732477</v>
      </c>
      <c r="M53" s="10">
        <v>0.222097273</v>
      </c>
      <c r="N53" s="10">
        <v>0.425722062</v>
      </c>
      <c r="O53" s="10">
        <v>1.214344171</v>
      </c>
      <c r="P53" s="10">
        <v>2.312220847</v>
      </c>
      <c r="Q53" s="10">
        <v>1.036838504</v>
      </c>
      <c r="R53" s="10">
        <v>1.81900668</v>
      </c>
      <c r="S53" s="10">
        <v>1.881866703</v>
      </c>
      <c r="T53" s="10">
        <v>0.468976398</v>
      </c>
      <c r="U53" s="10">
        <v>0.592365337</v>
      </c>
      <c r="V53" s="10">
        <v>1.043069093</v>
      </c>
      <c r="W53" s="10">
        <v>2.844134289</v>
      </c>
      <c r="X53" s="10">
        <v>0.56569232</v>
      </c>
      <c r="Y53" s="10">
        <v>0.763473254</v>
      </c>
      <c r="Z53" s="10">
        <v>0.36979356</v>
      </c>
      <c r="AA53" s="10">
        <v>0.374842496</v>
      </c>
      <c r="AB53" s="10">
        <v>0.279092572</v>
      </c>
      <c r="AC53" s="10">
        <v>1.000968733</v>
      </c>
      <c r="AD53" s="10">
        <v>1.027193035</v>
      </c>
      <c r="AE53" s="10">
        <v>0.883672998</v>
      </c>
      <c r="AF53" s="10">
        <v>0.87829586</v>
      </c>
    </row>
    <row r="54" spans="1:32">
      <c r="A54" s="10" t="s">
        <v>86</v>
      </c>
      <c r="B54" s="10" t="str">
        <f t="shared" si="6"/>
        <v>G/C</v>
      </c>
      <c r="C54" s="10">
        <v>0.572664183</v>
      </c>
      <c r="D54" s="10">
        <v>1.654809674</v>
      </c>
      <c r="E54" s="10">
        <v>0.202831067</v>
      </c>
      <c r="F54" s="10">
        <v>0.204336125</v>
      </c>
      <c r="G54" s="10">
        <v>0.260194473</v>
      </c>
      <c r="H54" s="10">
        <v>0.191211016</v>
      </c>
      <c r="I54" s="10">
        <v>0.950275746</v>
      </c>
      <c r="J54" s="10">
        <v>1.810734258</v>
      </c>
      <c r="K54" s="10">
        <v>1.796442186</v>
      </c>
      <c r="L54" s="10">
        <v>0.202831067</v>
      </c>
      <c r="M54" s="10">
        <v>2.448798145</v>
      </c>
      <c r="N54" s="10">
        <v>1.624040297</v>
      </c>
      <c r="O54" s="10">
        <v>1.178607742</v>
      </c>
      <c r="P54" s="10">
        <v>0.179949416</v>
      </c>
      <c r="Q54" s="10">
        <v>0.708143248</v>
      </c>
      <c r="R54" s="10">
        <v>0.686363688</v>
      </c>
      <c r="S54" s="10">
        <v>0.660955248</v>
      </c>
      <c r="T54" s="10">
        <v>2.103418928</v>
      </c>
      <c r="U54" s="10">
        <v>1.716642358</v>
      </c>
      <c r="V54" s="10">
        <v>0.598261872</v>
      </c>
      <c r="W54" s="10">
        <v>0.051829498</v>
      </c>
      <c r="X54" s="10">
        <v>1.103841155</v>
      </c>
      <c r="Y54" s="10">
        <v>1.091696235</v>
      </c>
      <c r="Z54" s="10">
        <v>2.421183538</v>
      </c>
      <c r="AA54" s="10">
        <v>2.400475213</v>
      </c>
      <c r="AB54" s="10">
        <v>2.618039186</v>
      </c>
      <c r="AC54" s="10">
        <v>1.357796633</v>
      </c>
      <c r="AD54" s="10">
        <v>1.335891193</v>
      </c>
      <c r="AE54" s="10">
        <v>1.483768945</v>
      </c>
      <c r="AF54" s="10">
        <v>1.491405175</v>
      </c>
    </row>
    <row r="55" spans="1:32">
      <c r="A55" s="10" t="s">
        <v>87</v>
      </c>
      <c r="B55" s="10" t="str">
        <f t="shared" si="6"/>
        <v>G/C</v>
      </c>
      <c r="C55" s="10">
        <v>0.44689897</v>
      </c>
      <c r="D55" s="10">
        <v>0.093482269</v>
      </c>
      <c r="E55" s="10">
        <v>0.346371143</v>
      </c>
      <c r="F55" s="10">
        <v>0.330174013</v>
      </c>
      <c r="G55" s="10">
        <v>0.651754487</v>
      </c>
      <c r="H55" s="10">
        <v>0.317640992</v>
      </c>
      <c r="I55" s="10">
        <v>0.41030951</v>
      </c>
      <c r="J55" s="10">
        <v>0.75526182</v>
      </c>
      <c r="K55" s="10">
        <v>0.657433291</v>
      </c>
      <c r="L55" s="10">
        <v>0.346371143</v>
      </c>
      <c r="M55" s="10">
        <v>1.153324431</v>
      </c>
      <c r="N55" s="10">
        <v>0.59763578</v>
      </c>
      <c r="O55" s="10">
        <v>0.990303301</v>
      </c>
      <c r="P55" s="10">
        <v>0.445138029</v>
      </c>
      <c r="Q55" s="10">
        <v>0.629219891</v>
      </c>
      <c r="R55" s="10">
        <v>0.43353106</v>
      </c>
      <c r="S55" s="10">
        <v>0.331627207</v>
      </c>
      <c r="T55" s="10">
        <v>0.140244535</v>
      </c>
      <c r="U55" s="10">
        <v>0.515515767</v>
      </c>
      <c r="V55" s="10">
        <v>0.437989149</v>
      </c>
      <c r="W55" s="10">
        <v>0.348170502</v>
      </c>
      <c r="X55" s="10">
        <v>0.238046514</v>
      </c>
      <c r="Y55" s="10">
        <v>0.509607016</v>
      </c>
      <c r="Z55" s="10">
        <v>0.521476266</v>
      </c>
      <c r="AA55" s="10">
        <v>0.537711056</v>
      </c>
      <c r="AB55" s="10">
        <v>0.304210903</v>
      </c>
      <c r="AC55" s="10">
        <v>0.961417691</v>
      </c>
      <c r="AD55" s="10">
        <v>0.954070353</v>
      </c>
      <c r="AE55" s="10">
        <v>1.024821876</v>
      </c>
      <c r="AF55" s="10">
        <v>1.03095549</v>
      </c>
    </row>
    <row r="56" spans="1:32">
      <c r="A56" s="10" t="s">
        <v>88</v>
      </c>
      <c r="B56" s="10" t="str">
        <f t="shared" si="6"/>
        <v>A/T</v>
      </c>
      <c r="C56" s="10">
        <v>0.941544306</v>
      </c>
      <c r="D56" s="10">
        <v>1.441058454</v>
      </c>
      <c r="E56" s="10">
        <v>1.364065313</v>
      </c>
      <c r="F56" s="10">
        <v>1.114955786</v>
      </c>
      <c r="G56" s="10">
        <v>1.06222376</v>
      </c>
      <c r="H56" s="10">
        <v>1.475449285</v>
      </c>
      <c r="I56" s="10">
        <v>1.795925718</v>
      </c>
      <c r="J56" s="10">
        <v>0.58996296</v>
      </c>
      <c r="K56" s="10">
        <v>0.5772554</v>
      </c>
      <c r="L56" s="10">
        <v>1.364065313</v>
      </c>
      <c r="M56" s="10">
        <v>0.175780152</v>
      </c>
      <c r="N56" s="10">
        <v>1.352601861</v>
      </c>
      <c r="O56" s="10">
        <v>0.616744786</v>
      </c>
      <c r="P56" s="10">
        <v>1.062691707</v>
      </c>
      <c r="Q56" s="10">
        <v>1.625798358</v>
      </c>
      <c r="R56" s="10">
        <v>1.061098572</v>
      </c>
      <c r="S56" s="10">
        <v>1.125550842</v>
      </c>
      <c r="T56" s="10">
        <v>1.287360139</v>
      </c>
      <c r="U56" s="10">
        <v>1.175476538</v>
      </c>
      <c r="V56" s="10">
        <v>1.920679887</v>
      </c>
      <c r="W56" s="10">
        <v>0.755865711</v>
      </c>
      <c r="X56" s="10">
        <v>2.092420011</v>
      </c>
      <c r="Y56" s="10">
        <v>1.635223494</v>
      </c>
      <c r="Z56" s="10">
        <v>0.687546636</v>
      </c>
      <c r="AA56" s="10">
        <v>0.686971235</v>
      </c>
      <c r="AB56" s="10">
        <v>0.798657338</v>
      </c>
      <c r="AC56" s="10">
        <v>0.679816943</v>
      </c>
      <c r="AD56" s="10">
        <v>0.682845419</v>
      </c>
      <c r="AE56" s="10">
        <v>0.607736181</v>
      </c>
      <c r="AF56" s="10">
        <v>0.599343475</v>
      </c>
    </row>
    <row r="57" spans="1:32">
      <c r="A57" s="10" t="s">
        <v>89</v>
      </c>
      <c r="B57" s="10" t="str">
        <f t="shared" si="6"/>
        <v>A/T</v>
      </c>
      <c r="C57" s="10">
        <v>1.391529845</v>
      </c>
      <c r="D57" s="10">
        <v>0.76263338</v>
      </c>
      <c r="E57" s="10">
        <v>1.778511295</v>
      </c>
      <c r="F57" s="10">
        <v>1.607779799</v>
      </c>
      <c r="G57" s="10">
        <v>0.875038653</v>
      </c>
      <c r="H57" s="10">
        <v>2.017102226</v>
      </c>
      <c r="I57" s="10">
        <v>0.83465359</v>
      </c>
      <c r="J57" s="10">
        <v>0.534448517</v>
      </c>
      <c r="K57" s="10">
        <v>0.97961271</v>
      </c>
      <c r="L57" s="10">
        <v>1.778511295</v>
      </c>
      <c r="M57" s="10">
        <v>0.212781553</v>
      </c>
      <c r="N57" s="10">
        <v>0.615792575</v>
      </c>
      <c r="O57" s="10">
        <v>1.012352689</v>
      </c>
      <c r="P57" s="10">
        <v>1.586574202</v>
      </c>
      <c r="Q57" s="10">
        <v>0.788032096</v>
      </c>
      <c r="R57" s="10">
        <v>1.442228874</v>
      </c>
      <c r="S57" s="10">
        <v>1.375412048</v>
      </c>
      <c r="T57" s="10">
        <v>1.212088594</v>
      </c>
      <c r="U57" s="10">
        <v>0.623726206</v>
      </c>
      <c r="V57" s="10">
        <v>0.587405934</v>
      </c>
      <c r="W57" s="10">
        <v>2.301180863</v>
      </c>
      <c r="X57" s="10">
        <v>1.076866955</v>
      </c>
      <c r="Y57" s="10">
        <v>0.927300546</v>
      </c>
      <c r="Z57" s="10">
        <v>0.489794291</v>
      </c>
      <c r="AA57" s="10">
        <v>0.511967254</v>
      </c>
      <c r="AB57" s="10">
        <v>0.223246524</v>
      </c>
      <c r="AC57" s="10">
        <v>0.468216032</v>
      </c>
      <c r="AD57" s="10">
        <v>0.483003097</v>
      </c>
      <c r="AE57" s="10">
        <v>0.368248987</v>
      </c>
      <c r="AF57" s="10">
        <v>0.370613251</v>
      </c>
    </row>
    <row r="58" spans="1:32">
      <c r="A58" s="10" t="s">
        <v>90</v>
      </c>
      <c r="B58" s="10" t="str">
        <f t="shared" si="6"/>
        <v>G/C</v>
      </c>
      <c r="C58" s="10">
        <v>0.566405838</v>
      </c>
      <c r="D58" s="10">
        <v>0.430944232</v>
      </c>
      <c r="E58" s="10">
        <v>0.066379989</v>
      </c>
      <c r="F58" s="10">
        <v>0.083102399</v>
      </c>
      <c r="G58" s="10">
        <v>0.571585638</v>
      </c>
      <c r="H58" s="10">
        <v>0.093157263</v>
      </c>
      <c r="I58" s="10">
        <v>0.962823253</v>
      </c>
      <c r="J58" s="10">
        <v>1.491999419</v>
      </c>
      <c r="K58" s="10">
        <v>0.849379517</v>
      </c>
      <c r="L58" s="10">
        <v>0.066379989</v>
      </c>
      <c r="M58" s="10">
        <v>1.057624847</v>
      </c>
      <c r="N58" s="10">
        <v>0.863751158</v>
      </c>
      <c r="O58" s="10">
        <v>0.601343728</v>
      </c>
      <c r="P58" s="10">
        <v>0.174424411</v>
      </c>
      <c r="Q58" s="10">
        <v>0.52375901</v>
      </c>
      <c r="R58" s="10">
        <v>0.454616624</v>
      </c>
      <c r="S58" s="10">
        <v>0.536879147</v>
      </c>
      <c r="T58" s="10">
        <v>0.447857586</v>
      </c>
      <c r="U58" s="10">
        <v>1.119111709</v>
      </c>
      <c r="V58" s="10">
        <v>0.672779171</v>
      </c>
      <c r="W58" s="10">
        <v>0.08886905</v>
      </c>
      <c r="X58" s="10">
        <v>0.52540518</v>
      </c>
      <c r="Y58" s="10">
        <v>0.567169399</v>
      </c>
      <c r="Z58" s="10">
        <v>2.644315101</v>
      </c>
      <c r="AA58" s="10">
        <v>2.615171786</v>
      </c>
      <c r="AB58" s="10">
        <v>1.587846662</v>
      </c>
      <c r="AC58" s="10">
        <v>0.950423969</v>
      </c>
      <c r="AD58" s="10">
        <v>0.938542483</v>
      </c>
      <c r="AE58" s="10">
        <v>1.032038708</v>
      </c>
      <c r="AF58" s="10">
        <v>1.027940066</v>
      </c>
    </row>
    <row r="59" spans="1:32">
      <c r="A59" s="10" t="s">
        <v>91</v>
      </c>
      <c r="B59" s="10" t="str">
        <f t="shared" si="6"/>
        <v>G/C</v>
      </c>
      <c r="C59" s="10">
        <v>0.974505104</v>
      </c>
      <c r="D59" s="10">
        <v>0.572277028</v>
      </c>
      <c r="E59" s="10">
        <v>0.208951608</v>
      </c>
      <c r="F59" s="10">
        <v>0.226865469</v>
      </c>
      <c r="G59" s="10">
        <v>0.740010308</v>
      </c>
      <c r="H59" s="10">
        <v>0.222144242</v>
      </c>
      <c r="I59" s="10">
        <v>0.618802129</v>
      </c>
      <c r="J59" s="10">
        <v>1.395508049</v>
      </c>
      <c r="K59" s="10">
        <v>1.365607528</v>
      </c>
      <c r="L59" s="10">
        <v>0.208951608</v>
      </c>
      <c r="M59" s="10">
        <v>2.527074149</v>
      </c>
      <c r="N59" s="10">
        <v>1.485689031</v>
      </c>
      <c r="O59" s="10">
        <v>1.542244448</v>
      </c>
      <c r="P59" s="10">
        <v>0.366601942</v>
      </c>
      <c r="Q59" s="10">
        <v>0.403427173</v>
      </c>
      <c r="R59" s="10">
        <v>0.954962008</v>
      </c>
      <c r="S59" s="10">
        <v>0.849826836</v>
      </c>
      <c r="T59" s="10">
        <v>0.887435314</v>
      </c>
      <c r="U59" s="10">
        <v>0.595846953</v>
      </c>
      <c r="V59" s="10">
        <v>0.675201107</v>
      </c>
      <c r="W59" s="10">
        <v>0.281865033</v>
      </c>
      <c r="X59" s="10">
        <v>0.460367919</v>
      </c>
      <c r="Y59" s="10">
        <v>1.451453552</v>
      </c>
      <c r="Z59" s="10">
        <v>0.424732897</v>
      </c>
      <c r="AA59" s="10">
        <v>0.434118517</v>
      </c>
      <c r="AB59" s="10">
        <v>1.492893908</v>
      </c>
      <c r="AC59" s="10">
        <v>1.844404154</v>
      </c>
      <c r="AD59" s="10">
        <v>1.811895966</v>
      </c>
      <c r="AE59" s="10">
        <v>1.988793997</v>
      </c>
      <c r="AF59" s="10">
        <v>1.998807679</v>
      </c>
    </row>
    <row r="60" spans="1:32">
      <c r="A60" s="10" t="s">
        <v>92</v>
      </c>
      <c r="B60" s="10" t="str">
        <f t="shared" si="6"/>
        <v>A/T</v>
      </c>
      <c r="C60" s="10">
        <v>1.067559214</v>
      </c>
      <c r="D60" s="10">
        <v>2.234145359</v>
      </c>
      <c r="E60" s="10">
        <v>1.946157107</v>
      </c>
      <c r="F60" s="10">
        <v>2.082252333</v>
      </c>
      <c r="G60" s="10">
        <v>1.813365401</v>
      </c>
      <c r="H60" s="10">
        <v>1.667596269</v>
      </c>
      <c r="I60" s="10">
        <v>1.583721028</v>
      </c>
      <c r="J60" s="10">
        <v>0.578044015</v>
      </c>
      <c r="K60" s="10">
        <v>0.805400245</v>
      </c>
      <c r="L60" s="10">
        <v>1.946157107</v>
      </c>
      <c r="M60" s="10">
        <v>0.202519451</v>
      </c>
      <c r="N60" s="10">
        <v>1.034767236</v>
      </c>
      <c r="O60" s="10">
        <v>0.844059136</v>
      </c>
      <c r="P60" s="10">
        <v>1.872399445</v>
      </c>
      <c r="Q60" s="10">
        <v>2.284781722</v>
      </c>
      <c r="R60" s="10">
        <v>1.148192494</v>
      </c>
      <c r="S60" s="10">
        <v>1.23788197</v>
      </c>
      <c r="T60" s="10">
        <v>1.452618505</v>
      </c>
      <c r="U60" s="10">
        <v>1.661315132</v>
      </c>
      <c r="V60" s="10">
        <v>2.064613788</v>
      </c>
      <c r="W60" s="10">
        <v>1.328085055</v>
      </c>
      <c r="X60" s="10">
        <v>1.937359946</v>
      </c>
      <c r="Y60" s="10">
        <v>1.054076503</v>
      </c>
      <c r="Z60" s="10">
        <v>0.44115771</v>
      </c>
      <c r="AA60" s="10">
        <v>0.438742443</v>
      </c>
      <c r="AB60" s="10">
        <v>0.696012906</v>
      </c>
      <c r="AC60" s="10">
        <v>0.736955845</v>
      </c>
      <c r="AD60" s="10">
        <v>0.766558454</v>
      </c>
      <c r="AE60" s="10">
        <v>0.610918309</v>
      </c>
      <c r="AF60" s="10">
        <v>0.602639005</v>
      </c>
    </row>
    <row r="61" spans="1:32">
      <c r="A61" s="10" t="s">
        <v>93</v>
      </c>
      <c r="B61" s="10" t="str">
        <f t="shared" si="6"/>
        <v>A/T</v>
      </c>
      <c r="C61" s="10">
        <v>1.758023107</v>
      </c>
      <c r="D61" s="10">
        <v>2.1462815</v>
      </c>
      <c r="E61" s="10">
        <v>2.192092154</v>
      </c>
      <c r="F61" s="10">
        <v>2.252918288</v>
      </c>
      <c r="G61" s="10">
        <v>2.180412371</v>
      </c>
      <c r="H61" s="10">
        <v>2.230769231</v>
      </c>
      <c r="I61" s="10">
        <v>1.780061216</v>
      </c>
      <c r="J61" s="10">
        <v>0.93977231</v>
      </c>
      <c r="K61" s="10">
        <v>1.643419573</v>
      </c>
      <c r="L61" s="10">
        <v>2.192092154</v>
      </c>
      <c r="M61" s="10">
        <v>1.163250366</v>
      </c>
      <c r="N61" s="10">
        <v>1.919972164</v>
      </c>
      <c r="O61" s="10">
        <v>1.475363679</v>
      </c>
      <c r="P61" s="10">
        <v>2.142416452</v>
      </c>
      <c r="Q61" s="10">
        <v>1.967555041</v>
      </c>
      <c r="R61" s="10">
        <v>1.713254751</v>
      </c>
      <c r="S61" s="10">
        <v>1.766606822</v>
      </c>
      <c r="T61" s="10">
        <v>2.00327562</v>
      </c>
      <c r="U61" s="10">
        <v>1.749196141</v>
      </c>
      <c r="V61" s="10">
        <v>2.034660422</v>
      </c>
      <c r="W61" s="10">
        <v>2.077290837</v>
      </c>
      <c r="X61" s="10">
        <v>2.0953125</v>
      </c>
      <c r="Y61" s="10">
        <v>2.26937799</v>
      </c>
      <c r="Z61" s="10">
        <v>1.554432706</v>
      </c>
      <c r="AA61" s="10">
        <v>1.551270815</v>
      </c>
      <c r="AB61" s="10">
        <v>1.224358974</v>
      </c>
      <c r="AC61" s="10">
        <v>0</v>
      </c>
      <c r="AD61" s="10">
        <v>0</v>
      </c>
      <c r="AE61" s="10">
        <v>0</v>
      </c>
      <c r="AF61" s="10">
        <v>0</v>
      </c>
    </row>
    <row r="62" spans="1:32">
      <c r="A62" s="10" t="s">
        <v>94</v>
      </c>
      <c r="B62" s="10" t="str">
        <f t="shared" si="6"/>
        <v>G/C</v>
      </c>
      <c r="C62" s="10">
        <v>0.573312449</v>
      </c>
      <c r="D62" s="10">
        <v>0.687676056</v>
      </c>
      <c r="E62" s="10">
        <v>0.242165505</v>
      </c>
      <c r="F62" s="10">
        <v>0.328121995</v>
      </c>
      <c r="G62" s="10">
        <v>0.377176837</v>
      </c>
      <c r="H62" s="10">
        <v>0.364028538</v>
      </c>
      <c r="I62" s="10">
        <v>0.262245081</v>
      </c>
      <c r="J62" s="10">
        <v>0.831671135</v>
      </c>
      <c r="K62" s="10">
        <v>0.733001022</v>
      </c>
      <c r="L62" s="10">
        <v>0.242165505</v>
      </c>
      <c r="M62" s="10">
        <v>1.540519599</v>
      </c>
      <c r="N62" s="10">
        <v>0.864316832</v>
      </c>
      <c r="O62" s="10">
        <v>0.596105554</v>
      </c>
      <c r="P62" s="10">
        <v>0.273991265</v>
      </c>
      <c r="Q62" s="10">
        <v>0.869583161</v>
      </c>
      <c r="R62" s="10">
        <v>0.503477596</v>
      </c>
      <c r="S62" s="10">
        <v>0.495515796</v>
      </c>
      <c r="T62" s="10">
        <v>0.68392048</v>
      </c>
      <c r="U62" s="10">
        <v>0.801363867</v>
      </c>
      <c r="V62" s="10">
        <v>0.682978308</v>
      </c>
      <c r="W62" s="10">
        <v>0.258213291</v>
      </c>
      <c r="X62" s="10">
        <v>0.86294964</v>
      </c>
      <c r="Y62" s="10">
        <v>0.399943042</v>
      </c>
      <c r="Z62" s="10">
        <v>0.844544628</v>
      </c>
      <c r="AA62" s="10">
        <v>0.837726831</v>
      </c>
      <c r="AB62" s="10">
        <v>1.242135519</v>
      </c>
      <c r="AC62" s="10">
        <v>1.140068368</v>
      </c>
      <c r="AD62" s="10">
        <v>1.115120723</v>
      </c>
      <c r="AE62" s="10">
        <v>1.237425738</v>
      </c>
      <c r="AF62" s="10">
        <v>1.245175192</v>
      </c>
    </row>
    <row r="63" spans="1:32">
      <c r="A63" s="10" t="s">
        <v>95</v>
      </c>
      <c r="B63" s="10" t="str">
        <f t="shared" si="6"/>
        <v>G/C</v>
      </c>
      <c r="C63" s="10">
        <v>0.799101412</v>
      </c>
      <c r="D63" s="10">
        <v>0.193607867</v>
      </c>
      <c r="E63" s="10">
        <v>0.667808219</v>
      </c>
      <c r="F63" s="10">
        <v>0.646268129</v>
      </c>
      <c r="G63" s="10">
        <v>0.575478645</v>
      </c>
      <c r="H63" s="10">
        <v>0.635683761</v>
      </c>
      <c r="I63" s="10">
        <v>0.775251421</v>
      </c>
      <c r="J63" s="10">
        <v>0.558575101</v>
      </c>
      <c r="K63" s="10">
        <v>0.416197975</v>
      </c>
      <c r="L63" s="10">
        <v>0.667808219</v>
      </c>
      <c r="M63" s="10">
        <v>0.774524158</v>
      </c>
      <c r="N63" s="10">
        <v>0.212943633</v>
      </c>
      <c r="O63" s="10">
        <v>0.529798217</v>
      </c>
      <c r="P63" s="10">
        <v>0.612339332</v>
      </c>
      <c r="Q63" s="10">
        <v>0.724797219</v>
      </c>
      <c r="R63" s="10">
        <v>0.443829685</v>
      </c>
      <c r="S63" s="10">
        <v>0.392280072</v>
      </c>
      <c r="T63" s="10">
        <v>0.307440337</v>
      </c>
      <c r="U63" s="10">
        <v>0.807073955</v>
      </c>
      <c r="V63" s="10">
        <v>0.49882904</v>
      </c>
      <c r="W63" s="10">
        <v>0.744621514</v>
      </c>
      <c r="X63" s="10">
        <v>0.6640625</v>
      </c>
      <c r="Y63" s="10">
        <v>0.43492823</v>
      </c>
      <c r="Z63" s="10">
        <v>0.633899862</v>
      </c>
      <c r="AA63" s="10">
        <v>0.604732691</v>
      </c>
      <c r="AB63" s="10">
        <v>1.459935897</v>
      </c>
      <c r="AC63" s="10">
        <v>0</v>
      </c>
      <c r="AD63" s="10">
        <v>0</v>
      </c>
      <c r="AE63" s="10">
        <v>0</v>
      </c>
      <c r="AF63" s="10">
        <v>0</v>
      </c>
    </row>
    <row r="64" spans="1:32">
      <c r="A64" s="10" t="s">
        <v>96</v>
      </c>
      <c r="B64" s="10" t="str">
        <f t="shared" si="6"/>
        <v>A/T</v>
      </c>
      <c r="C64" s="10">
        <v>1.426687551</v>
      </c>
      <c r="D64" s="10">
        <v>1.312323944</v>
      </c>
      <c r="E64" s="10">
        <v>1.757834495</v>
      </c>
      <c r="F64" s="10">
        <v>1.671878005</v>
      </c>
      <c r="G64" s="10">
        <v>1.622823163</v>
      </c>
      <c r="H64" s="10">
        <v>1.635971462</v>
      </c>
      <c r="I64" s="10">
        <v>1.737754919</v>
      </c>
      <c r="J64" s="10">
        <v>1.168328865</v>
      </c>
      <c r="K64" s="10">
        <v>1.266998978</v>
      </c>
      <c r="L64" s="10">
        <v>1.757834495</v>
      </c>
      <c r="M64" s="10">
        <v>0.459480401</v>
      </c>
      <c r="N64" s="10">
        <v>1.135683168</v>
      </c>
      <c r="O64" s="10">
        <v>1.403894446</v>
      </c>
      <c r="P64" s="10">
        <v>1.726008735</v>
      </c>
      <c r="Q64" s="10">
        <v>1.130416839</v>
      </c>
      <c r="R64" s="10">
        <v>1.496522404</v>
      </c>
      <c r="S64" s="10">
        <v>1.504484204</v>
      </c>
      <c r="T64" s="10">
        <v>1.31607952</v>
      </c>
      <c r="U64" s="10">
        <v>1.198636133</v>
      </c>
      <c r="V64" s="10">
        <v>1.317021692</v>
      </c>
      <c r="W64" s="10">
        <v>1.741786709</v>
      </c>
      <c r="X64" s="10">
        <v>1.13705036</v>
      </c>
      <c r="Y64" s="10">
        <v>1.600056958</v>
      </c>
      <c r="Z64" s="10">
        <v>1.155455372</v>
      </c>
      <c r="AA64" s="10">
        <v>1.162273169</v>
      </c>
      <c r="AB64" s="10">
        <v>0.757864481</v>
      </c>
      <c r="AC64" s="10">
        <v>0.859931632</v>
      </c>
      <c r="AD64" s="10">
        <v>0.884879277</v>
      </c>
      <c r="AE64" s="10">
        <v>0.762574262</v>
      </c>
      <c r="AF64" s="10">
        <v>0.754824808</v>
      </c>
    </row>
    <row r="65" spans="1:32">
      <c r="A65" s="10" t="s">
        <v>97</v>
      </c>
      <c r="B65" s="10" t="str">
        <f t="shared" si="6"/>
        <v>A/T</v>
      </c>
      <c r="C65" s="10">
        <v>1.02890479</v>
      </c>
      <c r="D65" s="10">
        <v>1.863101036</v>
      </c>
      <c r="E65" s="10">
        <v>1.896480266</v>
      </c>
      <c r="F65" s="10">
        <v>1.938610142</v>
      </c>
      <c r="G65" s="10">
        <v>2.011132245</v>
      </c>
      <c r="H65" s="10">
        <v>1.688362991</v>
      </c>
      <c r="I65" s="10">
        <v>1.672433622</v>
      </c>
      <c r="J65" s="10">
        <v>0.721526718</v>
      </c>
      <c r="K65" s="10">
        <v>0.450296076</v>
      </c>
      <c r="L65" s="10">
        <v>1.896480266</v>
      </c>
      <c r="M65" s="10">
        <v>0.128951835</v>
      </c>
      <c r="N65" s="10">
        <v>0.73198527</v>
      </c>
      <c r="O65" s="10">
        <v>0.408067882</v>
      </c>
      <c r="P65" s="10">
        <v>1.813953488</v>
      </c>
      <c r="Q65" s="10">
        <v>1.683263045</v>
      </c>
      <c r="R65" s="10">
        <v>0.938979091</v>
      </c>
      <c r="S65" s="10">
        <v>0.953578847</v>
      </c>
      <c r="T65" s="10">
        <v>0.329382941</v>
      </c>
      <c r="U65" s="10">
        <v>1.304988461</v>
      </c>
      <c r="V65" s="10">
        <v>1.959908418</v>
      </c>
      <c r="W65" s="10">
        <v>1.498976668</v>
      </c>
      <c r="X65" s="10">
        <v>1.940661116</v>
      </c>
      <c r="Y65" s="10">
        <v>0.891422223</v>
      </c>
      <c r="Z65" s="10">
        <v>0.312736514</v>
      </c>
      <c r="AA65" s="10">
        <v>0.314062132</v>
      </c>
      <c r="AB65" s="10">
        <v>0.240218673</v>
      </c>
      <c r="AC65" s="10">
        <v>0.845271829</v>
      </c>
      <c r="AD65" s="10">
        <v>0.865272954</v>
      </c>
      <c r="AE65" s="10">
        <v>0.733935302</v>
      </c>
      <c r="AF65" s="10">
        <v>0.740312759</v>
      </c>
    </row>
    <row r="66" spans="1:32">
      <c r="A66" s="10" t="s">
        <v>98</v>
      </c>
      <c r="B66" s="10" t="str">
        <f t="shared" si="6"/>
        <v>G/C</v>
      </c>
      <c r="C66" s="10">
        <v>1.048048785</v>
      </c>
      <c r="D66" s="10">
        <v>0.454617905</v>
      </c>
      <c r="E66" s="10">
        <v>0.118832556</v>
      </c>
      <c r="F66" s="10">
        <v>0.226777569</v>
      </c>
      <c r="G66" s="10">
        <v>0.230413455</v>
      </c>
      <c r="H66" s="10">
        <v>0.106548762</v>
      </c>
      <c r="I66" s="10">
        <v>0.534476724</v>
      </c>
      <c r="J66" s="10">
        <v>1.246208651</v>
      </c>
      <c r="K66" s="10">
        <v>1.405288159</v>
      </c>
      <c r="L66" s="10">
        <v>0.118832556</v>
      </c>
      <c r="M66" s="10">
        <v>2.853521169</v>
      </c>
      <c r="N66" s="10">
        <v>0.894476387</v>
      </c>
      <c r="O66" s="10">
        <v>2.149463726</v>
      </c>
      <c r="P66" s="10">
        <v>0.178443649</v>
      </c>
      <c r="Q66" s="10">
        <v>0.47812677</v>
      </c>
      <c r="R66" s="10">
        <v>1.241235381</v>
      </c>
      <c r="S66" s="10">
        <v>1.121921466</v>
      </c>
      <c r="T66" s="10">
        <v>1.213947923</v>
      </c>
      <c r="U66" s="10">
        <v>0.63571809</v>
      </c>
      <c r="V66" s="10">
        <v>0.206060016</v>
      </c>
      <c r="W66" s="10">
        <v>0.12675672</v>
      </c>
      <c r="X66" s="10">
        <v>0.366285572</v>
      </c>
      <c r="Y66" s="10">
        <v>0.913957733</v>
      </c>
      <c r="Z66" s="10">
        <v>1.516117449</v>
      </c>
      <c r="AA66" s="10">
        <v>1.506713078</v>
      </c>
      <c r="AB66" s="10">
        <v>1.527334119</v>
      </c>
      <c r="AC66" s="10">
        <v>1.274475706</v>
      </c>
      <c r="AD66" s="10">
        <v>1.253393914</v>
      </c>
      <c r="AE66" s="10">
        <v>1.405873116</v>
      </c>
      <c r="AF66" s="10">
        <v>1.400983739</v>
      </c>
    </row>
    <row r="67" spans="1:32">
      <c r="A67" s="10" t="s">
        <v>99</v>
      </c>
      <c r="B67" s="10" t="str">
        <f t="shared" si="6"/>
        <v>G/C</v>
      </c>
      <c r="C67" s="10">
        <v>0.540562992</v>
      </c>
      <c r="D67" s="10">
        <v>0.854688745</v>
      </c>
      <c r="E67" s="10">
        <v>0.10554457</v>
      </c>
      <c r="F67" s="10">
        <v>0.031768178</v>
      </c>
      <c r="G67" s="10">
        <v>0.486294924</v>
      </c>
      <c r="H67" s="10">
        <v>0.141014025</v>
      </c>
      <c r="I67" s="10">
        <v>0.285314266</v>
      </c>
      <c r="J67" s="10">
        <v>1.608244275</v>
      </c>
      <c r="K67" s="10">
        <v>1.15541288</v>
      </c>
      <c r="L67" s="10">
        <v>0.10554457</v>
      </c>
      <c r="M67" s="10">
        <v>0.604028055</v>
      </c>
      <c r="N67" s="10">
        <v>0.925486143</v>
      </c>
      <c r="O67" s="10">
        <v>0.503992844</v>
      </c>
      <c r="P67" s="10">
        <v>0.172070662</v>
      </c>
      <c r="Q67" s="10">
        <v>0.450934727</v>
      </c>
      <c r="R67" s="10">
        <v>0.293593395</v>
      </c>
      <c r="S67" s="10">
        <v>0.36497313</v>
      </c>
      <c r="T67" s="10">
        <v>0.501509885</v>
      </c>
      <c r="U67" s="10">
        <v>0.865258299</v>
      </c>
      <c r="V67" s="10">
        <v>0.369154326</v>
      </c>
      <c r="W67" s="10">
        <v>0.071360349</v>
      </c>
      <c r="X67" s="10">
        <v>0.272896732</v>
      </c>
      <c r="Y67" s="10">
        <v>0.654005872</v>
      </c>
      <c r="Z67" s="10">
        <v>1.279617711</v>
      </c>
      <c r="AA67" s="10">
        <v>1.26095946</v>
      </c>
      <c r="AB67" s="10">
        <v>1.837978347</v>
      </c>
      <c r="AC67" s="10">
        <v>0.398151548</v>
      </c>
      <c r="AD67" s="10">
        <v>0.388120959</v>
      </c>
      <c r="AE67" s="10">
        <v>0.465075377</v>
      </c>
      <c r="AF67" s="10">
        <v>0.466720896</v>
      </c>
    </row>
    <row r="68" spans="1:32">
      <c r="A68" s="10" t="s">
        <v>100</v>
      </c>
      <c r="B68" s="10" t="str">
        <f t="shared" si="6"/>
        <v>A/T</v>
      </c>
      <c r="C68" s="10">
        <v>1.150565446</v>
      </c>
      <c r="D68" s="10">
        <v>0.958292748</v>
      </c>
      <c r="E68" s="10">
        <v>1.507332121</v>
      </c>
      <c r="F68" s="10">
        <v>1.538824792</v>
      </c>
      <c r="G68" s="10">
        <v>1.25766343</v>
      </c>
      <c r="H68" s="10">
        <v>1.780777733</v>
      </c>
      <c r="I68" s="10">
        <v>1.287064353</v>
      </c>
      <c r="J68" s="10">
        <v>0.690788804</v>
      </c>
      <c r="K68" s="10">
        <v>0.650066156</v>
      </c>
      <c r="L68" s="10">
        <v>1.507332121</v>
      </c>
      <c r="M68" s="10">
        <v>0.199600499</v>
      </c>
      <c r="N68" s="10">
        <v>0.875405388</v>
      </c>
      <c r="O68" s="10">
        <v>0.64435079</v>
      </c>
      <c r="P68" s="10">
        <v>1.84078712</v>
      </c>
      <c r="Q68" s="10">
        <v>0.992320765</v>
      </c>
      <c r="R68" s="10">
        <v>1.337629779</v>
      </c>
      <c r="S68" s="10">
        <v>1.347631136</v>
      </c>
      <c r="T68" s="10">
        <v>0.87977893</v>
      </c>
      <c r="U68" s="10">
        <v>0.707260785</v>
      </c>
      <c r="V68" s="10">
        <v>1.345235776</v>
      </c>
      <c r="W68" s="10">
        <v>2.089780325</v>
      </c>
      <c r="X68" s="10">
        <v>1.148254008</v>
      </c>
      <c r="Y68" s="10">
        <v>1.18755786</v>
      </c>
      <c r="Z68" s="10">
        <v>0.618512278</v>
      </c>
      <c r="AA68" s="10">
        <v>0.61132194</v>
      </c>
      <c r="AB68" s="10">
        <v>0.505198842</v>
      </c>
      <c r="AC68" s="10">
        <v>1.123246292</v>
      </c>
      <c r="AD68" s="10">
        <v>1.142166889</v>
      </c>
      <c r="AE68" s="10">
        <v>0.988285176</v>
      </c>
      <c r="AF68" s="10">
        <v>0.980880195</v>
      </c>
    </row>
    <row r="69" spans="1:32">
      <c r="A69" s="10" t="s">
        <v>101</v>
      </c>
      <c r="B69" s="10" t="str">
        <f t="shared" si="6"/>
        <v>A/T</v>
      </c>
      <c r="C69" s="10">
        <v>0.442875481</v>
      </c>
      <c r="D69" s="10">
        <v>0.660110633</v>
      </c>
      <c r="E69" s="10">
        <v>0.140099626</v>
      </c>
      <c r="F69" s="10">
        <v>0.100813583</v>
      </c>
      <c r="G69" s="10">
        <v>0.244108984</v>
      </c>
      <c r="H69" s="10">
        <v>0.133547009</v>
      </c>
      <c r="I69" s="10">
        <v>0.444687363</v>
      </c>
      <c r="J69" s="10">
        <v>1.501652589</v>
      </c>
      <c r="K69" s="10">
        <v>0.940382452</v>
      </c>
      <c r="L69" s="10">
        <v>0.140099626</v>
      </c>
      <c r="M69" s="10">
        <v>1.062225476</v>
      </c>
      <c r="N69" s="10">
        <v>0.867084203</v>
      </c>
      <c r="O69" s="10">
        <v>0.994838104</v>
      </c>
      <c r="P69" s="10">
        <v>0.245244216</v>
      </c>
      <c r="Q69" s="10">
        <v>0.30764774</v>
      </c>
      <c r="R69" s="10">
        <v>0.842915564</v>
      </c>
      <c r="S69" s="10">
        <v>0.841113106</v>
      </c>
      <c r="T69" s="10">
        <v>0.689284043</v>
      </c>
      <c r="U69" s="10">
        <v>0.443729904</v>
      </c>
      <c r="V69" s="10">
        <v>0.466510539</v>
      </c>
      <c r="W69" s="10">
        <v>0.178087649</v>
      </c>
      <c r="X69" s="10">
        <v>0.240625</v>
      </c>
      <c r="Y69" s="10">
        <v>0.29569378</v>
      </c>
      <c r="Z69" s="10">
        <v>0.811667432</v>
      </c>
      <c r="AA69" s="10">
        <v>0.843996494</v>
      </c>
      <c r="AB69" s="10">
        <v>0.315705128</v>
      </c>
      <c r="AC69" s="10">
        <v>0</v>
      </c>
      <c r="AD69" s="10">
        <v>0</v>
      </c>
      <c r="AE69" s="10">
        <v>0</v>
      </c>
      <c r="AF69" s="10">
        <v>0</v>
      </c>
    </row>
    <row r="70" spans="1:32">
      <c r="A70" s="10" t="s">
        <v>102</v>
      </c>
      <c r="B70" s="10" t="str">
        <f t="shared" si="6"/>
        <v>G/C</v>
      </c>
      <c r="C70" s="10">
        <v>0.837083836</v>
      </c>
      <c r="D70" s="10">
        <v>1.189788884</v>
      </c>
      <c r="E70" s="10">
        <v>0.354415274</v>
      </c>
      <c r="F70" s="10">
        <v>0.411938534</v>
      </c>
      <c r="G70" s="10">
        <v>0.395320605</v>
      </c>
      <c r="H70" s="10">
        <v>0.379692247</v>
      </c>
      <c r="I70" s="10">
        <v>0.446864528</v>
      </c>
      <c r="J70" s="10">
        <v>1.336927817</v>
      </c>
      <c r="K70" s="10">
        <v>1.400677854</v>
      </c>
      <c r="L70" s="10">
        <v>0.354415274</v>
      </c>
      <c r="M70" s="10">
        <v>1.783700809</v>
      </c>
      <c r="N70" s="10">
        <v>1.115771812</v>
      </c>
      <c r="O70" s="10">
        <v>1.097864565</v>
      </c>
      <c r="P70" s="10">
        <v>0.328108224</v>
      </c>
      <c r="Q70" s="10">
        <v>0.696373057</v>
      </c>
      <c r="R70" s="10">
        <v>0.802477024</v>
      </c>
      <c r="S70" s="10">
        <v>0.788916563</v>
      </c>
      <c r="T70" s="10">
        <v>1.426221577</v>
      </c>
      <c r="U70" s="10">
        <v>1.044376221</v>
      </c>
      <c r="V70" s="10">
        <v>0.559615898</v>
      </c>
      <c r="W70" s="10">
        <v>0.214839424</v>
      </c>
      <c r="X70" s="10">
        <v>0.759975445</v>
      </c>
      <c r="Y70" s="10">
        <v>0.709962889</v>
      </c>
      <c r="Z70" s="10">
        <v>1.358966472</v>
      </c>
      <c r="AA70" s="10">
        <v>1.350323466</v>
      </c>
      <c r="AB70" s="10">
        <v>1.708199811</v>
      </c>
      <c r="AC70" s="10">
        <v>1.074541629</v>
      </c>
      <c r="AD70" s="10">
        <v>1.050862852</v>
      </c>
      <c r="AE70" s="10">
        <v>1.183393897</v>
      </c>
      <c r="AF70" s="10">
        <v>1.180719811</v>
      </c>
    </row>
    <row r="71" spans="1:32">
      <c r="A71" s="10" t="s">
        <v>103</v>
      </c>
      <c r="B71" s="10" t="str">
        <f t="shared" si="6"/>
        <v>A/T</v>
      </c>
      <c r="C71" s="10">
        <v>1.162916164</v>
      </c>
      <c r="D71" s="10">
        <v>0.810211116</v>
      </c>
      <c r="E71" s="10">
        <v>1.645584726</v>
      </c>
      <c r="F71" s="10">
        <v>1.588061466</v>
      </c>
      <c r="G71" s="10">
        <v>1.604679395</v>
      </c>
      <c r="H71" s="10">
        <v>1.620307753</v>
      </c>
      <c r="I71" s="10">
        <v>1.553135472</v>
      </c>
      <c r="J71" s="10">
        <v>0.663072183</v>
      </c>
      <c r="K71" s="10">
        <v>0.599322146</v>
      </c>
      <c r="L71" s="10">
        <v>1.645584726</v>
      </c>
      <c r="M71" s="10">
        <v>0.216299191</v>
      </c>
      <c r="N71" s="10">
        <v>0.884228188</v>
      </c>
      <c r="O71" s="10">
        <v>0.902135435</v>
      </c>
      <c r="P71" s="10">
        <v>1.671891776</v>
      </c>
      <c r="Q71" s="10">
        <v>1.303626943</v>
      </c>
      <c r="R71" s="10">
        <v>1.197522976</v>
      </c>
      <c r="S71" s="10">
        <v>1.211083437</v>
      </c>
      <c r="T71" s="10">
        <v>0.573778423</v>
      </c>
      <c r="U71" s="10">
        <v>0.955623779</v>
      </c>
      <c r="V71" s="10">
        <v>1.440384102</v>
      </c>
      <c r="W71" s="10">
        <v>1.785160576</v>
      </c>
      <c r="X71" s="10">
        <v>1.240024555</v>
      </c>
      <c r="Y71" s="10">
        <v>1.290037111</v>
      </c>
      <c r="Z71" s="10">
        <v>0.641033528</v>
      </c>
      <c r="AA71" s="10">
        <v>0.649676534</v>
      </c>
      <c r="AB71" s="10">
        <v>0.291800189</v>
      </c>
      <c r="AC71" s="10">
        <v>0.925458371</v>
      </c>
      <c r="AD71" s="10">
        <v>0.949137148</v>
      </c>
      <c r="AE71" s="10">
        <v>0.816606103</v>
      </c>
      <c r="AF71" s="10">
        <v>0.819280189</v>
      </c>
    </row>
    <row r="72" spans="1:32">
      <c r="A72" s="10" t="s">
        <v>104</v>
      </c>
      <c r="B72" s="10" t="str">
        <f t="shared" si="6"/>
        <v>A/T</v>
      </c>
      <c r="C72" s="10">
        <v>0.736823324</v>
      </c>
      <c r="D72" s="10">
        <v>0.513350756</v>
      </c>
      <c r="E72" s="10">
        <v>4.00723275</v>
      </c>
      <c r="F72" s="10">
        <v>3.943232064</v>
      </c>
      <c r="G72" s="10">
        <v>3.620394163</v>
      </c>
      <c r="H72" s="10">
        <v>3.791901427</v>
      </c>
      <c r="I72" s="10">
        <v>1.998841304</v>
      </c>
      <c r="J72" s="10">
        <v>0.208324045</v>
      </c>
      <c r="K72" s="10">
        <v>0.552810452</v>
      </c>
      <c r="L72" s="10">
        <v>4.00723275</v>
      </c>
      <c r="M72" s="10">
        <v>0.095151483</v>
      </c>
      <c r="N72" s="10">
        <v>0.776612869</v>
      </c>
      <c r="O72" s="10">
        <v>0.502392838</v>
      </c>
      <c r="P72" s="10">
        <v>3.334886451</v>
      </c>
      <c r="Q72" s="10">
        <v>1.948047323</v>
      </c>
      <c r="R72" s="10">
        <v>0.835186306</v>
      </c>
      <c r="S72" s="10">
        <v>0.649779358</v>
      </c>
      <c r="T72" s="10">
        <v>0.56480877</v>
      </c>
      <c r="U72" s="10">
        <v>0.779066156</v>
      </c>
      <c r="V72" s="10">
        <v>1.57018999</v>
      </c>
      <c r="W72" s="10">
        <v>3.327160154</v>
      </c>
      <c r="X72" s="10">
        <v>2.035112766</v>
      </c>
      <c r="Y72" s="10">
        <v>2.574092386</v>
      </c>
      <c r="Z72" s="10">
        <v>0.472649357</v>
      </c>
      <c r="AA72" s="10">
        <v>0.481725422</v>
      </c>
      <c r="AB72" s="10">
        <v>0.074193768</v>
      </c>
      <c r="AC72" s="10">
        <v>0.473371606</v>
      </c>
      <c r="AD72" s="10">
        <v>0.499468713</v>
      </c>
      <c r="AE72" s="10">
        <v>0.344779365</v>
      </c>
      <c r="AF72" s="10">
        <v>0.349595847</v>
      </c>
    </row>
    <row r="73" spans="1:32">
      <c r="A73" s="10" t="s">
        <v>105</v>
      </c>
      <c r="B73" s="10" t="str">
        <f t="shared" si="6"/>
        <v>G/C</v>
      </c>
      <c r="C73" s="10">
        <v>0.695063528</v>
      </c>
      <c r="D73" s="10">
        <v>0.724950232</v>
      </c>
      <c r="E73" s="10">
        <v>0.300737711</v>
      </c>
      <c r="F73" s="10">
        <v>0.388490245</v>
      </c>
      <c r="G73" s="10">
        <v>0.506689936</v>
      </c>
      <c r="H73" s="10">
        <v>0.356454942</v>
      </c>
      <c r="I73" s="10">
        <v>0.722002374</v>
      </c>
      <c r="J73" s="10">
        <v>1.093939546</v>
      </c>
      <c r="K73" s="10">
        <v>0.755835157</v>
      </c>
      <c r="L73" s="10">
        <v>0.300737711</v>
      </c>
      <c r="M73" s="10">
        <v>1.423350896</v>
      </c>
      <c r="N73" s="10">
        <v>0.853430214</v>
      </c>
      <c r="O73" s="10">
        <v>0.774121382</v>
      </c>
      <c r="P73" s="10">
        <v>0.282160821</v>
      </c>
      <c r="Q73" s="10">
        <v>0.647199485</v>
      </c>
      <c r="R73" s="10">
        <v>0.639032361</v>
      </c>
      <c r="S73" s="10">
        <v>0.619359742</v>
      </c>
      <c r="T73" s="10">
        <v>0.875568576</v>
      </c>
      <c r="U73" s="10">
        <v>0.600083822</v>
      </c>
      <c r="V73" s="10">
        <v>0.558361221</v>
      </c>
      <c r="W73" s="10">
        <v>0.310241208</v>
      </c>
      <c r="X73" s="10">
        <v>0.742248618</v>
      </c>
      <c r="Y73" s="10">
        <v>0.479892019</v>
      </c>
      <c r="Z73" s="10">
        <v>1.293733051</v>
      </c>
      <c r="AA73" s="10">
        <v>1.282396738</v>
      </c>
      <c r="AB73" s="10">
        <v>0.991027496</v>
      </c>
      <c r="AC73" s="10">
        <v>1.066713959</v>
      </c>
      <c r="AD73" s="10">
        <v>1.046902294</v>
      </c>
      <c r="AE73" s="10">
        <v>1.170898386</v>
      </c>
      <c r="AF73" s="10">
        <v>1.17440078</v>
      </c>
    </row>
    <row r="74" spans="1:32">
      <c r="A74" s="10" t="s">
        <v>106</v>
      </c>
      <c r="B74" s="10" t="str">
        <f t="shared" si="6"/>
        <v>G/C</v>
      </c>
      <c r="C74" s="10">
        <v>0.619776612</v>
      </c>
      <c r="D74" s="10">
        <v>1.309896603</v>
      </c>
      <c r="E74" s="10">
        <v>0.345302607</v>
      </c>
      <c r="F74" s="10">
        <v>0.243759806</v>
      </c>
      <c r="G74" s="10">
        <v>0.59855864</v>
      </c>
      <c r="H74" s="10">
        <v>0.342793955</v>
      </c>
      <c r="I74" s="10">
        <v>0.845878245</v>
      </c>
      <c r="J74" s="10">
        <v>0.698938874</v>
      </c>
      <c r="K74" s="10">
        <v>0.955757255</v>
      </c>
      <c r="L74" s="10">
        <v>0.345302607</v>
      </c>
      <c r="M74" s="10">
        <v>0.274631532</v>
      </c>
      <c r="N74" s="10">
        <v>0.767710418</v>
      </c>
      <c r="O74" s="10">
        <v>0.612684249</v>
      </c>
      <c r="P74" s="10">
        <v>0.768152798</v>
      </c>
      <c r="Q74" s="10">
        <v>1.033197483</v>
      </c>
      <c r="R74" s="10">
        <v>0.682268523</v>
      </c>
      <c r="S74" s="10">
        <v>0.635576882</v>
      </c>
      <c r="T74" s="10">
        <v>1.047720268</v>
      </c>
      <c r="U74" s="10">
        <v>1.327259551</v>
      </c>
      <c r="V74" s="10">
        <v>1.675920999</v>
      </c>
      <c r="W74" s="10">
        <v>0.473032471</v>
      </c>
      <c r="X74" s="10">
        <v>1.736461328</v>
      </c>
      <c r="Y74" s="10">
        <v>1.752027122</v>
      </c>
      <c r="Z74" s="10">
        <v>1.045027729</v>
      </c>
      <c r="AA74" s="10">
        <v>1.040950127</v>
      </c>
      <c r="AB74" s="10">
        <v>0.563239897</v>
      </c>
      <c r="AC74" s="10">
        <v>0.815619032</v>
      </c>
      <c r="AD74" s="10">
        <v>0.839656923</v>
      </c>
      <c r="AE74" s="10">
        <v>0.715115048</v>
      </c>
      <c r="AF74" s="10">
        <v>0.714729286</v>
      </c>
    </row>
    <row r="75" spans="1:32">
      <c r="A75" s="10" t="s">
        <v>107</v>
      </c>
      <c r="B75" s="10" t="str">
        <f t="shared" si="6"/>
        <v>A/T</v>
      </c>
      <c r="C75" s="10">
        <v>1.304936472</v>
      </c>
      <c r="D75" s="10">
        <v>1.275049768</v>
      </c>
      <c r="E75" s="10">
        <v>1.699262289</v>
      </c>
      <c r="F75" s="10">
        <v>1.611509755</v>
      </c>
      <c r="G75" s="10">
        <v>1.493310064</v>
      </c>
      <c r="H75" s="10">
        <v>1.643545058</v>
      </c>
      <c r="I75" s="10">
        <v>1.277997626</v>
      </c>
      <c r="J75" s="10">
        <v>0.906060454</v>
      </c>
      <c r="K75" s="10">
        <v>1.244164843</v>
      </c>
      <c r="L75" s="10">
        <v>1.699262289</v>
      </c>
      <c r="M75" s="10">
        <v>0.576649104</v>
      </c>
      <c r="N75" s="10">
        <v>1.146569786</v>
      </c>
      <c r="O75" s="10">
        <v>1.225878618</v>
      </c>
      <c r="P75" s="10">
        <v>1.717839179</v>
      </c>
      <c r="Q75" s="10">
        <v>1.352800515</v>
      </c>
      <c r="R75" s="10">
        <v>1.360967639</v>
      </c>
      <c r="S75" s="10">
        <v>1.380640258</v>
      </c>
      <c r="T75" s="10">
        <v>1.124431424</v>
      </c>
      <c r="U75" s="10">
        <v>1.399916178</v>
      </c>
      <c r="V75" s="10">
        <v>1.441638779</v>
      </c>
      <c r="W75" s="10">
        <v>1.689758792</v>
      </c>
      <c r="X75" s="10">
        <v>1.257751382</v>
      </c>
      <c r="Y75" s="10">
        <v>1.520107981</v>
      </c>
      <c r="Z75" s="10">
        <v>0.706266949</v>
      </c>
      <c r="AA75" s="10">
        <v>0.717603262</v>
      </c>
      <c r="AB75" s="10">
        <v>1.008972504</v>
      </c>
      <c r="AC75" s="10">
        <v>0.933286041</v>
      </c>
      <c r="AD75" s="10">
        <v>0.953097706</v>
      </c>
      <c r="AE75" s="10">
        <v>0.829101614</v>
      </c>
      <c r="AF75" s="10">
        <v>0.82559922</v>
      </c>
    </row>
    <row r="76" spans="1:32">
      <c r="A76" t="s">
        <v>323</v>
      </c>
      <c r="C76">
        <f>AVERAGEIF($B14:$B75,"A/T",C14:C75)</f>
        <v>1.15003482709375</v>
      </c>
      <c r="D76">
        <f>AVERAGEIF($B14:$B75,"A/T",D14:D75)</f>
        <v>1.25091152209375</v>
      </c>
      <c r="E76">
        <f>AVERAGEIF($B14:$B75,"A/T",E14:E75)</f>
        <v>1.7197576551875</v>
      </c>
      <c r="F76">
        <f t="shared" ref="F76:AF76" si="7">AVERAGEIF($B14:$B75,"A/T",F14:F75)</f>
        <v>1.69892955725</v>
      </c>
      <c r="G76">
        <f t="shared" si="7"/>
        <v>1.50965583834375</v>
      </c>
      <c r="H76">
        <f t="shared" si="7"/>
        <v>1.7084742300625</v>
      </c>
      <c r="I76">
        <f t="shared" si="7"/>
        <v>1.42798972634375</v>
      </c>
      <c r="J76">
        <f t="shared" si="7"/>
        <v>0.76655068709375</v>
      </c>
      <c r="K76">
        <f t="shared" si="7"/>
        <v>0.79976534025</v>
      </c>
      <c r="L76">
        <f t="shared" si="7"/>
        <v>1.7197576551875</v>
      </c>
      <c r="M76">
        <f t="shared" si="7"/>
        <v>0.2937280335625</v>
      </c>
      <c r="N76">
        <f t="shared" si="7"/>
        <v>0.90899040278125</v>
      </c>
      <c r="O76">
        <f t="shared" si="7"/>
        <v>0.874715863</v>
      </c>
      <c r="P76">
        <f t="shared" si="7"/>
        <v>1.6900433574375</v>
      </c>
      <c r="Q76">
        <f t="shared" si="7"/>
        <v>1.29438899428125</v>
      </c>
      <c r="R76">
        <f t="shared" si="7"/>
        <v>1.2039934946875</v>
      </c>
      <c r="S76">
        <f t="shared" si="7"/>
        <v>1.2308952525</v>
      </c>
      <c r="T76">
        <f t="shared" si="7"/>
        <v>0.95884198028125</v>
      </c>
      <c r="U76">
        <f t="shared" si="7"/>
        <v>0.97840061371875</v>
      </c>
      <c r="V76">
        <f t="shared" si="7"/>
        <v>1.418084605375</v>
      </c>
      <c r="W76">
        <f t="shared" si="7"/>
        <v>1.7174321326875</v>
      </c>
      <c r="X76">
        <f t="shared" si="7"/>
        <v>1.35846000528125</v>
      </c>
      <c r="Y76">
        <f t="shared" si="7"/>
        <v>1.23489287921875</v>
      </c>
      <c r="Z76">
        <f t="shared" si="7"/>
        <v>0.65751557509375</v>
      </c>
      <c r="AA76">
        <f t="shared" si="7"/>
        <v>0.664050324875</v>
      </c>
      <c r="AB76">
        <f t="shared" si="7"/>
        <v>0.4788658939375</v>
      </c>
      <c r="AC76">
        <f t="shared" si="7"/>
        <v>0.7836195741875</v>
      </c>
      <c r="AD76">
        <f t="shared" si="7"/>
        <v>0.8030275834375</v>
      </c>
      <c r="AE76">
        <f t="shared" si="7"/>
        <v>0.6829230671875</v>
      </c>
      <c r="AF76">
        <f t="shared" si="7"/>
        <v>0.680456174375</v>
      </c>
    </row>
    <row r="77" spans="1:32">
      <c r="A77" t="s">
        <v>324</v>
      </c>
      <c r="C77">
        <f>AVERAGEIF($B14:$B75,"G/C",C14:C75)</f>
        <v>0.839962851233333</v>
      </c>
      <c r="D77">
        <f>AVERAGEIF($B14:$B75,"G/C",D14:D75)</f>
        <v>0.7323610431</v>
      </c>
      <c r="E77">
        <f t="shared" ref="E77:AF77" si="8">AVERAGEIF($B14:$B75,"G/C",E14:E75)</f>
        <v>0.232258501133333</v>
      </c>
      <c r="F77">
        <f t="shared" si="8"/>
        <v>0.254475138966667</v>
      </c>
      <c r="G77">
        <f t="shared" si="8"/>
        <v>0.456367105766667</v>
      </c>
      <c r="H77">
        <f t="shared" si="8"/>
        <v>0.2442941546</v>
      </c>
      <c r="I77">
        <f t="shared" si="8"/>
        <v>0.5434776252</v>
      </c>
      <c r="J77">
        <f t="shared" si="8"/>
        <v>1.2490126004</v>
      </c>
      <c r="K77">
        <f t="shared" si="8"/>
        <v>1.21358363703333</v>
      </c>
      <c r="L77">
        <f t="shared" si="8"/>
        <v>0.232258501133333</v>
      </c>
      <c r="M77">
        <f t="shared" si="8"/>
        <v>1.75335676416667</v>
      </c>
      <c r="N77">
        <f t="shared" si="8"/>
        <v>1.09707690366667</v>
      </c>
      <c r="O77">
        <f t="shared" si="8"/>
        <v>1.13363641276667</v>
      </c>
      <c r="P77">
        <f t="shared" si="8"/>
        <v>0.2639537521</v>
      </c>
      <c r="Q77">
        <f t="shared" si="8"/>
        <v>0.6859850728</v>
      </c>
      <c r="R77">
        <f t="shared" si="8"/>
        <v>0.7824069391</v>
      </c>
      <c r="S77">
        <f t="shared" si="8"/>
        <v>0.7537117306</v>
      </c>
      <c r="T77">
        <f t="shared" si="8"/>
        <v>1.04390188753333</v>
      </c>
      <c r="U77">
        <f t="shared" si="8"/>
        <v>1.02303934546667</v>
      </c>
      <c r="V77">
        <f t="shared" si="8"/>
        <v>0.554043087666667</v>
      </c>
      <c r="W77">
        <f t="shared" si="8"/>
        <v>0.234739058533333</v>
      </c>
      <c r="X77">
        <f t="shared" si="8"/>
        <v>0.617642661</v>
      </c>
      <c r="Y77">
        <f t="shared" si="8"/>
        <v>0.749447595466667</v>
      </c>
      <c r="Z77">
        <f t="shared" si="8"/>
        <v>1.3653167199</v>
      </c>
      <c r="AA77">
        <f t="shared" si="8"/>
        <v>1.35834632016667</v>
      </c>
      <c r="AB77">
        <f t="shared" si="8"/>
        <v>1.55587637966667</v>
      </c>
      <c r="AC77">
        <f t="shared" si="8"/>
        <v>1.1308057875</v>
      </c>
      <c r="AD77">
        <f t="shared" si="8"/>
        <v>1.1101039111</v>
      </c>
      <c r="AE77">
        <f t="shared" si="8"/>
        <v>1.23821539506667</v>
      </c>
      <c r="AF77">
        <f t="shared" si="8"/>
        <v>1.24084674726667</v>
      </c>
    </row>
  </sheetData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9"/>
  <sheetViews>
    <sheetView workbookViewId="0">
      <selection activeCell="AG1" sqref="AG1"/>
    </sheetView>
  </sheetViews>
  <sheetFormatPr defaultColWidth="8.88495575221239" defaultRowHeight="13.5"/>
  <cols>
    <col min="2" max="14" width="12.8849557522124"/>
    <col min="16" max="30" width="12.8849557522124"/>
  </cols>
  <sheetData>
    <row r="1" spans="2:33">
      <c r="B1" t="s">
        <v>215</v>
      </c>
      <c r="C1" t="s">
        <v>207</v>
      </c>
      <c r="D1" t="s">
        <v>205</v>
      </c>
      <c r="E1" t="s">
        <v>202</v>
      </c>
      <c r="F1" t="s">
        <v>201</v>
      </c>
      <c r="G1" t="s">
        <v>200</v>
      </c>
      <c r="H1" s="3" t="s">
        <v>328</v>
      </c>
      <c r="I1" t="s">
        <v>212</v>
      </c>
      <c r="J1" s="3" t="s">
        <v>213</v>
      </c>
      <c r="K1" t="s">
        <v>211</v>
      </c>
      <c r="L1" t="s">
        <v>210</v>
      </c>
      <c r="M1" t="s">
        <v>206</v>
      </c>
      <c r="N1" t="s">
        <v>196</v>
      </c>
      <c r="O1" t="s">
        <v>209</v>
      </c>
      <c r="P1" t="s">
        <v>236</v>
      </c>
      <c r="Q1" s="3" t="s">
        <v>234</v>
      </c>
      <c r="R1" t="s">
        <v>217</v>
      </c>
      <c r="S1" t="s">
        <v>228</v>
      </c>
      <c r="T1" t="s">
        <v>224</v>
      </c>
      <c r="U1" s="3" t="s">
        <v>219</v>
      </c>
      <c r="V1" t="s">
        <v>237</v>
      </c>
      <c r="W1" t="s">
        <v>233</v>
      </c>
      <c r="X1" t="s">
        <v>232</v>
      </c>
      <c r="Y1" t="s">
        <v>231</v>
      </c>
      <c r="Z1" t="s">
        <v>230</v>
      </c>
      <c r="AA1" t="s">
        <v>223</v>
      </c>
      <c r="AB1" s="3" t="s">
        <v>222</v>
      </c>
      <c r="AC1" s="3" t="s">
        <v>221</v>
      </c>
      <c r="AD1" s="17" t="s">
        <v>42</v>
      </c>
      <c r="AE1" s="17" t="s">
        <v>43</v>
      </c>
      <c r="AF1" s="18" t="s">
        <v>44</v>
      </c>
      <c r="AG1" s="18" t="s">
        <v>45</v>
      </c>
    </row>
    <row r="2" spans="1:33">
      <c r="A2" t="s">
        <v>65</v>
      </c>
      <c r="B2">
        <v>1.954206373</v>
      </c>
      <c r="C2">
        <v>2.339284358</v>
      </c>
      <c r="D2">
        <v>2.119310793</v>
      </c>
      <c r="E2">
        <v>1.991362876</v>
      </c>
      <c r="F2">
        <v>2.173238236</v>
      </c>
      <c r="G2">
        <v>1.7866128</v>
      </c>
      <c r="H2">
        <v>1.976747136</v>
      </c>
      <c r="I2" s="3">
        <v>0.991783658</v>
      </c>
      <c r="J2">
        <v>0.52811284</v>
      </c>
      <c r="K2">
        <v>0.109624485</v>
      </c>
      <c r="L2">
        <v>0.378460122</v>
      </c>
      <c r="M2" s="3">
        <v>0.839093572</v>
      </c>
      <c r="N2">
        <v>0.761328488</v>
      </c>
      <c r="O2">
        <v>0.263812207</v>
      </c>
      <c r="P2">
        <v>1.835365452</v>
      </c>
      <c r="Q2">
        <v>1.951459293</v>
      </c>
      <c r="R2">
        <v>1.764237003</v>
      </c>
      <c r="S2">
        <v>2.183973876</v>
      </c>
      <c r="T2">
        <v>2.138760407</v>
      </c>
      <c r="U2">
        <v>2.147810581</v>
      </c>
      <c r="V2">
        <v>0.821704577</v>
      </c>
      <c r="W2">
        <v>1.260243979</v>
      </c>
      <c r="X2">
        <v>0.915073762</v>
      </c>
      <c r="Y2">
        <v>1.145858869</v>
      </c>
      <c r="Z2">
        <v>0.280175628</v>
      </c>
      <c r="AA2">
        <v>0.252256186</v>
      </c>
      <c r="AB2" s="3">
        <v>0.257699213</v>
      </c>
      <c r="AC2" s="3">
        <v>0.179281858</v>
      </c>
      <c r="AD2" s="10">
        <v>1.045865178</v>
      </c>
      <c r="AE2" s="10">
        <v>1.07014966</v>
      </c>
      <c r="AF2" s="10">
        <v>0.93597447</v>
      </c>
      <c r="AG2" s="10">
        <v>0.93617498</v>
      </c>
    </row>
    <row r="3" spans="1:33">
      <c r="A3" t="s">
        <v>66</v>
      </c>
      <c r="B3">
        <v>0.242335389</v>
      </c>
      <c r="C3">
        <v>0.070804528</v>
      </c>
      <c r="D3">
        <v>0.08810143</v>
      </c>
      <c r="E3">
        <v>0.253666887</v>
      </c>
      <c r="F3">
        <v>0.055084556</v>
      </c>
      <c r="G3">
        <v>0.300431549</v>
      </c>
      <c r="H3">
        <v>0.355134655</v>
      </c>
      <c r="I3">
        <v>0.167561623</v>
      </c>
      <c r="J3">
        <v>1.314299611</v>
      </c>
      <c r="K3">
        <v>2.643924693</v>
      </c>
      <c r="L3">
        <v>0.87513972</v>
      </c>
      <c r="M3">
        <v>0.588376754</v>
      </c>
      <c r="N3">
        <v>0.492723739</v>
      </c>
      <c r="O3">
        <v>1.190760563</v>
      </c>
      <c r="P3">
        <v>0.13866737</v>
      </c>
      <c r="Q3">
        <v>0.356169995</v>
      </c>
      <c r="R3">
        <v>0.417323532</v>
      </c>
      <c r="S3">
        <v>0.181060035</v>
      </c>
      <c r="T3">
        <v>0.078445883</v>
      </c>
      <c r="U3">
        <v>0.18922132</v>
      </c>
      <c r="V3">
        <v>0.424225815</v>
      </c>
      <c r="W3">
        <v>0.282139506</v>
      </c>
      <c r="X3">
        <v>0.428735605</v>
      </c>
      <c r="Y3">
        <v>0.188641802</v>
      </c>
      <c r="Z3">
        <v>0.6678817</v>
      </c>
      <c r="AA3">
        <v>1.079475983</v>
      </c>
      <c r="AB3">
        <v>1.067117801</v>
      </c>
      <c r="AC3">
        <v>1.830501105</v>
      </c>
      <c r="AD3" s="10">
        <v>1.283761248</v>
      </c>
      <c r="AE3" s="10">
        <v>1.254204082</v>
      </c>
      <c r="AF3" s="10">
        <v>1.42694228</v>
      </c>
      <c r="AG3" s="10">
        <v>1.429934373</v>
      </c>
    </row>
    <row r="4" spans="1:33">
      <c r="A4" t="s">
        <v>67</v>
      </c>
      <c r="B4">
        <v>0.543659178</v>
      </c>
      <c r="C4">
        <v>0.162880802</v>
      </c>
      <c r="D4">
        <v>0.053803641</v>
      </c>
      <c r="E4">
        <v>0.560245886</v>
      </c>
      <c r="F4">
        <v>0.177095949</v>
      </c>
      <c r="G4">
        <v>0.220549077</v>
      </c>
      <c r="H4">
        <v>0.627404558</v>
      </c>
      <c r="I4">
        <v>2.277544155</v>
      </c>
      <c r="J4">
        <v>1.311964981</v>
      </c>
      <c r="K4">
        <v>1.070438838</v>
      </c>
      <c r="L4">
        <v>2.112564929</v>
      </c>
      <c r="M4">
        <v>1.746138431</v>
      </c>
      <c r="N4">
        <v>2.11740049</v>
      </c>
      <c r="O4">
        <v>1.619330203</v>
      </c>
      <c r="P4">
        <v>0.2628353</v>
      </c>
      <c r="Q4">
        <v>0.777880184</v>
      </c>
      <c r="R4">
        <v>1.076432557</v>
      </c>
      <c r="S4">
        <v>0.451745793</v>
      </c>
      <c r="T4">
        <v>0.05106383</v>
      </c>
      <c r="U4">
        <v>0.347136913</v>
      </c>
      <c r="V4">
        <v>1.905398739</v>
      </c>
      <c r="W4">
        <v>1.685799187</v>
      </c>
      <c r="X4">
        <v>1.636888149</v>
      </c>
      <c r="Y4">
        <v>1.948053464</v>
      </c>
      <c r="Z4">
        <v>1.906552895</v>
      </c>
      <c r="AA4">
        <v>2.074818049</v>
      </c>
      <c r="AB4">
        <v>2.078994614</v>
      </c>
      <c r="AC4">
        <v>1.555418675</v>
      </c>
      <c r="AD4" s="10">
        <v>0.523735207</v>
      </c>
      <c r="AE4" s="10">
        <v>0.518603175</v>
      </c>
      <c r="AF4" s="10">
        <v>0.60059991</v>
      </c>
      <c r="AG4" s="10">
        <v>0.606865134</v>
      </c>
    </row>
    <row r="5" spans="1:33">
      <c r="A5" t="s">
        <v>68</v>
      </c>
      <c r="B5">
        <v>1.25979906</v>
      </c>
      <c r="C5">
        <v>1.427030312</v>
      </c>
      <c r="D5">
        <v>1.738784135</v>
      </c>
      <c r="E5">
        <v>1.194724351</v>
      </c>
      <c r="F5">
        <v>1.594581259</v>
      </c>
      <c r="G5">
        <v>1.692406574</v>
      </c>
      <c r="H5">
        <v>1.040713652</v>
      </c>
      <c r="I5">
        <v>0.563110565</v>
      </c>
      <c r="J5">
        <v>0.845622568</v>
      </c>
      <c r="K5">
        <v>0.176011984</v>
      </c>
      <c r="L5">
        <v>0.633835229</v>
      </c>
      <c r="M5">
        <v>0.826391244</v>
      </c>
      <c r="N5">
        <v>0.628547283</v>
      </c>
      <c r="O5">
        <v>0.926097027</v>
      </c>
      <c r="P5">
        <v>1.763131879</v>
      </c>
      <c r="Q5">
        <v>0.914490527</v>
      </c>
      <c r="R5">
        <v>0.742006908</v>
      </c>
      <c r="S5">
        <v>1.183220296</v>
      </c>
      <c r="T5">
        <v>1.73172988</v>
      </c>
      <c r="U5">
        <v>1.315831187</v>
      </c>
      <c r="V5">
        <v>0.848670869</v>
      </c>
      <c r="W5">
        <v>0.771817329</v>
      </c>
      <c r="X5">
        <v>1.019302484</v>
      </c>
      <c r="Y5">
        <v>0.717445865</v>
      </c>
      <c r="Z5">
        <v>1.145389777</v>
      </c>
      <c r="AA5">
        <v>0.593449782</v>
      </c>
      <c r="AB5">
        <v>0.596188372</v>
      </c>
      <c r="AC5">
        <v>0.434798362</v>
      </c>
      <c r="AD5" s="10">
        <v>1.146638367</v>
      </c>
      <c r="AE5" s="10">
        <v>1.157043084</v>
      </c>
      <c r="AF5" s="10">
        <v>1.03648334</v>
      </c>
      <c r="AG5" s="10">
        <v>1.027025513</v>
      </c>
    </row>
    <row r="6" spans="1:33">
      <c r="A6" t="s">
        <v>323</v>
      </c>
      <c r="B6">
        <v>1.6070027165</v>
      </c>
      <c r="C6">
        <v>1.883157335</v>
      </c>
      <c r="D6">
        <v>1.929047464</v>
      </c>
      <c r="E6">
        <v>1.5930436135</v>
      </c>
      <c r="F6">
        <v>1.8839097475</v>
      </c>
      <c r="G6">
        <v>1.739509687</v>
      </c>
      <c r="H6">
        <v>1.508730394</v>
      </c>
      <c r="I6">
        <v>0.7774471115</v>
      </c>
      <c r="J6">
        <v>0.686867704</v>
      </c>
      <c r="K6">
        <v>0.1428182345</v>
      </c>
      <c r="L6">
        <v>0.5061476755</v>
      </c>
      <c r="M6">
        <v>0.832742408</v>
      </c>
      <c r="N6">
        <v>0.6949378855</v>
      </c>
      <c r="O6">
        <v>0.594954617</v>
      </c>
      <c r="P6">
        <v>1.7992486655</v>
      </c>
      <c r="Q6">
        <v>1.43297491</v>
      </c>
      <c r="R6">
        <v>1.2531219555</v>
      </c>
      <c r="S6">
        <v>1.683597086</v>
      </c>
      <c r="T6">
        <v>1.9352451435</v>
      </c>
      <c r="U6">
        <v>1.731820884</v>
      </c>
      <c r="V6">
        <v>0.835187723</v>
      </c>
      <c r="W6">
        <v>1.016030654</v>
      </c>
      <c r="X6">
        <v>0.967188123</v>
      </c>
      <c r="Y6">
        <v>0.931652367</v>
      </c>
      <c r="Z6">
        <v>0.7127827025</v>
      </c>
      <c r="AA6">
        <v>0.422852984</v>
      </c>
      <c r="AB6">
        <v>0.4269437925</v>
      </c>
      <c r="AC6">
        <v>0.30704011</v>
      </c>
      <c r="AD6">
        <v>1.0962517725</v>
      </c>
      <c r="AE6">
        <v>1.113596372</v>
      </c>
      <c r="AF6">
        <v>0.986228905</v>
      </c>
      <c r="AG6">
        <v>0.9816002465</v>
      </c>
    </row>
    <row r="7" spans="1:33">
      <c r="A7" t="s">
        <v>324</v>
      </c>
      <c r="B7">
        <v>0.3929972835</v>
      </c>
      <c r="C7">
        <v>0.116842665</v>
      </c>
      <c r="D7">
        <v>0.0709525355</v>
      </c>
      <c r="E7">
        <v>0.4069563865</v>
      </c>
      <c r="F7">
        <v>0.1160902525</v>
      </c>
      <c r="G7">
        <v>0.260490313</v>
      </c>
      <c r="H7">
        <v>0.4912696065</v>
      </c>
      <c r="I7">
        <v>1.222552889</v>
      </c>
      <c r="J7">
        <v>1.313132296</v>
      </c>
      <c r="K7">
        <v>1.8571817655</v>
      </c>
      <c r="L7">
        <v>1.4938523245</v>
      </c>
      <c r="M7">
        <v>1.1672575925</v>
      </c>
      <c r="N7">
        <v>1.3050621145</v>
      </c>
      <c r="O7">
        <v>1.405045383</v>
      </c>
      <c r="P7">
        <v>0.200751335</v>
      </c>
      <c r="Q7">
        <v>0.5670250895</v>
      </c>
      <c r="R7">
        <v>0.7468780445</v>
      </c>
      <c r="S7">
        <v>0.316402914</v>
      </c>
      <c r="T7">
        <v>0.0647548565</v>
      </c>
      <c r="U7">
        <v>0.2681791165</v>
      </c>
      <c r="V7">
        <v>1.164812277</v>
      </c>
      <c r="W7">
        <v>0.9839693465</v>
      </c>
      <c r="X7">
        <v>1.032811877</v>
      </c>
      <c r="Y7">
        <v>1.068347633</v>
      </c>
      <c r="Z7">
        <v>1.2872172975</v>
      </c>
      <c r="AA7">
        <v>1.577147016</v>
      </c>
      <c r="AB7">
        <v>1.5730562075</v>
      </c>
      <c r="AC7">
        <v>1.69295989</v>
      </c>
      <c r="AD7">
        <v>0.9037482275</v>
      </c>
      <c r="AE7">
        <v>0.8864036285</v>
      </c>
      <c r="AF7">
        <v>1.013771095</v>
      </c>
      <c r="AG7">
        <v>1.0183997535</v>
      </c>
    </row>
    <row r="8" spans="1:33">
      <c r="A8" t="s">
        <v>150</v>
      </c>
      <c r="B8">
        <v>1.41380685828125</v>
      </c>
      <c r="C8">
        <v>1.7197576551875</v>
      </c>
      <c r="D8">
        <v>1.69892955725</v>
      </c>
      <c r="E8">
        <v>1.50965583834375</v>
      </c>
      <c r="F8">
        <v>1.7084742300625</v>
      </c>
      <c r="G8">
        <v>1.42798972634375</v>
      </c>
      <c r="H8">
        <v>0.71684540140625</v>
      </c>
      <c r="I8">
        <v>1.15003482709375</v>
      </c>
      <c r="J8">
        <v>0.76655068709375</v>
      </c>
      <c r="K8">
        <v>0.2937280335625</v>
      </c>
      <c r="L8">
        <v>0.79976534025</v>
      </c>
      <c r="M8">
        <v>0.92000511503125</v>
      </c>
      <c r="N8">
        <v>0.90899040278125</v>
      </c>
      <c r="O8">
        <v>0.874715863</v>
      </c>
      <c r="P8">
        <v>1.6900433574375</v>
      </c>
      <c r="Q8">
        <v>1.29438899428125</v>
      </c>
      <c r="R8">
        <v>0.97840061371875</v>
      </c>
      <c r="S8">
        <v>1.418084605375</v>
      </c>
      <c r="T8">
        <v>1.7174321326875</v>
      </c>
      <c r="U8">
        <v>1.35846000528125</v>
      </c>
      <c r="V8">
        <v>1.026174609625</v>
      </c>
      <c r="W8">
        <v>1.23489287921875</v>
      </c>
      <c r="X8">
        <v>1.2039934946875</v>
      </c>
      <c r="Y8">
        <v>1.2308952525</v>
      </c>
      <c r="Z8">
        <v>0.95884198028125</v>
      </c>
      <c r="AA8">
        <v>0.65751557509375</v>
      </c>
      <c r="AB8">
        <v>0.664050324875</v>
      </c>
      <c r="AC8">
        <v>0.4788658939375</v>
      </c>
      <c r="AD8">
        <v>0.7836195741875</v>
      </c>
      <c r="AE8">
        <v>0.8030275834375</v>
      </c>
      <c r="AF8">
        <v>0.6829230671875</v>
      </c>
      <c r="AG8">
        <v>0.680456174375</v>
      </c>
    </row>
    <row r="9" spans="1:33">
      <c r="A9" t="s">
        <v>151</v>
      </c>
      <c r="B9">
        <v>0.558606017833333</v>
      </c>
      <c r="C9">
        <v>0.232258501133333</v>
      </c>
      <c r="D9">
        <v>0.254475138966667</v>
      </c>
      <c r="E9">
        <v>0.456367105766667</v>
      </c>
      <c r="F9">
        <v>0.2442941546</v>
      </c>
      <c r="G9">
        <v>0.5434776252</v>
      </c>
      <c r="H9">
        <v>0.3353649052</v>
      </c>
      <c r="I9">
        <v>0.839962851233333</v>
      </c>
      <c r="J9">
        <v>1.2490126004</v>
      </c>
      <c r="K9">
        <v>1.75335676416667</v>
      </c>
      <c r="L9">
        <v>1.21358363703333</v>
      </c>
      <c r="M9">
        <v>1.08532787733333</v>
      </c>
      <c r="N9">
        <v>1.09707690366667</v>
      </c>
      <c r="O9">
        <v>1.13363641276667</v>
      </c>
      <c r="P9">
        <v>0.2639537521</v>
      </c>
      <c r="Q9">
        <v>0.6859850728</v>
      </c>
      <c r="R9">
        <v>1.02303934546667</v>
      </c>
      <c r="S9">
        <v>0.554043087666667</v>
      </c>
      <c r="T9">
        <v>0.234739058533333</v>
      </c>
      <c r="U9">
        <v>0.617642661</v>
      </c>
      <c r="V9">
        <v>0.972080416533333</v>
      </c>
      <c r="W9">
        <v>0.749447595466667</v>
      </c>
      <c r="X9">
        <v>0.7824069391</v>
      </c>
      <c r="Y9">
        <v>0.7537117306</v>
      </c>
      <c r="Z9">
        <v>1.04390188753333</v>
      </c>
      <c r="AA9">
        <v>1.3653167199</v>
      </c>
      <c r="AB9">
        <v>1.35834632016667</v>
      </c>
      <c r="AC9">
        <v>1.55587637966667</v>
      </c>
      <c r="AD9">
        <v>1.1308057875</v>
      </c>
      <c r="AE9">
        <v>1.1101039111</v>
      </c>
      <c r="AF9">
        <v>1.23821539506667</v>
      </c>
      <c r="AG9">
        <v>1.24084674726667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74"/>
  <sheetViews>
    <sheetView topLeftCell="A53" workbookViewId="0">
      <selection activeCell="B66" sqref="B66"/>
    </sheetView>
  </sheetViews>
  <sheetFormatPr defaultColWidth="9" defaultRowHeight="13.5"/>
  <sheetData>
    <row r="1" spans="3:30">
      <c r="C1" s="8" t="s">
        <v>172</v>
      </c>
      <c r="D1" s="7" t="s">
        <v>164</v>
      </c>
      <c r="E1" s="8" t="s">
        <v>162</v>
      </c>
      <c r="F1" s="7" t="s">
        <v>159</v>
      </c>
      <c r="G1" s="8" t="s">
        <v>158</v>
      </c>
      <c r="H1" s="7" t="s">
        <v>157</v>
      </c>
      <c r="I1" s="7" t="s">
        <v>156</v>
      </c>
      <c r="J1" s="7" t="s">
        <v>169</v>
      </c>
      <c r="K1" s="8" t="s">
        <v>170</v>
      </c>
      <c r="L1" s="7" t="s">
        <v>168</v>
      </c>
      <c r="M1" s="7" t="s">
        <v>167</v>
      </c>
      <c r="N1" s="7" t="s">
        <v>163</v>
      </c>
      <c r="O1" s="7" t="s">
        <v>153</v>
      </c>
      <c r="P1" s="7" t="s">
        <v>166</v>
      </c>
      <c r="Q1" s="11" t="s">
        <v>193</v>
      </c>
      <c r="R1" s="12" t="s">
        <v>191</v>
      </c>
      <c r="S1" s="11" t="s">
        <v>174</v>
      </c>
      <c r="T1" s="12" t="s">
        <v>185</v>
      </c>
      <c r="U1" s="12" t="s">
        <v>181</v>
      </c>
      <c r="V1" s="16" t="s">
        <v>176</v>
      </c>
      <c r="W1" s="11" t="s">
        <v>194</v>
      </c>
      <c r="X1" s="11" t="s">
        <v>190</v>
      </c>
      <c r="Y1" s="11" t="s">
        <v>189</v>
      </c>
      <c r="Z1" s="11" t="s">
        <v>188</v>
      </c>
      <c r="AA1" s="11" t="s">
        <v>187</v>
      </c>
      <c r="AB1" s="11" t="s">
        <v>180</v>
      </c>
      <c r="AC1" s="11" t="s">
        <v>179</v>
      </c>
      <c r="AD1" s="11" t="s">
        <v>178</v>
      </c>
    </row>
    <row r="2" spans="3:34">
      <c r="C2" t="s">
        <v>215</v>
      </c>
      <c r="D2" t="s">
        <v>207</v>
      </c>
      <c r="E2" t="s">
        <v>205</v>
      </c>
      <c r="F2" t="s">
        <v>202</v>
      </c>
      <c r="G2" t="s">
        <v>201</v>
      </c>
      <c r="H2" t="s">
        <v>200</v>
      </c>
      <c r="I2" s="3" t="s">
        <v>328</v>
      </c>
      <c r="J2" t="s">
        <v>212</v>
      </c>
      <c r="K2" t="s">
        <v>213</v>
      </c>
      <c r="L2" t="s">
        <v>211</v>
      </c>
      <c r="M2" t="s">
        <v>210</v>
      </c>
      <c r="N2" t="s">
        <v>206</v>
      </c>
      <c r="O2" t="s">
        <v>196</v>
      </c>
      <c r="P2" t="s">
        <v>209</v>
      </c>
      <c r="Q2" t="s">
        <v>236</v>
      </c>
      <c r="R2" s="3" t="s">
        <v>234</v>
      </c>
      <c r="S2" t="s">
        <v>217</v>
      </c>
      <c r="T2" t="s">
        <v>228</v>
      </c>
      <c r="U2" t="s">
        <v>224</v>
      </c>
      <c r="V2" s="3" t="s">
        <v>219</v>
      </c>
      <c r="W2" t="s">
        <v>237</v>
      </c>
      <c r="X2" t="s">
        <v>233</v>
      </c>
      <c r="Y2" t="s">
        <v>232</v>
      </c>
      <c r="Z2" t="s">
        <v>231</v>
      </c>
      <c r="AA2" t="s">
        <v>230</v>
      </c>
      <c r="AB2" t="s">
        <v>223</v>
      </c>
      <c r="AC2" s="3" t="s">
        <v>222</v>
      </c>
      <c r="AD2" s="3" t="s">
        <v>221</v>
      </c>
      <c r="AE2" t="s">
        <v>42</v>
      </c>
      <c r="AF2" t="s">
        <v>43</v>
      </c>
      <c r="AG2" t="s">
        <v>44</v>
      </c>
      <c r="AH2" t="s">
        <v>45</v>
      </c>
    </row>
    <row r="3" spans="1:34">
      <c r="A3" s="15" t="s">
        <v>65</v>
      </c>
      <c r="B3" s="10" t="str">
        <f>IF(OR(RIGHT(A3,1)="A",RIGHT(A3,1)="T"),"A/T","G/C")</f>
        <v>A/T</v>
      </c>
      <c r="C3" t="e">
        <f>HLOOKUP(C$1,全部菌密码子mean!$1:$1,23,FALSE)</f>
        <v>#N/A</v>
      </c>
      <c r="D3" t="e">
        <f>HLOOKUP(D$1,全部菌密码子mean!$1:$1,23,FALSE)</f>
        <v>#N/A</v>
      </c>
      <c r="E3" t="e">
        <f>HLOOKUP(E$1,全部菌密码子mean!$1:$1,23,FALSE)</f>
        <v>#N/A</v>
      </c>
      <c r="F3" t="e">
        <f>HLOOKUP(F$1,全部菌密码子mean!$1:$1,23,FALSE)</f>
        <v>#N/A</v>
      </c>
      <c r="G3" t="e">
        <f>HLOOKUP(G$1,全部菌密码子mean!$1:$1,23,FALSE)</f>
        <v>#N/A</v>
      </c>
      <c r="H3" t="e">
        <f>HLOOKUP(H$1,全部菌密码子mean!$1:$1,23,FALSE)</f>
        <v>#N/A</v>
      </c>
      <c r="I3" t="e">
        <f>HLOOKUP(I$1,全部菌密码子mean!$1:$1,23,FALSE)</f>
        <v>#N/A</v>
      </c>
      <c r="J3" t="e">
        <f>HLOOKUP(J$1,全部菌密码子mean!$1:$1,23,FALSE)</f>
        <v>#N/A</v>
      </c>
      <c r="K3" t="e">
        <f>HLOOKUP(K$1,全部菌密码子mean!$1:$1,23,FALSE)</f>
        <v>#N/A</v>
      </c>
      <c r="L3" t="e">
        <f>HLOOKUP(L$1,全部菌密码子mean!$1:$1,23,FALSE)</f>
        <v>#N/A</v>
      </c>
      <c r="M3" t="e">
        <f>HLOOKUP(M$1,全部菌密码子mean!$1:$1,23,FALSE)</f>
        <v>#N/A</v>
      </c>
      <c r="N3" t="e">
        <f>HLOOKUP(N$1,全部菌密码子mean!$1:$1,23,FALSE)</f>
        <v>#N/A</v>
      </c>
      <c r="O3" t="e">
        <f>HLOOKUP(O$1,全部菌密码子mean!$1:$1,23,FALSE)</f>
        <v>#N/A</v>
      </c>
      <c r="P3" t="e">
        <f>HLOOKUP(P$1,全部菌密码子mean!$1:$1,23,FALSE)</f>
        <v>#N/A</v>
      </c>
      <c r="Q3" t="e">
        <f>HLOOKUP(Q$1,全部菌密码子mean!$1:$1,23,FALSE)</f>
        <v>#N/A</v>
      </c>
      <c r="R3" t="e">
        <f>HLOOKUP(R$1,全部菌密码子mean!$1:$1,23,FALSE)</f>
        <v>#N/A</v>
      </c>
      <c r="S3" t="e">
        <f>HLOOKUP(S$1,全部菌密码子mean!$1:$1,23,FALSE)</f>
        <v>#N/A</v>
      </c>
      <c r="T3" t="e">
        <f>HLOOKUP(T$1,全部菌密码子mean!$1:$1,23,FALSE)</f>
        <v>#N/A</v>
      </c>
      <c r="U3" t="e">
        <f>HLOOKUP(U$1,全部菌密码子mean!$1:$1,23,FALSE)</f>
        <v>#N/A</v>
      </c>
      <c r="V3" t="e">
        <f>HLOOKUP(V$1,全部菌密码子mean!$1:$1,23,FALSE)</f>
        <v>#N/A</v>
      </c>
      <c r="W3" t="e">
        <f>HLOOKUP(W$1,全部菌密码子mean!$1:$1,23,FALSE)</f>
        <v>#N/A</v>
      </c>
      <c r="X3" t="e">
        <f>HLOOKUP(X$1,全部菌密码子mean!$1:$1,23,FALSE)</f>
        <v>#N/A</v>
      </c>
      <c r="Y3" t="e">
        <f>HLOOKUP(Y$1,全部菌密码子mean!$1:$1,23,FALSE)</f>
        <v>#N/A</v>
      </c>
      <c r="Z3" t="e">
        <f>HLOOKUP(Z$1,全部菌密码子mean!$1:$1,23,FALSE)</f>
        <v>#N/A</v>
      </c>
      <c r="AA3" t="e">
        <f>HLOOKUP(AA$1,全部菌密码子mean!$1:$1,23,FALSE)</f>
        <v>#N/A</v>
      </c>
      <c r="AB3" t="e">
        <f>HLOOKUP(AB$1,全部菌密码子mean!$1:$1,23,FALSE)</f>
        <v>#N/A</v>
      </c>
      <c r="AC3" t="e">
        <f>HLOOKUP(AC$1,全部菌密码子mean!$1:$1,23,FALSE)</f>
        <v>#N/A</v>
      </c>
      <c r="AD3" t="e">
        <f>HLOOKUP(AD$1,全部菌密码子mean!$1:$1,23,FALSE)</f>
        <v>#N/A</v>
      </c>
      <c r="AE3" s="10">
        <v>1.045865178</v>
      </c>
      <c r="AF3" s="10">
        <v>1.07014966</v>
      </c>
      <c r="AG3" s="10">
        <v>0.93597447</v>
      </c>
      <c r="AH3" s="10">
        <v>0.93617498</v>
      </c>
    </row>
    <row r="4" spans="1:34">
      <c r="A4" s="9" t="s">
        <v>66</v>
      </c>
      <c r="B4" s="10" t="str">
        <f t="shared" ref="B4:B6" si="0">IF(OR(RIGHT(A4,1)="A",RIGHT(A4,1)="T"),"A/T","G/C")</f>
        <v>G/C</v>
      </c>
      <c r="C4" t="e">
        <f>HLOOKUP(C$1,全部菌密码子mean!$1:$1,24,FALSE)</f>
        <v>#N/A</v>
      </c>
      <c r="D4" t="e">
        <f>HLOOKUP(D$1,全部菌密码子mean!$1:$1,24,FALSE)</f>
        <v>#N/A</v>
      </c>
      <c r="E4" t="e">
        <f>HLOOKUP(E$1,全部菌密码子mean!$1:$1,24,FALSE)</f>
        <v>#N/A</v>
      </c>
      <c r="F4" t="e">
        <f>HLOOKUP(F$1,全部菌密码子mean!$1:$1,24,FALSE)</f>
        <v>#N/A</v>
      </c>
      <c r="G4" t="e">
        <f>HLOOKUP(G$1,全部菌密码子mean!$1:$1,24,FALSE)</f>
        <v>#N/A</v>
      </c>
      <c r="H4" t="e">
        <f>HLOOKUP(H$1,全部菌密码子mean!$1:$1,24,FALSE)</f>
        <v>#N/A</v>
      </c>
      <c r="I4" t="e">
        <f>HLOOKUP(I$1,全部菌密码子mean!$1:$1,24,FALSE)</f>
        <v>#N/A</v>
      </c>
      <c r="J4" t="e">
        <f>HLOOKUP(J$1,全部菌密码子mean!$1:$1,24,FALSE)</f>
        <v>#N/A</v>
      </c>
      <c r="K4" t="e">
        <f>HLOOKUP(K$1,全部菌密码子mean!$1:$1,24,FALSE)</f>
        <v>#N/A</v>
      </c>
      <c r="L4" t="e">
        <f>HLOOKUP(L$1,全部菌密码子mean!$1:$1,24,FALSE)</f>
        <v>#N/A</v>
      </c>
      <c r="M4" t="e">
        <f>HLOOKUP(M$1,全部菌密码子mean!$1:$1,24,FALSE)</f>
        <v>#N/A</v>
      </c>
      <c r="N4" t="e">
        <f>HLOOKUP(N$1,全部菌密码子mean!$1:$1,24,FALSE)</f>
        <v>#N/A</v>
      </c>
      <c r="O4" t="e">
        <f>HLOOKUP(O$1,全部菌密码子mean!$1:$1,24,FALSE)</f>
        <v>#N/A</v>
      </c>
      <c r="P4" t="e">
        <f>HLOOKUP(P$1,全部菌密码子mean!$1:$1,24,FALSE)</f>
        <v>#N/A</v>
      </c>
      <c r="Q4" t="e">
        <f>HLOOKUP(Q$1,全部菌密码子mean!$1:$1,24,FALSE)</f>
        <v>#N/A</v>
      </c>
      <c r="R4" t="e">
        <f>HLOOKUP(R$1,全部菌密码子mean!$1:$1,24,FALSE)</f>
        <v>#N/A</v>
      </c>
      <c r="S4" t="e">
        <f>HLOOKUP(S$1,全部菌密码子mean!$1:$1,24,FALSE)</f>
        <v>#N/A</v>
      </c>
      <c r="T4" t="e">
        <f>HLOOKUP(T$1,全部菌密码子mean!$1:$1,24,FALSE)</f>
        <v>#N/A</v>
      </c>
      <c r="U4" t="e">
        <f>HLOOKUP(U$1,全部菌密码子mean!$1:$1,24,FALSE)</f>
        <v>#N/A</v>
      </c>
      <c r="V4" t="e">
        <f>HLOOKUP(V$1,全部菌密码子mean!$1:$1,24,FALSE)</f>
        <v>#N/A</v>
      </c>
      <c r="W4" t="e">
        <f>HLOOKUP(W$1,全部菌密码子mean!$1:$1,24,FALSE)</f>
        <v>#N/A</v>
      </c>
      <c r="X4" t="e">
        <f>HLOOKUP(X$1,全部菌密码子mean!$1:$1,24,FALSE)</f>
        <v>#N/A</v>
      </c>
      <c r="Y4" t="e">
        <f>HLOOKUP(Y$1,全部菌密码子mean!$1:$1,24,FALSE)</f>
        <v>#N/A</v>
      </c>
      <c r="Z4" t="e">
        <f>HLOOKUP(Z$1,全部菌密码子mean!$1:$1,24,FALSE)</f>
        <v>#N/A</v>
      </c>
      <c r="AA4" t="e">
        <f>HLOOKUP(AA$1,全部菌密码子mean!$1:$1,24,FALSE)</f>
        <v>#N/A</v>
      </c>
      <c r="AB4" t="e">
        <f>HLOOKUP(AB$1,全部菌密码子mean!$1:$1,24,FALSE)</f>
        <v>#N/A</v>
      </c>
      <c r="AC4" t="e">
        <f>HLOOKUP(AC$1,全部菌密码子mean!$1:$1,24,FALSE)</f>
        <v>#N/A</v>
      </c>
      <c r="AD4" t="e">
        <f>HLOOKUP(AD$1,全部菌密码子mean!$1:$1,24,FALSE)</f>
        <v>#N/A</v>
      </c>
      <c r="AE4" s="10">
        <v>1.283761248</v>
      </c>
      <c r="AF4" s="10">
        <v>1.254204082</v>
      </c>
      <c r="AG4" s="10">
        <v>1.42694228</v>
      </c>
      <c r="AH4" s="10">
        <v>1.429934373</v>
      </c>
    </row>
    <row r="5" spans="1:34">
      <c r="A5" s="9" t="s">
        <v>67</v>
      </c>
      <c r="B5" s="10" t="str">
        <f t="shared" si="0"/>
        <v>G/C</v>
      </c>
      <c r="C5" t="e">
        <f>HLOOKUP(C$1,全部菌密码子mean!$1:$1,25,FALSE)</f>
        <v>#N/A</v>
      </c>
      <c r="D5" t="e">
        <f>HLOOKUP(D$1,全部菌密码子mean!$1:$1,25,FALSE)</f>
        <v>#N/A</v>
      </c>
      <c r="E5" t="e">
        <f>HLOOKUP(E$1,全部菌密码子mean!$1:$1,25,FALSE)</f>
        <v>#N/A</v>
      </c>
      <c r="F5" t="e">
        <f>HLOOKUP(F$1,全部菌密码子mean!$1:$1,25,FALSE)</f>
        <v>#N/A</v>
      </c>
      <c r="G5" t="e">
        <f>HLOOKUP(G$1,全部菌密码子mean!$1:$1,25,FALSE)</f>
        <v>#N/A</v>
      </c>
      <c r="H5" t="e">
        <f>HLOOKUP(H$1,全部菌密码子mean!$1:$1,25,FALSE)</f>
        <v>#N/A</v>
      </c>
      <c r="I5" t="e">
        <f>HLOOKUP(I$1,全部菌密码子mean!$1:$1,25,FALSE)</f>
        <v>#N/A</v>
      </c>
      <c r="J5" t="e">
        <f>HLOOKUP(J$1,全部菌密码子mean!$1:$1,25,FALSE)</f>
        <v>#N/A</v>
      </c>
      <c r="K5" t="e">
        <f>HLOOKUP(K$1,全部菌密码子mean!$1:$1,25,FALSE)</f>
        <v>#N/A</v>
      </c>
      <c r="L5" t="e">
        <f>HLOOKUP(L$1,全部菌密码子mean!$1:$1,25,FALSE)</f>
        <v>#N/A</v>
      </c>
      <c r="M5" t="e">
        <f>HLOOKUP(M$1,全部菌密码子mean!$1:$1,25,FALSE)</f>
        <v>#N/A</v>
      </c>
      <c r="N5" t="e">
        <f>HLOOKUP(N$1,全部菌密码子mean!$1:$1,25,FALSE)</f>
        <v>#N/A</v>
      </c>
      <c r="O5" t="e">
        <f>HLOOKUP(O$1,全部菌密码子mean!$1:$1,25,FALSE)</f>
        <v>#N/A</v>
      </c>
      <c r="P5" t="e">
        <f>HLOOKUP(P$1,全部菌密码子mean!$1:$1,25,FALSE)</f>
        <v>#N/A</v>
      </c>
      <c r="Q5" t="e">
        <f>HLOOKUP(Q$1,全部菌密码子mean!$1:$1,25,FALSE)</f>
        <v>#N/A</v>
      </c>
      <c r="R5" t="e">
        <f>HLOOKUP(R$1,全部菌密码子mean!$1:$1,25,FALSE)</f>
        <v>#N/A</v>
      </c>
      <c r="S5" t="e">
        <f>HLOOKUP(S$1,全部菌密码子mean!$1:$1,25,FALSE)</f>
        <v>#N/A</v>
      </c>
      <c r="T5" t="e">
        <f>HLOOKUP(T$1,全部菌密码子mean!$1:$1,25,FALSE)</f>
        <v>#N/A</v>
      </c>
      <c r="U5" t="e">
        <f>HLOOKUP(U$1,全部菌密码子mean!$1:$1,25,FALSE)</f>
        <v>#N/A</v>
      </c>
      <c r="V5" t="e">
        <f>HLOOKUP(V$1,全部菌密码子mean!$1:$1,25,FALSE)</f>
        <v>#N/A</v>
      </c>
      <c r="W5" t="e">
        <f>HLOOKUP(W$1,全部菌密码子mean!$1:$1,25,FALSE)</f>
        <v>#N/A</v>
      </c>
      <c r="X5" t="e">
        <f>HLOOKUP(X$1,全部菌密码子mean!$1:$1,25,FALSE)</f>
        <v>#N/A</v>
      </c>
      <c r="Y5" t="e">
        <f>HLOOKUP(Y$1,全部菌密码子mean!$1:$1,25,FALSE)</f>
        <v>#N/A</v>
      </c>
      <c r="Z5" t="e">
        <f>HLOOKUP(Z$1,全部菌密码子mean!$1:$1,25,FALSE)</f>
        <v>#N/A</v>
      </c>
      <c r="AA5" t="e">
        <f>HLOOKUP(AA$1,全部菌密码子mean!$1:$1,25,FALSE)</f>
        <v>#N/A</v>
      </c>
      <c r="AB5" t="e">
        <f>HLOOKUP(AB$1,全部菌密码子mean!$1:$1,25,FALSE)</f>
        <v>#N/A</v>
      </c>
      <c r="AC5" t="e">
        <f>HLOOKUP(AC$1,全部菌密码子mean!$1:$1,25,FALSE)</f>
        <v>#N/A</v>
      </c>
      <c r="AD5" t="e">
        <f>HLOOKUP(AD$1,全部菌密码子mean!$1:$1,25,FALSE)</f>
        <v>#N/A</v>
      </c>
      <c r="AE5" s="10">
        <v>0.523735207</v>
      </c>
      <c r="AF5" s="10">
        <v>0.518603175</v>
      </c>
      <c r="AG5" s="10">
        <v>0.60059991</v>
      </c>
      <c r="AH5" s="10">
        <v>0.606865134</v>
      </c>
    </row>
    <row r="6" spans="1:34">
      <c r="A6" s="9" t="s">
        <v>68</v>
      </c>
      <c r="B6" s="10" t="str">
        <f t="shared" si="0"/>
        <v>A/T</v>
      </c>
      <c r="C6" t="e">
        <f>HLOOKUP(C$1,全部菌密码子mean!$1:$1,26,FALSE)</f>
        <v>#N/A</v>
      </c>
      <c r="D6" t="e">
        <f>HLOOKUP(D$1,全部菌密码子mean!$1:$1,26,FALSE)</f>
        <v>#N/A</v>
      </c>
      <c r="E6" t="e">
        <f>HLOOKUP(E$1,全部菌密码子mean!$1:$1,26,FALSE)</f>
        <v>#N/A</v>
      </c>
      <c r="F6" t="e">
        <f>HLOOKUP(F$1,全部菌密码子mean!$1:$1,26,FALSE)</f>
        <v>#N/A</v>
      </c>
      <c r="G6" t="e">
        <f>HLOOKUP(G$1,全部菌密码子mean!$1:$1,26,FALSE)</f>
        <v>#N/A</v>
      </c>
      <c r="H6" t="e">
        <f>HLOOKUP(H$1,全部菌密码子mean!$1:$1,26,FALSE)</f>
        <v>#N/A</v>
      </c>
      <c r="I6" t="e">
        <f>HLOOKUP(I$1,全部菌密码子mean!$1:$1,26,FALSE)</f>
        <v>#N/A</v>
      </c>
      <c r="J6" t="e">
        <f>HLOOKUP(J$1,全部菌密码子mean!$1:$1,26,FALSE)</f>
        <v>#N/A</v>
      </c>
      <c r="K6" t="e">
        <f>HLOOKUP(K$1,全部菌密码子mean!$1:$1,26,FALSE)</f>
        <v>#N/A</v>
      </c>
      <c r="L6" t="e">
        <f>HLOOKUP(L$1,全部菌密码子mean!$1:$1,26,FALSE)</f>
        <v>#N/A</v>
      </c>
      <c r="M6" t="e">
        <f>HLOOKUP(M$1,全部菌密码子mean!$1:$1,26,FALSE)</f>
        <v>#N/A</v>
      </c>
      <c r="N6" t="e">
        <f>HLOOKUP(N$1,全部菌密码子mean!$1:$1,26,FALSE)</f>
        <v>#N/A</v>
      </c>
      <c r="O6" t="e">
        <f>HLOOKUP(O$1,全部菌密码子mean!$1:$1,26,FALSE)</f>
        <v>#N/A</v>
      </c>
      <c r="P6" t="e">
        <f>HLOOKUP(P$1,全部菌密码子mean!$1:$1,26,FALSE)</f>
        <v>#N/A</v>
      </c>
      <c r="Q6" t="e">
        <f>HLOOKUP(Q$1,全部菌密码子mean!$1:$1,26,FALSE)</f>
        <v>#N/A</v>
      </c>
      <c r="R6" t="e">
        <f>HLOOKUP(R$1,全部菌密码子mean!$1:$1,26,FALSE)</f>
        <v>#N/A</v>
      </c>
      <c r="S6" t="e">
        <f>HLOOKUP(S$1,全部菌密码子mean!$1:$1,26,FALSE)</f>
        <v>#N/A</v>
      </c>
      <c r="T6" t="e">
        <f>HLOOKUP(T$1,全部菌密码子mean!$1:$1,26,FALSE)</f>
        <v>#N/A</v>
      </c>
      <c r="U6" t="e">
        <f>HLOOKUP(U$1,全部菌密码子mean!$1:$1,26,FALSE)</f>
        <v>#N/A</v>
      </c>
      <c r="V6" t="e">
        <f>HLOOKUP(V$1,全部菌密码子mean!$1:$1,26,FALSE)</f>
        <v>#N/A</v>
      </c>
      <c r="W6" t="e">
        <f>HLOOKUP(W$1,全部菌密码子mean!$1:$1,26,FALSE)</f>
        <v>#N/A</v>
      </c>
      <c r="X6" t="e">
        <f>HLOOKUP(X$1,全部菌密码子mean!$1:$1,26,FALSE)</f>
        <v>#N/A</v>
      </c>
      <c r="Y6" t="e">
        <f>HLOOKUP(Y$1,全部菌密码子mean!$1:$1,26,FALSE)</f>
        <v>#N/A</v>
      </c>
      <c r="Z6" t="e">
        <f>HLOOKUP(Z$1,全部菌密码子mean!$1:$1,26,FALSE)</f>
        <v>#N/A</v>
      </c>
      <c r="AA6" t="e">
        <f>HLOOKUP(AA$1,全部菌密码子mean!$1:$1,26,FALSE)</f>
        <v>#N/A</v>
      </c>
      <c r="AB6" t="e">
        <f>HLOOKUP(AB$1,全部菌密码子mean!$1:$1,26,FALSE)</f>
        <v>#N/A</v>
      </c>
      <c r="AC6" t="e">
        <f>HLOOKUP(AC$1,全部菌密码子mean!$1:$1,26,FALSE)</f>
        <v>#N/A</v>
      </c>
      <c r="AD6" t="e">
        <f>HLOOKUP(AD$1,全部菌密码子mean!$1:$1,26,FALSE)</f>
        <v>#N/A</v>
      </c>
      <c r="AE6" s="10">
        <v>1.146638367</v>
      </c>
      <c r="AF6" s="10">
        <v>1.157043084</v>
      </c>
      <c r="AG6" s="10">
        <v>1.03648334</v>
      </c>
      <c r="AH6" s="10">
        <v>1.027025513</v>
      </c>
    </row>
    <row r="7" spans="1:34">
      <c r="A7" t="s">
        <v>323</v>
      </c>
      <c r="C7" t="e">
        <f>AVERAGEIF($B3:$B6,"A/T",C3:C6)</f>
        <v>#N/A</v>
      </c>
      <c r="D7" t="e">
        <f t="shared" ref="D7:AD7" si="1">AVERAGEIF($B3:$B6,"A/T",D3:D6)</f>
        <v>#N/A</v>
      </c>
      <c r="E7" t="e">
        <f t="shared" si="1"/>
        <v>#N/A</v>
      </c>
      <c r="F7" t="e">
        <f t="shared" si="1"/>
        <v>#N/A</v>
      </c>
      <c r="G7" t="e">
        <f t="shared" si="1"/>
        <v>#N/A</v>
      </c>
      <c r="H7" t="e">
        <f t="shared" si="1"/>
        <v>#N/A</v>
      </c>
      <c r="I7" t="e">
        <f t="shared" si="1"/>
        <v>#N/A</v>
      </c>
      <c r="J7" t="e">
        <f t="shared" si="1"/>
        <v>#N/A</v>
      </c>
      <c r="K7" t="e">
        <f t="shared" si="1"/>
        <v>#N/A</v>
      </c>
      <c r="L7" t="e">
        <f t="shared" si="1"/>
        <v>#N/A</v>
      </c>
      <c r="M7" t="e">
        <f t="shared" si="1"/>
        <v>#N/A</v>
      </c>
      <c r="N7" t="e">
        <f t="shared" si="1"/>
        <v>#N/A</v>
      </c>
      <c r="O7" t="e">
        <f t="shared" si="1"/>
        <v>#N/A</v>
      </c>
      <c r="P7" t="e">
        <f t="shared" si="1"/>
        <v>#N/A</v>
      </c>
      <c r="Q7" t="e">
        <f t="shared" si="1"/>
        <v>#N/A</v>
      </c>
      <c r="R7" t="e">
        <f t="shared" si="1"/>
        <v>#N/A</v>
      </c>
      <c r="S7" t="e">
        <f t="shared" si="1"/>
        <v>#N/A</v>
      </c>
      <c r="T7" t="e">
        <f t="shared" si="1"/>
        <v>#N/A</v>
      </c>
      <c r="U7" t="e">
        <f t="shared" si="1"/>
        <v>#N/A</v>
      </c>
      <c r="V7" t="e">
        <f t="shared" si="1"/>
        <v>#N/A</v>
      </c>
      <c r="W7" t="e">
        <f t="shared" si="1"/>
        <v>#N/A</v>
      </c>
      <c r="X7" t="e">
        <f t="shared" si="1"/>
        <v>#N/A</v>
      </c>
      <c r="Y7" t="e">
        <f t="shared" si="1"/>
        <v>#N/A</v>
      </c>
      <c r="Z7" t="e">
        <f t="shared" si="1"/>
        <v>#N/A</v>
      </c>
      <c r="AA7" t="e">
        <f t="shared" si="1"/>
        <v>#N/A</v>
      </c>
      <c r="AB7" t="e">
        <f t="shared" si="1"/>
        <v>#N/A</v>
      </c>
      <c r="AC7" t="e">
        <f t="shared" si="1"/>
        <v>#N/A</v>
      </c>
      <c r="AD7" t="e">
        <f t="shared" si="1"/>
        <v>#N/A</v>
      </c>
      <c r="AE7">
        <f t="shared" ref="AE7" si="2">AVERAGEIF($B3:$B6,"A/T",AE3:AE6)</f>
        <v>1.0962517725</v>
      </c>
      <c r="AF7">
        <f t="shared" ref="AF7" si="3">AVERAGEIF($B3:$B6,"A/T",AF3:AF6)</f>
        <v>1.113596372</v>
      </c>
      <c r="AG7">
        <f t="shared" ref="AG7:AH7" si="4">AVERAGEIF($B3:$B6,"A/T",AG3:AG6)</f>
        <v>0.986228905</v>
      </c>
      <c r="AH7">
        <f t="shared" si="4"/>
        <v>0.9816002465</v>
      </c>
    </row>
    <row r="8" spans="1:34">
      <c r="A8" t="s">
        <v>324</v>
      </c>
      <c r="C8" t="e">
        <f>AVERAGEIF($B3:$B6,"G/C",C3:C6)</f>
        <v>#N/A</v>
      </c>
      <c r="D8" t="e">
        <f t="shared" ref="D8:AD8" si="5">AVERAGEIF($B3:$B6,"G/C",D3:D6)</f>
        <v>#N/A</v>
      </c>
      <c r="E8" t="e">
        <f t="shared" si="5"/>
        <v>#N/A</v>
      </c>
      <c r="F8" t="e">
        <f t="shared" si="5"/>
        <v>#N/A</v>
      </c>
      <c r="G8" t="e">
        <f t="shared" si="5"/>
        <v>#N/A</v>
      </c>
      <c r="H8" t="e">
        <f t="shared" si="5"/>
        <v>#N/A</v>
      </c>
      <c r="I8" t="e">
        <f t="shared" si="5"/>
        <v>#N/A</v>
      </c>
      <c r="J8" t="e">
        <f t="shared" si="5"/>
        <v>#N/A</v>
      </c>
      <c r="K8" t="e">
        <f t="shared" si="5"/>
        <v>#N/A</v>
      </c>
      <c r="L8" t="e">
        <f t="shared" si="5"/>
        <v>#N/A</v>
      </c>
      <c r="M8" t="e">
        <f t="shared" si="5"/>
        <v>#N/A</v>
      </c>
      <c r="N8" t="e">
        <f t="shared" si="5"/>
        <v>#N/A</v>
      </c>
      <c r="O8" t="e">
        <f t="shared" si="5"/>
        <v>#N/A</v>
      </c>
      <c r="P8" t="e">
        <f t="shared" si="5"/>
        <v>#N/A</v>
      </c>
      <c r="Q8" t="e">
        <f t="shared" si="5"/>
        <v>#N/A</v>
      </c>
      <c r="R8" t="e">
        <f t="shared" si="5"/>
        <v>#N/A</v>
      </c>
      <c r="S8" t="e">
        <f t="shared" si="5"/>
        <v>#N/A</v>
      </c>
      <c r="T8" t="e">
        <f t="shared" si="5"/>
        <v>#N/A</v>
      </c>
      <c r="U8" t="e">
        <f t="shared" si="5"/>
        <v>#N/A</v>
      </c>
      <c r="V8" t="e">
        <f t="shared" si="5"/>
        <v>#N/A</v>
      </c>
      <c r="W8" t="e">
        <f t="shared" si="5"/>
        <v>#N/A</v>
      </c>
      <c r="X8" t="e">
        <f t="shared" si="5"/>
        <v>#N/A</v>
      </c>
      <c r="Y8" t="e">
        <f t="shared" si="5"/>
        <v>#N/A</v>
      </c>
      <c r="Z8" t="e">
        <f t="shared" si="5"/>
        <v>#N/A</v>
      </c>
      <c r="AA8" t="e">
        <f t="shared" si="5"/>
        <v>#N/A</v>
      </c>
      <c r="AB8" t="e">
        <f t="shared" si="5"/>
        <v>#N/A</v>
      </c>
      <c r="AC8" t="e">
        <f t="shared" si="5"/>
        <v>#N/A</v>
      </c>
      <c r="AD8" t="e">
        <f t="shared" si="5"/>
        <v>#N/A</v>
      </c>
      <c r="AE8">
        <f t="shared" ref="AE8:AH8" si="6">AVERAGEIF($B3:$B6,"G/C",AE3:AE6)</f>
        <v>0.9037482275</v>
      </c>
      <c r="AF8">
        <f t="shared" si="6"/>
        <v>0.8864036285</v>
      </c>
      <c r="AG8">
        <f t="shared" si="6"/>
        <v>1.013771095</v>
      </c>
      <c r="AH8">
        <f t="shared" si="6"/>
        <v>1.0183997535</v>
      </c>
    </row>
    <row r="10" spans="3:34">
      <c r="C10" t="s">
        <v>215</v>
      </c>
      <c r="D10" t="s">
        <v>207</v>
      </c>
      <c r="E10" t="s">
        <v>205</v>
      </c>
      <c r="F10" t="s">
        <v>202</v>
      </c>
      <c r="G10" t="s">
        <v>201</v>
      </c>
      <c r="H10" t="s">
        <v>200</v>
      </c>
      <c r="I10" t="s">
        <v>242</v>
      </c>
      <c r="J10" t="s">
        <v>212</v>
      </c>
      <c r="K10" t="s">
        <v>213</v>
      </c>
      <c r="L10" t="s">
        <v>211</v>
      </c>
      <c r="M10" t="s">
        <v>210</v>
      </c>
      <c r="N10" t="s">
        <v>206</v>
      </c>
      <c r="O10" t="s">
        <v>196</v>
      </c>
      <c r="P10" t="s">
        <v>209</v>
      </c>
      <c r="Q10" t="s">
        <v>236</v>
      </c>
      <c r="R10" s="3" t="s">
        <v>234</v>
      </c>
      <c r="S10" t="s">
        <v>217</v>
      </c>
      <c r="T10" t="s">
        <v>228</v>
      </c>
      <c r="U10" t="s">
        <v>224</v>
      </c>
      <c r="V10" s="3" t="s">
        <v>219</v>
      </c>
      <c r="W10" t="s">
        <v>237</v>
      </c>
      <c r="X10" t="s">
        <v>233</v>
      </c>
      <c r="Y10" t="s">
        <v>232</v>
      </c>
      <c r="Z10" t="s">
        <v>231</v>
      </c>
      <c r="AA10" t="s">
        <v>230</v>
      </c>
      <c r="AB10" t="s">
        <v>223</v>
      </c>
      <c r="AC10" s="3" t="s">
        <v>222</v>
      </c>
      <c r="AD10" s="3" t="s">
        <v>221</v>
      </c>
      <c r="AE10" t="s">
        <v>42</v>
      </c>
      <c r="AF10" t="s">
        <v>43</v>
      </c>
      <c r="AG10" t="s">
        <v>44</v>
      </c>
      <c r="AH10" t="s">
        <v>45</v>
      </c>
    </row>
    <row r="11" spans="1:34">
      <c r="A11" s="10" t="s">
        <v>46</v>
      </c>
      <c r="B11" s="10" t="str">
        <f t="shared" ref="B11:B72" si="7">IF(OR(RIGHT(A11,1)="A",RIGHT(A11,1)="T"),"A/T","G/C")</f>
        <v>A/T</v>
      </c>
      <c r="C11" s="10">
        <v>1.552148951</v>
      </c>
      <c r="D11" s="10">
        <v>1.418329847</v>
      </c>
      <c r="E11" s="10">
        <v>1.384437477</v>
      </c>
      <c r="F11" s="10">
        <v>1.559194631</v>
      </c>
      <c r="G11" s="10">
        <v>1.518749091</v>
      </c>
      <c r="H11" s="10">
        <v>1.100300903</v>
      </c>
      <c r="I11" s="10">
        <v>1.095624457</v>
      </c>
      <c r="J11" s="10">
        <v>1.208842924</v>
      </c>
      <c r="K11" s="10">
        <v>1.044384855</v>
      </c>
      <c r="L11" s="10">
        <v>0.457275548</v>
      </c>
      <c r="M11" s="10">
        <v>1.115887297</v>
      </c>
      <c r="N11" s="10">
        <v>0.86034145</v>
      </c>
      <c r="O11" s="10">
        <v>1.534493305</v>
      </c>
      <c r="P11" s="10">
        <v>1.119021518</v>
      </c>
      <c r="Q11" s="10">
        <v>1.684311807</v>
      </c>
      <c r="R11" s="10">
        <v>0.844339096</v>
      </c>
      <c r="S11" s="10">
        <v>0.889900396</v>
      </c>
      <c r="T11" s="10">
        <v>1.597018402</v>
      </c>
      <c r="U11" s="10">
        <v>1.620527843</v>
      </c>
      <c r="V11" s="10">
        <v>0.945444234</v>
      </c>
      <c r="W11" s="10">
        <v>0.880846873</v>
      </c>
      <c r="X11" s="10">
        <v>1.798510801</v>
      </c>
      <c r="Y11" s="10">
        <v>1.274511457</v>
      </c>
      <c r="Z11" s="10">
        <v>1.364296081</v>
      </c>
      <c r="AA11" s="10">
        <v>0.929822589</v>
      </c>
      <c r="AB11" s="10">
        <v>1.070551173</v>
      </c>
      <c r="AC11" s="10">
        <v>1.068537829</v>
      </c>
      <c r="AD11" s="10">
        <v>0.326216844</v>
      </c>
      <c r="AE11" s="10">
        <v>0.824203329</v>
      </c>
      <c r="AF11" s="10">
        <v>0.847612247</v>
      </c>
      <c r="AG11" s="10">
        <v>0.72913694</v>
      </c>
      <c r="AH11" s="10">
        <v>0.728899253</v>
      </c>
    </row>
    <row r="12" spans="1:34">
      <c r="A12" s="10" t="s">
        <v>47</v>
      </c>
      <c r="B12" s="10" t="str">
        <f t="shared" si="7"/>
        <v>G/C</v>
      </c>
      <c r="C12" s="10">
        <v>0.441873112</v>
      </c>
      <c r="D12" s="10">
        <v>0.261503299</v>
      </c>
      <c r="E12" s="10">
        <v>0.348299414</v>
      </c>
      <c r="F12" s="10">
        <v>0.418200661</v>
      </c>
      <c r="G12" s="10">
        <v>0.331130559</v>
      </c>
      <c r="H12" s="10">
        <v>0.449656493</v>
      </c>
      <c r="I12" s="10">
        <v>0</v>
      </c>
      <c r="J12" s="10">
        <v>0.668316591</v>
      </c>
      <c r="K12" s="10">
        <v>0.952156968</v>
      </c>
      <c r="L12" s="10">
        <v>1.63685379</v>
      </c>
      <c r="M12" s="10">
        <v>1.054861258</v>
      </c>
      <c r="N12" s="10">
        <v>0.747774481</v>
      </c>
      <c r="O12" s="10">
        <v>1.105657285</v>
      </c>
      <c r="P12" s="10">
        <v>0.837261066</v>
      </c>
      <c r="Q12" s="10">
        <v>0.26299282</v>
      </c>
      <c r="R12" s="10">
        <v>0.766514567</v>
      </c>
      <c r="S12" s="10">
        <v>0.946394499</v>
      </c>
      <c r="T12" s="10">
        <v>0.564255402</v>
      </c>
      <c r="U12" s="10">
        <v>0.304170037</v>
      </c>
      <c r="V12" s="10">
        <v>0.83513347</v>
      </c>
      <c r="W12" s="10">
        <v>0.719515582</v>
      </c>
      <c r="X12" s="10">
        <v>0.574166527</v>
      </c>
      <c r="Y12" s="10">
        <v>0.656988222</v>
      </c>
      <c r="Z12" s="10">
        <v>0.633902093</v>
      </c>
      <c r="AA12" s="10">
        <v>0.963514197</v>
      </c>
      <c r="AB12" s="10">
        <v>1.055835897</v>
      </c>
      <c r="AC12" s="10">
        <v>1.036747102</v>
      </c>
      <c r="AD12" s="10">
        <v>1.565343466</v>
      </c>
      <c r="AE12" s="10">
        <v>1.095302467</v>
      </c>
      <c r="AF12" s="10">
        <v>1.07553091</v>
      </c>
      <c r="AG12" s="10">
        <v>1.209384858</v>
      </c>
      <c r="AH12" s="10">
        <v>1.211784364</v>
      </c>
    </row>
    <row r="13" spans="1:34">
      <c r="A13" s="10" t="s">
        <v>48</v>
      </c>
      <c r="B13" s="10" t="str">
        <f t="shared" si="7"/>
        <v>G/C</v>
      </c>
      <c r="C13" s="10">
        <v>0.447851049</v>
      </c>
      <c r="D13" s="10">
        <v>0.581670153</v>
      </c>
      <c r="E13" s="10">
        <v>0.615562523</v>
      </c>
      <c r="F13" s="10">
        <v>0.440805369</v>
      </c>
      <c r="G13" s="10">
        <v>0.481250909</v>
      </c>
      <c r="H13" s="10">
        <v>0.899699097</v>
      </c>
      <c r="I13" s="10">
        <v>0.904375543</v>
      </c>
      <c r="J13" s="10">
        <v>0.791157076</v>
      </c>
      <c r="K13" s="10">
        <v>0.955615145</v>
      </c>
      <c r="L13" s="10">
        <v>1.542724452</v>
      </c>
      <c r="M13" s="10">
        <v>0.884112703</v>
      </c>
      <c r="N13" s="10">
        <v>1.13965855</v>
      </c>
      <c r="O13" s="10">
        <v>0.465506695</v>
      </c>
      <c r="P13" s="10">
        <v>0.880978482</v>
      </c>
      <c r="Q13" s="10">
        <v>0.315688193</v>
      </c>
      <c r="R13" s="10">
        <v>1.155660904</v>
      </c>
      <c r="S13" s="10">
        <v>1.110099604</v>
      </c>
      <c r="T13" s="10">
        <v>0.402981598</v>
      </c>
      <c r="U13" s="10">
        <v>0.379472157</v>
      </c>
      <c r="V13" s="10">
        <v>1.054555766</v>
      </c>
      <c r="W13" s="10">
        <v>1.119153127</v>
      </c>
      <c r="X13" s="10">
        <v>0.201489199</v>
      </c>
      <c r="Y13" s="10">
        <v>0.725488543</v>
      </c>
      <c r="Z13" s="10">
        <v>0.635703919</v>
      </c>
      <c r="AA13" s="10">
        <v>1.070177411</v>
      </c>
      <c r="AB13" s="10">
        <v>0.929448827</v>
      </c>
      <c r="AC13" s="10">
        <v>0.931462171</v>
      </c>
      <c r="AD13" s="10">
        <v>1.673783156</v>
      </c>
      <c r="AE13" s="10">
        <v>1.175796671</v>
      </c>
      <c r="AF13" s="10">
        <v>1.152387753</v>
      </c>
      <c r="AG13" s="10">
        <v>1.27086306</v>
      </c>
      <c r="AH13" s="10">
        <v>1.271100747</v>
      </c>
    </row>
    <row r="14" spans="1:34">
      <c r="A14" s="10" t="s">
        <v>49</v>
      </c>
      <c r="B14" s="10" t="str">
        <f t="shared" si="7"/>
        <v>A/T</v>
      </c>
      <c r="C14" s="10">
        <v>1.558126888</v>
      </c>
      <c r="D14" s="10">
        <v>1.738496701</v>
      </c>
      <c r="E14" s="10">
        <v>1.651700586</v>
      </c>
      <c r="F14" s="10">
        <v>1.581799339</v>
      </c>
      <c r="G14" s="10">
        <v>1.668869441</v>
      </c>
      <c r="H14" s="10">
        <v>1.550343507</v>
      </c>
      <c r="I14" s="10">
        <v>0</v>
      </c>
      <c r="J14" s="10">
        <v>1.331683409</v>
      </c>
      <c r="K14" s="10">
        <v>1.047843032</v>
      </c>
      <c r="L14" s="10">
        <v>0.36314621</v>
      </c>
      <c r="M14" s="10">
        <v>0.945138742</v>
      </c>
      <c r="N14" s="10">
        <v>1.252225519</v>
      </c>
      <c r="O14" s="10">
        <v>0.894342715</v>
      </c>
      <c r="P14" s="10">
        <v>1.162738934</v>
      </c>
      <c r="Q14" s="10">
        <v>1.73700718</v>
      </c>
      <c r="R14" s="10">
        <v>1.233485433</v>
      </c>
      <c r="S14" s="10">
        <v>1.053605501</v>
      </c>
      <c r="T14" s="10">
        <v>1.435744598</v>
      </c>
      <c r="U14" s="10">
        <v>1.695829963</v>
      </c>
      <c r="V14" s="10">
        <v>1.16486653</v>
      </c>
      <c r="W14" s="10">
        <v>1.280484418</v>
      </c>
      <c r="X14" s="10">
        <v>1.425833473</v>
      </c>
      <c r="Y14" s="10">
        <v>1.343011778</v>
      </c>
      <c r="Z14" s="10">
        <v>1.366097907</v>
      </c>
      <c r="AA14" s="10">
        <v>1.036485803</v>
      </c>
      <c r="AB14" s="10">
        <v>0.944164103</v>
      </c>
      <c r="AC14" s="10">
        <v>0.963252898</v>
      </c>
      <c r="AD14" s="10">
        <v>0.434656534</v>
      </c>
      <c r="AE14" s="10">
        <v>0.904697533</v>
      </c>
      <c r="AF14" s="10">
        <v>0.92446909</v>
      </c>
      <c r="AG14" s="10">
        <v>0.790615142</v>
      </c>
      <c r="AH14" s="10">
        <v>0.788215636</v>
      </c>
    </row>
    <row r="15" spans="1:34">
      <c r="A15" s="10" t="s">
        <v>50</v>
      </c>
      <c r="B15" s="10" t="str">
        <f t="shared" si="7"/>
        <v>A/T</v>
      </c>
      <c r="C15" s="10">
        <v>1.274281192</v>
      </c>
      <c r="D15" s="10">
        <v>1.807739932</v>
      </c>
      <c r="E15" s="10">
        <v>1.672414212</v>
      </c>
      <c r="F15" s="10">
        <v>1.701085762</v>
      </c>
      <c r="G15" s="10">
        <v>1.793359211</v>
      </c>
      <c r="H15" s="10">
        <v>2.2324906</v>
      </c>
      <c r="I15" s="10">
        <v>0</v>
      </c>
      <c r="J15" s="10">
        <v>1.695285969</v>
      </c>
      <c r="K15" s="10">
        <v>0.822515328</v>
      </c>
      <c r="L15" s="10">
        <v>0.216432509</v>
      </c>
      <c r="M15" s="10">
        <v>0.793793421</v>
      </c>
      <c r="N15" s="10">
        <v>1.044137601</v>
      </c>
      <c r="O15" s="10">
        <v>0.514691377</v>
      </c>
      <c r="P15" s="10">
        <v>0.871044248</v>
      </c>
      <c r="Q15" s="10">
        <v>1.972937046</v>
      </c>
      <c r="R15" s="10">
        <v>0.971277038</v>
      </c>
      <c r="S15" s="10">
        <v>0.364624139</v>
      </c>
      <c r="T15" s="10">
        <v>1.704075364</v>
      </c>
      <c r="U15" s="10">
        <v>1.768081196</v>
      </c>
      <c r="V15" s="10">
        <v>0.760342097</v>
      </c>
      <c r="W15" s="10">
        <v>1.042238943</v>
      </c>
      <c r="X15" s="10">
        <v>0.785046729</v>
      </c>
      <c r="Y15" s="10">
        <v>1.843151448</v>
      </c>
      <c r="Z15" s="10">
        <v>1.881372582</v>
      </c>
      <c r="AA15" s="10">
        <v>0.778674609</v>
      </c>
      <c r="AB15" s="10">
        <v>0.509728548</v>
      </c>
      <c r="AC15" s="10">
        <v>0.519820108</v>
      </c>
      <c r="AD15" s="10">
        <v>0.206024297</v>
      </c>
      <c r="AE15" s="10">
        <v>1.075281021</v>
      </c>
      <c r="AF15" s="10">
        <v>1.097373987</v>
      </c>
      <c r="AG15" s="10">
        <v>0.950892912</v>
      </c>
      <c r="AH15" s="10">
        <v>0.941365577</v>
      </c>
    </row>
    <row r="16" spans="1:34">
      <c r="A16" s="10" t="s">
        <v>51</v>
      </c>
      <c r="B16" s="10" t="str">
        <f t="shared" si="7"/>
        <v>G/C</v>
      </c>
      <c r="C16" s="10">
        <v>0.761171195</v>
      </c>
      <c r="D16" s="10">
        <v>0.145128639</v>
      </c>
      <c r="E16" s="10">
        <v>0.253799946</v>
      </c>
      <c r="F16" s="10">
        <v>0.45786628</v>
      </c>
      <c r="G16" s="10">
        <v>0.122234035</v>
      </c>
      <c r="H16" s="10">
        <v>0.353377415</v>
      </c>
      <c r="I16" s="10">
        <v>0</v>
      </c>
      <c r="J16" s="10">
        <v>0.898754821</v>
      </c>
      <c r="K16" s="10">
        <v>1.3480238</v>
      </c>
      <c r="L16" s="10">
        <v>2.804078487</v>
      </c>
      <c r="M16" s="10">
        <v>0.927918648</v>
      </c>
      <c r="N16" s="10">
        <v>1.144305212</v>
      </c>
      <c r="O16" s="10">
        <v>1.750628638</v>
      </c>
      <c r="P16" s="10">
        <v>1.615362832</v>
      </c>
      <c r="Q16" s="10">
        <v>0.164831794</v>
      </c>
      <c r="R16" s="10">
        <v>0.893447075</v>
      </c>
      <c r="S16" s="10">
        <v>1.142023847</v>
      </c>
      <c r="T16" s="10">
        <v>0.538193733</v>
      </c>
      <c r="U16" s="10">
        <v>0.121686779</v>
      </c>
      <c r="V16" s="10">
        <v>0.735761799</v>
      </c>
      <c r="W16" s="10">
        <v>1.570285441</v>
      </c>
      <c r="X16" s="10">
        <v>1.448511862</v>
      </c>
      <c r="Y16" s="10">
        <v>0.807683742</v>
      </c>
      <c r="Z16" s="10">
        <v>0.711019274</v>
      </c>
      <c r="AA16" s="10">
        <v>1.446909903</v>
      </c>
      <c r="AB16" s="10">
        <v>1.309707485</v>
      </c>
      <c r="AC16" s="10">
        <v>1.302597626</v>
      </c>
      <c r="AD16" s="10">
        <v>2.003439286</v>
      </c>
      <c r="AE16" s="10">
        <v>1.416697588</v>
      </c>
      <c r="AF16" s="10">
        <v>1.392007402</v>
      </c>
      <c r="AG16" s="10">
        <v>1.578408994</v>
      </c>
      <c r="AH16" s="10">
        <v>1.575404251</v>
      </c>
    </row>
    <row r="17" spans="1:34">
      <c r="A17" s="10" t="s">
        <v>52</v>
      </c>
      <c r="B17" s="10" t="str">
        <f t="shared" si="7"/>
        <v>G/C</v>
      </c>
      <c r="C17" s="10">
        <v>0.782590346</v>
      </c>
      <c r="D17" s="10">
        <v>0.118713025</v>
      </c>
      <c r="E17" s="10">
        <v>0.060896423</v>
      </c>
      <c r="F17" s="10">
        <v>0.918633786</v>
      </c>
      <c r="G17" s="10">
        <v>0.163868767</v>
      </c>
      <c r="H17" s="10">
        <v>0.463632828</v>
      </c>
      <c r="I17" s="10">
        <v>0</v>
      </c>
      <c r="J17" s="10">
        <v>0.738972775</v>
      </c>
      <c r="K17" s="10">
        <v>1.265039253</v>
      </c>
      <c r="L17" s="10">
        <v>0.83626771</v>
      </c>
      <c r="M17" s="10">
        <v>1.943062526</v>
      </c>
      <c r="N17" s="10">
        <v>1.267299864</v>
      </c>
      <c r="O17" s="10">
        <v>1.072505244</v>
      </c>
      <c r="P17" s="10">
        <v>1.096353982</v>
      </c>
      <c r="Q17" s="10">
        <v>0.146698933</v>
      </c>
      <c r="R17" s="10">
        <v>0.630435477</v>
      </c>
      <c r="S17" s="10">
        <v>1.646984817</v>
      </c>
      <c r="T17" s="10">
        <v>0.642330535</v>
      </c>
      <c r="U17" s="10">
        <v>0.041343669</v>
      </c>
      <c r="V17" s="10">
        <v>0.504909724</v>
      </c>
      <c r="W17" s="10">
        <v>0.655599347</v>
      </c>
      <c r="X17" s="10">
        <v>0.772393961</v>
      </c>
      <c r="Y17" s="10">
        <v>0.466481069</v>
      </c>
      <c r="Z17" s="10">
        <v>0.621320416</v>
      </c>
      <c r="AA17" s="10">
        <v>0.781653016</v>
      </c>
      <c r="AB17" s="10">
        <v>1.786893447</v>
      </c>
      <c r="AC17" s="10">
        <v>1.791944165</v>
      </c>
      <c r="AD17" s="10">
        <v>1.507294614</v>
      </c>
      <c r="AE17" s="10">
        <v>0.559336462</v>
      </c>
      <c r="AF17" s="10">
        <v>0.539742686</v>
      </c>
      <c r="AG17" s="10">
        <v>0.645972438</v>
      </c>
      <c r="AH17" s="10">
        <v>0.660476944</v>
      </c>
    </row>
    <row r="18" spans="1:34">
      <c r="A18" s="10" t="s">
        <v>53</v>
      </c>
      <c r="B18" s="10" t="str">
        <f t="shared" si="7"/>
        <v>A/T</v>
      </c>
      <c r="C18" s="10">
        <v>1.181957267</v>
      </c>
      <c r="D18" s="10">
        <v>1.928418404</v>
      </c>
      <c r="E18" s="10">
        <v>2.012889419</v>
      </c>
      <c r="F18" s="10">
        <v>0.922414172</v>
      </c>
      <c r="G18" s="10">
        <v>1.920537988</v>
      </c>
      <c r="H18" s="10">
        <v>0.950499157</v>
      </c>
      <c r="I18" s="10">
        <v>0</v>
      </c>
      <c r="J18" s="10">
        <v>0.666986435</v>
      </c>
      <c r="K18" s="10">
        <v>0.564421619</v>
      </c>
      <c r="L18" s="10">
        <v>0.143221293</v>
      </c>
      <c r="M18" s="10">
        <v>0.335225405</v>
      </c>
      <c r="N18" s="10">
        <v>0.544257323</v>
      </c>
      <c r="O18" s="10">
        <v>0.662174741</v>
      </c>
      <c r="P18" s="10">
        <v>0.417238938</v>
      </c>
      <c r="Q18" s="10">
        <v>1.715532227</v>
      </c>
      <c r="R18" s="10">
        <v>1.50484041</v>
      </c>
      <c r="S18" s="10">
        <v>0.846367198</v>
      </c>
      <c r="T18" s="10">
        <v>1.115400369</v>
      </c>
      <c r="U18" s="10">
        <v>2.068888356</v>
      </c>
      <c r="V18" s="10">
        <v>1.998986379</v>
      </c>
      <c r="W18" s="10">
        <v>0.731876269</v>
      </c>
      <c r="X18" s="10">
        <v>0.994047448</v>
      </c>
      <c r="Y18" s="10">
        <v>0.882683742</v>
      </c>
      <c r="Z18" s="10">
        <v>0.786287727</v>
      </c>
      <c r="AA18" s="10">
        <v>0.992762472</v>
      </c>
      <c r="AB18" s="10">
        <v>0.393670519</v>
      </c>
      <c r="AC18" s="10">
        <v>0.385638102</v>
      </c>
      <c r="AD18" s="10">
        <v>0.283241804</v>
      </c>
      <c r="AE18" s="10">
        <v>0.948684929</v>
      </c>
      <c r="AF18" s="10">
        <v>0.970875925</v>
      </c>
      <c r="AG18" s="10">
        <v>0.824725657</v>
      </c>
      <c r="AH18" s="10">
        <v>0.822753227</v>
      </c>
    </row>
    <row r="19" spans="1:34">
      <c r="A19" s="10" t="s">
        <v>54</v>
      </c>
      <c r="B19" s="10" t="str">
        <f t="shared" si="7"/>
        <v>A/T</v>
      </c>
      <c r="C19" s="10">
        <v>1.108194765</v>
      </c>
      <c r="D19" s="10">
        <v>4.93016182</v>
      </c>
      <c r="E19" s="10">
        <v>5.146539666</v>
      </c>
      <c r="F19" s="10">
        <v>1.059213479</v>
      </c>
      <c r="G19" s="10">
        <v>4.949419849</v>
      </c>
      <c r="H19" s="10">
        <v>2.15070922</v>
      </c>
      <c r="I19" s="10">
        <v>0.467438042</v>
      </c>
      <c r="J19" s="10">
        <v>1.979077189</v>
      </c>
      <c r="K19" s="10">
        <v>0.76583682</v>
      </c>
      <c r="L19" s="10">
        <v>0.139777678</v>
      </c>
      <c r="M19" s="10">
        <v>0.562843476</v>
      </c>
      <c r="N19" s="10">
        <v>1.481321776</v>
      </c>
      <c r="O19" s="10">
        <v>0.21333008</v>
      </c>
      <c r="P19" s="10">
        <v>1.04392284</v>
      </c>
      <c r="Q19" s="10">
        <v>5.080768271</v>
      </c>
      <c r="R19" s="10">
        <v>0.438457428</v>
      </c>
      <c r="S19" s="10">
        <v>0.423860029</v>
      </c>
      <c r="T19" s="10">
        <v>0.691974417</v>
      </c>
      <c r="U19" s="10">
        <v>5.343662578</v>
      </c>
      <c r="V19" s="10">
        <v>1.780347341</v>
      </c>
      <c r="W19" s="10">
        <v>1.321793485</v>
      </c>
      <c r="X19" s="10">
        <v>0.419438722</v>
      </c>
      <c r="Y19" s="10">
        <v>2.10776628</v>
      </c>
      <c r="Z19" s="10">
        <v>2.038995027</v>
      </c>
      <c r="AA19" s="10">
        <v>0.799629357</v>
      </c>
      <c r="AB19" s="10">
        <v>0.242925631</v>
      </c>
      <c r="AC19" s="10">
        <v>0.246026223</v>
      </c>
      <c r="AD19" s="10">
        <v>0.090549592</v>
      </c>
      <c r="AE19" s="10">
        <v>1.214155979</v>
      </c>
      <c r="AF19" s="10">
        <v>1.278536776</v>
      </c>
      <c r="AG19" s="10">
        <v>1.027482735</v>
      </c>
      <c r="AH19" s="10">
        <v>1.023943063</v>
      </c>
    </row>
    <row r="20" spans="1:34">
      <c r="A20" s="10" t="s">
        <v>55</v>
      </c>
      <c r="B20" s="10" t="str">
        <f t="shared" si="7"/>
        <v>G/C</v>
      </c>
      <c r="C20" s="10">
        <v>0.707017011</v>
      </c>
      <c r="D20" s="10">
        <v>0.49070632</v>
      </c>
      <c r="E20" s="10">
        <v>0.517520794</v>
      </c>
      <c r="F20" s="10">
        <v>0.417939734</v>
      </c>
      <c r="G20" s="10">
        <v>0.462834777</v>
      </c>
      <c r="H20" s="10">
        <v>0.766688334</v>
      </c>
      <c r="I20" s="10">
        <v>0</v>
      </c>
      <c r="J20" s="10">
        <v>1.034681972</v>
      </c>
      <c r="K20" s="10">
        <v>1.242340967</v>
      </c>
      <c r="L20" s="10">
        <v>2.018353033</v>
      </c>
      <c r="M20" s="10">
        <v>1.763312583</v>
      </c>
      <c r="N20" s="10">
        <v>1.582250079</v>
      </c>
      <c r="O20" s="10">
        <v>1.67049551</v>
      </c>
      <c r="P20" s="10">
        <v>1.609063877</v>
      </c>
      <c r="Q20" s="10">
        <v>0.395460644</v>
      </c>
      <c r="R20" s="10">
        <v>0.787625102</v>
      </c>
      <c r="S20" s="10">
        <v>1.418249601</v>
      </c>
      <c r="T20" s="10">
        <v>0.846599766</v>
      </c>
      <c r="U20" s="10">
        <v>0.324737345</v>
      </c>
      <c r="V20" s="10">
        <v>0.900894743</v>
      </c>
      <c r="W20" s="10">
        <v>1.048990933</v>
      </c>
      <c r="X20" s="10">
        <v>1.10519216</v>
      </c>
      <c r="Y20" s="10">
        <v>1.035058475</v>
      </c>
      <c r="Z20" s="10">
        <v>0.957238469</v>
      </c>
      <c r="AA20" s="10">
        <v>2.269956128</v>
      </c>
      <c r="AB20" s="10">
        <v>1.624837721</v>
      </c>
      <c r="AC20" s="10">
        <v>1.646784789</v>
      </c>
      <c r="AD20" s="10">
        <v>1.606442277</v>
      </c>
      <c r="AE20" s="10">
        <v>1.435390787</v>
      </c>
      <c r="AF20" s="10">
        <v>1.412801471</v>
      </c>
      <c r="AG20" s="10">
        <v>1.60482098</v>
      </c>
      <c r="AH20" s="10">
        <v>1.603235542</v>
      </c>
    </row>
    <row r="21" spans="1:34">
      <c r="A21" s="10" t="s">
        <v>56</v>
      </c>
      <c r="B21" s="10" t="str">
        <f t="shared" si="7"/>
        <v>G/C</v>
      </c>
      <c r="C21" s="10">
        <v>0.210275147</v>
      </c>
      <c r="D21" s="10">
        <v>0.636208785</v>
      </c>
      <c r="E21" s="10">
        <v>0.583694132</v>
      </c>
      <c r="F21" s="10">
        <v>0.220833477</v>
      </c>
      <c r="G21" s="10">
        <v>0.595696744</v>
      </c>
      <c r="H21" s="10">
        <v>0.322916667</v>
      </c>
      <c r="I21" s="10">
        <v>0.20944414</v>
      </c>
      <c r="J21" s="10">
        <v>0.574993402</v>
      </c>
      <c r="K21" s="10">
        <v>0.833522957</v>
      </c>
      <c r="L21" s="10">
        <v>0.471533724</v>
      </c>
      <c r="M21" s="10">
        <v>0.9292184</v>
      </c>
      <c r="N21" s="10">
        <v>1.343380121</v>
      </c>
      <c r="O21" s="10">
        <v>0.118254646</v>
      </c>
      <c r="P21" s="10">
        <v>1.233505905</v>
      </c>
      <c r="Q21" s="10">
        <v>0.509753056</v>
      </c>
      <c r="R21" s="10">
        <v>0.240203064</v>
      </c>
      <c r="S21" s="10">
        <v>0.150499342</v>
      </c>
      <c r="T21" s="10">
        <v>0.19781308</v>
      </c>
      <c r="U21" s="10">
        <v>0.391435335</v>
      </c>
      <c r="V21" s="10">
        <v>0.203275443</v>
      </c>
      <c r="W21" s="10">
        <v>0.592859719</v>
      </c>
      <c r="X21" s="10">
        <v>0.060180338</v>
      </c>
      <c r="Y21" s="10">
        <v>0.701996446</v>
      </c>
      <c r="Z21" s="10">
        <v>0.506935357</v>
      </c>
      <c r="AA21" s="10">
        <v>0.327060102</v>
      </c>
      <c r="AB21" s="10">
        <v>0.195743686</v>
      </c>
      <c r="AC21" s="10">
        <v>0.200428695</v>
      </c>
      <c r="AD21" s="10">
        <v>0.259058994</v>
      </c>
      <c r="AE21" s="10">
        <v>1.196419305</v>
      </c>
      <c r="AF21" s="10">
        <v>1.214353427</v>
      </c>
      <c r="AG21" s="10">
        <v>1.208372037</v>
      </c>
      <c r="AH21" s="10">
        <v>1.207925579</v>
      </c>
    </row>
    <row r="22" spans="1:34">
      <c r="A22" s="10" t="s">
        <v>57</v>
      </c>
      <c r="B22" s="10" t="str">
        <f t="shared" si="7"/>
        <v>A/T</v>
      </c>
      <c r="C22" s="10">
        <v>1.766555286</v>
      </c>
      <c r="D22" s="10">
        <v>1.881104168</v>
      </c>
      <c r="E22" s="10">
        <v>1.746498524</v>
      </c>
      <c r="F22" s="10">
        <v>1.596556212</v>
      </c>
      <c r="G22" s="10">
        <v>1.820461711</v>
      </c>
      <c r="H22" s="10">
        <v>1.454022701</v>
      </c>
      <c r="I22" s="10">
        <v>0</v>
      </c>
      <c r="J22" s="10">
        <v>1.197236015</v>
      </c>
      <c r="K22" s="10">
        <v>0.490890585</v>
      </c>
      <c r="L22" s="10">
        <v>0.195545409</v>
      </c>
      <c r="M22" s="10">
        <v>0.575624146</v>
      </c>
      <c r="N22" s="10">
        <v>0.690488994</v>
      </c>
      <c r="O22" s="10">
        <v>0.902151302</v>
      </c>
      <c r="P22" s="10">
        <v>0.68506088</v>
      </c>
      <c r="Q22" s="10">
        <v>1.599284436</v>
      </c>
      <c r="R22" s="10">
        <v>1.60772959</v>
      </c>
      <c r="S22" s="10">
        <v>1.068524765</v>
      </c>
      <c r="T22" s="10">
        <v>1.273041699</v>
      </c>
      <c r="U22" s="10">
        <v>1.888388593</v>
      </c>
      <c r="V22" s="10">
        <v>1.371007829</v>
      </c>
      <c r="W22" s="10">
        <v>0.777639661</v>
      </c>
      <c r="X22" s="10">
        <v>1.247864152</v>
      </c>
      <c r="Y22" s="10">
        <v>1.153503879</v>
      </c>
      <c r="Z22" s="10">
        <v>1.254656952</v>
      </c>
      <c r="AA22" s="10">
        <v>0.805424192</v>
      </c>
      <c r="AB22" s="10">
        <v>0.648178328</v>
      </c>
      <c r="AC22" s="10">
        <v>0.660158601</v>
      </c>
      <c r="AD22" s="10">
        <v>0.282827741</v>
      </c>
      <c r="AE22" s="10">
        <v>0.923463838</v>
      </c>
      <c r="AF22" s="10">
        <v>0.938243813</v>
      </c>
      <c r="AG22" s="10">
        <v>0.80201005</v>
      </c>
      <c r="AH22" s="10">
        <v>0.807866868</v>
      </c>
    </row>
    <row r="23" spans="1:34">
      <c r="A23" s="10" t="s">
        <v>58</v>
      </c>
      <c r="B23" s="10" t="str">
        <f t="shared" si="7"/>
        <v>A/T</v>
      </c>
      <c r="C23" s="10">
        <v>0.321371306</v>
      </c>
      <c r="D23" s="10">
        <v>1.646768508</v>
      </c>
      <c r="E23" s="10">
        <v>1.864243943</v>
      </c>
      <c r="F23" s="10">
        <v>0.279445428</v>
      </c>
      <c r="G23" s="10">
        <v>2.054509009</v>
      </c>
      <c r="H23" s="10">
        <v>0.404217466</v>
      </c>
      <c r="I23" s="10">
        <v>0</v>
      </c>
      <c r="J23" s="10">
        <v>0.347792529</v>
      </c>
      <c r="K23" s="10">
        <v>0.555673434</v>
      </c>
      <c r="L23" s="10">
        <v>0.141789189</v>
      </c>
      <c r="M23" s="10">
        <v>0.41068371</v>
      </c>
      <c r="N23" s="10">
        <v>0.580319322</v>
      </c>
      <c r="O23" s="10">
        <v>0.20843033</v>
      </c>
      <c r="P23" s="10">
        <v>0.669920925</v>
      </c>
      <c r="Q23" s="10">
        <v>1.561097422</v>
      </c>
      <c r="R23" s="10">
        <v>0.184399031</v>
      </c>
      <c r="S23" s="10">
        <v>0.104173083</v>
      </c>
      <c r="T23" s="10">
        <v>0.207768707</v>
      </c>
      <c r="U23" s="10">
        <v>1.652555478</v>
      </c>
      <c r="V23" s="10">
        <v>0.201312963</v>
      </c>
      <c r="W23" s="10">
        <v>0.487837632</v>
      </c>
      <c r="X23" s="10">
        <v>0.16558527</v>
      </c>
      <c r="Y23" s="10">
        <v>0.50228429</v>
      </c>
      <c r="Z23" s="10">
        <v>0.4436248</v>
      </c>
      <c r="AA23" s="10">
        <v>0.345808796</v>
      </c>
      <c r="AB23" s="10">
        <v>0.158136483</v>
      </c>
      <c r="AC23" s="10">
        <v>0.16465519</v>
      </c>
      <c r="AD23" s="10">
        <v>0.09398756</v>
      </c>
      <c r="AE23" s="10">
        <v>0.466312194</v>
      </c>
      <c r="AF23" s="10">
        <v>0.486349914</v>
      </c>
      <c r="AG23" s="10">
        <v>0.39227241</v>
      </c>
      <c r="AH23" s="10">
        <v>0.39377709</v>
      </c>
    </row>
    <row r="24" spans="1:34">
      <c r="A24" s="10" t="s">
        <v>59</v>
      </c>
      <c r="B24" s="10" t="str">
        <f t="shared" si="7"/>
        <v>G/C</v>
      </c>
      <c r="C24" s="10">
        <v>0.73619913</v>
      </c>
      <c r="D24" s="10">
        <v>0.111780259</v>
      </c>
      <c r="E24" s="10">
        <v>0.136904762</v>
      </c>
      <c r="F24" s="10">
        <v>0.607653436</v>
      </c>
      <c r="G24" s="10">
        <v>0.109986105</v>
      </c>
      <c r="H24" s="10">
        <v>0.774789388</v>
      </c>
      <c r="I24" s="10">
        <v>0</v>
      </c>
      <c r="J24" s="10">
        <v>1.400390132</v>
      </c>
      <c r="K24" s="10">
        <v>1.462361962</v>
      </c>
      <c r="L24" s="10">
        <v>2.328774362</v>
      </c>
      <c r="M24" s="10">
        <v>1.515028735</v>
      </c>
      <c r="N24" s="10">
        <v>1.371823069</v>
      </c>
      <c r="O24" s="10">
        <v>1.264848311</v>
      </c>
      <c r="P24" s="10">
        <v>1.180642606</v>
      </c>
      <c r="Q24" s="10">
        <v>0.192346492</v>
      </c>
      <c r="R24" s="10">
        <v>0.73854419</v>
      </c>
      <c r="S24" s="10">
        <v>1.357714814</v>
      </c>
      <c r="T24" s="10">
        <v>0.806152454</v>
      </c>
      <c r="U24" s="10">
        <v>0.281003423</v>
      </c>
      <c r="V24" s="10">
        <v>0.945261399</v>
      </c>
      <c r="W24" s="10">
        <v>0.882099802</v>
      </c>
      <c r="X24" s="10">
        <v>0.759206488</v>
      </c>
      <c r="Y24" s="10">
        <v>1.163555186</v>
      </c>
      <c r="Z24" s="10">
        <v>1.258696417</v>
      </c>
      <c r="AA24" s="10">
        <v>1.112440191</v>
      </c>
      <c r="AB24" s="10">
        <v>2.022112861</v>
      </c>
      <c r="AC24" s="10">
        <v>2.007801878</v>
      </c>
      <c r="AD24" s="10">
        <v>2.097011057</v>
      </c>
      <c r="AE24" s="10">
        <v>1.464488085</v>
      </c>
      <c r="AF24" s="10">
        <v>1.421461797</v>
      </c>
      <c r="AG24" s="10">
        <v>1.663940388</v>
      </c>
      <c r="AH24" s="10">
        <v>1.66512456</v>
      </c>
    </row>
    <row r="25" spans="1:34">
      <c r="A25" s="10" t="s">
        <v>60</v>
      </c>
      <c r="B25" s="10" t="str">
        <f t="shared" si="7"/>
        <v>A/T</v>
      </c>
      <c r="C25" s="10">
        <v>1.942429564</v>
      </c>
      <c r="D25" s="10">
        <v>1.241451234</v>
      </c>
      <c r="E25" s="10">
        <v>0.998851295</v>
      </c>
      <c r="F25" s="10">
        <v>2.112901136</v>
      </c>
      <c r="G25" s="10">
        <v>0.835504886</v>
      </c>
      <c r="H25" s="10">
        <v>1.820993145</v>
      </c>
      <c r="I25" s="10">
        <v>0</v>
      </c>
      <c r="J25" s="10">
        <v>1.25181734</v>
      </c>
      <c r="K25" s="10">
        <v>0.981964604</v>
      </c>
      <c r="L25" s="10">
        <v>0.529436449</v>
      </c>
      <c r="M25" s="10">
        <v>1.074287555</v>
      </c>
      <c r="N25" s="10">
        <v>1.047857608</v>
      </c>
      <c r="O25" s="10">
        <v>1.526721358</v>
      </c>
      <c r="P25" s="10">
        <v>1.149436469</v>
      </c>
      <c r="Q25" s="10">
        <v>1.246556087</v>
      </c>
      <c r="R25" s="10">
        <v>2.077056779</v>
      </c>
      <c r="S25" s="10">
        <v>1.538112103</v>
      </c>
      <c r="T25" s="10">
        <v>1.986078839</v>
      </c>
      <c r="U25" s="10">
        <v>1.066441099</v>
      </c>
      <c r="V25" s="10">
        <v>1.853425639</v>
      </c>
      <c r="W25" s="10">
        <v>1.630062567</v>
      </c>
      <c r="X25" s="10">
        <v>2.075208242</v>
      </c>
      <c r="Y25" s="10">
        <v>1.334160523</v>
      </c>
      <c r="Z25" s="10">
        <v>1.297678783</v>
      </c>
      <c r="AA25" s="10">
        <v>1.541751012</v>
      </c>
      <c r="AB25" s="10">
        <v>0.819750656</v>
      </c>
      <c r="AC25" s="10">
        <v>0.827542931</v>
      </c>
      <c r="AD25" s="10">
        <v>0.809001382</v>
      </c>
      <c r="AE25" s="10">
        <v>1.069199721</v>
      </c>
      <c r="AF25" s="10">
        <v>1.09218829</v>
      </c>
      <c r="AG25" s="10">
        <v>0.943787202</v>
      </c>
      <c r="AH25" s="10">
        <v>0.941098349</v>
      </c>
    </row>
    <row r="26" spans="1:34">
      <c r="A26" s="10" t="s">
        <v>61</v>
      </c>
      <c r="B26" s="10" t="str">
        <f t="shared" si="7"/>
        <v>A/T</v>
      </c>
      <c r="C26" s="10">
        <v>1.666918341</v>
      </c>
      <c r="D26" s="10">
        <v>1.787615631</v>
      </c>
      <c r="E26" s="10">
        <v>1.71632176</v>
      </c>
      <c r="F26" s="10">
        <v>1.596565708</v>
      </c>
      <c r="G26" s="10">
        <v>1.737026879</v>
      </c>
      <c r="H26" s="10">
        <v>0.92921603</v>
      </c>
      <c r="I26" s="10">
        <v>1.511270737</v>
      </c>
      <c r="J26" s="10">
        <v>0.3029693</v>
      </c>
      <c r="K26" s="10">
        <v>0.518309031</v>
      </c>
      <c r="L26" s="10">
        <v>0.198947657</v>
      </c>
      <c r="M26" s="10">
        <v>0.572942817</v>
      </c>
      <c r="N26" s="10">
        <v>0.34444796</v>
      </c>
      <c r="O26" s="10">
        <v>0.693746318</v>
      </c>
      <c r="P26" s="10">
        <v>0.322805342</v>
      </c>
      <c r="Q26" s="10">
        <v>1.737289422</v>
      </c>
      <c r="R26" s="10">
        <v>1.350909795</v>
      </c>
      <c r="S26" s="10">
        <v>0.871179987</v>
      </c>
      <c r="T26" s="10">
        <v>1.629311403</v>
      </c>
      <c r="U26" s="10">
        <v>1.720160307</v>
      </c>
      <c r="V26" s="10">
        <v>1.629501005</v>
      </c>
      <c r="W26" s="10">
        <v>0.156603896</v>
      </c>
      <c r="X26" s="10">
        <v>1.689999117</v>
      </c>
      <c r="Y26" s="10">
        <v>0.339483722</v>
      </c>
      <c r="Z26" s="10">
        <v>0.276400921</v>
      </c>
      <c r="AA26" s="10">
        <v>0.520052737</v>
      </c>
      <c r="AB26" s="10">
        <v>0.334868371</v>
      </c>
      <c r="AC26" s="10">
        <v>0.340989783</v>
      </c>
      <c r="AD26" s="10">
        <v>0.3281471</v>
      </c>
      <c r="AE26" s="10">
        <v>0.459319986</v>
      </c>
      <c r="AF26" s="10">
        <v>0.472883672</v>
      </c>
      <c r="AG26" s="10">
        <v>0.389131059</v>
      </c>
      <c r="AH26" s="10">
        <v>0.3857489</v>
      </c>
    </row>
    <row r="27" spans="1:34">
      <c r="A27" s="10" t="s">
        <v>62</v>
      </c>
      <c r="B27" s="10" t="str">
        <f t="shared" si="7"/>
        <v>G/C</v>
      </c>
      <c r="C27" s="10">
        <v>0.442748092</v>
      </c>
      <c r="D27" s="10">
        <v>0.282203726</v>
      </c>
      <c r="E27" s="10">
        <v>0.373682858</v>
      </c>
      <c r="F27" s="10">
        <v>0.403145695</v>
      </c>
      <c r="G27" s="10">
        <v>0.325656133</v>
      </c>
      <c r="H27" s="10">
        <v>0.244264219</v>
      </c>
      <c r="I27" s="10">
        <v>0.670982269</v>
      </c>
      <c r="J27" s="10">
        <v>0.558056661</v>
      </c>
      <c r="K27" s="10">
        <v>0.988735039</v>
      </c>
      <c r="L27" s="10">
        <v>1.643325538</v>
      </c>
      <c r="M27" s="10">
        <v>0.803514035</v>
      </c>
      <c r="N27" s="10">
        <v>0.597218147</v>
      </c>
      <c r="O27" s="10">
        <v>0.861328836</v>
      </c>
      <c r="P27" s="10">
        <v>0.547717842</v>
      </c>
      <c r="Q27" s="10">
        <v>0.321759579</v>
      </c>
      <c r="R27" s="10">
        <v>0.881820329</v>
      </c>
      <c r="S27" s="10">
        <v>0.742106409</v>
      </c>
      <c r="T27" s="10">
        <v>0.75069462</v>
      </c>
      <c r="U27" s="10">
        <v>0.428571429</v>
      </c>
      <c r="V27" s="10">
        <v>0.947926153</v>
      </c>
      <c r="W27" s="10">
        <v>0.518317266</v>
      </c>
      <c r="X27" s="10">
        <v>0.565836549</v>
      </c>
      <c r="Y27" s="10">
        <v>0.518045272</v>
      </c>
      <c r="Z27" s="10">
        <v>0.478345524</v>
      </c>
      <c r="AA27" s="10">
        <v>0.632254028</v>
      </c>
      <c r="AB27" s="10">
        <v>0.91174478</v>
      </c>
      <c r="AC27" s="10">
        <v>0.899200374</v>
      </c>
      <c r="AD27" s="10">
        <v>1.245158315</v>
      </c>
      <c r="AE27" s="10">
        <v>1.184267316</v>
      </c>
      <c r="AF27" s="10">
        <v>1.164066852</v>
      </c>
      <c r="AG27" s="10">
        <v>1.309084224</v>
      </c>
      <c r="AH27" s="10">
        <v>1.314156171</v>
      </c>
    </row>
    <row r="28" spans="1:34">
      <c r="A28" s="10" t="s">
        <v>63</v>
      </c>
      <c r="B28" s="10" t="str">
        <f t="shared" si="7"/>
        <v>G/C</v>
      </c>
      <c r="C28" s="10">
        <v>0.333081659</v>
      </c>
      <c r="D28" s="10">
        <v>0.212384369</v>
      </c>
      <c r="E28" s="10">
        <v>0.28367824</v>
      </c>
      <c r="F28" s="10">
        <v>0.403434292</v>
      </c>
      <c r="G28" s="10">
        <v>0.262973121</v>
      </c>
      <c r="H28" s="10">
        <v>1.07078397</v>
      </c>
      <c r="I28" s="10">
        <v>0.488729263</v>
      </c>
      <c r="J28" s="10">
        <v>1.6970307</v>
      </c>
      <c r="K28" s="10">
        <v>1.481690969</v>
      </c>
      <c r="L28" s="10">
        <v>1.801052343</v>
      </c>
      <c r="M28" s="10">
        <v>1.427057183</v>
      </c>
      <c r="N28" s="10">
        <v>1.65555204</v>
      </c>
      <c r="O28" s="10">
        <v>1.306253682</v>
      </c>
      <c r="P28" s="10">
        <v>1.677194658</v>
      </c>
      <c r="Q28" s="10">
        <v>0.262710578</v>
      </c>
      <c r="R28" s="10">
        <v>0.649090205</v>
      </c>
      <c r="S28" s="10">
        <v>1.128820013</v>
      </c>
      <c r="T28" s="10">
        <v>0.370688597</v>
      </c>
      <c r="U28" s="10">
        <v>0.279839693</v>
      </c>
      <c r="V28" s="10">
        <v>0.370498995</v>
      </c>
      <c r="W28" s="10">
        <v>1.843396104</v>
      </c>
      <c r="X28" s="10">
        <v>0.310000883</v>
      </c>
      <c r="Y28" s="10">
        <v>1.660516278</v>
      </c>
      <c r="Z28" s="10">
        <v>1.723599079</v>
      </c>
      <c r="AA28" s="10">
        <v>1.479947263</v>
      </c>
      <c r="AB28" s="10">
        <v>1.665131629</v>
      </c>
      <c r="AC28" s="10">
        <v>1.659010217</v>
      </c>
      <c r="AD28" s="10">
        <v>1.6718529</v>
      </c>
      <c r="AE28" s="10">
        <v>1.540680014</v>
      </c>
      <c r="AF28" s="10">
        <v>1.527116328</v>
      </c>
      <c r="AG28" s="10">
        <v>1.610868941</v>
      </c>
      <c r="AH28" s="10">
        <v>1.6142511</v>
      </c>
    </row>
    <row r="29" spans="1:34">
      <c r="A29" s="10" t="s">
        <v>64</v>
      </c>
      <c r="B29" s="10" t="str">
        <f t="shared" si="7"/>
        <v>A/T</v>
      </c>
      <c r="C29" s="10">
        <v>1.557251908</v>
      </c>
      <c r="D29" s="10">
        <v>1.717796274</v>
      </c>
      <c r="E29" s="10">
        <v>1.626317142</v>
      </c>
      <c r="F29" s="10">
        <v>1.596854305</v>
      </c>
      <c r="G29" s="10">
        <v>1.674343867</v>
      </c>
      <c r="H29" s="10">
        <v>1.755735781</v>
      </c>
      <c r="I29" s="10">
        <v>1.329017731</v>
      </c>
      <c r="J29" s="10">
        <v>1.441943339</v>
      </c>
      <c r="K29" s="10">
        <v>1.011264961</v>
      </c>
      <c r="L29" s="10">
        <v>0.356674462</v>
      </c>
      <c r="M29" s="10">
        <v>1.196485965</v>
      </c>
      <c r="N29" s="10">
        <v>1.402781853</v>
      </c>
      <c r="O29" s="10">
        <v>1.138671164</v>
      </c>
      <c r="P29" s="10">
        <v>1.452282158</v>
      </c>
      <c r="Q29" s="10">
        <v>1.678240421</v>
      </c>
      <c r="R29" s="10">
        <v>1.118179671</v>
      </c>
      <c r="S29" s="10">
        <v>1.257893591</v>
      </c>
      <c r="T29" s="10">
        <v>1.24930538</v>
      </c>
      <c r="U29" s="10">
        <v>1.571428571</v>
      </c>
      <c r="V29" s="10">
        <v>1.052073847</v>
      </c>
      <c r="W29" s="10">
        <v>1.481682734</v>
      </c>
      <c r="X29" s="10">
        <v>1.434163451</v>
      </c>
      <c r="Y29" s="10">
        <v>1.481954728</v>
      </c>
      <c r="Z29" s="10">
        <v>1.521654476</v>
      </c>
      <c r="AA29" s="10">
        <v>1.367745972</v>
      </c>
      <c r="AB29" s="10">
        <v>1.08825522</v>
      </c>
      <c r="AC29" s="10">
        <v>1.100799626</v>
      </c>
      <c r="AD29" s="10">
        <v>0.754841685</v>
      </c>
      <c r="AE29" s="10">
        <v>0.815732684</v>
      </c>
      <c r="AF29" s="10">
        <v>0.835933148</v>
      </c>
      <c r="AG29" s="10">
        <v>0.690915776</v>
      </c>
      <c r="AH29" s="10">
        <v>0.685843829</v>
      </c>
    </row>
    <row r="30" spans="1:34">
      <c r="A30" s="10" t="s">
        <v>65</v>
      </c>
      <c r="B30" s="10" t="str">
        <f t="shared" si="7"/>
        <v>A/T</v>
      </c>
      <c r="C30" s="10">
        <v>1.954206373</v>
      </c>
      <c r="D30" s="10">
        <v>2.339284358</v>
      </c>
      <c r="E30" s="10">
        <v>2.119310793</v>
      </c>
      <c r="F30" s="10">
        <v>1.991362876</v>
      </c>
      <c r="G30" s="10">
        <v>2.173238236</v>
      </c>
      <c r="H30" s="10">
        <v>1.7866128</v>
      </c>
      <c r="I30" s="10">
        <v>1.976747136</v>
      </c>
      <c r="J30" s="10">
        <v>0.991783658</v>
      </c>
      <c r="K30" s="10">
        <v>0.52811284</v>
      </c>
      <c r="L30" s="10">
        <v>0.109624485</v>
      </c>
      <c r="M30" s="10">
        <v>0.378460122</v>
      </c>
      <c r="N30" s="10">
        <v>0.839093572</v>
      </c>
      <c r="O30" s="10">
        <v>0.761328488</v>
      </c>
      <c r="P30" s="10">
        <v>0.263812207</v>
      </c>
      <c r="Q30" s="10">
        <v>1.835365452</v>
      </c>
      <c r="R30" s="10">
        <v>1.951459293</v>
      </c>
      <c r="S30" s="10">
        <v>1.764237003</v>
      </c>
      <c r="T30" s="10">
        <v>2.183973876</v>
      </c>
      <c r="U30" s="10">
        <v>2.138760407</v>
      </c>
      <c r="V30" s="10">
        <v>2.147810581</v>
      </c>
      <c r="W30" s="10">
        <v>0.821704577</v>
      </c>
      <c r="X30" s="10">
        <v>1.260243979</v>
      </c>
      <c r="Y30" s="10">
        <v>0.915073762</v>
      </c>
      <c r="Z30" s="10">
        <v>1.145858869</v>
      </c>
      <c r="AA30" s="10">
        <v>0.280175628</v>
      </c>
      <c r="AB30" s="10">
        <v>0.252256186</v>
      </c>
      <c r="AC30" s="10">
        <v>0.257699213</v>
      </c>
      <c r="AD30" s="10">
        <v>0.179281858</v>
      </c>
      <c r="AE30" s="10">
        <v>1.045865178</v>
      </c>
      <c r="AF30" s="10">
        <v>1.07014966</v>
      </c>
      <c r="AG30" s="10">
        <v>0.93597447</v>
      </c>
      <c r="AH30" s="10">
        <v>0.93617498</v>
      </c>
    </row>
    <row r="31" spans="1:34">
      <c r="A31" s="10" t="s">
        <v>66</v>
      </c>
      <c r="B31" s="10" t="str">
        <f t="shared" si="7"/>
        <v>G/C</v>
      </c>
      <c r="C31" s="10">
        <v>0.242335389</v>
      </c>
      <c r="D31" s="10">
        <v>0.070804528</v>
      </c>
      <c r="E31" s="10">
        <v>0.08810143</v>
      </c>
      <c r="F31" s="10">
        <v>0.253666887</v>
      </c>
      <c r="G31" s="10">
        <v>0.055084556</v>
      </c>
      <c r="H31" s="10">
        <v>0.300431549</v>
      </c>
      <c r="I31" s="10">
        <v>0.355134655</v>
      </c>
      <c r="J31" s="10">
        <v>0.167561623</v>
      </c>
      <c r="K31" s="10">
        <v>1.314299611</v>
      </c>
      <c r="L31" s="10">
        <v>2.643924693</v>
      </c>
      <c r="M31" s="10">
        <v>0.87513972</v>
      </c>
      <c r="N31" s="10">
        <v>0.588376754</v>
      </c>
      <c r="O31" s="10">
        <v>0.492723739</v>
      </c>
      <c r="P31" s="10">
        <v>1.190760563</v>
      </c>
      <c r="Q31" s="10">
        <v>0.13866737</v>
      </c>
      <c r="R31" s="10">
        <v>0.356169995</v>
      </c>
      <c r="S31" s="10">
        <v>0.417323532</v>
      </c>
      <c r="T31" s="10">
        <v>0.181060035</v>
      </c>
      <c r="U31" s="10">
        <v>0.078445883</v>
      </c>
      <c r="V31" s="10">
        <v>0.18922132</v>
      </c>
      <c r="W31" s="10">
        <v>0.424225815</v>
      </c>
      <c r="X31" s="10">
        <v>0.282139506</v>
      </c>
      <c r="Y31" s="10">
        <v>0.428735605</v>
      </c>
      <c r="Z31" s="10">
        <v>0.188641802</v>
      </c>
      <c r="AA31" s="10">
        <v>0.6678817</v>
      </c>
      <c r="AB31" s="10">
        <v>1.079475983</v>
      </c>
      <c r="AC31" s="10">
        <v>1.067117801</v>
      </c>
      <c r="AD31" s="10">
        <v>1.830501105</v>
      </c>
      <c r="AE31" s="10">
        <v>1.283761248</v>
      </c>
      <c r="AF31" s="10">
        <v>1.254204082</v>
      </c>
      <c r="AG31" s="10">
        <v>1.42694228</v>
      </c>
      <c r="AH31" s="10">
        <v>1.429934373</v>
      </c>
    </row>
    <row r="32" spans="1:34">
      <c r="A32" s="10" t="s">
        <v>67</v>
      </c>
      <c r="B32" s="10" t="str">
        <f t="shared" si="7"/>
        <v>G/C</v>
      </c>
      <c r="C32" s="10">
        <v>0.543659178</v>
      </c>
      <c r="D32" s="10">
        <v>0.162880802</v>
      </c>
      <c r="E32" s="10">
        <v>0.053803641</v>
      </c>
      <c r="F32" s="10">
        <v>0.560245886</v>
      </c>
      <c r="G32" s="10">
        <v>0.177095949</v>
      </c>
      <c r="H32" s="10">
        <v>0.220549077</v>
      </c>
      <c r="I32" s="10">
        <v>0.627404558</v>
      </c>
      <c r="J32" s="10">
        <v>2.277544155</v>
      </c>
      <c r="K32" s="10">
        <v>1.311964981</v>
      </c>
      <c r="L32" s="10">
        <v>1.070438838</v>
      </c>
      <c r="M32" s="10">
        <v>2.112564929</v>
      </c>
      <c r="N32" s="10">
        <v>1.746138431</v>
      </c>
      <c r="O32" s="10">
        <v>2.11740049</v>
      </c>
      <c r="P32" s="10">
        <v>1.619330203</v>
      </c>
      <c r="Q32" s="10">
        <v>0.2628353</v>
      </c>
      <c r="R32" s="10">
        <v>0.777880184</v>
      </c>
      <c r="S32" s="10">
        <v>1.076432557</v>
      </c>
      <c r="T32" s="10">
        <v>0.451745793</v>
      </c>
      <c r="U32" s="10">
        <v>0.05106383</v>
      </c>
      <c r="V32" s="10">
        <v>0.347136913</v>
      </c>
      <c r="W32" s="10">
        <v>1.905398739</v>
      </c>
      <c r="X32" s="10">
        <v>1.685799187</v>
      </c>
      <c r="Y32" s="10">
        <v>1.636888149</v>
      </c>
      <c r="Z32" s="10">
        <v>1.948053464</v>
      </c>
      <c r="AA32" s="10">
        <v>1.906552895</v>
      </c>
      <c r="AB32" s="10">
        <v>2.074818049</v>
      </c>
      <c r="AC32" s="10">
        <v>2.078994614</v>
      </c>
      <c r="AD32" s="10">
        <v>1.555418675</v>
      </c>
      <c r="AE32" s="10">
        <v>0.523735207</v>
      </c>
      <c r="AF32" s="10">
        <v>0.518603175</v>
      </c>
      <c r="AG32" s="10">
        <v>0.60059991</v>
      </c>
      <c r="AH32" s="10">
        <v>0.606865134</v>
      </c>
    </row>
    <row r="33" spans="1:34">
      <c r="A33" s="10" t="s">
        <v>68</v>
      </c>
      <c r="B33" s="10" t="str">
        <f t="shared" si="7"/>
        <v>A/T</v>
      </c>
      <c r="C33" s="10">
        <v>1.25979906</v>
      </c>
      <c r="D33" s="10">
        <v>1.427030312</v>
      </c>
      <c r="E33" s="10">
        <v>1.738784135</v>
      </c>
      <c r="F33" s="10">
        <v>1.194724351</v>
      </c>
      <c r="G33" s="10">
        <v>1.594581259</v>
      </c>
      <c r="H33" s="10">
        <v>1.692406574</v>
      </c>
      <c r="I33" s="10">
        <v>1.040713652</v>
      </c>
      <c r="J33" s="10">
        <v>0.563110565</v>
      </c>
      <c r="K33" s="10">
        <v>0.845622568</v>
      </c>
      <c r="L33" s="10">
        <v>0.176011984</v>
      </c>
      <c r="M33" s="10">
        <v>0.633835229</v>
      </c>
      <c r="N33" s="10">
        <v>0.826391244</v>
      </c>
      <c r="O33" s="10">
        <v>0.628547283</v>
      </c>
      <c r="P33" s="10">
        <v>0.926097027</v>
      </c>
      <c r="Q33" s="10">
        <v>1.763131879</v>
      </c>
      <c r="R33" s="10">
        <v>0.914490527</v>
      </c>
      <c r="S33" s="10">
        <v>0.742006908</v>
      </c>
      <c r="T33" s="10">
        <v>1.183220296</v>
      </c>
      <c r="U33" s="10">
        <v>1.73172988</v>
      </c>
      <c r="V33" s="10">
        <v>1.315831187</v>
      </c>
      <c r="W33" s="10">
        <v>0.848670869</v>
      </c>
      <c r="X33" s="10">
        <v>0.771817329</v>
      </c>
      <c r="Y33" s="10">
        <v>1.019302484</v>
      </c>
      <c r="Z33" s="10">
        <v>0.717445865</v>
      </c>
      <c r="AA33" s="10">
        <v>1.145389777</v>
      </c>
      <c r="AB33" s="10">
        <v>0.593449782</v>
      </c>
      <c r="AC33" s="10">
        <v>0.596188372</v>
      </c>
      <c r="AD33" s="10">
        <v>0.434798362</v>
      </c>
      <c r="AE33" s="10">
        <v>1.146638367</v>
      </c>
      <c r="AF33" s="10">
        <v>1.157043084</v>
      </c>
      <c r="AG33" s="10">
        <v>1.03648334</v>
      </c>
      <c r="AH33" s="10">
        <v>1.027025513</v>
      </c>
    </row>
    <row r="34" spans="1:34">
      <c r="A34" s="10" t="s">
        <v>69</v>
      </c>
      <c r="B34" s="10" t="str">
        <f t="shared" si="7"/>
        <v>A/T</v>
      </c>
      <c r="C34" s="10">
        <v>0.758109015</v>
      </c>
      <c r="D34" s="10">
        <v>0.116802531</v>
      </c>
      <c r="E34" s="10">
        <v>0.037367615</v>
      </c>
      <c r="F34" s="10">
        <v>1.094430826</v>
      </c>
      <c r="G34" s="10">
        <v>0.125267545</v>
      </c>
      <c r="H34" s="10">
        <v>0.360593972</v>
      </c>
      <c r="I34" s="10">
        <v>1.160972559</v>
      </c>
      <c r="J34" s="10">
        <v>0.426422247</v>
      </c>
      <c r="K34" s="10">
        <v>0.541373392</v>
      </c>
      <c r="L34" s="10">
        <v>0.097566471</v>
      </c>
      <c r="M34" s="10">
        <v>0.280734785</v>
      </c>
      <c r="N34" s="10">
        <v>0.333568003</v>
      </c>
      <c r="O34" s="10">
        <v>0.380057745</v>
      </c>
      <c r="P34" s="10">
        <v>0.204782873</v>
      </c>
      <c r="Q34" s="10">
        <v>0.136193564</v>
      </c>
      <c r="R34" s="10">
        <v>1.112041325</v>
      </c>
      <c r="S34" s="10">
        <v>0.692807928</v>
      </c>
      <c r="T34" s="10">
        <v>0.608541366</v>
      </c>
      <c r="U34" s="10">
        <v>0.032709275</v>
      </c>
      <c r="V34" s="10">
        <v>0.488616935</v>
      </c>
      <c r="W34" s="10">
        <v>0.370717634</v>
      </c>
      <c r="X34" s="10">
        <v>0.521360305</v>
      </c>
      <c r="Y34" s="10">
        <v>0.427197659</v>
      </c>
      <c r="Z34" s="10">
        <v>0.5902905</v>
      </c>
      <c r="AA34" s="10">
        <v>0.198804997</v>
      </c>
      <c r="AB34" s="10">
        <v>0.232050982</v>
      </c>
      <c r="AC34" s="10">
        <v>0.244857055</v>
      </c>
      <c r="AD34" s="10">
        <v>0.26825922</v>
      </c>
      <c r="AE34" s="10">
        <v>0.739880643</v>
      </c>
      <c r="AF34" s="10">
        <v>0.747002732</v>
      </c>
      <c r="AG34" s="10">
        <v>0.675154477</v>
      </c>
      <c r="AH34" s="10">
        <v>0.676459212</v>
      </c>
    </row>
    <row r="35" spans="1:34">
      <c r="A35" s="10" t="s">
        <v>70</v>
      </c>
      <c r="B35" s="10" t="str">
        <f t="shared" si="7"/>
        <v>G/C</v>
      </c>
      <c r="C35" s="10">
        <v>1.095220342</v>
      </c>
      <c r="D35" s="10">
        <v>0.029930648</v>
      </c>
      <c r="E35" s="10">
        <v>0.017984414</v>
      </c>
      <c r="F35" s="10">
        <v>0.639091254</v>
      </c>
      <c r="G35" s="10">
        <v>0.034020502</v>
      </c>
      <c r="H35" s="10">
        <v>0.618794326</v>
      </c>
      <c r="I35" s="10">
        <v>0.813853491</v>
      </c>
      <c r="J35" s="10">
        <v>0.67677616</v>
      </c>
      <c r="K35" s="10">
        <v>2.077790848</v>
      </c>
      <c r="L35" s="10">
        <v>2.576460868</v>
      </c>
      <c r="M35" s="10">
        <v>1.967585996</v>
      </c>
      <c r="N35" s="10">
        <v>0.960311524</v>
      </c>
      <c r="O35" s="10">
        <v>2.407547477</v>
      </c>
      <c r="P35" s="10">
        <v>0.895627982</v>
      </c>
      <c r="Q35" s="10">
        <v>0.023946121</v>
      </c>
      <c r="R35" s="10">
        <v>0.648735305</v>
      </c>
      <c r="S35" s="10">
        <v>1.856158551</v>
      </c>
      <c r="T35" s="10">
        <v>1.014813287</v>
      </c>
      <c r="U35" s="10">
        <v>0.007531741</v>
      </c>
      <c r="V35" s="10">
        <v>0.917574012</v>
      </c>
      <c r="W35" s="10">
        <v>1.116239933</v>
      </c>
      <c r="X35" s="10">
        <v>1.866401</v>
      </c>
      <c r="Y35" s="10">
        <v>0.725201213</v>
      </c>
      <c r="Z35" s="10">
        <v>0.640669982</v>
      </c>
      <c r="AA35" s="10">
        <v>2.225389015</v>
      </c>
      <c r="AB35" s="10">
        <v>2.860558934</v>
      </c>
      <c r="AC35" s="10">
        <v>2.835564958</v>
      </c>
      <c r="AD35" s="10">
        <v>3.763860867</v>
      </c>
      <c r="AE35" s="10">
        <v>1.043906146</v>
      </c>
      <c r="AF35" s="10">
        <v>0.995371661</v>
      </c>
      <c r="AG35" s="10">
        <v>1.185897177</v>
      </c>
      <c r="AH35" s="10">
        <v>1.177638959</v>
      </c>
    </row>
    <row r="36" spans="1:34">
      <c r="A36" s="10" t="s">
        <v>71</v>
      </c>
      <c r="B36" s="10" t="str">
        <f t="shared" si="7"/>
        <v>G/C</v>
      </c>
      <c r="C36" s="10">
        <v>0.325702781</v>
      </c>
      <c r="D36" s="10">
        <v>0.012410269</v>
      </c>
      <c r="E36" s="10">
        <v>0.005195497</v>
      </c>
      <c r="F36" s="10">
        <v>0.156199289</v>
      </c>
      <c r="G36" s="10">
        <v>0.006308438</v>
      </c>
      <c r="H36" s="10">
        <v>0.119237589</v>
      </c>
      <c r="I36" s="10">
        <v>1.416386522</v>
      </c>
      <c r="J36" s="10">
        <v>0.920651678</v>
      </c>
      <c r="K36" s="10">
        <v>1.14997011</v>
      </c>
      <c r="L36" s="10">
        <v>2.451028992</v>
      </c>
      <c r="M36" s="10">
        <v>1.207510686</v>
      </c>
      <c r="N36" s="10">
        <v>1.125577507</v>
      </c>
      <c r="O36" s="10">
        <v>0.579724289</v>
      </c>
      <c r="P36" s="10">
        <v>1.69585644</v>
      </c>
      <c r="Q36" s="10">
        <v>0.024245448</v>
      </c>
      <c r="R36" s="10">
        <v>1.806198789</v>
      </c>
      <c r="S36" s="10">
        <v>1.379112797</v>
      </c>
      <c r="T36" s="10">
        <v>0.148793068</v>
      </c>
      <c r="U36" s="10">
        <v>0.005379815</v>
      </c>
      <c r="V36" s="10">
        <v>0.232970395</v>
      </c>
      <c r="W36" s="10">
        <v>1.169852146</v>
      </c>
      <c r="X36" s="10">
        <v>0.373037047</v>
      </c>
      <c r="Y36" s="10">
        <v>0.668339082</v>
      </c>
      <c r="Z36" s="10">
        <v>0.539649306</v>
      </c>
      <c r="AA36" s="10">
        <v>0.23599706</v>
      </c>
      <c r="AB36" s="10">
        <v>1.510173059</v>
      </c>
      <c r="AC36" s="10">
        <v>1.515742004</v>
      </c>
      <c r="AD36" s="10">
        <v>0.298765233</v>
      </c>
      <c r="AE36" s="10">
        <v>1.292219586</v>
      </c>
      <c r="AF36" s="10">
        <v>1.251491663</v>
      </c>
      <c r="AG36" s="10">
        <v>1.432636</v>
      </c>
      <c r="AH36" s="10">
        <v>1.447433567</v>
      </c>
    </row>
    <row r="37" spans="1:34">
      <c r="A37" s="10" t="s">
        <v>72</v>
      </c>
      <c r="B37" s="10" t="str">
        <f t="shared" si="7"/>
        <v>A/T</v>
      </c>
      <c r="C37" s="10">
        <v>2.502497949</v>
      </c>
      <c r="D37" s="10">
        <v>0.274485947</v>
      </c>
      <c r="E37" s="10">
        <v>0.209218677</v>
      </c>
      <c r="F37" s="10">
        <v>2.830231675</v>
      </c>
      <c r="G37" s="10">
        <v>0.289286921</v>
      </c>
      <c r="H37" s="10">
        <v>2.427748227</v>
      </c>
      <c r="I37" s="10">
        <v>1.931905246</v>
      </c>
      <c r="J37" s="10">
        <v>1.422079324</v>
      </c>
      <c r="K37" s="10">
        <v>0.631505872</v>
      </c>
      <c r="L37" s="10">
        <v>0.263632267</v>
      </c>
      <c r="M37" s="10">
        <v>1.052106656</v>
      </c>
      <c r="N37" s="10">
        <v>0.75584107</v>
      </c>
      <c r="O37" s="10">
        <v>2.301085763</v>
      </c>
      <c r="P37" s="10">
        <v>0.926303959</v>
      </c>
      <c r="Q37" s="10">
        <v>0.22509354</v>
      </c>
      <c r="R37" s="10">
        <v>1.75436409</v>
      </c>
      <c r="S37" s="10">
        <v>1.497561353</v>
      </c>
      <c r="T37" s="10">
        <v>3.338064782</v>
      </c>
      <c r="U37" s="10">
        <v>0.219281257</v>
      </c>
      <c r="V37" s="10">
        <v>2.377215873</v>
      </c>
      <c r="W37" s="10">
        <v>1.428537084</v>
      </c>
      <c r="X37" s="10">
        <v>2.759582588</v>
      </c>
      <c r="Y37" s="10">
        <v>1.369499321</v>
      </c>
      <c r="Z37" s="10">
        <v>1.683459827</v>
      </c>
      <c r="AA37" s="10">
        <v>2.213119468</v>
      </c>
      <c r="AB37" s="10">
        <v>0.958547708</v>
      </c>
      <c r="AC37" s="10">
        <v>0.957381065</v>
      </c>
      <c r="AD37" s="10">
        <v>1.319506093</v>
      </c>
      <c r="AE37" s="10">
        <v>0.513418341</v>
      </c>
      <c r="AF37" s="10">
        <v>0.513243741</v>
      </c>
      <c r="AG37" s="10">
        <v>0.470457574</v>
      </c>
      <c r="AH37" s="10">
        <v>0.466599621</v>
      </c>
    </row>
    <row r="38" spans="1:34">
      <c r="A38" s="10" t="s">
        <v>73</v>
      </c>
      <c r="B38" s="10" t="str">
        <f t="shared" si="7"/>
        <v>A/T</v>
      </c>
      <c r="C38" s="10">
        <v>0.66100674</v>
      </c>
      <c r="D38" s="10">
        <v>0.481567615</v>
      </c>
      <c r="E38" s="10">
        <v>0.517187277</v>
      </c>
      <c r="F38" s="10">
        <v>0.503615351</v>
      </c>
      <c r="G38" s="10">
        <v>0.757385077</v>
      </c>
      <c r="H38" s="10">
        <v>0.433779025</v>
      </c>
      <c r="I38" s="10">
        <v>0.577246327</v>
      </c>
      <c r="J38" s="10">
        <v>0.148877708</v>
      </c>
      <c r="K38" s="10">
        <v>0.137366802</v>
      </c>
      <c r="L38" s="10">
        <v>0.066606038</v>
      </c>
      <c r="M38" s="10">
        <v>0.178029224</v>
      </c>
      <c r="N38" s="10">
        <v>0.262791905</v>
      </c>
      <c r="O38" s="10">
        <v>0.218320012</v>
      </c>
      <c r="P38" s="10">
        <v>0.115828069</v>
      </c>
      <c r="Q38" s="10">
        <v>0.580782842</v>
      </c>
      <c r="R38" s="10">
        <v>0.649784355</v>
      </c>
      <c r="S38" s="10">
        <v>0.307174656</v>
      </c>
      <c r="T38" s="10">
        <v>0.498419356</v>
      </c>
      <c r="U38" s="10">
        <v>0.782608696</v>
      </c>
      <c r="V38" s="10">
        <v>0.440105724</v>
      </c>
      <c r="W38" s="10">
        <v>0.076366671</v>
      </c>
      <c r="X38" s="10">
        <v>0.349032349</v>
      </c>
      <c r="Y38" s="10">
        <v>0.152554681</v>
      </c>
      <c r="Z38" s="10">
        <v>0.126986847</v>
      </c>
      <c r="AA38" s="10">
        <v>0.104489622</v>
      </c>
      <c r="AB38" s="10">
        <v>0.090748677</v>
      </c>
      <c r="AC38" s="10">
        <v>0.094771587</v>
      </c>
      <c r="AD38" s="10">
        <v>0.153592325</v>
      </c>
      <c r="AE38" s="10">
        <v>0.383666127</v>
      </c>
      <c r="AF38" s="10">
        <v>0.39397444</v>
      </c>
      <c r="AG38" s="10">
        <v>0.325419684</v>
      </c>
      <c r="AH38" s="10">
        <v>0.325082653</v>
      </c>
    </row>
    <row r="39" spans="1:34">
      <c r="A39" s="10" t="s">
        <v>74</v>
      </c>
      <c r="B39" s="10" t="str">
        <f t="shared" si="7"/>
        <v>G/C</v>
      </c>
      <c r="C39" s="10">
        <v>0.2172666</v>
      </c>
      <c r="D39" s="10">
        <v>0.024235276</v>
      </c>
      <c r="E39" s="10">
        <v>0.028170019</v>
      </c>
      <c r="F39" s="10">
        <v>0.226386681</v>
      </c>
      <c r="G39" s="10">
        <v>0.029698278</v>
      </c>
      <c r="H39" s="10">
        <v>0.61636505</v>
      </c>
      <c r="I39" s="10">
        <v>0.383840109</v>
      </c>
      <c r="J39" s="10">
        <v>0.476108911</v>
      </c>
      <c r="K39" s="10">
        <v>2.118016853</v>
      </c>
      <c r="L39" s="10">
        <v>1.23399298</v>
      </c>
      <c r="M39" s="10">
        <v>0.789857137</v>
      </c>
      <c r="N39" s="10">
        <v>0.386922678</v>
      </c>
      <c r="O39" s="10">
        <v>0.627244859</v>
      </c>
      <c r="P39" s="10">
        <v>0.526483191</v>
      </c>
      <c r="Q39" s="10">
        <v>0.058366382</v>
      </c>
      <c r="R39" s="10">
        <v>0.45143038</v>
      </c>
      <c r="S39" s="10">
        <v>0.297856921</v>
      </c>
      <c r="T39" s="10">
        <v>0.381326489</v>
      </c>
      <c r="U39" s="10">
        <v>0.095514584</v>
      </c>
      <c r="V39" s="10">
        <v>0.235332703</v>
      </c>
      <c r="W39" s="10">
        <v>0.773125609</v>
      </c>
      <c r="X39" s="10">
        <v>0.26147761</v>
      </c>
      <c r="Y39" s="10">
        <v>0.410772024</v>
      </c>
      <c r="Z39" s="10">
        <v>0.463476286</v>
      </c>
      <c r="AA39" s="10">
        <v>0.450844936</v>
      </c>
      <c r="AB39" s="10">
        <v>1.638013612</v>
      </c>
      <c r="AC39" s="10">
        <v>1.613468176</v>
      </c>
      <c r="AD39" s="10">
        <v>1.93740645</v>
      </c>
      <c r="AE39" s="10">
        <v>1.153976884</v>
      </c>
      <c r="AF39" s="10">
        <v>1.125882788</v>
      </c>
      <c r="AG39" s="10">
        <v>1.262805422</v>
      </c>
      <c r="AH39" s="10">
        <v>1.261562056</v>
      </c>
    </row>
    <row r="40" spans="1:34">
      <c r="A40" s="10" t="s">
        <v>75</v>
      </c>
      <c r="B40" s="10" t="str">
        <f t="shared" si="7"/>
        <v>G/C</v>
      </c>
      <c r="C40" s="10">
        <v>0.262010612</v>
      </c>
      <c r="D40" s="10">
        <v>0.051408161</v>
      </c>
      <c r="E40" s="10">
        <v>0.030452147</v>
      </c>
      <c r="F40" s="10">
        <v>0.166867851</v>
      </c>
      <c r="G40" s="10">
        <v>0.066505187</v>
      </c>
      <c r="H40" s="10">
        <v>0.381637725</v>
      </c>
      <c r="I40" s="10">
        <v>0.314656645</v>
      </c>
      <c r="J40" s="10">
        <v>2.195696392</v>
      </c>
      <c r="K40" s="10">
        <v>1.503945784</v>
      </c>
      <c r="L40" s="10">
        <v>4.060082224</v>
      </c>
      <c r="M40" s="10">
        <v>2.144165412</v>
      </c>
      <c r="N40" s="10">
        <v>2.554298564</v>
      </c>
      <c r="O40" s="10">
        <v>2.991979396</v>
      </c>
      <c r="P40" s="10">
        <v>2.995538278</v>
      </c>
      <c r="Q40" s="10">
        <v>0.134765521</v>
      </c>
      <c r="R40" s="10">
        <v>0.537015788</v>
      </c>
      <c r="S40" s="10">
        <v>2.573351279</v>
      </c>
      <c r="T40" s="10">
        <v>0.299633791</v>
      </c>
      <c r="U40" s="10">
        <v>0.08346175</v>
      </c>
      <c r="V40" s="10">
        <v>0.394960739</v>
      </c>
      <c r="W40" s="10">
        <v>2.965085547</v>
      </c>
      <c r="X40" s="10">
        <v>0.399039412</v>
      </c>
      <c r="Y40" s="10">
        <v>2.268297744</v>
      </c>
      <c r="Z40" s="10">
        <v>2.300544107</v>
      </c>
      <c r="AA40" s="10">
        <v>2.934910344</v>
      </c>
      <c r="AB40" s="10">
        <v>2.385933955</v>
      </c>
      <c r="AC40" s="10">
        <v>2.38375861</v>
      </c>
      <c r="AD40" s="10">
        <v>2.340828684</v>
      </c>
      <c r="AE40" s="10">
        <v>2.370817686</v>
      </c>
      <c r="AF40" s="10">
        <v>2.314604235</v>
      </c>
      <c r="AG40" s="10">
        <v>2.678910264</v>
      </c>
      <c r="AH40" s="10">
        <v>2.679103446</v>
      </c>
    </row>
    <row r="41" spans="1:34">
      <c r="A41" s="10" t="s">
        <v>76</v>
      </c>
      <c r="B41" s="10" t="str">
        <f t="shared" si="7"/>
        <v>A/T</v>
      </c>
      <c r="C41" s="10">
        <v>0.673827621</v>
      </c>
      <c r="D41" s="10">
        <v>1.090253591</v>
      </c>
      <c r="E41" s="10">
        <v>1.237198688</v>
      </c>
      <c r="F41" s="10">
        <v>0.884177314</v>
      </c>
      <c r="G41" s="10">
        <v>1.011716076</v>
      </c>
      <c r="H41" s="10">
        <v>1.723498651</v>
      </c>
      <c r="I41" s="10">
        <v>1.399760847</v>
      </c>
      <c r="J41" s="10">
        <v>1.822717054</v>
      </c>
      <c r="K41" s="10">
        <v>1.333407642</v>
      </c>
      <c r="L41" s="10">
        <v>0.269535742</v>
      </c>
      <c r="M41" s="10">
        <v>1.37938052</v>
      </c>
      <c r="N41" s="10">
        <v>1.347102577</v>
      </c>
      <c r="O41" s="10">
        <v>0.618132445</v>
      </c>
      <c r="P41" s="10">
        <v>1.247073375</v>
      </c>
      <c r="Q41" s="10">
        <v>1.123046007</v>
      </c>
      <c r="R41" s="10">
        <v>1.380524671</v>
      </c>
      <c r="S41" s="10">
        <v>0.715291438</v>
      </c>
      <c r="T41" s="10">
        <v>1.574509374</v>
      </c>
      <c r="U41" s="10">
        <v>1.238222345</v>
      </c>
      <c r="V41" s="10">
        <v>1.15802674</v>
      </c>
      <c r="W41" s="10">
        <v>1.344415079</v>
      </c>
      <c r="X41" s="10">
        <v>0.66433112</v>
      </c>
      <c r="Y41" s="10">
        <v>1.650920723</v>
      </c>
      <c r="Z41" s="10">
        <v>1.823636519</v>
      </c>
      <c r="AA41" s="10">
        <v>0.89722606</v>
      </c>
      <c r="AB41" s="10">
        <v>0.36762667</v>
      </c>
      <c r="AC41" s="10">
        <v>0.385326079</v>
      </c>
      <c r="AD41" s="10">
        <v>0.930738876</v>
      </c>
      <c r="AE41" s="10">
        <v>0.802548663</v>
      </c>
      <c r="AF41" s="10">
        <v>0.826412901</v>
      </c>
      <c r="AG41" s="10">
        <v>0.672970216</v>
      </c>
      <c r="AH41" s="10">
        <v>0.669926712</v>
      </c>
    </row>
    <row r="42" spans="1:34">
      <c r="A42" s="10" t="s">
        <v>77</v>
      </c>
      <c r="B42" s="10" t="str">
        <f t="shared" si="7"/>
        <v>A/T</v>
      </c>
      <c r="C42" s="10">
        <v>1.645540098</v>
      </c>
      <c r="D42" s="10">
        <v>1.653536168</v>
      </c>
      <c r="E42" s="10">
        <v>1.532772697</v>
      </c>
      <c r="F42" s="10">
        <v>1.465194431</v>
      </c>
      <c r="G42" s="10">
        <v>1.630605016</v>
      </c>
      <c r="H42" s="10">
        <v>1.664425273</v>
      </c>
      <c r="I42" s="10">
        <v>1.61437927</v>
      </c>
      <c r="J42" s="10">
        <v>1.346535946</v>
      </c>
      <c r="K42" s="10">
        <v>1.123547328</v>
      </c>
      <c r="L42" s="10">
        <v>0.294501038</v>
      </c>
      <c r="M42" s="10">
        <v>1.197854385</v>
      </c>
      <c r="N42" s="10">
        <v>1.117791912</v>
      </c>
      <c r="O42" s="10">
        <v>1.381194986</v>
      </c>
      <c r="P42" s="10">
        <v>1.282489811</v>
      </c>
      <c r="Q42" s="10">
        <v>1.715132937</v>
      </c>
      <c r="R42" s="10">
        <v>1.566504154</v>
      </c>
      <c r="S42" s="10">
        <v>1.384254385</v>
      </c>
      <c r="T42" s="10">
        <v>1.606156094</v>
      </c>
      <c r="U42" s="10">
        <v>1.236683849</v>
      </c>
      <c r="V42" s="10">
        <v>1.69579328</v>
      </c>
      <c r="W42" s="10">
        <v>1.651381969</v>
      </c>
      <c r="X42" s="10">
        <v>1.612891977</v>
      </c>
      <c r="Y42" s="10">
        <v>1.295858582</v>
      </c>
      <c r="Z42" s="10">
        <v>1.410820625</v>
      </c>
      <c r="AA42" s="10">
        <v>1.128860394</v>
      </c>
      <c r="AB42" s="10">
        <v>1.776666262</v>
      </c>
      <c r="AC42" s="10">
        <v>1.769110189</v>
      </c>
      <c r="AD42" s="10">
        <v>0.326985995</v>
      </c>
      <c r="AE42" s="10">
        <v>0.841170747</v>
      </c>
      <c r="AF42" s="10">
        <v>0.865549218</v>
      </c>
      <c r="AG42" s="10">
        <v>0.72364134</v>
      </c>
      <c r="AH42" s="10">
        <v>0.723762345</v>
      </c>
    </row>
    <row r="43" spans="1:34">
      <c r="A43" s="10" t="s">
        <v>78</v>
      </c>
      <c r="B43" s="10" t="str">
        <f t="shared" si="7"/>
        <v>G/C</v>
      </c>
      <c r="C43" s="10">
        <v>0.382471217</v>
      </c>
      <c r="D43" s="10">
        <v>0.184609979</v>
      </c>
      <c r="E43" s="10">
        <v>0.254384731</v>
      </c>
      <c r="F43" s="10">
        <v>0.301668563</v>
      </c>
      <c r="G43" s="10">
        <v>0.269200025</v>
      </c>
      <c r="H43" s="10">
        <v>0.344110332</v>
      </c>
      <c r="I43" s="10">
        <v>0</v>
      </c>
      <c r="J43" s="10">
        <v>0.567691423</v>
      </c>
      <c r="K43" s="10">
        <v>0.942232145</v>
      </c>
      <c r="L43" s="10">
        <v>1.637567799</v>
      </c>
      <c r="M43" s="10">
        <v>1.013258436</v>
      </c>
      <c r="N43" s="10">
        <v>0.779069767</v>
      </c>
      <c r="O43" s="10">
        <v>0.747900261</v>
      </c>
      <c r="P43" s="10">
        <v>0.673930134</v>
      </c>
      <c r="Q43" s="10">
        <v>0.24565986</v>
      </c>
      <c r="R43" s="10">
        <v>0.535660432</v>
      </c>
      <c r="S43" s="10">
        <v>0.773996343</v>
      </c>
      <c r="T43" s="10">
        <v>0.636093309</v>
      </c>
      <c r="U43" s="10">
        <v>0.232110161</v>
      </c>
      <c r="V43" s="10">
        <v>0.617262276</v>
      </c>
      <c r="W43" s="10">
        <v>0.579093646</v>
      </c>
      <c r="X43" s="10">
        <v>0.378827255</v>
      </c>
      <c r="Y43" s="10">
        <v>0.594051404</v>
      </c>
      <c r="Z43" s="10">
        <v>0.534018306</v>
      </c>
      <c r="AA43" s="10">
        <v>0.745325779</v>
      </c>
      <c r="AB43" s="10">
        <v>1.084860311</v>
      </c>
      <c r="AC43" s="10">
        <v>1.070850742</v>
      </c>
      <c r="AD43" s="10">
        <v>1.275540915</v>
      </c>
      <c r="AE43" s="10">
        <v>1.068485103</v>
      </c>
      <c r="AF43" s="10">
        <v>1.047051667</v>
      </c>
      <c r="AG43" s="10">
        <v>1.183397221</v>
      </c>
      <c r="AH43" s="10">
        <v>1.185032246</v>
      </c>
    </row>
    <row r="44" spans="1:34">
      <c r="A44" s="10" t="s">
        <v>79</v>
      </c>
      <c r="B44" s="10" t="str">
        <f t="shared" si="7"/>
        <v>G/C</v>
      </c>
      <c r="C44" s="10">
        <v>0.354459902</v>
      </c>
      <c r="D44" s="10">
        <v>0.346463832</v>
      </c>
      <c r="E44" s="10">
        <v>0.467227303</v>
      </c>
      <c r="F44" s="10">
        <v>0.534805569</v>
      </c>
      <c r="G44" s="10">
        <v>0.369394984</v>
      </c>
      <c r="H44" s="10">
        <v>0.335574727</v>
      </c>
      <c r="I44" s="10">
        <v>0.38562073</v>
      </c>
      <c r="J44" s="10">
        <v>0.653464054</v>
      </c>
      <c r="K44" s="10">
        <v>0.876452672</v>
      </c>
      <c r="L44" s="10">
        <v>1.705498962</v>
      </c>
      <c r="M44" s="10">
        <v>0.802145615</v>
      </c>
      <c r="N44" s="10">
        <v>0.882208088</v>
      </c>
      <c r="O44" s="10">
        <v>0.618805014</v>
      </c>
      <c r="P44" s="10">
        <v>0.717510189</v>
      </c>
      <c r="Q44" s="10">
        <v>0.284867063</v>
      </c>
      <c r="R44" s="10">
        <v>0.433495846</v>
      </c>
      <c r="S44" s="10">
        <v>0.615745615</v>
      </c>
      <c r="T44" s="10">
        <v>0.393843906</v>
      </c>
      <c r="U44" s="10">
        <v>0.763316151</v>
      </c>
      <c r="V44" s="10">
        <v>0.30420672</v>
      </c>
      <c r="W44" s="10">
        <v>0.348618031</v>
      </c>
      <c r="X44" s="10">
        <v>0.387108023</v>
      </c>
      <c r="Y44" s="10">
        <v>0.704141418</v>
      </c>
      <c r="Z44" s="10">
        <v>0.589179375</v>
      </c>
      <c r="AA44" s="10">
        <v>0.871139606</v>
      </c>
      <c r="AB44" s="10">
        <v>0.223333738</v>
      </c>
      <c r="AC44" s="10">
        <v>0.230889811</v>
      </c>
      <c r="AD44" s="10">
        <v>1.673014005</v>
      </c>
      <c r="AE44" s="10">
        <v>1.158829253</v>
      </c>
      <c r="AF44" s="10">
        <v>1.134450782</v>
      </c>
      <c r="AG44" s="10">
        <v>1.27635866</v>
      </c>
      <c r="AH44" s="10">
        <v>1.276237655</v>
      </c>
    </row>
    <row r="45" spans="1:34">
      <c r="A45" s="10" t="s">
        <v>80</v>
      </c>
      <c r="B45" s="10" t="str">
        <f t="shared" si="7"/>
        <v>A/T</v>
      </c>
      <c r="C45" s="10">
        <v>1.617528783</v>
      </c>
      <c r="D45" s="10">
        <v>1.815390021</v>
      </c>
      <c r="E45" s="10">
        <v>1.745615269</v>
      </c>
      <c r="F45" s="10">
        <v>1.698331437</v>
      </c>
      <c r="G45" s="10">
        <v>1.730799975</v>
      </c>
      <c r="H45" s="10">
        <v>1.655889668</v>
      </c>
      <c r="I45" s="10">
        <v>0</v>
      </c>
      <c r="J45" s="10">
        <v>1.432308577</v>
      </c>
      <c r="K45" s="10">
        <v>1.057767855</v>
      </c>
      <c r="L45" s="10">
        <v>0.362432201</v>
      </c>
      <c r="M45" s="10">
        <v>0.986741564</v>
      </c>
      <c r="N45" s="10">
        <v>1.220930233</v>
      </c>
      <c r="O45" s="10">
        <v>1.252099739</v>
      </c>
      <c r="P45" s="10">
        <v>1.326069866</v>
      </c>
      <c r="Q45" s="10">
        <v>1.75434014</v>
      </c>
      <c r="R45" s="10">
        <v>1.464339568</v>
      </c>
      <c r="S45" s="10">
        <v>1.226003657</v>
      </c>
      <c r="T45" s="10">
        <v>1.363906691</v>
      </c>
      <c r="U45" s="10">
        <v>1.767889839</v>
      </c>
      <c r="V45" s="10">
        <v>1.382737724</v>
      </c>
      <c r="W45" s="10">
        <v>1.420906354</v>
      </c>
      <c r="X45" s="10">
        <v>1.621172745</v>
      </c>
      <c r="Y45" s="10">
        <v>1.405948596</v>
      </c>
      <c r="Z45" s="10">
        <v>1.465981694</v>
      </c>
      <c r="AA45" s="10">
        <v>1.254674221</v>
      </c>
      <c r="AB45" s="10">
        <v>0.915139689</v>
      </c>
      <c r="AC45" s="10">
        <v>0.929149258</v>
      </c>
      <c r="AD45" s="10">
        <v>0.724459085</v>
      </c>
      <c r="AE45" s="10">
        <v>0.931514897</v>
      </c>
      <c r="AF45" s="10">
        <v>0.952948333</v>
      </c>
      <c r="AG45" s="10">
        <v>0.816602779</v>
      </c>
      <c r="AH45" s="10">
        <v>0.814967754</v>
      </c>
    </row>
    <row r="46" spans="1:34">
      <c r="A46" s="10" t="s">
        <v>81</v>
      </c>
      <c r="B46" s="10" t="str">
        <f t="shared" si="7"/>
        <v>A/T</v>
      </c>
      <c r="C46" s="10">
        <v>1.225179552</v>
      </c>
      <c r="D46" s="10">
        <v>1.948874824</v>
      </c>
      <c r="E46" s="10">
        <v>1.468885792</v>
      </c>
      <c r="F46" s="10">
        <v>1.449114522</v>
      </c>
      <c r="G46" s="10">
        <v>1.863723433</v>
      </c>
      <c r="H46" s="10">
        <v>1.256084002</v>
      </c>
      <c r="I46" s="10">
        <v>0</v>
      </c>
      <c r="J46" s="10">
        <v>2.106243861</v>
      </c>
      <c r="K46" s="10">
        <v>0.717962874</v>
      </c>
      <c r="L46" s="10">
        <v>0.174685019</v>
      </c>
      <c r="M46" s="10">
        <v>0.780729352</v>
      </c>
      <c r="N46" s="10">
        <v>1.341334537</v>
      </c>
      <c r="O46" s="10">
        <v>0.849063418</v>
      </c>
      <c r="P46" s="10">
        <v>0.937621856</v>
      </c>
      <c r="Q46" s="10">
        <v>1.898048795</v>
      </c>
      <c r="R46" s="10">
        <v>1.293388731</v>
      </c>
      <c r="S46" s="10">
        <v>0.872528024</v>
      </c>
      <c r="T46" s="10">
        <v>1.159983216</v>
      </c>
      <c r="U46" s="10">
        <v>1.335129005</v>
      </c>
      <c r="V46" s="10">
        <v>1.211222817</v>
      </c>
      <c r="W46" s="10">
        <v>1.151689575</v>
      </c>
      <c r="X46" s="10">
        <v>1.176813983</v>
      </c>
      <c r="Y46" s="10">
        <v>1.985310272</v>
      </c>
      <c r="Z46" s="10">
        <v>2.093394254</v>
      </c>
      <c r="AA46" s="10">
        <v>1.118515556</v>
      </c>
      <c r="AB46" s="10">
        <v>0.458893306</v>
      </c>
      <c r="AC46" s="10">
        <v>0.477121952</v>
      </c>
      <c r="AD46" s="10">
        <v>0.421585251</v>
      </c>
      <c r="AE46" s="10">
        <v>0.873954203</v>
      </c>
      <c r="AF46" s="10">
        <v>0.90200925</v>
      </c>
      <c r="AG46" s="10">
        <v>0.763912893</v>
      </c>
      <c r="AH46" s="10">
        <v>0.761537038</v>
      </c>
    </row>
    <row r="47" spans="1:34">
      <c r="A47" s="10" t="s">
        <v>82</v>
      </c>
      <c r="B47" s="10" t="str">
        <f t="shared" si="7"/>
        <v>G/C</v>
      </c>
      <c r="C47" s="10">
        <v>0.743154888</v>
      </c>
      <c r="D47" s="10">
        <v>0.149085795</v>
      </c>
      <c r="E47" s="10">
        <v>0.306878741</v>
      </c>
      <c r="F47" s="10">
        <v>0.545454545</v>
      </c>
      <c r="G47" s="10">
        <v>0.15068868</v>
      </c>
      <c r="H47" s="10">
        <v>0.75808112</v>
      </c>
      <c r="I47" s="10">
        <v>0</v>
      </c>
      <c r="J47" s="10">
        <v>0.533015294</v>
      </c>
      <c r="K47" s="10">
        <v>1.29289444</v>
      </c>
      <c r="L47" s="10">
        <v>2.459652562</v>
      </c>
      <c r="M47" s="10">
        <v>0.835006703</v>
      </c>
      <c r="N47" s="10">
        <v>1.023764637</v>
      </c>
      <c r="O47" s="10">
        <v>1.079935311</v>
      </c>
      <c r="P47" s="10">
        <v>1.299611272</v>
      </c>
      <c r="Q47" s="10">
        <v>0.224839338</v>
      </c>
      <c r="R47" s="10">
        <v>0.699856646</v>
      </c>
      <c r="S47" s="10">
        <v>1.403484401</v>
      </c>
      <c r="T47" s="10">
        <v>0.529880717</v>
      </c>
      <c r="U47" s="10">
        <v>0.152348549</v>
      </c>
      <c r="V47" s="10">
        <v>0.744110956</v>
      </c>
      <c r="W47" s="10">
        <v>1.129161911</v>
      </c>
      <c r="X47" s="10">
        <v>0.835754267</v>
      </c>
      <c r="Y47" s="10">
        <v>0.637904668</v>
      </c>
      <c r="Z47" s="10">
        <v>0.533983841</v>
      </c>
      <c r="AA47" s="10">
        <v>0.850035991</v>
      </c>
      <c r="AB47" s="10">
        <v>2.132184996</v>
      </c>
      <c r="AC47" s="10">
        <v>2.109084433</v>
      </c>
      <c r="AD47" s="10">
        <v>1.977768806</v>
      </c>
      <c r="AE47" s="10">
        <v>1.603624667</v>
      </c>
      <c r="AF47" s="10">
        <v>1.567634371</v>
      </c>
      <c r="AG47" s="10">
        <v>1.75800372</v>
      </c>
      <c r="AH47" s="10">
        <v>1.76632319</v>
      </c>
    </row>
    <row r="48" spans="1:34">
      <c r="A48" s="10" t="s">
        <v>83</v>
      </c>
      <c r="B48" s="10" t="str">
        <f t="shared" si="7"/>
        <v>G/C</v>
      </c>
      <c r="C48" s="10">
        <v>0.718691532</v>
      </c>
      <c r="D48" s="10">
        <v>0.13628692</v>
      </c>
      <c r="E48" s="10">
        <v>0.086414692</v>
      </c>
      <c r="F48" s="10">
        <v>0.62463597</v>
      </c>
      <c r="G48" s="10">
        <v>0.164827146</v>
      </c>
      <c r="H48" s="10">
        <v>0.449495573</v>
      </c>
      <c r="I48" s="10">
        <v>0</v>
      </c>
      <c r="J48" s="10">
        <v>0.694598008</v>
      </c>
      <c r="K48" s="10">
        <v>1.525314563</v>
      </c>
      <c r="L48" s="10">
        <v>1.237993778</v>
      </c>
      <c r="M48" s="10">
        <v>1.921155582</v>
      </c>
      <c r="N48" s="10">
        <v>1.053344308</v>
      </c>
      <c r="O48" s="10">
        <v>1.428315722</v>
      </c>
      <c r="P48" s="10">
        <v>1.139833125</v>
      </c>
      <c r="Q48" s="10">
        <v>0.166797522</v>
      </c>
      <c r="R48" s="10">
        <v>0.425006682</v>
      </c>
      <c r="S48" s="10">
        <v>0.62657483</v>
      </c>
      <c r="T48" s="10">
        <v>0.529241343</v>
      </c>
      <c r="U48" s="10">
        <v>0.050940365</v>
      </c>
      <c r="V48" s="10">
        <v>0.315745701</v>
      </c>
      <c r="W48" s="10">
        <v>0.752642287</v>
      </c>
      <c r="X48" s="10">
        <v>1.252223481</v>
      </c>
      <c r="Y48" s="10">
        <v>0.526676288</v>
      </c>
      <c r="Z48" s="10">
        <v>0.548542812</v>
      </c>
      <c r="AA48" s="10">
        <v>0.709781652</v>
      </c>
      <c r="AB48" s="10">
        <v>0.485077923</v>
      </c>
      <c r="AC48" s="10">
        <v>0.497662476</v>
      </c>
      <c r="AD48" s="10">
        <v>1.06096084</v>
      </c>
      <c r="AE48" s="10">
        <v>0.472826461</v>
      </c>
      <c r="AF48" s="10">
        <v>0.459896623</v>
      </c>
      <c r="AG48" s="10">
        <v>0.53199019</v>
      </c>
      <c r="AH48" s="10">
        <v>0.53997442</v>
      </c>
    </row>
    <row r="49" spans="1:34">
      <c r="A49" s="10" t="s">
        <v>84</v>
      </c>
      <c r="B49" s="10" t="str">
        <f t="shared" si="7"/>
        <v>A/T</v>
      </c>
      <c r="C49" s="10">
        <v>1.312974028</v>
      </c>
      <c r="D49" s="10">
        <v>1.765752461</v>
      </c>
      <c r="E49" s="10">
        <v>2.137820776</v>
      </c>
      <c r="F49" s="10">
        <v>1.380794963</v>
      </c>
      <c r="G49" s="10">
        <v>1.820760741</v>
      </c>
      <c r="H49" s="10">
        <v>1.536339304</v>
      </c>
      <c r="I49" s="10">
        <v>0</v>
      </c>
      <c r="J49" s="10">
        <v>0.666142837</v>
      </c>
      <c r="K49" s="10">
        <v>0.463828123</v>
      </c>
      <c r="L49" s="10">
        <v>0.127668641</v>
      </c>
      <c r="M49" s="10">
        <v>0.463108363</v>
      </c>
      <c r="N49" s="10">
        <v>0.581556517</v>
      </c>
      <c r="O49" s="10">
        <v>0.64268555</v>
      </c>
      <c r="P49" s="10">
        <v>0.622933747</v>
      </c>
      <c r="Q49" s="10">
        <v>1.710314345</v>
      </c>
      <c r="R49" s="10">
        <v>1.581747941</v>
      </c>
      <c r="S49" s="10">
        <v>1.097412745</v>
      </c>
      <c r="T49" s="10">
        <v>1.780894723</v>
      </c>
      <c r="U49" s="10">
        <v>2.461582081</v>
      </c>
      <c r="V49" s="10">
        <v>1.728920525</v>
      </c>
      <c r="W49" s="10">
        <v>0.966506227</v>
      </c>
      <c r="X49" s="10">
        <v>0.735208269</v>
      </c>
      <c r="Y49" s="10">
        <v>0.850108773</v>
      </c>
      <c r="Z49" s="10">
        <v>0.824079093</v>
      </c>
      <c r="AA49" s="10">
        <v>1.3216668</v>
      </c>
      <c r="AB49" s="10">
        <v>0.923843776</v>
      </c>
      <c r="AC49" s="10">
        <v>0.916131139</v>
      </c>
      <c r="AD49" s="10">
        <v>0.539685103</v>
      </c>
      <c r="AE49" s="10">
        <v>1.04959467</v>
      </c>
      <c r="AF49" s="10">
        <v>1.070459757</v>
      </c>
      <c r="AG49" s="10">
        <v>0.946093197</v>
      </c>
      <c r="AH49" s="10">
        <v>0.932165351</v>
      </c>
    </row>
    <row r="50" spans="1:34">
      <c r="A50" s="10" t="s">
        <v>85</v>
      </c>
      <c r="B50" s="10" t="str">
        <f t="shared" si="7"/>
        <v>A/T</v>
      </c>
      <c r="C50" s="10">
        <v>1.000774666</v>
      </c>
      <c r="D50" s="10">
        <v>2.086732477</v>
      </c>
      <c r="E50" s="10">
        <v>2.350534076</v>
      </c>
      <c r="F50" s="10">
        <v>2.02582728</v>
      </c>
      <c r="G50" s="10">
        <v>2.015698707</v>
      </c>
      <c r="H50" s="10">
        <v>0.843489026</v>
      </c>
      <c r="I50" s="10">
        <v>1.212294982</v>
      </c>
      <c r="J50" s="10">
        <v>2.038892541</v>
      </c>
      <c r="K50" s="10">
        <v>0.844040962</v>
      </c>
      <c r="L50" s="10">
        <v>0.222097273</v>
      </c>
      <c r="M50" s="10">
        <v>0.968869123</v>
      </c>
      <c r="N50" s="10">
        <v>1.628833719</v>
      </c>
      <c r="O50" s="10">
        <v>0.425722062</v>
      </c>
      <c r="P50" s="10">
        <v>1.214344171</v>
      </c>
      <c r="Q50" s="10">
        <v>2.312220847</v>
      </c>
      <c r="R50" s="10">
        <v>1.036838504</v>
      </c>
      <c r="S50" s="10">
        <v>0.592365337</v>
      </c>
      <c r="T50" s="10">
        <v>1.043069093</v>
      </c>
      <c r="U50" s="10">
        <v>2.844134289</v>
      </c>
      <c r="V50" s="10">
        <v>0.56569232</v>
      </c>
      <c r="W50" s="10">
        <v>1.307115481</v>
      </c>
      <c r="X50" s="10">
        <v>0.763473254</v>
      </c>
      <c r="Y50" s="10">
        <v>1.81900668</v>
      </c>
      <c r="Z50" s="10">
        <v>1.881866703</v>
      </c>
      <c r="AA50" s="10">
        <v>0.468976398</v>
      </c>
      <c r="AB50" s="10">
        <v>0.36979356</v>
      </c>
      <c r="AC50" s="10">
        <v>0.374842496</v>
      </c>
      <c r="AD50" s="10">
        <v>0.279092572</v>
      </c>
      <c r="AE50" s="10">
        <v>1.000968733</v>
      </c>
      <c r="AF50" s="10">
        <v>1.027193035</v>
      </c>
      <c r="AG50" s="10">
        <v>0.883672998</v>
      </c>
      <c r="AH50" s="10">
        <v>0.87829586</v>
      </c>
    </row>
    <row r="51" spans="1:34">
      <c r="A51" s="10" t="s">
        <v>86</v>
      </c>
      <c r="B51" s="10" t="str">
        <f t="shared" si="7"/>
        <v>G/C</v>
      </c>
      <c r="C51" s="10">
        <v>0.803586939</v>
      </c>
      <c r="D51" s="10">
        <v>0.202831067</v>
      </c>
      <c r="E51" s="10">
        <v>0.204336125</v>
      </c>
      <c r="F51" s="10">
        <v>0.260194473</v>
      </c>
      <c r="G51" s="10">
        <v>0.191211016</v>
      </c>
      <c r="H51" s="10">
        <v>0.950275746</v>
      </c>
      <c r="I51" s="10">
        <v>0.65352934</v>
      </c>
      <c r="J51" s="10">
        <v>0.572664183</v>
      </c>
      <c r="K51" s="10">
        <v>1.810734258</v>
      </c>
      <c r="L51" s="10">
        <v>2.448798145</v>
      </c>
      <c r="M51" s="10">
        <v>1.796442186</v>
      </c>
      <c r="N51" s="10">
        <v>1.277689315</v>
      </c>
      <c r="O51" s="10">
        <v>1.624040297</v>
      </c>
      <c r="P51" s="10">
        <v>1.178607742</v>
      </c>
      <c r="Q51" s="10">
        <v>0.179949416</v>
      </c>
      <c r="R51" s="10">
        <v>0.708143248</v>
      </c>
      <c r="S51" s="10">
        <v>1.716642358</v>
      </c>
      <c r="T51" s="10">
        <v>0.598261872</v>
      </c>
      <c r="U51" s="10">
        <v>0.051829498</v>
      </c>
      <c r="V51" s="10">
        <v>1.103841155</v>
      </c>
      <c r="W51" s="10">
        <v>1.07637616</v>
      </c>
      <c r="X51" s="10">
        <v>1.091696235</v>
      </c>
      <c r="Y51" s="10">
        <v>0.686363688</v>
      </c>
      <c r="Z51" s="10">
        <v>0.660955248</v>
      </c>
      <c r="AA51" s="10">
        <v>2.103418928</v>
      </c>
      <c r="AB51" s="10">
        <v>2.421183538</v>
      </c>
      <c r="AC51" s="10">
        <v>2.400475213</v>
      </c>
      <c r="AD51" s="10">
        <v>2.618039186</v>
      </c>
      <c r="AE51" s="10">
        <v>1.357796633</v>
      </c>
      <c r="AF51" s="10">
        <v>1.335891193</v>
      </c>
      <c r="AG51" s="10">
        <v>1.483768945</v>
      </c>
      <c r="AH51" s="10">
        <v>1.491405175</v>
      </c>
    </row>
    <row r="52" spans="1:34">
      <c r="A52" s="10" t="s">
        <v>87</v>
      </c>
      <c r="B52" s="10" t="str">
        <f t="shared" si="7"/>
        <v>G/C</v>
      </c>
      <c r="C52" s="10">
        <v>0.557477875</v>
      </c>
      <c r="D52" s="10">
        <v>0.346371143</v>
      </c>
      <c r="E52" s="10">
        <v>0.330174013</v>
      </c>
      <c r="F52" s="10">
        <v>0.651754487</v>
      </c>
      <c r="G52" s="10">
        <v>0.317640992</v>
      </c>
      <c r="H52" s="10">
        <v>0.41030951</v>
      </c>
      <c r="I52" s="10">
        <v>0.605224153</v>
      </c>
      <c r="J52" s="10">
        <v>0.44689897</v>
      </c>
      <c r="K52" s="10">
        <v>0.75526182</v>
      </c>
      <c r="L52" s="10">
        <v>1.153324431</v>
      </c>
      <c r="M52" s="10">
        <v>0.657433291</v>
      </c>
      <c r="N52" s="10">
        <v>0.724443029</v>
      </c>
      <c r="O52" s="10">
        <v>0.59763578</v>
      </c>
      <c r="P52" s="10">
        <v>0.990303301</v>
      </c>
      <c r="Q52" s="10">
        <v>0.445138029</v>
      </c>
      <c r="R52" s="10">
        <v>0.629219891</v>
      </c>
      <c r="S52" s="10">
        <v>0.515515767</v>
      </c>
      <c r="T52" s="10">
        <v>0.437989149</v>
      </c>
      <c r="U52" s="10">
        <v>0.348170502</v>
      </c>
      <c r="V52" s="10">
        <v>0.238046514</v>
      </c>
      <c r="W52" s="10">
        <v>0.797311559</v>
      </c>
      <c r="X52" s="10">
        <v>0.509607016</v>
      </c>
      <c r="Y52" s="10">
        <v>0.43353106</v>
      </c>
      <c r="Z52" s="10">
        <v>0.331627207</v>
      </c>
      <c r="AA52" s="10">
        <v>0.140244535</v>
      </c>
      <c r="AB52" s="10">
        <v>0.521476266</v>
      </c>
      <c r="AC52" s="10">
        <v>0.537711056</v>
      </c>
      <c r="AD52" s="10">
        <v>0.304210903</v>
      </c>
      <c r="AE52" s="10">
        <v>0.961417691</v>
      </c>
      <c r="AF52" s="10">
        <v>0.954070353</v>
      </c>
      <c r="AG52" s="10">
        <v>1.024821876</v>
      </c>
      <c r="AH52" s="10">
        <v>1.03095549</v>
      </c>
    </row>
    <row r="53" spans="1:34">
      <c r="A53" s="10" t="s">
        <v>88</v>
      </c>
      <c r="B53" s="10" t="str">
        <f t="shared" si="7"/>
        <v>A/T</v>
      </c>
      <c r="C53" s="10">
        <v>1.63816052</v>
      </c>
      <c r="D53" s="10">
        <v>1.364065313</v>
      </c>
      <c r="E53" s="10">
        <v>1.114955786</v>
      </c>
      <c r="F53" s="10">
        <v>1.06222376</v>
      </c>
      <c r="G53" s="10">
        <v>1.475449285</v>
      </c>
      <c r="H53" s="10">
        <v>1.795925718</v>
      </c>
      <c r="I53" s="10">
        <v>1.528951525</v>
      </c>
      <c r="J53" s="10">
        <v>0.941544306</v>
      </c>
      <c r="K53" s="10">
        <v>0.58996296</v>
      </c>
      <c r="L53" s="10">
        <v>0.175780152</v>
      </c>
      <c r="M53" s="10">
        <v>0.5772554</v>
      </c>
      <c r="N53" s="10">
        <v>0.369033937</v>
      </c>
      <c r="O53" s="10">
        <v>1.352601861</v>
      </c>
      <c r="P53" s="10">
        <v>0.616744786</v>
      </c>
      <c r="Q53" s="10">
        <v>1.062691707</v>
      </c>
      <c r="R53" s="10">
        <v>1.625798358</v>
      </c>
      <c r="S53" s="10">
        <v>1.175476538</v>
      </c>
      <c r="T53" s="10">
        <v>1.920679887</v>
      </c>
      <c r="U53" s="10">
        <v>0.755865711</v>
      </c>
      <c r="V53" s="10">
        <v>2.092420011</v>
      </c>
      <c r="W53" s="10">
        <v>0.819196801</v>
      </c>
      <c r="X53" s="10">
        <v>1.635223494</v>
      </c>
      <c r="Y53" s="10">
        <v>1.061098572</v>
      </c>
      <c r="Z53" s="10">
        <v>1.125550842</v>
      </c>
      <c r="AA53" s="10">
        <v>1.287360139</v>
      </c>
      <c r="AB53" s="10">
        <v>0.687546636</v>
      </c>
      <c r="AC53" s="10">
        <v>0.686971235</v>
      </c>
      <c r="AD53" s="10">
        <v>0.798657338</v>
      </c>
      <c r="AE53" s="10">
        <v>0.679816943</v>
      </c>
      <c r="AF53" s="10">
        <v>0.682845419</v>
      </c>
      <c r="AG53" s="10">
        <v>0.607736181</v>
      </c>
      <c r="AH53" s="10">
        <v>0.599343475</v>
      </c>
    </row>
    <row r="54" spans="1:34">
      <c r="A54" s="10" t="s">
        <v>89</v>
      </c>
      <c r="B54" s="10" t="str">
        <f t="shared" si="7"/>
        <v>A/T</v>
      </c>
      <c r="C54" s="10">
        <v>0.991774484</v>
      </c>
      <c r="D54" s="10">
        <v>1.778511295</v>
      </c>
      <c r="E54" s="10">
        <v>1.607779799</v>
      </c>
      <c r="F54" s="10">
        <v>0.875038653</v>
      </c>
      <c r="G54" s="10">
        <v>2.017102226</v>
      </c>
      <c r="H54" s="10">
        <v>0.83465359</v>
      </c>
      <c r="I54" s="10">
        <v>0</v>
      </c>
      <c r="J54" s="10">
        <v>1.391529845</v>
      </c>
      <c r="K54" s="10">
        <v>0.534448517</v>
      </c>
      <c r="L54" s="10">
        <v>0.212781553</v>
      </c>
      <c r="M54" s="10">
        <v>0.97961271</v>
      </c>
      <c r="N54" s="10">
        <v>1.285646076</v>
      </c>
      <c r="O54" s="10">
        <v>0.615792575</v>
      </c>
      <c r="P54" s="10">
        <v>1.012352689</v>
      </c>
      <c r="Q54" s="10">
        <v>1.586574202</v>
      </c>
      <c r="R54" s="10">
        <v>0.788032096</v>
      </c>
      <c r="S54" s="10">
        <v>0.623726206</v>
      </c>
      <c r="T54" s="10">
        <v>0.587405934</v>
      </c>
      <c r="U54" s="10">
        <v>2.301180863</v>
      </c>
      <c r="V54" s="10">
        <v>1.076866955</v>
      </c>
      <c r="W54" s="10">
        <v>1.421763492</v>
      </c>
      <c r="X54" s="10">
        <v>0.927300546</v>
      </c>
      <c r="Y54" s="10">
        <v>1.442228874</v>
      </c>
      <c r="Z54" s="10">
        <v>1.375412048</v>
      </c>
      <c r="AA54" s="10">
        <v>1.212088594</v>
      </c>
      <c r="AB54" s="10">
        <v>0.489794291</v>
      </c>
      <c r="AC54" s="10">
        <v>0.511967254</v>
      </c>
      <c r="AD54" s="10">
        <v>0.223246524</v>
      </c>
      <c r="AE54" s="10">
        <v>0.468216032</v>
      </c>
      <c r="AF54" s="10">
        <v>0.483003097</v>
      </c>
      <c r="AG54" s="10">
        <v>0.368248987</v>
      </c>
      <c r="AH54" s="10">
        <v>0.370613251</v>
      </c>
    </row>
    <row r="55" spans="1:34">
      <c r="A55" s="10" t="s">
        <v>90</v>
      </c>
      <c r="B55" s="10" t="str">
        <f t="shared" si="7"/>
        <v>G/C</v>
      </c>
      <c r="C55" s="10">
        <v>0.825807557</v>
      </c>
      <c r="D55" s="10">
        <v>0.066379989</v>
      </c>
      <c r="E55" s="10">
        <v>0.083102399</v>
      </c>
      <c r="F55" s="10">
        <v>0.571585638</v>
      </c>
      <c r="G55" s="10">
        <v>0.093157263</v>
      </c>
      <c r="H55" s="10">
        <v>0.962823253</v>
      </c>
      <c r="I55" s="10">
        <v>0</v>
      </c>
      <c r="J55" s="10">
        <v>0.566405838</v>
      </c>
      <c r="K55" s="10">
        <v>1.491999419</v>
      </c>
      <c r="L55" s="10">
        <v>1.057624847</v>
      </c>
      <c r="M55" s="10">
        <v>0.849379517</v>
      </c>
      <c r="N55" s="10">
        <v>0.689883617</v>
      </c>
      <c r="O55" s="10">
        <v>0.863751158</v>
      </c>
      <c r="P55" s="10">
        <v>0.601343728</v>
      </c>
      <c r="Q55" s="10">
        <v>0.174424411</v>
      </c>
      <c r="R55" s="10">
        <v>0.52375901</v>
      </c>
      <c r="S55" s="10">
        <v>1.119111709</v>
      </c>
      <c r="T55" s="10">
        <v>0.672779171</v>
      </c>
      <c r="U55" s="10">
        <v>0.08886905</v>
      </c>
      <c r="V55" s="10">
        <v>0.52540518</v>
      </c>
      <c r="W55" s="10">
        <v>0.549690357</v>
      </c>
      <c r="X55" s="10">
        <v>0.567169399</v>
      </c>
      <c r="Y55" s="10">
        <v>0.454616624</v>
      </c>
      <c r="Z55" s="10">
        <v>0.536879147</v>
      </c>
      <c r="AA55" s="10">
        <v>0.447857586</v>
      </c>
      <c r="AB55" s="10">
        <v>2.644315101</v>
      </c>
      <c r="AC55" s="10">
        <v>2.615171786</v>
      </c>
      <c r="AD55" s="10">
        <v>1.587846662</v>
      </c>
      <c r="AE55" s="10">
        <v>0.950423969</v>
      </c>
      <c r="AF55" s="10">
        <v>0.938542483</v>
      </c>
      <c r="AG55" s="10">
        <v>1.032038708</v>
      </c>
      <c r="AH55" s="10">
        <v>1.027940066</v>
      </c>
    </row>
    <row r="56" spans="1:34">
      <c r="A56" s="10" t="s">
        <v>91</v>
      </c>
      <c r="B56" s="10" t="str">
        <f t="shared" si="7"/>
        <v>G/C</v>
      </c>
      <c r="C56" s="10">
        <v>0.964184731</v>
      </c>
      <c r="D56" s="10">
        <v>0.208951608</v>
      </c>
      <c r="E56" s="10">
        <v>0.226865469</v>
      </c>
      <c r="F56" s="10">
        <v>0.740010308</v>
      </c>
      <c r="G56" s="10">
        <v>0.222144242</v>
      </c>
      <c r="H56" s="10">
        <v>0.618802129</v>
      </c>
      <c r="I56" s="10">
        <v>0</v>
      </c>
      <c r="J56" s="10">
        <v>0.974505104</v>
      </c>
      <c r="K56" s="10">
        <v>1.395508049</v>
      </c>
      <c r="L56" s="10">
        <v>2.527074149</v>
      </c>
      <c r="M56" s="10">
        <v>1.365607528</v>
      </c>
      <c r="N56" s="10">
        <v>1.298239332</v>
      </c>
      <c r="O56" s="10">
        <v>1.485689031</v>
      </c>
      <c r="P56" s="10">
        <v>1.542244448</v>
      </c>
      <c r="Q56" s="10">
        <v>0.366601942</v>
      </c>
      <c r="R56" s="10">
        <v>0.403427173</v>
      </c>
      <c r="S56" s="10">
        <v>0.595846953</v>
      </c>
      <c r="T56" s="10">
        <v>0.675201107</v>
      </c>
      <c r="U56" s="10">
        <v>0.281865033</v>
      </c>
      <c r="V56" s="10">
        <v>0.460367919</v>
      </c>
      <c r="W56" s="10">
        <v>1.05585373</v>
      </c>
      <c r="X56" s="10">
        <v>1.451453552</v>
      </c>
      <c r="Y56" s="10">
        <v>0.954962008</v>
      </c>
      <c r="Z56" s="10">
        <v>0.849826836</v>
      </c>
      <c r="AA56" s="10">
        <v>0.887435314</v>
      </c>
      <c r="AB56" s="10">
        <v>0.424732897</v>
      </c>
      <c r="AC56" s="10">
        <v>0.434118517</v>
      </c>
      <c r="AD56" s="10">
        <v>1.492893908</v>
      </c>
      <c r="AE56" s="10">
        <v>1.844404154</v>
      </c>
      <c r="AF56" s="10">
        <v>1.811895966</v>
      </c>
      <c r="AG56" s="10">
        <v>1.988793997</v>
      </c>
      <c r="AH56" s="10">
        <v>1.998807679</v>
      </c>
    </row>
    <row r="57" spans="1:34">
      <c r="A57" s="10" t="s">
        <v>92</v>
      </c>
      <c r="B57" s="10" t="str">
        <f t="shared" si="7"/>
        <v>A/T</v>
      </c>
      <c r="C57" s="10">
        <v>1.218233228</v>
      </c>
      <c r="D57" s="10">
        <v>1.946157107</v>
      </c>
      <c r="E57" s="10">
        <v>2.082252333</v>
      </c>
      <c r="F57" s="10">
        <v>1.813365401</v>
      </c>
      <c r="G57" s="10">
        <v>1.667596269</v>
      </c>
      <c r="H57" s="10">
        <v>1.583721028</v>
      </c>
      <c r="I57" s="10">
        <v>0</v>
      </c>
      <c r="J57" s="10">
        <v>1.067559214</v>
      </c>
      <c r="K57" s="10">
        <v>0.578044015</v>
      </c>
      <c r="L57" s="10">
        <v>0.202519451</v>
      </c>
      <c r="M57" s="10">
        <v>0.805400245</v>
      </c>
      <c r="N57" s="10">
        <v>0.726230976</v>
      </c>
      <c r="O57" s="10">
        <v>1.034767236</v>
      </c>
      <c r="P57" s="10">
        <v>0.844059136</v>
      </c>
      <c r="Q57" s="10">
        <v>1.872399445</v>
      </c>
      <c r="R57" s="10">
        <v>2.284781722</v>
      </c>
      <c r="S57" s="10">
        <v>1.661315132</v>
      </c>
      <c r="T57" s="10">
        <v>2.064613788</v>
      </c>
      <c r="U57" s="10">
        <v>1.328085055</v>
      </c>
      <c r="V57" s="10">
        <v>1.937359946</v>
      </c>
      <c r="W57" s="10">
        <v>0.972692421</v>
      </c>
      <c r="X57" s="10">
        <v>1.054076503</v>
      </c>
      <c r="Y57" s="10">
        <v>1.148192494</v>
      </c>
      <c r="Z57" s="10">
        <v>1.23788197</v>
      </c>
      <c r="AA57" s="10">
        <v>1.452618505</v>
      </c>
      <c r="AB57" s="10">
        <v>0.44115771</v>
      </c>
      <c r="AC57" s="10">
        <v>0.438742443</v>
      </c>
      <c r="AD57" s="10">
        <v>0.696012906</v>
      </c>
      <c r="AE57" s="10">
        <v>0.736955845</v>
      </c>
      <c r="AF57" s="10">
        <v>0.766558454</v>
      </c>
      <c r="AG57" s="10">
        <v>0.610918309</v>
      </c>
      <c r="AH57" s="10">
        <v>0.602639005</v>
      </c>
    </row>
    <row r="58" spans="1:34">
      <c r="A58" s="10" t="s">
        <v>93</v>
      </c>
      <c r="B58" s="10" t="str">
        <f t="shared" si="7"/>
        <v>A/T</v>
      </c>
      <c r="C58" s="10">
        <v>2.073047859</v>
      </c>
      <c r="D58" s="10">
        <v>2.192092154</v>
      </c>
      <c r="E58" s="10">
        <v>2.252918288</v>
      </c>
      <c r="F58" s="10">
        <v>2.180412371</v>
      </c>
      <c r="G58" s="10">
        <v>2.230769231</v>
      </c>
      <c r="H58" s="10">
        <v>1.780061216</v>
      </c>
      <c r="I58" s="10">
        <v>2.085181452</v>
      </c>
      <c r="J58" s="10">
        <v>1.758023107</v>
      </c>
      <c r="K58" s="10">
        <v>0.93977231</v>
      </c>
      <c r="L58" s="10">
        <v>1.163250366</v>
      </c>
      <c r="M58" s="10">
        <v>1.643419573</v>
      </c>
      <c r="N58" s="10">
        <v>1.543273611</v>
      </c>
      <c r="O58" s="10">
        <v>1.919972164</v>
      </c>
      <c r="P58" s="10">
        <v>1.475363679</v>
      </c>
      <c r="Q58" s="10">
        <v>2.142416452</v>
      </c>
      <c r="R58" s="10">
        <v>1.967555041</v>
      </c>
      <c r="S58" s="10">
        <v>1.749196141</v>
      </c>
      <c r="T58" s="10">
        <v>2.034660422</v>
      </c>
      <c r="U58" s="10">
        <v>2.077290837</v>
      </c>
      <c r="V58" s="10">
        <v>2.0953125</v>
      </c>
      <c r="W58" s="10">
        <v>1.758893281</v>
      </c>
      <c r="X58" s="10">
        <v>2.26937799</v>
      </c>
      <c r="Y58" s="10">
        <v>1.713254751</v>
      </c>
      <c r="Z58" s="10">
        <v>1.766606822</v>
      </c>
      <c r="AA58" s="10">
        <v>2.00327562</v>
      </c>
      <c r="AB58" s="10">
        <v>1.554432706</v>
      </c>
      <c r="AC58" s="10">
        <v>1.551270815</v>
      </c>
      <c r="AD58" s="10">
        <v>1.224358974</v>
      </c>
      <c r="AE58" s="10">
        <v>0</v>
      </c>
      <c r="AF58" s="10">
        <v>0</v>
      </c>
      <c r="AG58" s="10">
        <v>0</v>
      </c>
      <c r="AH58" s="10">
        <v>0</v>
      </c>
    </row>
    <row r="59" spans="1:34">
      <c r="A59" s="10" t="s">
        <v>94</v>
      </c>
      <c r="B59" s="10" t="str">
        <f t="shared" si="7"/>
        <v>G/C</v>
      </c>
      <c r="C59" s="10">
        <v>0.400258835</v>
      </c>
      <c r="D59" s="10">
        <v>0.242165505</v>
      </c>
      <c r="E59" s="10">
        <v>0.328121995</v>
      </c>
      <c r="F59" s="10">
        <v>0.377176837</v>
      </c>
      <c r="G59" s="10">
        <v>0.364028538</v>
      </c>
      <c r="H59" s="10">
        <v>0.262245081</v>
      </c>
      <c r="I59" s="10">
        <v>0.66612524</v>
      </c>
      <c r="J59" s="10">
        <v>0.573312449</v>
      </c>
      <c r="K59" s="10">
        <v>0.831671135</v>
      </c>
      <c r="L59" s="10">
        <v>1.540519599</v>
      </c>
      <c r="M59" s="10">
        <v>0.733001022</v>
      </c>
      <c r="N59" s="10">
        <v>0.616172978</v>
      </c>
      <c r="O59" s="10">
        <v>0.864316832</v>
      </c>
      <c r="P59" s="10">
        <v>0.596105554</v>
      </c>
      <c r="Q59" s="10">
        <v>0.273991265</v>
      </c>
      <c r="R59" s="10">
        <v>0.869583161</v>
      </c>
      <c r="S59" s="10">
        <v>0.801363867</v>
      </c>
      <c r="T59" s="10">
        <v>0.682978308</v>
      </c>
      <c r="U59" s="10">
        <v>0.258213291</v>
      </c>
      <c r="V59" s="10">
        <v>0.86294964</v>
      </c>
      <c r="W59" s="10">
        <v>0.545854645</v>
      </c>
      <c r="X59" s="10">
        <v>0.399943042</v>
      </c>
      <c r="Y59" s="10">
        <v>0.503477596</v>
      </c>
      <c r="Z59" s="10">
        <v>0.495515796</v>
      </c>
      <c r="AA59" s="10">
        <v>0.68392048</v>
      </c>
      <c r="AB59" s="10">
        <v>0.844544628</v>
      </c>
      <c r="AC59" s="10">
        <v>0.837726831</v>
      </c>
      <c r="AD59" s="10">
        <v>1.242135519</v>
      </c>
      <c r="AE59" s="10">
        <v>1.140068368</v>
      </c>
      <c r="AF59" s="10">
        <v>1.115120723</v>
      </c>
      <c r="AG59" s="10">
        <v>1.237425738</v>
      </c>
      <c r="AH59" s="10">
        <v>1.245175192</v>
      </c>
    </row>
    <row r="60" spans="1:34">
      <c r="A60" s="10" t="s">
        <v>95</v>
      </c>
      <c r="B60" s="10" t="str">
        <f t="shared" si="7"/>
        <v>G/C</v>
      </c>
      <c r="C60" s="10">
        <v>0.546599496</v>
      </c>
      <c r="D60" s="10">
        <v>0.667808219</v>
      </c>
      <c r="E60" s="10">
        <v>0.646268129</v>
      </c>
      <c r="F60" s="10">
        <v>0.575478645</v>
      </c>
      <c r="G60" s="10">
        <v>0.635683761</v>
      </c>
      <c r="H60" s="10">
        <v>0.775251421</v>
      </c>
      <c r="I60" s="10">
        <v>0.591229839</v>
      </c>
      <c r="J60" s="10">
        <v>0.799101412</v>
      </c>
      <c r="K60" s="10">
        <v>0.558575101</v>
      </c>
      <c r="L60" s="10">
        <v>0.774524158</v>
      </c>
      <c r="M60" s="10">
        <v>0.416197975</v>
      </c>
      <c r="N60" s="10">
        <v>0.913756453</v>
      </c>
      <c r="O60" s="10">
        <v>0.212943633</v>
      </c>
      <c r="P60" s="10">
        <v>0.529798217</v>
      </c>
      <c r="Q60" s="10">
        <v>0.612339332</v>
      </c>
      <c r="R60" s="10">
        <v>0.724797219</v>
      </c>
      <c r="S60" s="10">
        <v>0.807073955</v>
      </c>
      <c r="T60" s="10">
        <v>0.49882904</v>
      </c>
      <c r="U60" s="10">
        <v>0.744621514</v>
      </c>
      <c r="V60" s="10">
        <v>0.6640625</v>
      </c>
      <c r="W60" s="10">
        <v>0.229249012</v>
      </c>
      <c r="X60" s="10">
        <v>0.43492823</v>
      </c>
      <c r="Y60" s="10">
        <v>0.443829685</v>
      </c>
      <c r="Z60" s="10">
        <v>0.392280072</v>
      </c>
      <c r="AA60" s="10">
        <v>0.307440337</v>
      </c>
      <c r="AB60" s="10">
        <v>0.633899862</v>
      </c>
      <c r="AC60" s="10">
        <v>0.604732691</v>
      </c>
      <c r="AD60" s="10">
        <v>1.459935897</v>
      </c>
      <c r="AE60" s="10">
        <v>0</v>
      </c>
      <c r="AF60" s="10">
        <v>0</v>
      </c>
      <c r="AG60" s="10">
        <v>0</v>
      </c>
      <c r="AH60" s="10">
        <v>0</v>
      </c>
    </row>
    <row r="61" spans="1:34">
      <c r="A61" s="10" t="s">
        <v>96</v>
      </c>
      <c r="B61" s="10" t="str">
        <f t="shared" si="7"/>
        <v>A/T</v>
      </c>
      <c r="C61" s="10">
        <v>1.599741165</v>
      </c>
      <c r="D61" s="10">
        <v>1.757834495</v>
      </c>
      <c r="E61" s="10">
        <v>1.671878005</v>
      </c>
      <c r="F61" s="10">
        <v>1.622823163</v>
      </c>
      <c r="G61" s="10">
        <v>1.635971462</v>
      </c>
      <c r="H61" s="10">
        <v>1.737754919</v>
      </c>
      <c r="I61" s="10">
        <v>1.33387476</v>
      </c>
      <c r="J61" s="10">
        <v>1.426687551</v>
      </c>
      <c r="K61" s="10">
        <v>1.168328865</v>
      </c>
      <c r="L61" s="10">
        <v>0.459480401</v>
      </c>
      <c r="M61" s="10">
        <v>1.266998978</v>
      </c>
      <c r="N61" s="10">
        <v>1.383827022</v>
      </c>
      <c r="O61" s="10">
        <v>1.135683168</v>
      </c>
      <c r="P61" s="10">
        <v>1.403894446</v>
      </c>
      <c r="Q61" s="10">
        <v>1.726008735</v>
      </c>
      <c r="R61" s="10">
        <v>1.130416839</v>
      </c>
      <c r="S61" s="10">
        <v>1.198636133</v>
      </c>
      <c r="T61" s="10">
        <v>1.317021692</v>
      </c>
      <c r="U61" s="10">
        <v>1.741786709</v>
      </c>
      <c r="V61" s="10">
        <v>1.13705036</v>
      </c>
      <c r="W61" s="10">
        <v>1.454145355</v>
      </c>
      <c r="X61" s="10">
        <v>1.600056958</v>
      </c>
      <c r="Y61" s="10">
        <v>1.496522404</v>
      </c>
      <c r="Z61" s="10">
        <v>1.504484204</v>
      </c>
      <c r="AA61" s="10">
        <v>1.31607952</v>
      </c>
      <c r="AB61" s="10">
        <v>1.155455372</v>
      </c>
      <c r="AC61" s="10">
        <v>1.162273169</v>
      </c>
      <c r="AD61" s="10">
        <v>0.757864481</v>
      </c>
      <c r="AE61" s="10">
        <v>0.859931632</v>
      </c>
      <c r="AF61" s="10">
        <v>0.884879277</v>
      </c>
      <c r="AG61" s="10">
        <v>0.762574262</v>
      </c>
      <c r="AH61" s="10">
        <v>0.754824808</v>
      </c>
    </row>
    <row r="62" spans="1:34">
      <c r="A62" s="10" t="s">
        <v>97</v>
      </c>
      <c r="B62" s="10" t="str">
        <f t="shared" si="7"/>
        <v>A/T</v>
      </c>
      <c r="C62" s="10">
        <v>1.362849332</v>
      </c>
      <c r="D62" s="10">
        <v>1.896480266</v>
      </c>
      <c r="E62" s="10">
        <v>1.938610142</v>
      </c>
      <c r="F62" s="10">
        <v>2.011132245</v>
      </c>
      <c r="G62" s="10">
        <v>1.688362991</v>
      </c>
      <c r="H62" s="10">
        <v>1.672433622</v>
      </c>
      <c r="I62" s="10">
        <v>0</v>
      </c>
      <c r="J62" s="10">
        <v>1.02890479</v>
      </c>
      <c r="K62" s="10">
        <v>0.721526718</v>
      </c>
      <c r="L62" s="10">
        <v>0.128951835</v>
      </c>
      <c r="M62" s="10">
        <v>0.450296076</v>
      </c>
      <c r="N62" s="10">
        <v>0.71140616</v>
      </c>
      <c r="O62" s="10">
        <v>0.73198527</v>
      </c>
      <c r="P62" s="10">
        <v>0.408067882</v>
      </c>
      <c r="Q62" s="10">
        <v>1.813953488</v>
      </c>
      <c r="R62" s="10">
        <v>1.683263045</v>
      </c>
      <c r="S62" s="10">
        <v>1.304988461</v>
      </c>
      <c r="T62" s="10">
        <v>1.959908418</v>
      </c>
      <c r="U62" s="10">
        <v>1.498976668</v>
      </c>
      <c r="V62" s="10">
        <v>1.940661116</v>
      </c>
      <c r="W62" s="10">
        <v>0.629131325</v>
      </c>
      <c r="X62" s="10">
        <v>0.891422223</v>
      </c>
      <c r="Y62" s="10">
        <v>0.938979091</v>
      </c>
      <c r="Z62" s="10">
        <v>0.953578847</v>
      </c>
      <c r="AA62" s="10">
        <v>0.329382941</v>
      </c>
      <c r="AB62" s="10">
        <v>0.312736514</v>
      </c>
      <c r="AC62" s="10">
        <v>0.314062132</v>
      </c>
      <c r="AD62" s="10">
        <v>0.240218673</v>
      </c>
      <c r="AE62" s="10">
        <v>0.845271829</v>
      </c>
      <c r="AF62" s="10">
        <v>0.865272954</v>
      </c>
      <c r="AG62" s="10">
        <v>0.733935302</v>
      </c>
      <c r="AH62" s="10">
        <v>0.740312759</v>
      </c>
    </row>
    <row r="63" spans="1:34">
      <c r="A63" s="10" t="s">
        <v>98</v>
      </c>
      <c r="B63" s="10" t="str">
        <f t="shared" si="7"/>
        <v>G/C</v>
      </c>
      <c r="C63" s="10">
        <v>0.385176185</v>
      </c>
      <c r="D63" s="10">
        <v>0.118832556</v>
      </c>
      <c r="E63" s="10">
        <v>0.226777569</v>
      </c>
      <c r="F63" s="10">
        <v>0.230413455</v>
      </c>
      <c r="G63" s="10">
        <v>0.106548762</v>
      </c>
      <c r="H63" s="10">
        <v>0.534476724</v>
      </c>
      <c r="I63" s="10">
        <v>0</v>
      </c>
      <c r="J63" s="10">
        <v>1.048048785</v>
      </c>
      <c r="K63" s="10">
        <v>1.246208651</v>
      </c>
      <c r="L63" s="10">
        <v>2.853521169</v>
      </c>
      <c r="M63" s="10">
        <v>1.405288159</v>
      </c>
      <c r="N63" s="10">
        <v>1.536744117</v>
      </c>
      <c r="O63" s="10">
        <v>0.894476387</v>
      </c>
      <c r="P63" s="10">
        <v>2.149463726</v>
      </c>
      <c r="Q63" s="10">
        <v>0.178443649</v>
      </c>
      <c r="R63" s="10">
        <v>0.47812677</v>
      </c>
      <c r="S63" s="10">
        <v>0.63571809</v>
      </c>
      <c r="T63" s="10">
        <v>0.206060016</v>
      </c>
      <c r="U63" s="10">
        <v>0.12675672</v>
      </c>
      <c r="V63" s="10">
        <v>0.366285572</v>
      </c>
      <c r="W63" s="10">
        <v>1.888052062</v>
      </c>
      <c r="X63" s="10">
        <v>0.913957733</v>
      </c>
      <c r="Y63" s="10">
        <v>1.241235381</v>
      </c>
      <c r="Z63" s="10">
        <v>1.121921466</v>
      </c>
      <c r="AA63" s="10">
        <v>1.213947923</v>
      </c>
      <c r="AB63" s="10">
        <v>1.516117449</v>
      </c>
      <c r="AC63" s="10">
        <v>1.506713078</v>
      </c>
      <c r="AD63" s="10">
        <v>1.527334119</v>
      </c>
      <c r="AE63" s="10">
        <v>1.274475706</v>
      </c>
      <c r="AF63" s="10">
        <v>1.253393914</v>
      </c>
      <c r="AG63" s="10">
        <v>1.405873116</v>
      </c>
      <c r="AH63" s="10">
        <v>1.400983739</v>
      </c>
    </row>
    <row r="64" spans="1:34">
      <c r="A64" s="10" t="s">
        <v>99</v>
      </c>
      <c r="B64" s="10" t="str">
        <f t="shared" si="7"/>
        <v>G/C</v>
      </c>
      <c r="C64" s="10">
        <v>0.440309842</v>
      </c>
      <c r="D64" s="10">
        <v>0.10554457</v>
      </c>
      <c r="E64" s="10">
        <v>0.031768178</v>
      </c>
      <c r="F64" s="10">
        <v>0.486294924</v>
      </c>
      <c r="G64" s="10">
        <v>0.141014025</v>
      </c>
      <c r="H64" s="10">
        <v>0.285314266</v>
      </c>
      <c r="I64" s="10">
        <v>0</v>
      </c>
      <c r="J64" s="10">
        <v>0.540562992</v>
      </c>
      <c r="K64" s="10">
        <v>1.608244275</v>
      </c>
      <c r="L64" s="10">
        <v>0.604028055</v>
      </c>
      <c r="M64" s="10">
        <v>1.15541288</v>
      </c>
      <c r="N64" s="10">
        <v>0.523374191</v>
      </c>
      <c r="O64" s="10">
        <v>0.925486143</v>
      </c>
      <c r="P64" s="10">
        <v>0.503992844</v>
      </c>
      <c r="Q64" s="10">
        <v>0.172070662</v>
      </c>
      <c r="R64" s="10">
        <v>0.450934727</v>
      </c>
      <c r="S64" s="10">
        <v>0.865258299</v>
      </c>
      <c r="T64" s="10">
        <v>0.369154326</v>
      </c>
      <c r="U64" s="10">
        <v>0.071360349</v>
      </c>
      <c r="V64" s="10">
        <v>0.272896732</v>
      </c>
      <c r="W64" s="10">
        <v>0.456712489</v>
      </c>
      <c r="X64" s="10">
        <v>0.654005872</v>
      </c>
      <c r="Y64" s="10">
        <v>0.293593395</v>
      </c>
      <c r="Z64" s="10">
        <v>0.36497313</v>
      </c>
      <c r="AA64" s="10">
        <v>0.501509885</v>
      </c>
      <c r="AB64" s="10">
        <v>1.279617711</v>
      </c>
      <c r="AC64" s="10">
        <v>1.26095946</v>
      </c>
      <c r="AD64" s="10">
        <v>1.837978347</v>
      </c>
      <c r="AE64" s="10">
        <v>0.398151548</v>
      </c>
      <c r="AF64" s="10">
        <v>0.388120959</v>
      </c>
      <c r="AG64" s="10">
        <v>0.465075377</v>
      </c>
      <c r="AH64" s="10">
        <v>0.466720896</v>
      </c>
    </row>
    <row r="65" spans="1:34">
      <c r="A65" s="10" t="s">
        <v>100</v>
      </c>
      <c r="B65" s="10" t="str">
        <f t="shared" si="7"/>
        <v>A/T</v>
      </c>
      <c r="C65" s="10">
        <v>1.338092345</v>
      </c>
      <c r="D65" s="10">
        <v>1.507332121</v>
      </c>
      <c r="E65" s="10">
        <v>1.538824792</v>
      </c>
      <c r="F65" s="10">
        <v>1.25766343</v>
      </c>
      <c r="G65" s="10">
        <v>1.780777733</v>
      </c>
      <c r="H65" s="10">
        <v>1.287064353</v>
      </c>
      <c r="I65" s="10">
        <v>0</v>
      </c>
      <c r="J65" s="10">
        <v>1.150565446</v>
      </c>
      <c r="K65" s="10">
        <v>0.690788804</v>
      </c>
      <c r="L65" s="10">
        <v>0.199600499</v>
      </c>
      <c r="M65" s="10">
        <v>0.650066156</v>
      </c>
      <c r="N65" s="10">
        <v>0.955736459</v>
      </c>
      <c r="O65" s="10">
        <v>0.875405388</v>
      </c>
      <c r="P65" s="10">
        <v>0.64435079</v>
      </c>
      <c r="Q65" s="10">
        <v>1.84078712</v>
      </c>
      <c r="R65" s="10">
        <v>0.992320765</v>
      </c>
      <c r="S65" s="10">
        <v>0.707260785</v>
      </c>
      <c r="T65" s="10">
        <v>1.345235776</v>
      </c>
      <c r="U65" s="10">
        <v>2.089780325</v>
      </c>
      <c r="V65" s="10">
        <v>1.148254008</v>
      </c>
      <c r="W65" s="10">
        <v>1.19947353</v>
      </c>
      <c r="X65" s="10">
        <v>1.18755786</v>
      </c>
      <c r="Y65" s="10">
        <v>1.337629779</v>
      </c>
      <c r="Z65" s="10">
        <v>1.347631136</v>
      </c>
      <c r="AA65" s="10">
        <v>0.87977893</v>
      </c>
      <c r="AB65" s="10">
        <v>0.618512278</v>
      </c>
      <c r="AC65" s="10">
        <v>0.61132194</v>
      </c>
      <c r="AD65" s="10">
        <v>0.505198842</v>
      </c>
      <c r="AE65" s="10">
        <v>1.123246292</v>
      </c>
      <c r="AF65" s="10">
        <v>1.142166889</v>
      </c>
      <c r="AG65" s="10">
        <v>0.988285176</v>
      </c>
      <c r="AH65" s="10">
        <v>0.980880195</v>
      </c>
    </row>
    <row r="66" spans="1:34">
      <c r="A66" s="10" t="s">
        <v>101</v>
      </c>
      <c r="B66" s="10" t="str">
        <f t="shared" si="7"/>
        <v>A/T</v>
      </c>
      <c r="C66" s="10">
        <v>0.380352645</v>
      </c>
      <c r="D66" s="10">
        <v>0.140099626</v>
      </c>
      <c r="E66" s="10">
        <v>0.100813583</v>
      </c>
      <c r="F66" s="10">
        <v>0.244108984</v>
      </c>
      <c r="G66" s="10">
        <v>0.133547009</v>
      </c>
      <c r="H66" s="10">
        <v>0.444687363</v>
      </c>
      <c r="I66" s="10">
        <v>0.32358871</v>
      </c>
      <c r="J66" s="10">
        <v>0.442875481</v>
      </c>
      <c r="K66" s="10">
        <v>1.501652589</v>
      </c>
      <c r="L66" s="10">
        <v>1.062225476</v>
      </c>
      <c r="M66" s="10">
        <v>0.940382452</v>
      </c>
      <c r="N66" s="10">
        <v>0.542969936</v>
      </c>
      <c r="O66" s="10">
        <v>0.867084203</v>
      </c>
      <c r="P66" s="10">
        <v>0.994838104</v>
      </c>
      <c r="Q66" s="10">
        <v>0.245244216</v>
      </c>
      <c r="R66" s="10">
        <v>0.30764774</v>
      </c>
      <c r="S66" s="10">
        <v>0.443729904</v>
      </c>
      <c r="T66" s="10">
        <v>0.466510539</v>
      </c>
      <c r="U66" s="10">
        <v>0.178087649</v>
      </c>
      <c r="V66" s="10">
        <v>0.240625</v>
      </c>
      <c r="W66" s="10">
        <v>1.011857708</v>
      </c>
      <c r="X66" s="10">
        <v>0.29569378</v>
      </c>
      <c r="Y66" s="10">
        <v>0.842915564</v>
      </c>
      <c r="Z66" s="10">
        <v>0.841113106</v>
      </c>
      <c r="AA66" s="10">
        <v>0.689284043</v>
      </c>
      <c r="AB66" s="10">
        <v>0.811667432</v>
      </c>
      <c r="AC66" s="10">
        <v>0.843996494</v>
      </c>
      <c r="AD66" s="10">
        <v>0.315705128</v>
      </c>
      <c r="AE66" s="10">
        <v>0</v>
      </c>
      <c r="AF66" s="10">
        <v>0</v>
      </c>
      <c r="AG66" s="10">
        <v>0</v>
      </c>
      <c r="AH66" s="10">
        <v>0</v>
      </c>
    </row>
    <row r="67" spans="1:34">
      <c r="A67" s="10" t="s">
        <v>102</v>
      </c>
      <c r="B67" s="10" t="str">
        <f t="shared" si="7"/>
        <v>G/C</v>
      </c>
      <c r="C67" s="10">
        <v>0.482480279</v>
      </c>
      <c r="D67" s="10">
        <v>0.354415274</v>
      </c>
      <c r="E67" s="10">
        <v>0.411938534</v>
      </c>
      <c r="F67" s="10">
        <v>0.395320605</v>
      </c>
      <c r="G67" s="10">
        <v>0.379692247</v>
      </c>
      <c r="H67" s="10">
        <v>0.446864528</v>
      </c>
      <c r="I67" s="10">
        <v>0</v>
      </c>
      <c r="J67" s="10">
        <v>0.837083836</v>
      </c>
      <c r="K67" s="10">
        <v>1.336927817</v>
      </c>
      <c r="L67" s="10">
        <v>1.783700809</v>
      </c>
      <c r="M67" s="10">
        <v>1.400677854</v>
      </c>
      <c r="N67" s="10">
        <v>1.370321211</v>
      </c>
      <c r="O67" s="10">
        <v>1.115771812</v>
      </c>
      <c r="P67" s="10">
        <v>1.097864565</v>
      </c>
      <c r="Q67" s="10">
        <v>0.328108224</v>
      </c>
      <c r="R67" s="10">
        <v>0.696373057</v>
      </c>
      <c r="S67" s="10">
        <v>1.044376221</v>
      </c>
      <c r="T67" s="10">
        <v>0.559615898</v>
      </c>
      <c r="U67" s="10">
        <v>0.214839424</v>
      </c>
      <c r="V67" s="10">
        <v>0.759975445</v>
      </c>
      <c r="W67" s="10">
        <v>1.116287035</v>
      </c>
      <c r="X67" s="10">
        <v>0.709962889</v>
      </c>
      <c r="Y67" s="10">
        <v>0.802477024</v>
      </c>
      <c r="Z67" s="10">
        <v>0.788916563</v>
      </c>
      <c r="AA67" s="10">
        <v>1.426221577</v>
      </c>
      <c r="AB67" s="10">
        <v>1.358966472</v>
      </c>
      <c r="AC67" s="10">
        <v>1.350323466</v>
      </c>
      <c r="AD67" s="10">
        <v>1.708199811</v>
      </c>
      <c r="AE67" s="10">
        <v>1.074541629</v>
      </c>
      <c r="AF67" s="10">
        <v>1.050862852</v>
      </c>
      <c r="AG67" s="10">
        <v>1.183393897</v>
      </c>
      <c r="AH67" s="10">
        <v>1.180719811</v>
      </c>
    </row>
    <row r="68" spans="1:34">
      <c r="A68" s="10" t="s">
        <v>103</v>
      </c>
      <c r="B68" s="10" t="str">
        <f t="shared" si="7"/>
        <v>A/T</v>
      </c>
      <c r="C68" s="10">
        <v>1.517519721</v>
      </c>
      <c r="D68" s="10">
        <v>1.645584726</v>
      </c>
      <c r="E68" s="10">
        <v>1.588061466</v>
      </c>
      <c r="F68" s="10">
        <v>1.604679395</v>
      </c>
      <c r="G68" s="10">
        <v>1.620307753</v>
      </c>
      <c r="H68" s="10">
        <v>1.553135472</v>
      </c>
      <c r="I68" s="10">
        <v>0</v>
      </c>
      <c r="J68" s="10">
        <v>1.162916164</v>
      </c>
      <c r="K68" s="10">
        <v>0.663072183</v>
      </c>
      <c r="L68" s="10">
        <v>0.216299191</v>
      </c>
      <c r="M68" s="10">
        <v>0.599322146</v>
      </c>
      <c r="N68" s="10">
        <v>0.629678789</v>
      </c>
      <c r="O68" s="10">
        <v>0.884228188</v>
      </c>
      <c r="P68" s="10">
        <v>0.902135435</v>
      </c>
      <c r="Q68" s="10">
        <v>1.671891776</v>
      </c>
      <c r="R68" s="10">
        <v>1.303626943</v>
      </c>
      <c r="S68" s="10">
        <v>0.955623779</v>
      </c>
      <c r="T68" s="10">
        <v>1.440384102</v>
      </c>
      <c r="U68" s="10">
        <v>1.785160576</v>
      </c>
      <c r="V68" s="10">
        <v>1.240024555</v>
      </c>
      <c r="W68" s="10">
        <v>0.883712965</v>
      </c>
      <c r="X68" s="10">
        <v>1.290037111</v>
      </c>
      <c r="Y68" s="10">
        <v>1.197522976</v>
      </c>
      <c r="Z68" s="10">
        <v>1.211083437</v>
      </c>
      <c r="AA68" s="10">
        <v>0.573778423</v>
      </c>
      <c r="AB68" s="10">
        <v>0.641033528</v>
      </c>
      <c r="AC68" s="10">
        <v>0.649676534</v>
      </c>
      <c r="AD68" s="10">
        <v>0.291800189</v>
      </c>
      <c r="AE68" s="10">
        <v>0.925458371</v>
      </c>
      <c r="AF68" s="10">
        <v>0.949137148</v>
      </c>
      <c r="AG68" s="10">
        <v>0.816606103</v>
      </c>
      <c r="AH68" s="10">
        <v>0.819280189</v>
      </c>
    </row>
    <row r="69" spans="1:34">
      <c r="A69" s="10" t="s">
        <v>104</v>
      </c>
      <c r="B69" s="10" t="str">
        <f t="shared" si="7"/>
        <v>A/T</v>
      </c>
      <c r="C69" s="10">
        <v>3.048616091</v>
      </c>
      <c r="D69" s="10">
        <v>4.00723275</v>
      </c>
      <c r="E69" s="10">
        <v>3.943232064</v>
      </c>
      <c r="F69" s="10">
        <v>3.620394163</v>
      </c>
      <c r="G69" s="10">
        <v>3.791901427</v>
      </c>
      <c r="H69" s="10">
        <v>1.998841304</v>
      </c>
      <c r="I69" s="10">
        <v>2.350085412</v>
      </c>
      <c r="J69" s="10">
        <v>0.736823324</v>
      </c>
      <c r="K69" s="10">
        <v>0.208324045</v>
      </c>
      <c r="L69" s="10">
        <v>0.095151483</v>
      </c>
      <c r="M69" s="10">
        <v>0.552810452</v>
      </c>
      <c r="N69" s="10">
        <v>0.691368275</v>
      </c>
      <c r="O69" s="10">
        <v>0.776612869</v>
      </c>
      <c r="P69" s="10">
        <v>0.502392838</v>
      </c>
      <c r="Q69" s="10">
        <v>3.334886451</v>
      </c>
      <c r="R69" s="10">
        <v>1.948047323</v>
      </c>
      <c r="S69" s="10">
        <v>0.779066156</v>
      </c>
      <c r="T69" s="10">
        <v>1.57018999</v>
      </c>
      <c r="U69" s="10">
        <v>3.327160154</v>
      </c>
      <c r="V69" s="10">
        <v>2.035112766</v>
      </c>
      <c r="W69" s="10">
        <v>0.374460982</v>
      </c>
      <c r="X69" s="10">
        <v>2.574092386</v>
      </c>
      <c r="Y69" s="10">
        <v>0.835186306</v>
      </c>
      <c r="Z69" s="10">
        <v>0.649779358</v>
      </c>
      <c r="AA69" s="10">
        <v>0.56480877</v>
      </c>
      <c r="AB69" s="10">
        <v>0.472649357</v>
      </c>
      <c r="AC69" s="10">
        <v>0.481725422</v>
      </c>
      <c r="AD69" s="10">
        <v>0.074193768</v>
      </c>
      <c r="AE69" s="10">
        <v>0.473371606</v>
      </c>
      <c r="AF69" s="10">
        <v>0.499468713</v>
      </c>
      <c r="AG69" s="10">
        <v>0.344779365</v>
      </c>
      <c r="AH69" s="10">
        <v>0.349595847</v>
      </c>
    </row>
    <row r="70" spans="1:34">
      <c r="A70" s="10" t="s">
        <v>105</v>
      </c>
      <c r="B70" s="10" t="str">
        <f t="shared" si="7"/>
        <v>G/C</v>
      </c>
      <c r="C70" s="10">
        <v>0.467247278</v>
      </c>
      <c r="D70" s="10">
        <v>0.300737711</v>
      </c>
      <c r="E70" s="10">
        <v>0.388490245</v>
      </c>
      <c r="F70" s="10">
        <v>0.506689936</v>
      </c>
      <c r="G70" s="10">
        <v>0.356454942</v>
      </c>
      <c r="H70" s="10">
        <v>0.722002374</v>
      </c>
      <c r="I70" s="10">
        <v>0</v>
      </c>
      <c r="J70" s="10">
        <v>0.695063528</v>
      </c>
      <c r="K70" s="10">
        <v>1.093939546</v>
      </c>
      <c r="L70" s="10">
        <v>1.423350896</v>
      </c>
      <c r="M70" s="10">
        <v>0.755835157</v>
      </c>
      <c r="N70" s="10">
        <v>0.902422255</v>
      </c>
      <c r="O70" s="10">
        <v>0.853430214</v>
      </c>
      <c r="P70" s="10">
        <v>0.774121382</v>
      </c>
      <c r="Q70" s="10">
        <v>0.282160821</v>
      </c>
      <c r="R70" s="10">
        <v>0.647199485</v>
      </c>
      <c r="S70" s="10">
        <v>0.600083822</v>
      </c>
      <c r="T70" s="10">
        <v>0.558361221</v>
      </c>
      <c r="U70" s="10">
        <v>0.310241208</v>
      </c>
      <c r="V70" s="10">
        <v>0.742248618</v>
      </c>
      <c r="W70" s="10">
        <v>0.86681835</v>
      </c>
      <c r="X70" s="10">
        <v>0.479892019</v>
      </c>
      <c r="Y70" s="10">
        <v>0.639032361</v>
      </c>
      <c r="Z70" s="10">
        <v>0.619359742</v>
      </c>
      <c r="AA70" s="10">
        <v>0.875568576</v>
      </c>
      <c r="AB70" s="10">
        <v>1.293733051</v>
      </c>
      <c r="AC70" s="10">
        <v>1.282396738</v>
      </c>
      <c r="AD70" s="10">
        <v>0.991027496</v>
      </c>
      <c r="AE70" s="10">
        <v>1.066713959</v>
      </c>
      <c r="AF70" s="10">
        <v>1.046902294</v>
      </c>
      <c r="AG70" s="10">
        <v>1.170898386</v>
      </c>
      <c r="AH70" s="10">
        <v>1.17440078</v>
      </c>
    </row>
    <row r="71" spans="1:34">
      <c r="A71" s="10" t="s">
        <v>106</v>
      </c>
      <c r="B71" s="10" t="str">
        <f t="shared" si="7"/>
        <v>G/C</v>
      </c>
      <c r="C71" s="10">
        <v>1.137272336</v>
      </c>
      <c r="D71" s="10">
        <v>0.345302607</v>
      </c>
      <c r="E71" s="10">
        <v>0.243759806</v>
      </c>
      <c r="F71" s="10">
        <v>0.59855864</v>
      </c>
      <c r="G71" s="10">
        <v>0.342793955</v>
      </c>
      <c r="H71" s="10">
        <v>0.845878245</v>
      </c>
      <c r="I71" s="10">
        <v>0.974410659</v>
      </c>
      <c r="J71" s="10">
        <v>0.619776612</v>
      </c>
      <c r="K71" s="10">
        <v>0.698938874</v>
      </c>
      <c r="L71" s="10">
        <v>0.274631532</v>
      </c>
      <c r="M71" s="10">
        <v>0.955757255</v>
      </c>
      <c r="N71" s="10">
        <v>0.757516001</v>
      </c>
      <c r="O71" s="10">
        <v>0.767710418</v>
      </c>
      <c r="P71" s="10">
        <v>0.612684249</v>
      </c>
      <c r="Q71" s="10">
        <v>0.768152798</v>
      </c>
      <c r="R71" s="10">
        <v>1.033197483</v>
      </c>
      <c r="S71" s="10">
        <v>1.327259551</v>
      </c>
      <c r="T71" s="10">
        <v>1.675920999</v>
      </c>
      <c r="U71" s="10">
        <v>0.473032471</v>
      </c>
      <c r="V71" s="10">
        <v>1.736461328</v>
      </c>
      <c r="W71" s="10">
        <v>0.466546112</v>
      </c>
      <c r="X71" s="10">
        <v>1.752027122</v>
      </c>
      <c r="Y71" s="10">
        <v>0.682268523</v>
      </c>
      <c r="Z71" s="10">
        <v>0.635576882</v>
      </c>
      <c r="AA71" s="10">
        <v>1.047720268</v>
      </c>
      <c r="AB71" s="10">
        <v>1.045027729</v>
      </c>
      <c r="AC71" s="10">
        <v>1.040950127</v>
      </c>
      <c r="AD71" s="10">
        <v>0.563239897</v>
      </c>
      <c r="AE71" s="10">
        <v>0.815619032</v>
      </c>
      <c r="AF71" s="10">
        <v>0.839656923</v>
      </c>
      <c r="AG71" s="10">
        <v>0.715115048</v>
      </c>
      <c r="AH71" s="10">
        <v>0.714729286</v>
      </c>
    </row>
    <row r="72" spans="1:34">
      <c r="A72" s="10" t="s">
        <v>107</v>
      </c>
      <c r="B72" s="10" t="str">
        <f t="shared" si="7"/>
        <v>A/T</v>
      </c>
      <c r="C72" s="10">
        <v>1.532752722</v>
      </c>
      <c r="D72" s="10">
        <v>1.699262289</v>
      </c>
      <c r="E72" s="10">
        <v>1.611509755</v>
      </c>
      <c r="F72" s="10">
        <v>1.493310064</v>
      </c>
      <c r="G72" s="10">
        <v>1.643545058</v>
      </c>
      <c r="H72" s="10">
        <v>1.277997626</v>
      </c>
      <c r="I72" s="10">
        <v>0</v>
      </c>
      <c r="J72" s="10">
        <v>1.304936472</v>
      </c>
      <c r="K72" s="10">
        <v>0.906060454</v>
      </c>
      <c r="L72" s="10">
        <v>0.576649104</v>
      </c>
      <c r="M72" s="10">
        <v>1.244164843</v>
      </c>
      <c r="N72" s="10">
        <v>1.097577745</v>
      </c>
      <c r="O72" s="10">
        <v>1.146569786</v>
      </c>
      <c r="P72" s="10">
        <v>1.225878618</v>
      </c>
      <c r="Q72" s="10">
        <v>1.717839179</v>
      </c>
      <c r="R72" s="10">
        <v>1.352800515</v>
      </c>
      <c r="S72" s="10">
        <v>1.399916178</v>
      </c>
      <c r="T72" s="10">
        <v>1.441638779</v>
      </c>
      <c r="U72" s="10">
        <v>1.689758792</v>
      </c>
      <c r="V72" s="10">
        <v>1.257751382</v>
      </c>
      <c r="W72" s="10">
        <v>1.13318165</v>
      </c>
      <c r="X72" s="10">
        <v>1.520107981</v>
      </c>
      <c r="Y72" s="10">
        <v>1.360967639</v>
      </c>
      <c r="Z72" s="10">
        <v>1.380640258</v>
      </c>
      <c r="AA72" s="10">
        <v>1.124431424</v>
      </c>
      <c r="AB72" s="10">
        <v>0.706266949</v>
      </c>
      <c r="AC72" s="10">
        <v>0.717603262</v>
      </c>
      <c r="AD72" s="10">
        <v>1.008972504</v>
      </c>
      <c r="AE72" s="10">
        <v>0.933286041</v>
      </c>
      <c r="AF72" s="10">
        <v>0.953097706</v>
      </c>
      <c r="AG72" s="10">
        <v>0.829101614</v>
      </c>
      <c r="AH72" s="10">
        <v>0.82559922</v>
      </c>
    </row>
    <row r="73" spans="1:34">
      <c r="A73" s="3" t="s">
        <v>150</v>
      </c>
      <c r="C73">
        <f>AVERAGEIF($B11:$B72,"A/T",C11:C72)</f>
        <v>1.41380685828125</v>
      </c>
      <c r="D73">
        <f t="shared" ref="D73:AH73" si="8">AVERAGEIF($B11:$B72,"A/T",D11:D72)</f>
        <v>1.7197576551875</v>
      </c>
      <c r="E73">
        <f t="shared" si="8"/>
        <v>1.69892955725</v>
      </c>
      <c r="F73">
        <f t="shared" si="8"/>
        <v>1.50965583834375</v>
      </c>
      <c r="G73">
        <f t="shared" si="8"/>
        <v>1.7084742300625</v>
      </c>
      <c r="H73">
        <f t="shared" si="8"/>
        <v>1.42798972634375</v>
      </c>
      <c r="I73">
        <f t="shared" si="8"/>
        <v>0.71684540140625</v>
      </c>
      <c r="J73">
        <f t="shared" si="8"/>
        <v>1.15003482709375</v>
      </c>
      <c r="K73">
        <f t="shared" si="8"/>
        <v>0.76655068709375</v>
      </c>
      <c r="L73">
        <f t="shared" si="8"/>
        <v>0.2937280335625</v>
      </c>
      <c r="M73">
        <f t="shared" si="8"/>
        <v>0.79976534025</v>
      </c>
      <c r="N73">
        <f t="shared" si="8"/>
        <v>0.92000511503125</v>
      </c>
      <c r="O73">
        <f t="shared" si="8"/>
        <v>0.90899040278125</v>
      </c>
      <c r="P73">
        <f t="shared" si="8"/>
        <v>0.874715863</v>
      </c>
      <c r="Q73">
        <f t="shared" si="8"/>
        <v>1.6900433574375</v>
      </c>
      <c r="R73">
        <f t="shared" si="8"/>
        <v>1.29438899428125</v>
      </c>
      <c r="S73">
        <f t="shared" si="8"/>
        <v>0.97840061371875</v>
      </c>
      <c r="T73">
        <f t="shared" si="8"/>
        <v>1.418084605375</v>
      </c>
      <c r="U73">
        <f t="shared" si="8"/>
        <v>1.7174321326875</v>
      </c>
      <c r="V73">
        <f t="shared" si="8"/>
        <v>1.35846000528125</v>
      </c>
      <c r="W73">
        <f t="shared" si="8"/>
        <v>1.026174609625</v>
      </c>
      <c r="X73">
        <f t="shared" si="8"/>
        <v>1.23489287921875</v>
      </c>
      <c r="Y73">
        <f t="shared" si="8"/>
        <v>1.2039934946875</v>
      </c>
      <c r="Z73">
        <f t="shared" si="8"/>
        <v>1.2308952525</v>
      </c>
      <c r="AA73">
        <f t="shared" si="8"/>
        <v>0.95884198028125</v>
      </c>
      <c r="AB73">
        <f t="shared" si="8"/>
        <v>0.65751557509375</v>
      </c>
      <c r="AC73">
        <f t="shared" si="8"/>
        <v>0.664050324875</v>
      </c>
      <c r="AD73">
        <f t="shared" si="8"/>
        <v>0.4788658939375</v>
      </c>
      <c r="AE73">
        <f t="shared" si="8"/>
        <v>0.7836195741875</v>
      </c>
      <c r="AF73">
        <f t="shared" si="8"/>
        <v>0.8030275834375</v>
      </c>
      <c r="AG73">
        <f t="shared" si="8"/>
        <v>0.6829230671875</v>
      </c>
      <c r="AH73">
        <f t="shared" si="8"/>
        <v>0.680456174375</v>
      </c>
    </row>
    <row r="74" spans="1:34">
      <c r="A74" s="3" t="s">
        <v>151</v>
      </c>
      <c r="C74">
        <f>AVERAGEIF($B11:$B72,"G/C",C11:C72)</f>
        <v>0.558606017833333</v>
      </c>
      <c r="D74">
        <f t="shared" ref="D74:AH74" si="9">AVERAGEIF($B11:$B72,"G/C",D11:D72)</f>
        <v>0.232258501133333</v>
      </c>
      <c r="E74">
        <f t="shared" si="9"/>
        <v>0.254475138966667</v>
      </c>
      <c r="F74">
        <f t="shared" si="9"/>
        <v>0.456367105766667</v>
      </c>
      <c r="G74">
        <f t="shared" si="9"/>
        <v>0.2442941546</v>
      </c>
      <c r="H74">
        <f t="shared" si="9"/>
        <v>0.5434776252</v>
      </c>
      <c r="I74">
        <f t="shared" si="9"/>
        <v>0.3353649052</v>
      </c>
      <c r="J74">
        <f t="shared" si="9"/>
        <v>0.839962851233333</v>
      </c>
      <c r="K74">
        <f t="shared" si="9"/>
        <v>1.2490126004</v>
      </c>
      <c r="L74">
        <f t="shared" si="9"/>
        <v>1.75335676416667</v>
      </c>
      <c r="M74">
        <f t="shared" si="9"/>
        <v>1.21358363703333</v>
      </c>
      <c r="N74">
        <f t="shared" si="9"/>
        <v>1.08532787733333</v>
      </c>
      <c r="O74">
        <f t="shared" si="9"/>
        <v>1.09707690366667</v>
      </c>
      <c r="P74">
        <f t="shared" si="9"/>
        <v>1.13363641276667</v>
      </c>
      <c r="Q74">
        <f t="shared" si="9"/>
        <v>0.2639537521</v>
      </c>
      <c r="R74">
        <f t="shared" si="9"/>
        <v>0.6859850728</v>
      </c>
      <c r="S74">
        <f t="shared" si="9"/>
        <v>1.02303934546667</v>
      </c>
      <c r="T74">
        <f t="shared" si="9"/>
        <v>0.554043087666667</v>
      </c>
      <c r="U74">
        <f t="shared" si="9"/>
        <v>0.234739058533333</v>
      </c>
      <c r="V74">
        <f t="shared" si="9"/>
        <v>0.617642661</v>
      </c>
      <c r="W74">
        <f t="shared" si="9"/>
        <v>0.972080416533333</v>
      </c>
      <c r="X74">
        <f t="shared" si="9"/>
        <v>0.749447595466667</v>
      </c>
      <c r="Y74">
        <f t="shared" si="9"/>
        <v>0.7824069391</v>
      </c>
      <c r="Z74">
        <f t="shared" si="9"/>
        <v>0.7537117306</v>
      </c>
      <c r="AA74">
        <f t="shared" si="9"/>
        <v>1.04390188753333</v>
      </c>
      <c r="AB74">
        <f t="shared" si="9"/>
        <v>1.3653167199</v>
      </c>
      <c r="AC74">
        <f t="shared" si="9"/>
        <v>1.35834632016667</v>
      </c>
      <c r="AD74">
        <f t="shared" si="9"/>
        <v>1.55587637966667</v>
      </c>
      <c r="AE74">
        <f t="shared" si="9"/>
        <v>1.1308057875</v>
      </c>
      <c r="AF74">
        <f t="shared" si="9"/>
        <v>1.1101039111</v>
      </c>
      <c r="AG74">
        <f t="shared" si="9"/>
        <v>1.23821539506667</v>
      </c>
      <c r="AH74">
        <f t="shared" si="9"/>
        <v>1.24084674726667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7"/>
  <sheetViews>
    <sheetView workbookViewId="0">
      <selection activeCell="I1" sqref="I1:S1"/>
    </sheetView>
  </sheetViews>
  <sheetFormatPr defaultColWidth="8.88495575221239" defaultRowHeight="13.5" outlineLevelRow="6"/>
  <cols>
    <col min="2" max="13" width="12.8849557522124"/>
    <col min="15" max="19" width="12.8849557522124"/>
  </cols>
  <sheetData>
    <row r="1" spans="2:23">
      <c r="B1" t="s">
        <v>212</v>
      </c>
      <c r="C1" t="s">
        <v>215</v>
      </c>
      <c r="D1" t="s">
        <v>202</v>
      </c>
      <c r="E1" t="s">
        <v>201</v>
      </c>
      <c r="F1" t="s">
        <v>196</v>
      </c>
      <c r="G1" t="s">
        <v>211</v>
      </c>
      <c r="H1" t="s">
        <v>199</v>
      </c>
      <c r="I1" t="s">
        <v>236</v>
      </c>
      <c r="J1" t="s">
        <v>233</v>
      </c>
      <c r="K1" t="s">
        <v>232</v>
      </c>
      <c r="L1" t="s">
        <v>231</v>
      </c>
      <c r="M1" s="3" t="s">
        <v>229</v>
      </c>
      <c r="N1" t="s">
        <v>228</v>
      </c>
      <c r="O1" t="s">
        <v>225</v>
      </c>
      <c r="P1" t="s">
        <v>224</v>
      </c>
      <c r="Q1" t="s">
        <v>221</v>
      </c>
      <c r="R1" t="s">
        <v>220</v>
      </c>
      <c r="S1" t="s">
        <v>329</v>
      </c>
      <c r="T1" t="s">
        <v>42</v>
      </c>
      <c r="U1" t="s">
        <v>43</v>
      </c>
      <c r="V1" t="s">
        <v>44</v>
      </c>
      <c r="W1" t="s">
        <v>45</v>
      </c>
    </row>
    <row r="2" spans="1:23">
      <c r="A2" t="s">
        <v>46</v>
      </c>
      <c r="B2">
        <v>1.208842924</v>
      </c>
      <c r="C2">
        <v>1.552148951</v>
      </c>
      <c r="D2">
        <v>1.559194631</v>
      </c>
      <c r="E2">
        <v>1.518749091</v>
      </c>
      <c r="F2">
        <v>1.534493305</v>
      </c>
      <c r="G2">
        <v>0.457275548</v>
      </c>
      <c r="H2">
        <v>1.095624457</v>
      </c>
      <c r="I2">
        <v>1.684311807</v>
      </c>
      <c r="J2">
        <v>1.798510801</v>
      </c>
      <c r="K2">
        <v>1.274511457</v>
      </c>
      <c r="L2">
        <v>1.364296081</v>
      </c>
      <c r="M2">
        <v>1.4902614</v>
      </c>
      <c r="N2">
        <v>1.597018402</v>
      </c>
      <c r="O2">
        <v>1.527847325</v>
      </c>
      <c r="P2">
        <v>1.620527843</v>
      </c>
      <c r="Q2">
        <v>0.326216844</v>
      </c>
      <c r="R2">
        <v>0.517712976</v>
      </c>
      <c r="S2">
        <v>0.509284228</v>
      </c>
      <c r="T2">
        <v>0.824203329</v>
      </c>
      <c r="U2">
        <v>0.847612247</v>
      </c>
      <c r="V2">
        <v>0.72913694</v>
      </c>
      <c r="W2">
        <v>0.728899253</v>
      </c>
    </row>
    <row r="3" spans="1:23">
      <c r="A3" t="s">
        <v>48</v>
      </c>
      <c r="B3">
        <v>0.791157076</v>
      </c>
      <c r="C3">
        <v>0.447851049</v>
      </c>
      <c r="D3">
        <v>0.440805369</v>
      </c>
      <c r="E3">
        <v>0.481250909</v>
      </c>
      <c r="F3">
        <v>0.465506695</v>
      </c>
      <c r="G3">
        <v>1.542724452</v>
      </c>
      <c r="H3">
        <v>0.904375543</v>
      </c>
      <c r="I3">
        <v>0.315688193</v>
      </c>
      <c r="J3">
        <v>0.201489199</v>
      </c>
      <c r="K3">
        <v>0.725488543</v>
      </c>
      <c r="L3">
        <v>0.635703919</v>
      </c>
      <c r="M3">
        <v>0.5097386</v>
      </c>
      <c r="N3">
        <v>0.402981598</v>
      </c>
      <c r="O3">
        <v>0.472152675</v>
      </c>
      <c r="P3">
        <v>0.379472157</v>
      </c>
      <c r="Q3">
        <v>1.673783156</v>
      </c>
      <c r="R3">
        <v>1.482287024</v>
      </c>
      <c r="S3">
        <v>1.490715772</v>
      </c>
      <c r="T3">
        <v>1.175796671</v>
      </c>
      <c r="U3">
        <v>1.152387753</v>
      </c>
      <c r="V3">
        <v>1.27086306</v>
      </c>
      <c r="W3">
        <v>1.271100747</v>
      </c>
    </row>
    <row r="4" spans="1:23">
      <c r="A4" t="s">
        <v>323</v>
      </c>
      <c r="B4">
        <v>1.208842924</v>
      </c>
      <c r="C4">
        <v>1.552148951</v>
      </c>
      <c r="D4">
        <v>1.559194631</v>
      </c>
      <c r="E4">
        <v>1.518749091</v>
      </c>
      <c r="F4">
        <v>1.534493305</v>
      </c>
      <c r="G4">
        <v>0.457275548</v>
      </c>
      <c r="H4">
        <v>1.095624457</v>
      </c>
      <c r="I4">
        <v>1.684311807</v>
      </c>
      <c r="J4">
        <v>1.798510801</v>
      </c>
      <c r="K4">
        <v>1.274511457</v>
      </c>
      <c r="L4">
        <v>1.364296081</v>
      </c>
      <c r="M4">
        <v>1.4902614</v>
      </c>
      <c r="N4">
        <v>1.597018402</v>
      </c>
      <c r="O4">
        <v>1.527847325</v>
      </c>
      <c r="P4">
        <v>1.620527843</v>
      </c>
      <c r="Q4">
        <v>0.326216844</v>
      </c>
      <c r="R4">
        <v>0.517712976</v>
      </c>
      <c r="S4">
        <v>0.509284228</v>
      </c>
      <c r="T4">
        <v>0.824203329</v>
      </c>
      <c r="U4">
        <v>0.847612247</v>
      </c>
      <c r="V4">
        <v>0.72913694</v>
      </c>
      <c r="W4">
        <v>0.728899253</v>
      </c>
    </row>
    <row r="5" spans="1:23">
      <c r="A5" t="s">
        <v>324</v>
      </c>
      <c r="B5">
        <v>0.791157076</v>
      </c>
      <c r="C5">
        <v>0.447851049</v>
      </c>
      <c r="D5">
        <v>0.440805369</v>
      </c>
      <c r="E5">
        <v>0.481250909</v>
      </c>
      <c r="F5">
        <v>0.465506695</v>
      </c>
      <c r="G5">
        <v>1.542724452</v>
      </c>
      <c r="H5">
        <v>0.904375543</v>
      </c>
      <c r="I5">
        <v>0.315688193</v>
      </c>
      <c r="J5">
        <v>0.201489199</v>
      </c>
      <c r="K5">
        <v>0.725488543</v>
      </c>
      <c r="L5">
        <v>0.635703919</v>
      </c>
      <c r="M5">
        <v>0.5097386</v>
      </c>
      <c r="N5">
        <v>0.402981598</v>
      </c>
      <c r="O5">
        <v>0.472152675</v>
      </c>
      <c r="P5">
        <v>0.379472157</v>
      </c>
      <c r="Q5">
        <v>1.673783156</v>
      </c>
      <c r="R5">
        <v>1.482287024</v>
      </c>
      <c r="S5">
        <v>1.490715772</v>
      </c>
      <c r="T5">
        <v>1.175796671</v>
      </c>
      <c r="U5">
        <v>1.152387753</v>
      </c>
      <c r="V5">
        <v>1.27086306</v>
      </c>
      <c r="W5">
        <v>1.271100747</v>
      </c>
    </row>
    <row r="6" spans="1:23">
      <c r="A6" t="s">
        <v>150</v>
      </c>
      <c r="B6">
        <v>1.15003482709375</v>
      </c>
      <c r="C6">
        <v>1.41380685828125</v>
      </c>
      <c r="D6">
        <v>1.50965583834375</v>
      </c>
      <c r="E6">
        <v>1.7084742300625</v>
      </c>
      <c r="F6">
        <v>0.90899040278125</v>
      </c>
      <c r="G6">
        <v>0.2937280335625</v>
      </c>
      <c r="H6">
        <v>0.71684540140625</v>
      </c>
      <c r="I6">
        <v>1.6900433574375</v>
      </c>
      <c r="J6">
        <v>1.23489287921875</v>
      </c>
      <c r="K6">
        <v>1.2039934946875</v>
      </c>
      <c r="L6">
        <v>1.2308952525</v>
      </c>
      <c r="M6">
        <v>1.04246837490625</v>
      </c>
      <c r="N6">
        <v>1.418084605375</v>
      </c>
      <c r="O6">
        <v>1.38022571390625</v>
      </c>
      <c r="P6">
        <v>1.7174321326875</v>
      </c>
      <c r="Q6">
        <v>0.4788658939375</v>
      </c>
      <c r="R6">
        <v>0.75518653553125</v>
      </c>
      <c r="S6">
        <v>0.73486264115625</v>
      </c>
      <c r="T6">
        <v>0.7836195741875</v>
      </c>
      <c r="U6">
        <v>0.8030275834375</v>
      </c>
      <c r="V6">
        <v>0.6829230671875</v>
      </c>
      <c r="W6">
        <v>0.680456174375</v>
      </c>
    </row>
    <row r="7" spans="1:23">
      <c r="A7" t="s">
        <v>151</v>
      </c>
      <c r="B7">
        <v>0.839962851233333</v>
      </c>
      <c r="C7">
        <v>0.558606017833333</v>
      </c>
      <c r="D7">
        <v>0.456367105766667</v>
      </c>
      <c r="E7">
        <v>0.2442941546</v>
      </c>
      <c r="F7">
        <v>1.09707690366667</v>
      </c>
      <c r="G7">
        <v>1.75335676416667</v>
      </c>
      <c r="H7">
        <v>0.3353649052</v>
      </c>
      <c r="I7">
        <v>0.2639537521</v>
      </c>
      <c r="J7">
        <v>0.749447595466667</v>
      </c>
      <c r="K7">
        <v>0.7824069391</v>
      </c>
      <c r="L7">
        <v>0.7537117306</v>
      </c>
      <c r="M7">
        <v>0.9547004002</v>
      </c>
      <c r="N7">
        <v>0.554043087666667</v>
      </c>
      <c r="O7">
        <v>0.594425905066667</v>
      </c>
      <c r="P7">
        <v>0.234739058533333</v>
      </c>
      <c r="Q7">
        <v>1.55587637966667</v>
      </c>
      <c r="R7">
        <v>1.26113436193333</v>
      </c>
      <c r="S7">
        <v>1.28281318276667</v>
      </c>
      <c r="T7">
        <v>1.1308057875</v>
      </c>
      <c r="U7">
        <v>1.1101039111</v>
      </c>
      <c r="V7">
        <v>1.23821539506667</v>
      </c>
      <c r="W7">
        <v>1.24084674726667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R73"/>
  <sheetViews>
    <sheetView topLeftCell="A43" workbookViewId="0">
      <selection activeCell="A72" sqref="A72:C73"/>
    </sheetView>
  </sheetViews>
  <sheetFormatPr defaultColWidth="9" defaultRowHeight="13.5"/>
  <sheetData>
    <row r="1" spans="3:20">
      <c r="C1" s="7" t="s">
        <v>169</v>
      </c>
      <c r="D1" s="8" t="s">
        <v>172</v>
      </c>
      <c r="E1" s="7" t="s">
        <v>159</v>
      </c>
      <c r="F1" s="8" t="s">
        <v>158</v>
      </c>
      <c r="G1" s="7" t="s">
        <v>153</v>
      </c>
      <c r="H1" s="7" t="s">
        <v>168</v>
      </c>
      <c r="I1" s="7" t="s">
        <v>156</v>
      </c>
      <c r="J1" s="11" t="s">
        <v>193</v>
      </c>
      <c r="K1" s="11" t="s">
        <v>190</v>
      </c>
      <c r="L1" s="11" t="s">
        <v>189</v>
      </c>
      <c r="M1" s="11" t="s">
        <v>188</v>
      </c>
      <c r="N1" s="11" t="s">
        <v>330</v>
      </c>
      <c r="O1" s="12" t="s">
        <v>185</v>
      </c>
      <c r="P1" s="12" t="s">
        <v>182</v>
      </c>
      <c r="Q1" s="12" t="s">
        <v>181</v>
      </c>
      <c r="R1" s="11" t="s">
        <v>178</v>
      </c>
      <c r="S1" s="12" t="s">
        <v>177</v>
      </c>
      <c r="T1" s="11" t="s">
        <v>173</v>
      </c>
    </row>
    <row r="2" spans="3:24">
      <c r="C2" t="s">
        <v>212</v>
      </c>
      <c r="D2" t="s">
        <v>215</v>
      </c>
      <c r="E2" t="s">
        <v>202</v>
      </c>
      <c r="F2" t="s">
        <v>201</v>
      </c>
      <c r="G2" t="s">
        <v>196</v>
      </c>
      <c r="H2" t="s">
        <v>211</v>
      </c>
      <c r="I2" t="s">
        <v>199</v>
      </c>
      <c r="J2" t="s">
        <v>236</v>
      </c>
      <c r="K2" t="s">
        <v>233</v>
      </c>
      <c r="L2" t="s">
        <v>232</v>
      </c>
      <c r="M2" t="s">
        <v>231</v>
      </c>
      <c r="N2" s="3" t="s">
        <v>229</v>
      </c>
      <c r="O2" t="s">
        <v>228</v>
      </c>
      <c r="P2" t="s">
        <v>225</v>
      </c>
      <c r="Q2" t="s">
        <v>224</v>
      </c>
      <c r="R2" s="3" t="s">
        <v>221</v>
      </c>
      <c r="S2" t="s">
        <v>220</v>
      </c>
      <c r="T2" s="3" t="s">
        <v>329</v>
      </c>
      <c r="U2" s="13" t="s">
        <v>42</v>
      </c>
      <c r="V2" s="13" t="s">
        <v>43</v>
      </c>
      <c r="W2" s="14" t="s">
        <v>44</v>
      </c>
      <c r="X2" s="14" t="s">
        <v>45</v>
      </c>
    </row>
    <row r="3" spans="1:24">
      <c r="A3" s="9" t="s">
        <v>46</v>
      </c>
      <c r="B3" s="10" t="str">
        <f>IF(OR(RIGHT(A3,1)="A",RIGHT(A3,1)="T"),"A/T","G/C")</f>
        <v>A/T</v>
      </c>
      <c r="C3" t="e">
        <f>HLOOKUP(C$1,全部菌密码子mean!1:1,4,FALSE)</f>
        <v>#N/A</v>
      </c>
      <c r="D3" t="e">
        <f>HLOOKUP(D$1,全部菌密码子mean!1:1,4,FALSE)</f>
        <v>#N/A</v>
      </c>
      <c r="E3" t="e">
        <f>HLOOKUP(E$1,全部菌密码子mean!1:1,4,FALSE)</f>
        <v>#N/A</v>
      </c>
      <c r="F3" t="e">
        <f>HLOOKUP(F$1,全部菌密码子mean!1:1,4,FALSE)</f>
        <v>#N/A</v>
      </c>
      <c r="G3" t="e">
        <f>HLOOKUP(G$1,全部菌密码子mean!1:1,4,FALSE)</f>
        <v>#N/A</v>
      </c>
      <c r="H3" t="e">
        <f>HLOOKUP(H$1,全部菌密码子mean!1:1,4,FALSE)</f>
        <v>#N/A</v>
      </c>
      <c r="I3" t="e">
        <f>HLOOKUP(I$1,全部菌密码子mean!1:1,4,FALSE)</f>
        <v>#N/A</v>
      </c>
      <c r="J3" t="e">
        <f>HLOOKUP(J$1,全部菌密码子mean!1:1,4,FALSE)</f>
        <v>#N/A</v>
      </c>
      <c r="K3" t="e">
        <f>HLOOKUP(K$1,全部菌密码子mean!1:1,4,FALSE)</f>
        <v>#N/A</v>
      </c>
      <c r="L3" t="e">
        <f>HLOOKUP(L$1,全部菌密码子mean!1:1,4,FALSE)</f>
        <v>#N/A</v>
      </c>
      <c r="M3" t="e">
        <f>HLOOKUP(M$1,全部菌密码子mean!1:1,4,FALSE)</f>
        <v>#N/A</v>
      </c>
      <c r="N3" t="e">
        <f>HLOOKUP(N$1,全部菌密码子mean!1:1,4,FALSE)</f>
        <v>#N/A</v>
      </c>
      <c r="O3" t="e">
        <f>HLOOKUP(O$1,全部菌密码子mean!1:1,4,FALSE)</f>
        <v>#N/A</v>
      </c>
      <c r="P3" t="e">
        <f>HLOOKUP(P$1,全部菌密码子mean!1:1,4,FALSE)</f>
        <v>#N/A</v>
      </c>
      <c r="Q3" t="e">
        <f>HLOOKUP(Q$1,全部菌密码子mean!1:1,4,FALSE)</f>
        <v>#N/A</v>
      </c>
      <c r="R3" t="e">
        <f>HLOOKUP(R$1,全部菌密码子mean!1:1,4,FALSE)</f>
        <v>#N/A</v>
      </c>
      <c r="S3" t="e">
        <f>HLOOKUP(S$1,全部菌密码子mean!1:1,4,FALSE)</f>
        <v>#N/A</v>
      </c>
      <c r="T3" t="e">
        <f>HLOOKUP(T$1,全部菌密码子mean!1:1,4,FALSE)</f>
        <v>#N/A</v>
      </c>
      <c r="U3" s="10">
        <v>0.824203329</v>
      </c>
      <c r="V3" s="10">
        <v>0.847612247</v>
      </c>
      <c r="W3" s="10">
        <v>0.72913694</v>
      </c>
      <c r="X3" s="10">
        <v>0.728899253</v>
      </c>
    </row>
    <row r="4" spans="1:24">
      <c r="A4" s="9" t="s">
        <v>48</v>
      </c>
      <c r="B4" s="10" t="str">
        <f>IF(OR(RIGHT(A4,1)="A",RIGHT(A4,1)="T"),"A/T","G/C")</f>
        <v>G/C</v>
      </c>
      <c r="C4" t="e">
        <f>HLOOKUP(C$1,全部菌密码子mean!$1:$1,6,FALSE)</f>
        <v>#N/A</v>
      </c>
      <c r="D4" t="e">
        <f>HLOOKUP(D$1,全部菌密码子mean!$1:$1,6,FALSE)</f>
        <v>#N/A</v>
      </c>
      <c r="E4" t="e">
        <f>HLOOKUP(E$1,全部菌密码子mean!$1:$1,6,FALSE)</f>
        <v>#N/A</v>
      </c>
      <c r="F4" t="e">
        <f>HLOOKUP(F$1,全部菌密码子mean!$1:$1,6,FALSE)</f>
        <v>#N/A</v>
      </c>
      <c r="G4" t="e">
        <f>HLOOKUP(G$1,全部菌密码子mean!$1:$1,6,FALSE)</f>
        <v>#N/A</v>
      </c>
      <c r="H4" t="e">
        <f>HLOOKUP(H$1,全部菌密码子mean!$1:$1,6,FALSE)</f>
        <v>#N/A</v>
      </c>
      <c r="I4" t="e">
        <f>HLOOKUP(I$1,全部菌密码子mean!$1:$1,6,FALSE)</f>
        <v>#N/A</v>
      </c>
      <c r="J4" t="e">
        <f>HLOOKUP(J$1,全部菌密码子mean!$1:$1,6,FALSE)</f>
        <v>#N/A</v>
      </c>
      <c r="K4" t="e">
        <f>HLOOKUP(K$1,全部菌密码子mean!$1:$1,6,FALSE)</f>
        <v>#N/A</v>
      </c>
      <c r="L4" t="e">
        <f>HLOOKUP(L$1,全部菌密码子mean!$1:$1,6,FALSE)</f>
        <v>#N/A</v>
      </c>
      <c r="M4" t="e">
        <f>HLOOKUP(M$1,全部菌密码子mean!$1:$1,6,FALSE)</f>
        <v>#N/A</v>
      </c>
      <c r="N4" t="e">
        <f>HLOOKUP(N$1,全部菌密码子mean!$1:$1,6,FALSE)</f>
        <v>#N/A</v>
      </c>
      <c r="O4" t="e">
        <f>HLOOKUP(O$1,全部菌密码子mean!$1:$1,6,FALSE)</f>
        <v>#N/A</v>
      </c>
      <c r="P4" t="e">
        <f>HLOOKUP(P$1,全部菌密码子mean!$1:$1,6,FALSE)</f>
        <v>#N/A</v>
      </c>
      <c r="Q4" t="e">
        <f>HLOOKUP(Q$1,全部菌密码子mean!$1:$1,6,FALSE)</f>
        <v>#N/A</v>
      </c>
      <c r="R4" t="e">
        <f>HLOOKUP(R$1,全部菌密码子mean!$1:$1,6,FALSE)</f>
        <v>#N/A</v>
      </c>
      <c r="S4" t="e">
        <f>HLOOKUP(S$1,全部菌密码子mean!$1:$1,6,FALSE)</f>
        <v>#N/A</v>
      </c>
      <c r="T4" t="e">
        <f>HLOOKUP(T$1,全部菌密码子mean!$1:$1,6,FALSE)</f>
        <v>#N/A</v>
      </c>
      <c r="U4" s="10">
        <v>1.175796671</v>
      </c>
      <c r="V4" s="10">
        <v>1.152387753</v>
      </c>
      <c r="W4" s="10">
        <v>1.27086306</v>
      </c>
      <c r="X4" s="10">
        <v>1.271100747</v>
      </c>
    </row>
    <row r="5" spans="1:24">
      <c r="A5" t="s">
        <v>323</v>
      </c>
      <c r="C5" t="e">
        <f>AVERAGEIF($B3:$B4,"A/T",C3:C4)</f>
        <v>#N/A</v>
      </c>
      <c r="D5" t="e">
        <f t="shared" ref="D5:X5" si="0">AVERAGEIF($B3:$B4,"A/T",D3:D4)</f>
        <v>#N/A</v>
      </c>
      <c r="E5" t="e">
        <f t="shared" si="0"/>
        <v>#N/A</v>
      </c>
      <c r="F5" t="e">
        <f t="shared" si="0"/>
        <v>#N/A</v>
      </c>
      <c r="G5" t="e">
        <f t="shared" si="0"/>
        <v>#N/A</v>
      </c>
      <c r="H5" t="e">
        <f t="shared" si="0"/>
        <v>#N/A</v>
      </c>
      <c r="I5" t="e">
        <f t="shared" si="0"/>
        <v>#N/A</v>
      </c>
      <c r="J5" t="e">
        <f t="shared" si="0"/>
        <v>#N/A</v>
      </c>
      <c r="K5" t="e">
        <f t="shared" si="0"/>
        <v>#N/A</v>
      </c>
      <c r="L5" t="e">
        <f t="shared" si="0"/>
        <v>#N/A</v>
      </c>
      <c r="M5" t="e">
        <f t="shared" si="0"/>
        <v>#N/A</v>
      </c>
      <c r="N5" t="e">
        <f t="shared" si="0"/>
        <v>#N/A</v>
      </c>
      <c r="O5" t="e">
        <f t="shared" si="0"/>
        <v>#N/A</v>
      </c>
      <c r="P5" t="e">
        <f t="shared" si="0"/>
        <v>#N/A</v>
      </c>
      <c r="Q5" t="e">
        <f t="shared" si="0"/>
        <v>#N/A</v>
      </c>
      <c r="R5" t="e">
        <f t="shared" si="0"/>
        <v>#N/A</v>
      </c>
      <c r="S5" t="e">
        <f t="shared" si="0"/>
        <v>#N/A</v>
      </c>
      <c r="T5" t="e">
        <f t="shared" si="0"/>
        <v>#N/A</v>
      </c>
      <c r="U5">
        <f t="shared" si="0"/>
        <v>0.824203329</v>
      </c>
      <c r="V5">
        <f t="shared" si="0"/>
        <v>0.847612247</v>
      </c>
      <c r="W5">
        <f t="shared" si="0"/>
        <v>0.72913694</v>
      </c>
      <c r="X5">
        <f t="shared" si="0"/>
        <v>0.728899253</v>
      </c>
    </row>
    <row r="6" spans="1:44">
      <c r="A6" t="s">
        <v>324</v>
      </c>
      <c r="C6" t="e">
        <f>AVERAGEIF($B3:$B4,"G/C",C3:C4)</f>
        <v>#N/A</v>
      </c>
      <c r="D6" t="e">
        <f t="shared" ref="D6:X6" si="1">AVERAGEIF($B3:$B4,"G/C",D3:D4)</f>
        <v>#N/A</v>
      </c>
      <c r="E6" t="e">
        <f t="shared" si="1"/>
        <v>#N/A</v>
      </c>
      <c r="F6" t="e">
        <f t="shared" si="1"/>
        <v>#N/A</v>
      </c>
      <c r="G6" t="e">
        <f t="shared" si="1"/>
        <v>#N/A</v>
      </c>
      <c r="H6" t="e">
        <f t="shared" si="1"/>
        <v>#N/A</v>
      </c>
      <c r="I6" t="e">
        <f t="shared" si="1"/>
        <v>#N/A</v>
      </c>
      <c r="J6" t="e">
        <f t="shared" si="1"/>
        <v>#N/A</v>
      </c>
      <c r="K6" t="e">
        <f t="shared" si="1"/>
        <v>#N/A</v>
      </c>
      <c r="L6" t="e">
        <f t="shared" si="1"/>
        <v>#N/A</v>
      </c>
      <c r="M6" t="e">
        <f t="shared" si="1"/>
        <v>#N/A</v>
      </c>
      <c r="N6" t="e">
        <f t="shared" si="1"/>
        <v>#N/A</v>
      </c>
      <c r="O6" t="e">
        <f t="shared" si="1"/>
        <v>#N/A</v>
      </c>
      <c r="P6" t="e">
        <f t="shared" si="1"/>
        <v>#N/A</v>
      </c>
      <c r="Q6" t="e">
        <f t="shared" si="1"/>
        <v>#N/A</v>
      </c>
      <c r="R6" t="e">
        <f t="shared" si="1"/>
        <v>#N/A</v>
      </c>
      <c r="S6" t="e">
        <f t="shared" si="1"/>
        <v>#N/A</v>
      </c>
      <c r="T6" t="e">
        <f t="shared" si="1"/>
        <v>#N/A</v>
      </c>
      <c r="U6">
        <f t="shared" si="1"/>
        <v>1.175796671</v>
      </c>
      <c r="V6">
        <f t="shared" si="1"/>
        <v>1.152387753</v>
      </c>
      <c r="W6">
        <f t="shared" si="1"/>
        <v>1.27086306</v>
      </c>
      <c r="X6">
        <f t="shared" si="1"/>
        <v>1.271100747</v>
      </c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</row>
    <row r="8" spans="1:24">
      <c r="A8" s="10"/>
      <c r="B8" s="10"/>
      <c r="C8" s="7" t="s">
        <v>169</v>
      </c>
      <c r="D8" s="8" t="s">
        <v>172</v>
      </c>
      <c r="E8" s="7" t="s">
        <v>159</v>
      </c>
      <c r="F8" s="8" t="s">
        <v>158</v>
      </c>
      <c r="G8" s="7" t="s">
        <v>153</v>
      </c>
      <c r="H8" s="7" t="s">
        <v>168</v>
      </c>
      <c r="I8" s="7" t="s">
        <v>156</v>
      </c>
      <c r="J8" s="11" t="s">
        <v>193</v>
      </c>
      <c r="K8" s="11" t="s">
        <v>190</v>
      </c>
      <c r="L8" s="11" t="s">
        <v>189</v>
      </c>
      <c r="M8" s="11" t="s">
        <v>188</v>
      </c>
      <c r="N8" s="11" t="s">
        <v>330</v>
      </c>
      <c r="O8" s="12" t="s">
        <v>185</v>
      </c>
      <c r="P8" s="12" t="s">
        <v>182</v>
      </c>
      <c r="Q8" s="12" t="s">
        <v>181</v>
      </c>
      <c r="R8" s="11" t="s">
        <v>178</v>
      </c>
      <c r="S8" s="12" t="s">
        <v>177</v>
      </c>
      <c r="T8" s="11" t="s">
        <v>173</v>
      </c>
      <c r="U8" s="10"/>
      <c r="V8" s="10"/>
      <c r="W8" s="10"/>
      <c r="X8" s="10"/>
    </row>
    <row r="9" spans="1:24">
      <c r="A9" s="10"/>
      <c r="B9" s="10"/>
      <c r="C9" s="10" t="s">
        <v>212</v>
      </c>
      <c r="D9" s="10" t="s">
        <v>215</v>
      </c>
      <c r="E9" s="10" t="s">
        <v>202</v>
      </c>
      <c r="F9" s="10" t="s">
        <v>201</v>
      </c>
      <c r="G9" s="10" t="s">
        <v>196</v>
      </c>
      <c r="H9" s="10" t="s">
        <v>211</v>
      </c>
      <c r="I9" s="10" t="s">
        <v>199</v>
      </c>
      <c r="J9" s="10" t="s">
        <v>236</v>
      </c>
      <c r="K9" s="10" t="s">
        <v>233</v>
      </c>
      <c r="L9" s="10" t="s">
        <v>232</v>
      </c>
      <c r="M9" s="10" t="s">
        <v>231</v>
      </c>
      <c r="N9" s="3" t="s">
        <v>229</v>
      </c>
      <c r="O9" s="10" t="s">
        <v>228</v>
      </c>
      <c r="P9" s="10" t="s">
        <v>225</v>
      </c>
      <c r="Q9" s="10" t="s">
        <v>224</v>
      </c>
      <c r="R9" s="10" t="s">
        <v>221</v>
      </c>
      <c r="S9" s="10" t="s">
        <v>220</v>
      </c>
      <c r="T9" s="10" t="s">
        <v>329</v>
      </c>
      <c r="U9" s="13" t="s">
        <v>42</v>
      </c>
      <c r="V9" s="13" t="s">
        <v>43</v>
      </c>
      <c r="W9" s="14" t="s">
        <v>44</v>
      </c>
      <c r="X9" s="14" t="s">
        <v>45</v>
      </c>
    </row>
    <row r="10" spans="1:24">
      <c r="A10" s="10" t="s">
        <v>46</v>
      </c>
      <c r="B10" s="10" t="str">
        <f t="shared" ref="B10:B71" si="2">IF(OR(RIGHT(A10,1)="A",RIGHT(A10,1)="T"),"A/T","G/C")</f>
        <v>A/T</v>
      </c>
      <c r="C10" s="10">
        <v>1.208842924</v>
      </c>
      <c r="D10" s="10">
        <v>1.552148951</v>
      </c>
      <c r="E10" s="10">
        <v>1.559194631</v>
      </c>
      <c r="F10" s="10">
        <v>1.518749091</v>
      </c>
      <c r="G10" s="10">
        <v>1.534493305</v>
      </c>
      <c r="H10" s="10">
        <v>0.457275548</v>
      </c>
      <c r="I10" s="10">
        <v>1.095624457</v>
      </c>
      <c r="J10" s="10">
        <v>1.684311807</v>
      </c>
      <c r="K10" s="10">
        <v>1.798510801</v>
      </c>
      <c r="L10" s="10">
        <v>1.274511457</v>
      </c>
      <c r="M10" s="10">
        <v>1.364296081</v>
      </c>
      <c r="N10" s="10">
        <v>1.4902614</v>
      </c>
      <c r="O10" s="10">
        <v>1.597018402</v>
      </c>
      <c r="P10" s="10">
        <v>1.527847325</v>
      </c>
      <c r="Q10" s="10">
        <v>1.620527843</v>
      </c>
      <c r="R10" s="10">
        <v>0.326216844</v>
      </c>
      <c r="S10" s="10">
        <v>0.517712976</v>
      </c>
      <c r="T10" s="10">
        <v>0.509284228</v>
      </c>
      <c r="U10" s="10">
        <v>0.824203329</v>
      </c>
      <c r="V10" s="10">
        <v>0.847612247</v>
      </c>
      <c r="W10" s="10">
        <v>0.72913694</v>
      </c>
      <c r="X10" s="10">
        <v>0.728899253</v>
      </c>
    </row>
    <row r="11" spans="1:24">
      <c r="A11" s="10" t="s">
        <v>47</v>
      </c>
      <c r="B11" s="10" t="str">
        <f t="shared" si="2"/>
        <v>G/C</v>
      </c>
      <c r="C11" s="10">
        <v>0.668316591</v>
      </c>
      <c r="D11" s="10">
        <v>0.441873112</v>
      </c>
      <c r="E11" s="10">
        <v>0.418200661</v>
      </c>
      <c r="F11" s="10">
        <v>0.331130559</v>
      </c>
      <c r="G11" s="10">
        <v>1.105657285</v>
      </c>
      <c r="H11" s="10">
        <v>1.63685379</v>
      </c>
      <c r="I11" s="10">
        <v>0</v>
      </c>
      <c r="J11" s="10">
        <v>0.26299282</v>
      </c>
      <c r="K11" s="10">
        <v>0.574166527</v>
      </c>
      <c r="L11" s="10">
        <v>0.656988222</v>
      </c>
      <c r="M11" s="10">
        <v>0.633902093</v>
      </c>
      <c r="N11" s="10">
        <v>0.937562261</v>
      </c>
      <c r="O11" s="10">
        <v>0.564255402</v>
      </c>
      <c r="P11" s="10">
        <v>0.418534261</v>
      </c>
      <c r="Q11" s="10">
        <v>0.304170037</v>
      </c>
      <c r="R11" s="10">
        <v>1.565343466</v>
      </c>
      <c r="S11" s="10">
        <v>1.293171255</v>
      </c>
      <c r="T11" s="10">
        <v>1.316601448</v>
      </c>
      <c r="U11" s="10">
        <v>1.095302467</v>
      </c>
      <c r="V11" s="10">
        <v>1.07553091</v>
      </c>
      <c r="W11" s="10">
        <v>1.209384858</v>
      </c>
      <c r="X11" s="10">
        <v>1.211784364</v>
      </c>
    </row>
    <row r="12" spans="1:24">
      <c r="A12" s="10" t="s">
        <v>48</v>
      </c>
      <c r="B12" s="10" t="str">
        <f t="shared" si="2"/>
        <v>G/C</v>
      </c>
      <c r="C12" s="10">
        <v>0.791157076</v>
      </c>
      <c r="D12" s="10">
        <v>0.447851049</v>
      </c>
      <c r="E12" s="10">
        <v>0.440805369</v>
      </c>
      <c r="F12" s="10">
        <v>0.481250909</v>
      </c>
      <c r="G12" s="10">
        <v>0.465506695</v>
      </c>
      <c r="H12" s="10">
        <v>1.542724452</v>
      </c>
      <c r="I12" s="10">
        <v>0.904375543</v>
      </c>
      <c r="J12" s="10">
        <v>0.315688193</v>
      </c>
      <c r="K12" s="10">
        <v>0.201489199</v>
      </c>
      <c r="L12" s="10">
        <v>0.725488543</v>
      </c>
      <c r="M12" s="10">
        <v>0.635703919</v>
      </c>
      <c r="N12" s="10">
        <v>0.5097386</v>
      </c>
      <c r="O12" s="10">
        <v>0.402981598</v>
      </c>
      <c r="P12" s="10">
        <v>0.472152675</v>
      </c>
      <c r="Q12" s="10">
        <v>0.379472157</v>
      </c>
      <c r="R12" s="10">
        <v>1.673783156</v>
      </c>
      <c r="S12" s="10">
        <v>1.482287024</v>
      </c>
      <c r="T12" s="10">
        <v>1.490715772</v>
      </c>
      <c r="U12" s="10">
        <v>1.175796671</v>
      </c>
      <c r="V12" s="10">
        <v>1.152387753</v>
      </c>
      <c r="W12" s="10">
        <v>1.27086306</v>
      </c>
      <c r="X12" s="10">
        <v>1.271100747</v>
      </c>
    </row>
    <row r="13" spans="1:24">
      <c r="A13" s="10" t="s">
        <v>49</v>
      </c>
      <c r="B13" s="10" t="str">
        <f t="shared" si="2"/>
        <v>A/T</v>
      </c>
      <c r="C13" s="10">
        <v>1.331683409</v>
      </c>
      <c r="D13" s="10">
        <v>1.558126888</v>
      </c>
      <c r="E13" s="10">
        <v>1.581799339</v>
      </c>
      <c r="F13" s="10">
        <v>1.668869441</v>
      </c>
      <c r="G13" s="10">
        <v>0.894342715</v>
      </c>
      <c r="H13" s="10">
        <v>0.36314621</v>
      </c>
      <c r="I13" s="10">
        <v>0</v>
      </c>
      <c r="J13" s="10">
        <v>1.73700718</v>
      </c>
      <c r="K13" s="10">
        <v>1.425833473</v>
      </c>
      <c r="L13" s="10">
        <v>1.343011778</v>
      </c>
      <c r="M13" s="10">
        <v>1.366097907</v>
      </c>
      <c r="N13" s="10">
        <v>1.062437739</v>
      </c>
      <c r="O13" s="10">
        <v>1.435744598</v>
      </c>
      <c r="P13" s="10">
        <v>1.581465739</v>
      </c>
      <c r="Q13" s="10">
        <v>1.695829963</v>
      </c>
      <c r="R13" s="10">
        <v>0.434656534</v>
      </c>
      <c r="S13" s="10">
        <v>0.706828745</v>
      </c>
      <c r="T13" s="10">
        <v>0.683398552</v>
      </c>
      <c r="U13" s="10">
        <v>0.904697533</v>
      </c>
      <c r="V13" s="10">
        <v>0.92446909</v>
      </c>
      <c r="W13" s="10">
        <v>0.790615142</v>
      </c>
      <c r="X13" s="10">
        <v>0.788215636</v>
      </c>
    </row>
    <row r="14" spans="1:24">
      <c r="A14" s="10" t="s">
        <v>50</v>
      </c>
      <c r="B14" s="10" t="str">
        <f t="shared" si="2"/>
        <v>A/T</v>
      </c>
      <c r="C14" s="10">
        <v>1.695285969</v>
      </c>
      <c r="D14" s="10">
        <v>1.274281192</v>
      </c>
      <c r="E14" s="10">
        <v>1.701085762</v>
      </c>
      <c r="F14" s="10">
        <v>1.793359211</v>
      </c>
      <c r="G14" s="10">
        <v>0.514691377</v>
      </c>
      <c r="H14" s="10">
        <v>0.216432509</v>
      </c>
      <c r="I14" s="10">
        <v>0</v>
      </c>
      <c r="J14" s="10">
        <v>1.972937046</v>
      </c>
      <c r="K14" s="10">
        <v>0.785046729</v>
      </c>
      <c r="L14" s="10">
        <v>1.843151448</v>
      </c>
      <c r="M14" s="10">
        <v>1.881372582</v>
      </c>
      <c r="N14" s="10">
        <v>1.863372093</v>
      </c>
      <c r="O14" s="10">
        <v>1.704075364</v>
      </c>
      <c r="P14" s="10">
        <v>1.441668003</v>
      </c>
      <c r="Q14" s="10">
        <v>1.768081196</v>
      </c>
      <c r="R14" s="10">
        <v>0.206024297</v>
      </c>
      <c r="S14" s="10">
        <v>0.318694019</v>
      </c>
      <c r="T14" s="10">
        <v>0.311467741</v>
      </c>
      <c r="U14" s="10">
        <v>1.075281021</v>
      </c>
      <c r="V14" s="10">
        <v>1.097373987</v>
      </c>
      <c r="W14" s="10">
        <v>0.950892912</v>
      </c>
      <c r="X14" s="10">
        <v>0.941365577</v>
      </c>
    </row>
    <row r="15" spans="1:24">
      <c r="A15" s="10" t="s">
        <v>51</v>
      </c>
      <c r="B15" s="10" t="str">
        <f t="shared" si="2"/>
        <v>G/C</v>
      </c>
      <c r="C15" s="10">
        <v>0.898754821</v>
      </c>
      <c r="D15" s="10">
        <v>0.761171195</v>
      </c>
      <c r="E15" s="10">
        <v>0.45786628</v>
      </c>
      <c r="F15" s="10">
        <v>0.122234035</v>
      </c>
      <c r="G15" s="10">
        <v>1.750628638</v>
      </c>
      <c r="H15" s="10">
        <v>2.804078487</v>
      </c>
      <c r="I15" s="10">
        <v>0</v>
      </c>
      <c r="J15" s="10">
        <v>0.164831794</v>
      </c>
      <c r="K15" s="10">
        <v>1.448511862</v>
      </c>
      <c r="L15" s="10">
        <v>0.807683742</v>
      </c>
      <c r="M15" s="10">
        <v>0.711019274</v>
      </c>
      <c r="N15" s="10">
        <v>1.140063425</v>
      </c>
      <c r="O15" s="10">
        <v>0.538193733</v>
      </c>
      <c r="P15" s="10">
        <v>0.728019246</v>
      </c>
      <c r="Q15" s="10">
        <v>0.121686779</v>
      </c>
      <c r="R15" s="10">
        <v>2.003439286</v>
      </c>
      <c r="S15" s="10">
        <v>1.663825484</v>
      </c>
      <c r="T15" s="10">
        <v>1.681839444</v>
      </c>
      <c r="U15" s="10">
        <v>1.416697588</v>
      </c>
      <c r="V15" s="10">
        <v>1.392007402</v>
      </c>
      <c r="W15" s="10">
        <v>1.578408994</v>
      </c>
      <c r="X15" s="10">
        <v>1.575404251</v>
      </c>
    </row>
    <row r="16" spans="1:24">
      <c r="A16" s="10" t="s">
        <v>52</v>
      </c>
      <c r="B16" s="10" t="str">
        <f t="shared" si="2"/>
        <v>G/C</v>
      </c>
      <c r="C16" s="10">
        <v>0.738972775</v>
      </c>
      <c r="D16" s="10">
        <v>0.782590346</v>
      </c>
      <c r="E16" s="10">
        <v>0.918633786</v>
      </c>
      <c r="F16" s="10">
        <v>0.163868767</v>
      </c>
      <c r="G16" s="10">
        <v>1.072505244</v>
      </c>
      <c r="H16" s="10">
        <v>0.83626771</v>
      </c>
      <c r="I16" s="10">
        <v>0</v>
      </c>
      <c r="J16" s="10">
        <v>0.146698933</v>
      </c>
      <c r="K16" s="10">
        <v>0.772393961</v>
      </c>
      <c r="L16" s="10">
        <v>0.466481069</v>
      </c>
      <c r="M16" s="10">
        <v>0.621320416</v>
      </c>
      <c r="N16" s="10">
        <v>0.433756166</v>
      </c>
      <c r="O16" s="10">
        <v>0.642330535</v>
      </c>
      <c r="P16" s="10">
        <v>0.719422614</v>
      </c>
      <c r="Q16" s="10">
        <v>0.041343669</v>
      </c>
      <c r="R16" s="10">
        <v>1.507294614</v>
      </c>
      <c r="S16" s="10">
        <v>0.782432823</v>
      </c>
      <c r="T16" s="10">
        <v>0.795653269</v>
      </c>
      <c r="U16" s="10">
        <v>0.559336462</v>
      </c>
      <c r="V16" s="10">
        <v>0.539742686</v>
      </c>
      <c r="W16" s="10">
        <v>0.645972438</v>
      </c>
      <c r="X16" s="10">
        <v>0.660476944</v>
      </c>
    </row>
    <row r="17" spans="1:24">
      <c r="A17" s="10" t="s">
        <v>53</v>
      </c>
      <c r="B17" s="10" t="str">
        <f t="shared" si="2"/>
        <v>A/T</v>
      </c>
      <c r="C17" s="10">
        <v>0.666986435</v>
      </c>
      <c r="D17" s="10">
        <v>1.181957267</v>
      </c>
      <c r="E17" s="10">
        <v>0.922414172</v>
      </c>
      <c r="F17" s="10">
        <v>1.920537988</v>
      </c>
      <c r="G17" s="10">
        <v>0.662174741</v>
      </c>
      <c r="H17" s="10">
        <v>0.143221293</v>
      </c>
      <c r="I17" s="10">
        <v>0</v>
      </c>
      <c r="J17" s="10">
        <v>1.715532227</v>
      </c>
      <c r="K17" s="10">
        <v>0.994047448</v>
      </c>
      <c r="L17" s="10">
        <v>0.882683742</v>
      </c>
      <c r="M17" s="10">
        <v>0.786287727</v>
      </c>
      <c r="N17" s="10">
        <v>0.562808316</v>
      </c>
      <c r="O17" s="10">
        <v>1.115400369</v>
      </c>
      <c r="P17" s="10">
        <v>1.110890136</v>
      </c>
      <c r="Q17" s="10">
        <v>2.068888356</v>
      </c>
      <c r="R17" s="10">
        <v>0.283241804</v>
      </c>
      <c r="S17" s="10">
        <v>1.235047674</v>
      </c>
      <c r="T17" s="10">
        <v>1.211039545</v>
      </c>
      <c r="U17" s="10">
        <v>0.948684929</v>
      </c>
      <c r="V17" s="10">
        <v>0.970875925</v>
      </c>
      <c r="W17" s="10">
        <v>0.824725657</v>
      </c>
      <c r="X17" s="10">
        <v>0.822753227</v>
      </c>
    </row>
    <row r="18" spans="1:24">
      <c r="A18" s="10" t="s">
        <v>54</v>
      </c>
      <c r="B18" s="10" t="str">
        <f t="shared" si="2"/>
        <v>A/T</v>
      </c>
      <c r="C18" s="10">
        <v>1.979077189</v>
      </c>
      <c r="D18" s="10">
        <v>1.108194765</v>
      </c>
      <c r="E18" s="10">
        <v>1.059213479</v>
      </c>
      <c r="F18" s="10">
        <v>4.949419849</v>
      </c>
      <c r="G18" s="10">
        <v>0.21333008</v>
      </c>
      <c r="H18" s="10">
        <v>0.139777678</v>
      </c>
      <c r="I18" s="10">
        <v>0.467438042</v>
      </c>
      <c r="J18" s="10">
        <v>5.080768271</v>
      </c>
      <c r="K18" s="10">
        <v>0.419438722</v>
      </c>
      <c r="L18" s="10">
        <v>2.10776628</v>
      </c>
      <c r="M18" s="10">
        <v>2.038995027</v>
      </c>
      <c r="N18" s="10">
        <v>1.625921993</v>
      </c>
      <c r="O18" s="10">
        <v>0.691974417</v>
      </c>
      <c r="P18" s="10">
        <v>3.070413223</v>
      </c>
      <c r="Q18" s="10">
        <v>5.343662578</v>
      </c>
      <c r="R18" s="10">
        <v>0.090549592</v>
      </c>
      <c r="S18" s="10">
        <v>1.010196278</v>
      </c>
      <c r="T18" s="10">
        <v>0.970588235</v>
      </c>
      <c r="U18" s="10">
        <v>1.214155979</v>
      </c>
      <c r="V18" s="10">
        <v>1.278536776</v>
      </c>
      <c r="W18" s="10">
        <v>1.027482735</v>
      </c>
      <c r="X18" s="10">
        <v>1.023943063</v>
      </c>
    </row>
    <row r="19" spans="1:24">
      <c r="A19" s="10" t="s">
        <v>55</v>
      </c>
      <c r="B19" s="10" t="str">
        <f t="shared" si="2"/>
        <v>G/C</v>
      </c>
      <c r="C19" s="10">
        <v>1.034681972</v>
      </c>
      <c r="D19" s="10">
        <v>0.707017011</v>
      </c>
      <c r="E19" s="10">
        <v>0.417939734</v>
      </c>
      <c r="F19" s="10">
        <v>0.462834777</v>
      </c>
      <c r="G19" s="10">
        <v>1.67049551</v>
      </c>
      <c r="H19" s="10">
        <v>2.018353033</v>
      </c>
      <c r="I19" s="10">
        <v>0</v>
      </c>
      <c r="J19" s="10">
        <v>0.395460644</v>
      </c>
      <c r="K19" s="10">
        <v>1.10519216</v>
      </c>
      <c r="L19" s="10">
        <v>1.035058475</v>
      </c>
      <c r="M19" s="10">
        <v>0.957238469</v>
      </c>
      <c r="N19" s="10">
        <v>1.493273862</v>
      </c>
      <c r="O19" s="10">
        <v>0.846599766</v>
      </c>
      <c r="P19" s="10">
        <v>0.666044226</v>
      </c>
      <c r="Q19" s="10">
        <v>0.324737345</v>
      </c>
      <c r="R19" s="10">
        <v>1.606442277</v>
      </c>
      <c r="S19" s="10">
        <v>2.001626898</v>
      </c>
      <c r="T19" s="10">
        <v>2.031904705</v>
      </c>
      <c r="U19" s="10">
        <v>1.435390787</v>
      </c>
      <c r="V19" s="10">
        <v>1.412801471</v>
      </c>
      <c r="W19" s="10">
        <v>1.60482098</v>
      </c>
      <c r="X19" s="10">
        <v>1.603235542</v>
      </c>
    </row>
    <row r="20" spans="1:24">
      <c r="A20" s="10" t="s">
        <v>56</v>
      </c>
      <c r="B20" s="10" t="str">
        <f t="shared" si="2"/>
        <v>G/C</v>
      </c>
      <c r="C20" s="10">
        <v>0.574993402</v>
      </c>
      <c r="D20" s="10">
        <v>0.210275147</v>
      </c>
      <c r="E20" s="10">
        <v>0.220833477</v>
      </c>
      <c r="F20" s="10">
        <v>0.595696744</v>
      </c>
      <c r="G20" s="10">
        <v>0.118254646</v>
      </c>
      <c r="H20" s="10">
        <v>0.471533724</v>
      </c>
      <c r="I20" s="10">
        <v>0.20944414</v>
      </c>
      <c r="J20" s="10">
        <v>0.509753056</v>
      </c>
      <c r="K20" s="10">
        <v>0.060180338</v>
      </c>
      <c r="L20" s="10">
        <v>0.701996446</v>
      </c>
      <c r="M20" s="10">
        <v>0.506935357</v>
      </c>
      <c r="N20" s="10">
        <v>0.278793445</v>
      </c>
      <c r="O20" s="10">
        <v>0.19781308</v>
      </c>
      <c r="P20" s="10">
        <v>0.481322314</v>
      </c>
      <c r="Q20" s="10">
        <v>0.391435335</v>
      </c>
      <c r="R20" s="10">
        <v>0.259058994</v>
      </c>
      <c r="S20" s="10">
        <v>0.327810349</v>
      </c>
      <c r="T20" s="10">
        <v>0.325063939</v>
      </c>
      <c r="U20" s="10">
        <v>1.196419305</v>
      </c>
      <c r="V20" s="10">
        <v>1.214353427</v>
      </c>
      <c r="W20" s="10">
        <v>1.208372037</v>
      </c>
      <c r="X20" s="10">
        <v>1.207925579</v>
      </c>
    </row>
    <row r="21" spans="1:24">
      <c r="A21" s="10" t="s">
        <v>57</v>
      </c>
      <c r="B21" s="10" t="str">
        <f t="shared" si="2"/>
        <v>A/T</v>
      </c>
      <c r="C21" s="10">
        <v>1.197236015</v>
      </c>
      <c r="D21" s="10">
        <v>1.766555286</v>
      </c>
      <c r="E21" s="10">
        <v>1.596556212</v>
      </c>
      <c r="F21" s="10">
        <v>1.820461711</v>
      </c>
      <c r="G21" s="10">
        <v>0.902151302</v>
      </c>
      <c r="H21" s="10">
        <v>0.195545409</v>
      </c>
      <c r="I21" s="10">
        <v>0</v>
      </c>
      <c r="J21" s="10">
        <v>1.599284436</v>
      </c>
      <c r="K21" s="10">
        <v>1.247864152</v>
      </c>
      <c r="L21" s="10">
        <v>1.153503879</v>
      </c>
      <c r="M21" s="10">
        <v>1.254656952</v>
      </c>
      <c r="N21" s="10">
        <v>0.80998363</v>
      </c>
      <c r="O21" s="10">
        <v>1.273041699</v>
      </c>
      <c r="P21" s="10">
        <v>1.386191646</v>
      </c>
      <c r="Q21" s="10">
        <v>1.888388593</v>
      </c>
      <c r="R21" s="10">
        <v>0.282827741</v>
      </c>
      <c r="S21" s="10">
        <v>0.633586406</v>
      </c>
      <c r="T21" s="10">
        <v>0.608045014</v>
      </c>
      <c r="U21" s="10">
        <v>0.923463838</v>
      </c>
      <c r="V21" s="10">
        <v>0.938243813</v>
      </c>
      <c r="W21" s="10">
        <v>0.80201005</v>
      </c>
      <c r="X21" s="10">
        <v>0.807866868</v>
      </c>
    </row>
    <row r="22" spans="1:24">
      <c r="A22" s="10" t="s">
        <v>58</v>
      </c>
      <c r="B22" s="10" t="str">
        <f t="shared" si="2"/>
        <v>A/T</v>
      </c>
      <c r="C22" s="10">
        <v>0.347792529</v>
      </c>
      <c r="D22" s="10">
        <v>0.321371306</v>
      </c>
      <c r="E22" s="10">
        <v>0.279445428</v>
      </c>
      <c r="F22" s="10">
        <v>2.054509009</v>
      </c>
      <c r="G22" s="10">
        <v>0.20843033</v>
      </c>
      <c r="H22" s="10">
        <v>0.141789189</v>
      </c>
      <c r="I22" s="10">
        <v>0</v>
      </c>
      <c r="J22" s="10">
        <v>1.561097422</v>
      </c>
      <c r="K22" s="10">
        <v>0.16558527</v>
      </c>
      <c r="L22" s="10">
        <v>0.50228429</v>
      </c>
      <c r="M22" s="10">
        <v>0.4436248</v>
      </c>
      <c r="N22" s="10">
        <v>0.244025531</v>
      </c>
      <c r="O22" s="10">
        <v>0.207768707</v>
      </c>
      <c r="P22" s="10">
        <v>0.573684304</v>
      </c>
      <c r="Q22" s="10">
        <v>1.652555478</v>
      </c>
      <c r="R22" s="10">
        <v>0.09398756</v>
      </c>
      <c r="S22" s="10">
        <v>0.119362445</v>
      </c>
      <c r="T22" s="10">
        <v>0.116339752</v>
      </c>
      <c r="U22" s="10">
        <v>0.466312194</v>
      </c>
      <c r="V22" s="10">
        <v>0.486349914</v>
      </c>
      <c r="W22" s="10">
        <v>0.39227241</v>
      </c>
      <c r="X22" s="10">
        <v>0.39377709</v>
      </c>
    </row>
    <row r="23" spans="1:24">
      <c r="A23" s="10" t="s">
        <v>59</v>
      </c>
      <c r="B23" s="10" t="str">
        <f t="shared" si="2"/>
        <v>G/C</v>
      </c>
      <c r="C23" s="10">
        <v>1.400390132</v>
      </c>
      <c r="D23" s="10">
        <v>0.73619913</v>
      </c>
      <c r="E23" s="10">
        <v>0.607653436</v>
      </c>
      <c r="F23" s="10">
        <v>0.109986105</v>
      </c>
      <c r="G23" s="10">
        <v>1.264848311</v>
      </c>
      <c r="H23" s="10">
        <v>2.328774362</v>
      </c>
      <c r="I23" s="10">
        <v>0</v>
      </c>
      <c r="J23" s="10">
        <v>0.192346492</v>
      </c>
      <c r="K23" s="10">
        <v>0.759206488</v>
      </c>
      <c r="L23" s="10">
        <v>1.163555186</v>
      </c>
      <c r="M23" s="10">
        <v>1.258696417</v>
      </c>
      <c r="N23" s="10">
        <v>1.384722428</v>
      </c>
      <c r="O23" s="10">
        <v>0.806152454</v>
      </c>
      <c r="P23" s="10">
        <v>0.532622837</v>
      </c>
      <c r="Q23" s="10">
        <v>0.281003423</v>
      </c>
      <c r="R23" s="10">
        <v>2.097011057</v>
      </c>
      <c r="S23" s="10">
        <v>1.84693908</v>
      </c>
      <c r="T23" s="10">
        <v>1.880780997</v>
      </c>
      <c r="U23" s="10">
        <v>1.464488085</v>
      </c>
      <c r="V23" s="10">
        <v>1.421461797</v>
      </c>
      <c r="W23" s="10">
        <v>1.663940388</v>
      </c>
      <c r="X23" s="10">
        <v>1.66512456</v>
      </c>
    </row>
    <row r="24" spans="1:24">
      <c r="A24" s="10" t="s">
        <v>60</v>
      </c>
      <c r="B24" s="10" t="str">
        <f t="shared" si="2"/>
        <v>A/T</v>
      </c>
      <c r="C24" s="10">
        <v>1.25181734</v>
      </c>
      <c r="D24" s="10">
        <v>1.942429564</v>
      </c>
      <c r="E24" s="10">
        <v>2.112901136</v>
      </c>
      <c r="F24" s="10">
        <v>0.835504886</v>
      </c>
      <c r="G24" s="10">
        <v>1.526721358</v>
      </c>
      <c r="H24" s="10">
        <v>0.529436449</v>
      </c>
      <c r="I24" s="10">
        <v>0</v>
      </c>
      <c r="J24" s="10">
        <v>1.246556087</v>
      </c>
      <c r="K24" s="10">
        <v>2.075208242</v>
      </c>
      <c r="L24" s="10">
        <v>1.334160523</v>
      </c>
      <c r="M24" s="10">
        <v>1.297678783</v>
      </c>
      <c r="N24" s="10">
        <v>1.371252041</v>
      </c>
      <c r="O24" s="10">
        <v>1.986078839</v>
      </c>
      <c r="P24" s="10">
        <v>1.893692859</v>
      </c>
      <c r="Q24" s="10">
        <v>1.066441099</v>
      </c>
      <c r="R24" s="10">
        <v>0.809001382</v>
      </c>
      <c r="S24" s="10">
        <v>1.033698475</v>
      </c>
      <c r="T24" s="10">
        <v>1.002879251</v>
      </c>
      <c r="U24" s="10">
        <v>1.069199721</v>
      </c>
      <c r="V24" s="10">
        <v>1.09218829</v>
      </c>
      <c r="W24" s="10">
        <v>0.943787202</v>
      </c>
      <c r="X24" s="10">
        <v>0.941098349</v>
      </c>
    </row>
    <row r="25" spans="1:24">
      <c r="A25" s="10" t="s">
        <v>61</v>
      </c>
      <c r="B25" s="10" t="str">
        <f t="shared" si="2"/>
        <v>A/T</v>
      </c>
      <c r="C25" s="10">
        <v>0.3029693</v>
      </c>
      <c r="D25" s="10">
        <v>1.666918341</v>
      </c>
      <c r="E25" s="10">
        <v>1.596565708</v>
      </c>
      <c r="F25" s="10">
        <v>1.737026879</v>
      </c>
      <c r="G25" s="10">
        <v>0.693746318</v>
      </c>
      <c r="H25" s="10">
        <v>0.198947657</v>
      </c>
      <c r="I25" s="10">
        <v>1.511270737</v>
      </c>
      <c r="J25" s="10">
        <v>1.737289422</v>
      </c>
      <c r="K25" s="10">
        <v>1.689999117</v>
      </c>
      <c r="L25" s="10">
        <v>0.339483722</v>
      </c>
      <c r="M25" s="10">
        <v>0.276400921</v>
      </c>
      <c r="N25" s="10">
        <v>0.379497113</v>
      </c>
      <c r="O25" s="10">
        <v>1.629311403</v>
      </c>
      <c r="P25" s="10">
        <v>1.476740025</v>
      </c>
      <c r="Q25" s="10">
        <v>1.720160307</v>
      </c>
      <c r="R25" s="10">
        <v>0.3281471</v>
      </c>
      <c r="S25" s="10">
        <v>0.736911979</v>
      </c>
      <c r="T25" s="10">
        <v>0.706394045</v>
      </c>
      <c r="U25" s="10">
        <v>0.459319986</v>
      </c>
      <c r="V25" s="10">
        <v>0.472883672</v>
      </c>
      <c r="W25" s="10">
        <v>0.389131059</v>
      </c>
      <c r="X25" s="10">
        <v>0.3857489</v>
      </c>
    </row>
    <row r="26" spans="1:24">
      <c r="A26" s="10" t="s">
        <v>62</v>
      </c>
      <c r="B26" s="10" t="str">
        <f t="shared" si="2"/>
        <v>G/C</v>
      </c>
      <c r="C26" s="10">
        <v>0.558056661</v>
      </c>
      <c r="D26" s="10">
        <v>0.442748092</v>
      </c>
      <c r="E26" s="10">
        <v>0.403145695</v>
      </c>
      <c r="F26" s="10">
        <v>0.325656133</v>
      </c>
      <c r="G26" s="10">
        <v>0.861328836</v>
      </c>
      <c r="H26" s="10">
        <v>1.643325538</v>
      </c>
      <c r="I26" s="10">
        <v>0.670982269</v>
      </c>
      <c r="J26" s="10">
        <v>0.321759579</v>
      </c>
      <c r="K26" s="10">
        <v>0.565836549</v>
      </c>
      <c r="L26" s="10">
        <v>0.518045272</v>
      </c>
      <c r="M26" s="10">
        <v>0.478345524</v>
      </c>
      <c r="N26" s="10">
        <v>0.615125342</v>
      </c>
      <c r="O26" s="10">
        <v>0.75069462</v>
      </c>
      <c r="P26" s="10">
        <v>0.367256259</v>
      </c>
      <c r="Q26" s="10">
        <v>0.428571429</v>
      </c>
      <c r="R26" s="10">
        <v>1.245158315</v>
      </c>
      <c r="S26" s="10">
        <v>1.356387709</v>
      </c>
      <c r="T26" s="10">
        <v>1.377015925</v>
      </c>
      <c r="U26" s="10">
        <v>1.184267316</v>
      </c>
      <c r="V26" s="10">
        <v>1.164066852</v>
      </c>
      <c r="W26" s="10">
        <v>1.309084224</v>
      </c>
      <c r="X26" s="10">
        <v>1.314156171</v>
      </c>
    </row>
    <row r="27" spans="1:24">
      <c r="A27" s="10" t="s">
        <v>63</v>
      </c>
      <c r="B27" s="10" t="str">
        <f t="shared" si="2"/>
        <v>G/C</v>
      </c>
      <c r="C27" s="10">
        <v>1.6970307</v>
      </c>
      <c r="D27" s="10">
        <v>0.333081659</v>
      </c>
      <c r="E27" s="10">
        <v>0.403434292</v>
      </c>
      <c r="F27" s="10">
        <v>0.262973121</v>
      </c>
      <c r="G27" s="10">
        <v>1.306253682</v>
      </c>
      <c r="H27" s="10">
        <v>1.801052343</v>
      </c>
      <c r="I27" s="10">
        <v>0.488729263</v>
      </c>
      <c r="J27" s="10">
        <v>0.262710578</v>
      </c>
      <c r="K27" s="10">
        <v>0.310000883</v>
      </c>
      <c r="L27" s="10">
        <v>1.660516278</v>
      </c>
      <c r="M27" s="10">
        <v>1.723599079</v>
      </c>
      <c r="N27" s="10">
        <v>1.620502887</v>
      </c>
      <c r="O27" s="10">
        <v>0.370688597</v>
      </c>
      <c r="P27" s="10">
        <v>0.523259975</v>
      </c>
      <c r="Q27" s="10">
        <v>0.279839693</v>
      </c>
      <c r="R27" s="10">
        <v>1.6718529</v>
      </c>
      <c r="S27" s="10">
        <v>1.263088021</v>
      </c>
      <c r="T27" s="10">
        <v>1.293605955</v>
      </c>
      <c r="U27" s="10">
        <v>1.540680014</v>
      </c>
      <c r="V27" s="10">
        <v>1.527116328</v>
      </c>
      <c r="W27" s="10">
        <v>1.610868941</v>
      </c>
      <c r="X27" s="10">
        <v>1.6142511</v>
      </c>
    </row>
    <row r="28" spans="1:24">
      <c r="A28" s="10" t="s">
        <v>64</v>
      </c>
      <c r="B28" s="10" t="str">
        <f t="shared" si="2"/>
        <v>A/T</v>
      </c>
      <c r="C28" s="10">
        <v>1.441943339</v>
      </c>
      <c r="D28" s="10">
        <v>1.557251908</v>
      </c>
      <c r="E28" s="10">
        <v>1.596854305</v>
      </c>
      <c r="F28" s="10">
        <v>1.674343867</v>
      </c>
      <c r="G28" s="10">
        <v>1.138671164</v>
      </c>
      <c r="H28" s="10">
        <v>0.356674462</v>
      </c>
      <c r="I28" s="10">
        <v>1.329017731</v>
      </c>
      <c r="J28" s="10">
        <v>1.678240421</v>
      </c>
      <c r="K28" s="10">
        <v>1.434163451</v>
      </c>
      <c r="L28" s="10">
        <v>1.481954728</v>
      </c>
      <c r="M28" s="10">
        <v>1.521654476</v>
      </c>
      <c r="N28" s="10">
        <v>1.384874658</v>
      </c>
      <c r="O28" s="10">
        <v>1.24930538</v>
      </c>
      <c r="P28" s="10">
        <v>1.632743741</v>
      </c>
      <c r="Q28" s="10">
        <v>1.571428571</v>
      </c>
      <c r="R28" s="10">
        <v>0.754841685</v>
      </c>
      <c r="S28" s="10">
        <v>0.643612291</v>
      </c>
      <c r="T28" s="10">
        <v>0.622984075</v>
      </c>
      <c r="U28" s="10">
        <v>0.815732684</v>
      </c>
      <c r="V28" s="10">
        <v>0.835933148</v>
      </c>
      <c r="W28" s="10">
        <v>0.690915776</v>
      </c>
      <c r="X28" s="10">
        <v>0.685843829</v>
      </c>
    </row>
    <row r="29" spans="1:24">
      <c r="A29" s="10" t="s">
        <v>65</v>
      </c>
      <c r="B29" s="10" t="str">
        <f t="shared" si="2"/>
        <v>A/T</v>
      </c>
      <c r="C29" s="10">
        <v>0.991783658</v>
      </c>
      <c r="D29" s="10">
        <v>1.954206373</v>
      </c>
      <c r="E29" s="10">
        <v>1.991362876</v>
      </c>
      <c r="F29" s="10">
        <v>2.173238236</v>
      </c>
      <c r="G29" s="10">
        <v>0.761328488</v>
      </c>
      <c r="H29" s="10">
        <v>0.109624485</v>
      </c>
      <c r="I29" s="10">
        <v>1.976747136</v>
      </c>
      <c r="J29" s="10">
        <v>1.835365452</v>
      </c>
      <c r="K29" s="10">
        <v>1.260243979</v>
      </c>
      <c r="L29" s="10">
        <v>0.915073762</v>
      </c>
      <c r="M29" s="10">
        <v>1.145858869</v>
      </c>
      <c r="N29" s="10">
        <v>0.526338391</v>
      </c>
      <c r="O29" s="10">
        <v>2.183973876</v>
      </c>
      <c r="P29" s="10">
        <v>0.708218063</v>
      </c>
      <c r="Q29" s="10">
        <v>2.138760407</v>
      </c>
      <c r="R29" s="10">
        <v>0.179281858</v>
      </c>
      <c r="S29" s="10">
        <v>1.319424688</v>
      </c>
      <c r="T29" s="10">
        <v>1.278852285</v>
      </c>
      <c r="U29" s="10">
        <v>1.045865178</v>
      </c>
      <c r="V29" s="10">
        <v>1.07014966</v>
      </c>
      <c r="W29" s="10">
        <v>0.93597447</v>
      </c>
      <c r="X29" s="10">
        <v>0.93617498</v>
      </c>
    </row>
    <row r="30" spans="1:24">
      <c r="A30" s="10" t="s">
        <v>66</v>
      </c>
      <c r="B30" s="10" t="str">
        <f t="shared" si="2"/>
        <v>G/C</v>
      </c>
      <c r="C30" s="10">
        <v>0.167561623</v>
      </c>
      <c r="D30" s="10">
        <v>0.242335389</v>
      </c>
      <c r="E30" s="10">
        <v>0.253666887</v>
      </c>
      <c r="F30" s="10">
        <v>0.055084556</v>
      </c>
      <c r="G30" s="10">
        <v>0.492723739</v>
      </c>
      <c r="H30" s="10">
        <v>2.643924693</v>
      </c>
      <c r="I30" s="10">
        <v>0.355134655</v>
      </c>
      <c r="J30" s="10">
        <v>0.13866737</v>
      </c>
      <c r="K30" s="10">
        <v>0.282139506</v>
      </c>
      <c r="L30" s="10">
        <v>0.428735605</v>
      </c>
      <c r="M30" s="10">
        <v>0.188641802</v>
      </c>
      <c r="N30" s="10">
        <v>1.228743201</v>
      </c>
      <c r="O30" s="10">
        <v>0.181060035</v>
      </c>
      <c r="P30" s="10">
        <v>0.526823976</v>
      </c>
      <c r="Q30" s="10">
        <v>0.078445883</v>
      </c>
      <c r="R30" s="10">
        <v>1.830501105</v>
      </c>
      <c r="S30" s="10">
        <v>0.552341815</v>
      </c>
      <c r="T30" s="10">
        <v>0.564293305</v>
      </c>
      <c r="U30" s="10">
        <v>1.283761248</v>
      </c>
      <c r="V30" s="10">
        <v>1.254204082</v>
      </c>
      <c r="W30" s="10">
        <v>1.42694228</v>
      </c>
      <c r="X30" s="10">
        <v>1.429934373</v>
      </c>
    </row>
    <row r="31" spans="1:24">
      <c r="A31" s="10" t="s">
        <v>67</v>
      </c>
      <c r="B31" s="10" t="str">
        <f t="shared" si="2"/>
        <v>G/C</v>
      </c>
      <c r="C31" s="10">
        <v>2.277544155</v>
      </c>
      <c r="D31" s="10">
        <v>0.543659178</v>
      </c>
      <c r="E31" s="10">
        <v>0.560245886</v>
      </c>
      <c r="F31" s="10">
        <v>0.177095949</v>
      </c>
      <c r="G31" s="10">
        <v>2.11740049</v>
      </c>
      <c r="H31" s="10">
        <v>1.070438838</v>
      </c>
      <c r="I31" s="10">
        <v>0.627404558</v>
      </c>
      <c r="J31" s="10">
        <v>0.2628353</v>
      </c>
      <c r="K31" s="10">
        <v>1.685799187</v>
      </c>
      <c r="L31" s="10">
        <v>1.636888149</v>
      </c>
      <c r="M31" s="10">
        <v>1.948053464</v>
      </c>
      <c r="N31" s="10">
        <v>0.684511881</v>
      </c>
      <c r="O31" s="10">
        <v>0.451745793</v>
      </c>
      <c r="P31" s="10">
        <v>1.297965826</v>
      </c>
      <c r="Q31" s="10">
        <v>0.05106383</v>
      </c>
      <c r="R31" s="10">
        <v>1.555418675</v>
      </c>
      <c r="S31" s="10">
        <v>1.424793214</v>
      </c>
      <c r="T31" s="10">
        <v>1.454410202</v>
      </c>
      <c r="U31" s="10">
        <v>0.523735207</v>
      </c>
      <c r="V31" s="10">
        <v>0.518603175</v>
      </c>
      <c r="W31" s="10">
        <v>0.60059991</v>
      </c>
      <c r="X31" s="10">
        <v>0.606865134</v>
      </c>
    </row>
    <row r="32" spans="1:24">
      <c r="A32" s="10" t="s">
        <v>68</v>
      </c>
      <c r="B32" s="10" t="str">
        <f t="shared" si="2"/>
        <v>A/T</v>
      </c>
      <c r="C32" s="10">
        <v>0.563110565</v>
      </c>
      <c r="D32" s="10">
        <v>1.25979906</v>
      </c>
      <c r="E32" s="10">
        <v>1.194724351</v>
      </c>
      <c r="F32" s="10">
        <v>1.594581259</v>
      </c>
      <c r="G32" s="10">
        <v>0.628547283</v>
      </c>
      <c r="H32" s="10">
        <v>0.176011984</v>
      </c>
      <c r="I32" s="10">
        <v>1.040713652</v>
      </c>
      <c r="J32" s="10">
        <v>1.763131879</v>
      </c>
      <c r="K32" s="10">
        <v>0.771817329</v>
      </c>
      <c r="L32" s="10">
        <v>1.019302484</v>
      </c>
      <c r="M32" s="10">
        <v>0.717445865</v>
      </c>
      <c r="N32" s="10">
        <v>1.560406527</v>
      </c>
      <c r="O32" s="10">
        <v>1.183220296</v>
      </c>
      <c r="P32" s="10">
        <v>1.466992135</v>
      </c>
      <c r="Q32" s="10">
        <v>1.73172988</v>
      </c>
      <c r="R32" s="10">
        <v>0.434798362</v>
      </c>
      <c r="S32" s="10">
        <v>0.703440282</v>
      </c>
      <c r="T32" s="10">
        <v>0.702444208</v>
      </c>
      <c r="U32" s="10">
        <v>1.146638367</v>
      </c>
      <c r="V32" s="10">
        <v>1.157043084</v>
      </c>
      <c r="W32" s="10">
        <v>1.03648334</v>
      </c>
      <c r="X32" s="10">
        <v>1.027025513</v>
      </c>
    </row>
    <row r="33" spans="1:24">
      <c r="A33" s="10" t="s">
        <v>69</v>
      </c>
      <c r="B33" s="10" t="str">
        <f t="shared" si="2"/>
        <v>A/T</v>
      </c>
      <c r="C33" s="10">
        <v>0.426422247</v>
      </c>
      <c r="D33" s="10">
        <v>0.758109015</v>
      </c>
      <c r="E33" s="10">
        <v>1.094430826</v>
      </c>
      <c r="F33" s="10">
        <v>0.125267545</v>
      </c>
      <c r="G33" s="10">
        <v>0.380057745</v>
      </c>
      <c r="H33" s="10">
        <v>0.097566471</v>
      </c>
      <c r="I33" s="10">
        <v>1.160972559</v>
      </c>
      <c r="J33" s="10">
        <v>0.136193564</v>
      </c>
      <c r="K33" s="10">
        <v>0.521360305</v>
      </c>
      <c r="L33" s="10">
        <v>0.427197659</v>
      </c>
      <c r="M33" s="10">
        <v>0.5902905</v>
      </c>
      <c r="N33" s="10">
        <v>0.398128749</v>
      </c>
      <c r="O33" s="10">
        <v>0.608541366</v>
      </c>
      <c r="P33" s="10">
        <v>1.30137741</v>
      </c>
      <c r="Q33" s="10">
        <v>0.032709275</v>
      </c>
      <c r="R33" s="10">
        <v>0.26825922</v>
      </c>
      <c r="S33" s="10">
        <v>0.210553148</v>
      </c>
      <c r="T33" s="10">
        <v>0.199744246</v>
      </c>
      <c r="U33" s="10">
        <v>0.739880643</v>
      </c>
      <c r="V33" s="10">
        <v>0.747002732</v>
      </c>
      <c r="W33" s="10">
        <v>0.675154477</v>
      </c>
      <c r="X33" s="10">
        <v>0.676459212</v>
      </c>
    </row>
    <row r="34" spans="1:24">
      <c r="A34" s="10" t="s">
        <v>70</v>
      </c>
      <c r="B34" s="10" t="str">
        <f t="shared" si="2"/>
        <v>G/C</v>
      </c>
      <c r="C34" s="10">
        <v>0.67677616</v>
      </c>
      <c r="D34" s="10">
        <v>1.095220342</v>
      </c>
      <c r="E34" s="10">
        <v>0.639091254</v>
      </c>
      <c r="F34" s="10">
        <v>0.034020502</v>
      </c>
      <c r="G34" s="10">
        <v>2.407547477</v>
      </c>
      <c r="H34" s="10">
        <v>2.576460868</v>
      </c>
      <c r="I34" s="10">
        <v>0.813853491</v>
      </c>
      <c r="J34" s="10">
        <v>0.023946121</v>
      </c>
      <c r="K34" s="10">
        <v>1.866401</v>
      </c>
      <c r="L34" s="10">
        <v>0.725201213</v>
      </c>
      <c r="M34" s="10">
        <v>0.640669982</v>
      </c>
      <c r="N34" s="10">
        <v>1.042504951</v>
      </c>
      <c r="O34" s="10">
        <v>1.014813287</v>
      </c>
      <c r="P34" s="10">
        <v>0.14369146</v>
      </c>
      <c r="Q34" s="10">
        <v>0.007531741</v>
      </c>
      <c r="R34" s="10">
        <v>3.763860867</v>
      </c>
      <c r="S34" s="10">
        <v>1.593678307</v>
      </c>
      <c r="T34" s="10">
        <v>1.586189258</v>
      </c>
      <c r="U34" s="10">
        <v>1.043906146</v>
      </c>
      <c r="V34" s="10">
        <v>0.995371661</v>
      </c>
      <c r="W34" s="10">
        <v>1.185897177</v>
      </c>
      <c r="X34" s="10">
        <v>1.177638959</v>
      </c>
    </row>
    <row r="35" spans="1:24">
      <c r="A35" s="10" t="s">
        <v>71</v>
      </c>
      <c r="B35" s="10" t="str">
        <f t="shared" si="2"/>
        <v>G/C</v>
      </c>
      <c r="C35" s="10">
        <v>0.920651678</v>
      </c>
      <c r="D35" s="10">
        <v>0.325702781</v>
      </c>
      <c r="E35" s="10">
        <v>0.156199289</v>
      </c>
      <c r="F35" s="10">
        <v>0.006308438</v>
      </c>
      <c r="G35" s="10">
        <v>0.579724289</v>
      </c>
      <c r="H35" s="10">
        <v>2.451028992</v>
      </c>
      <c r="I35" s="10">
        <v>1.416386522</v>
      </c>
      <c r="J35" s="10">
        <v>0.024245448</v>
      </c>
      <c r="K35" s="10">
        <v>0.373037047</v>
      </c>
      <c r="L35" s="10">
        <v>0.668339082</v>
      </c>
      <c r="M35" s="10">
        <v>0.539649306</v>
      </c>
      <c r="N35" s="10">
        <v>1.050942801</v>
      </c>
      <c r="O35" s="10">
        <v>0.148793068</v>
      </c>
      <c r="P35" s="10">
        <v>0.31030303</v>
      </c>
      <c r="Q35" s="10">
        <v>0.005379815</v>
      </c>
      <c r="R35" s="10">
        <v>0.298765233</v>
      </c>
      <c r="S35" s="10">
        <v>2.244710681</v>
      </c>
      <c r="T35" s="10">
        <v>2.320204604</v>
      </c>
      <c r="U35" s="10">
        <v>1.292219586</v>
      </c>
      <c r="V35" s="10">
        <v>1.251491663</v>
      </c>
      <c r="W35" s="10">
        <v>1.432636</v>
      </c>
      <c r="X35" s="10">
        <v>1.447433567</v>
      </c>
    </row>
    <row r="36" spans="1:24">
      <c r="A36" s="10" t="s">
        <v>72</v>
      </c>
      <c r="B36" s="10" t="str">
        <f t="shared" si="2"/>
        <v>A/T</v>
      </c>
      <c r="C36" s="10">
        <v>1.422079324</v>
      </c>
      <c r="D36" s="10">
        <v>2.502497949</v>
      </c>
      <c r="E36" s="10">
        <v>2.830231675</v>
      </c>
      <c r="F36" s="10">
        <v>0.289286921</v>
      </c>
      <c r="G36" s="10">
        <v>2.301085763</v>
      </c>
      <c r="H36" s="10">
        <v>0.263632267</v>
      </c>
      <c r="I36" s="10">
        <v>1.931905246</v>
      </c>
      <c r="J36" s="10">
        <v>0.22509354</v>
      </c>
      <c r="K36" s="10">
        <v>2.759582588</v>
      </c>
      <c r="L36" s="10">
        <v>1.369499321</v>
      </c>
      <c r="M36" s="10">
        <v>1.683459827</v>
      </c>
      <c r="N36" s="10">
        <v>1.603708062</v>
      </c>
      <c r="O36" s="10">
        <v>3.338064782</v>
      </c>
      <c r="P36" s="10">
        <v>0.692892562</v>
      </c>
      <c r="Q36" s="10">
        <v>0.219281257</v>
      </c>
      <c r="R36" s="10">
        <v>1.319506093</v>
      </c>
      <c r="S36" s="10">
        <v>0.613051236</v>
      </c>
      <c r="T36" s="10">
        <v>0.598209719</v>
      </c>
      <c r="U36" s="10">
        <v>0.513418341</v>
      </c>
      <c r="V36" s="10">
        <v>0.513243741</v>
      </c>
      <c r="W36" s="10">
        <v>0.470457574</v>
      </c>
      <c r="X36" s="10">
        <v>0.466599621</v>
      </c>
    </row>
    <row r="37" spans="1:24">
      <c r="A37" s="10" t="s">
        <v>73</v>
      </c>
      <c r="B37" s="10" t="str">
        <f t="shared" si="2"/>
        <v>A/T</v>
      </c>
      <c r="C37" s="10">
        <v>0.148877708</v>
      </c>
      <c r="D37" s="10">
        <v>0.66100674</v>
      </c>
      <c r="E37" s="10">
        <v>0.503615351</v>
      </c>
      <c r="F37" s="10">
        <v>0.757385077</v>
      </c>
      <c r="G37" s="10">
        <v>0.218320012</v>
      </c>
      <c r="H37" s="10">
        <v>0.066606038</v>
      </c>
      <c r="I37" s="10">
        <v>0.577246327</v>
      </c>
      <c r="J37" s="10">
        <v>0.580782842</v>
      </c>
      <c r="K37" s="10">
        <v>0.349032349</v>
      </c>
      <c r="L37" s="10">
        <v>0.152554681</v>
      </c>
      <c r="M37" s="10">
        <v>0.126986847</v>
      </c>
      <c r="N37" s="10">
        <v>0.101655165</v>
      </c>
      <c r="O37" s="10">
        <v>0.498419356</v>
      </c>
      <c r="P37" s="10">
        <v>0.387993963</v>
      </c>
      <c r="Q37" s="10">
        <v>0.782608696</v>
      </c>
      <c r="R37" s="10">
        <v>0.153592325</v>
      </c>
      <c r="S37" s="10">
        <v>0.205324447</v>
      </c>
      <c r="T37" s="10">
        <v>0.190142771</v>
      </c>
      <c r="U37" s="10">
        <v>0.383666127</v>
      </c>
      <c r="V37" s="10">
        <v>0.39397444</v>
      </c>
      <c r="W37" s="10">
        <v>0.325419684</v>
      </c>
      <c r="X37" s="10">
        <v>0.325082653</v>
      </c>
    </row>
    <row r="38" spans="1:24">
      <c r="A38" s="10" t="s">
        <v>74</v>
      </c>
      <c r="B38" s="10" t="str">
        <f t="shared" si="2"/>
        <v>G/C</v>
      </c>
      <c r="C38" s="10">
        <v>0.476108911</v>
      </c>
      <c r="D38" s="10">
        <v>0.2172666</v>
      </c>
      <c r="E38" s="10">
        <v>0.226386681</v>
      </c>
      <c r="F38" s="10">
        <v>0.029698278</v>
      </c>
      <c r="G38" s="10">
        <v>0.627244859</v>
      </c>
      <c r="H38" s="10">
        <v>1.23399298</v>
      </c>
      <c r="I38" s="10">
        <v>0.383840109</v>
      </c>
      <c r="J38" s="10">
        <v>0.058366382</v>
      </c>
      <c r="K38" s="10">
        <v>0.26147761</v>
      </c>
      <c r="L38" s="10">
        <v>0.410772024</v>
      </c>
      <c r="M38" s="10">
        <v>0.463476286</v>
      </c>
      <c r="N38" s="10">
        <v>0.458297391</v>
      </c>
      <c r="O38" s="10">
        <v>0.381326489</v>
      </c>
      <c r="P38" s="10">
        <v>0.188129485</v>
      </c>
      <c r="Q38" s="10">
        <v>0.095514584</v>
      </c>
      <c r="R38" s="10">
        <v>1.93740645</v>
      </c>
      <c r="S38" s="10">
        <v>0.634649187</v>
      </c>
      <c r="T38" s="10">
        <v>0.642634429</v>
      </c>
      <c r="U38" s="10">
        <v>1.153976884</v>
      </c>
      <c r="V38" s="10">
        <v>1.125882788</v>
      </c>
      <c r="W38" s="10">
        <v>1.262805422</v>
      </c>
      <c r="X38" s="10">
        <v>1.261562056</v>
      </c>
    </row>
    <row r="39" spans="1:24">
      <c r="A39" s="10" t="s">
        <v>75</v>
      </c>
      <c r="B39" s="10" t="str">
        <f t="shared" si="2"/>
        <v>G/C</v>
      </c>
      <c r="C39" s="10">
        <v>2.195696392</v>
      </c>
      <c r="D39" s="10">
        <v>0.262010612</v>
      </c>
      <c r="E39" s="10">
        <v>0.166867851</v>
      </c>
      <c r="F39" s="10">
        <v>0.066505187</v>
      </c>
      <c r="G39" s="10">
        <v>2.991979396</v>
      </c>
      <c r="H39" s="10">
        <v>4.060082224</v>
      </c>
      <c r="I39" s="10">
        <v>0.314656645</v>
      </c>
      <c r="J39" s="10">
        <v>0.134765521</v>
      </c>
      <c r="K39" s="10">
        <v>0.399039412</v>
      </c>
      <c r="L39" s="10">
        <v>2.268297744</v>
      </c>
      <c r="M39" s="10">
        <v>2.300544107</v>
      </c>
      <c r="N39" s="10">
        <v>2.982046582</v>
      </c>
      <c r="O39" s="10">
        <v>0.299633791</v>
      </c>
      <c r="P39" s="10">
        <v>0.461360766</v>
      </c>
      <c r="Q39" s="10">
        <v>0.08346175</v>
      </c>
      <c r="R39" s="10">
        <v>2.340828684</v>
      </c>
      <c r="S39" s="10">
        <v>2.170133294</v>
      </c>
      <c r="T39" s="10">
        <v>2.211585799</v>
      </c>
      <c r="U39" s="10">
        <v>2.370817686</v>
      </c>
      <c r="V39" s="10">
        <v>2.314604235</v>
      </c>
      <c r="W39" s="10">
        <v>2.678910264</v>
      </c>
      <c r="X39" s="10">
        <v>2.679103446</v>
      </c>
    </row>
    <row r="40" spans="1:24">
      <c r="A40" s="10" t="s">
        <v>76</v>
      </c>
      <c r="B40" s="10" t="str">
        <f t="shared" si="2"/>
        <v>A/T</v>
      </c>
      <c r="C40" s="10">
        <v>1.822717054</v>
      </c>
      <c r="D40" s="10">
        <v>0.673827621</v>
      </c>
      <c r="E40" s="10">
        <v>0.884177314</v>
      </c>
      <c r="F40" s="10">
        <v>1.011716076</v>
      </c>
      <c r="G40" s="10">
        <v>0.618132445</v>
      </c>
      <c r="H40" s="10">
        <v>0.269535742</v>
      </c>
      <c r="I40" s="10">
        <v>1.399760847</v>
      </c>
      <c r="J40" s="10">
        <v>1.123046007</v>
      </c>
      <c r="K40" s="10">
        <v>0.66433112</v>
      </c>
      <c r="L40" s="10">
        <v>1.650920723</v>
      </c>
      <c r="M40" s="10">
        <v>1.823636519</v>
      </c>
      <c r="N40" s="10">
        <v>0.724606427</v>
      </c>
      <c r="O40" s="10">
        <v>1.574509374</v>
      </c>
      <c r="P40" s="10">
        <v>0.816367388</v>
      </c>
      <c r="Q40" s="10">
        <v>1.238222345</v>
      </c>
      <c r="R40" s="10">
        <v>0.930738876</v>
      </c>
      <c r="S40" s="10">
        <v>0.677164201</v>
      </c>
      <c r="T40" s="10">
        <v>0.662217603</v>
      </c>
      <c r="U40" s="10">
        <v>0.802548663</v>
      </c>
      <c r="V40" s="10">
        <v>0.826412901</v>
      </c>
      <c r="W40" s="10">
        <v>0.672970216</v>
      </c>
      <c r="X40" s="10">
        <v>0.669926712</v>
      </c>
    </row>
    <row r="41" spans="1:24">
      <c r="A41" s="10" t="s">
        <v>77</v>
      </c>
      <c r="B41" s="10" t="str">
        <f t="shared" si="2"/>
        <v>A/T</v>
      </c>
      <c r="C41" s="10">
        <v>1.346535946</v>
      </c>
      <c r="D41" s="10">
        <v>1.645540098</v>
      </c>
      <c r="E41" s="10">
        <v>1.465194431</v>
      </c>
      <c r="F41" s="10">
        <v>1.630605016</v>
      </c>
      <c r="G41" s="10">
        <v>1.381194986</v>
      </c>
      <c r="H41" s="10">
        <v>0.294501038</v>
      </c>
      <c r="I41" s="10">
        <v>1.61437927</v>
      </c>
      <c r="J41" s="10">
        <v>1.715132937</v>
      </c>
      <c r="K41" s="10">
        <v>1.612891977</v>
      </c>
      <c r="L41" s="10">
        <v>1.295858582</v>
      </c>
      <c r="M41" s="10">
        <v>1.410820625</v>
      </c>
      <c r="N41" s="10">
        <v>1.659871851</v>
      </c>
      <c r="O41" s="10">
        <v>1.606156094</v>
      </c>
      <c r="P41" s="10">
        <v>1.579529129</v>
      </c>
      <c r="Q41" s="10">
        <v>1.236683849</v>
      </c>
      <c r="R41" s="10">
        <v>0.326985995</v>
      </c>
      <c r="S41" s="10">
        <v>1.527354152</v>
      </c>
      <c r="T41" s="10">
        <v>1.527880006</v>
      </c>
      <c r="U41" s="10">
        <v>0.841170747</v>
      </c>
      <c r="V41" s="10">
        <v>0.865549218</v>
      </c>
      <c r="W41" s="10">
        <v>0.72364134</v>
      </c>
      <c r="X41" s="10">
        <v>0.723762345</v>
      </c>
    </row>
    <row r="42" spans="1:24">
      <c r="A42" s="10" t="s">
        <v>78</v>
      </c>
      <c r="B42" s="10" t="str">
        <f t="shared" si="2"/>
        <v>G/C</v>
      </c>
      <c r="C42" s="10">
        <v>0.567691423</v>
      </c>
      <c r="D42" s="10">
        <v>0.382471217</v>
      </c>
      <c r="E42" s="10">
        <v>0.301668563</v>
      </c>
      <c r="F42" s="10">
        <v>0.269200025</v>
      </c>
      <c r="G42" s="10">
        <v>0.747900261</v>
      </c>
      <c r="H42" s="10">
        <v>1.637567799</v>
      </c>
      <c r="I42" s="10">
        <v>0</v>
      </c>
      <c r="J42" s="10">
        <v>0.24565986</v>
      </c>
      <c r="K42" s="10">
        <v>0.378827255</v>
      </c>
      <c r="L42" s="10">
        <v>0.594051404</v>
      </c>
      <c r="M42" s="10">
        <v>0.534018306</v>
      </c>
      <c r="N42" s="10">
        <v>0.85776579</v>
      </c>
      <c r="O42" s="10">
        <v>0.636093309</v>
      </c>
      <c r="P42" s="10">
        <v>0.479845444</v>
      </c>
      <c r="Q42" s="10">
        <v>0.232110161</v>
      </c>
      <c r="R42" s="10">
        <v>1.275540915</v>
      </c>
      <c r="S42" s="10">
        <v>1.392110341</v>
      </c>
      <c r="T42" s="10">
        <v>1.405179829</v>
      </c>
      <c r="U42" s="10">
        <v>1.068485103</v>
      </c>
      <c r="V42" s="10">
        <v>1.047051667</v>
      </c>
      <c r="W42" s="10">
        <v>1.183397221</v>
      </c>
      <c r="X42" s="10">
        <v>1.185032246</v>
      </c>
    </row>
    <row r="43" spans="1:24">
      <c r="A43" s="10" t="s">
        <v>79</v>
      </c>
      <c r="B43" s="10" t="str">
        <f t="shared" si="2"/>
        <v>G/C</v>
      </c>
      <c r="C43" s="10">
        <v>0.653464054</v>
      </c>
      <c r="D43" s="10">
        <v>0.354459902</v>
      </c>
      <c r="E43" s="10">
        <v>0.534805569</v>
      </c>
      <c r="F43" s="10">
        <v>0.369394984</v>
      </c>
      <c r="G43" s="10">
        <v>0.618805014</v>
      </c>
      <c r="H43" s="10">
        <v>1.705498962</v>
      </c>
      <c r="I43" s="10">
        <v>0.38562073</v>
      </c>
      <c r="J43" s="10">
        <v>0.284867063</v>
      </c>
      <c r="K43" s="10">
        <v>0.387108023</v>
      </c>
      <c r="L43" s="10">
        <v>0.704141418</v>
      </c>
      <c r="M43" s="10">
        <v>0.589179375</v>
      </c>
      <c r="N43" s="10">
        <v>0.340128149</v>
      </c>
      <c r="O43" s="10">
        <v>0.393843906</v>
      </c>
      <c r="P43" s="10">
        <v>0.420470871</v>
      </c>
      <c r="Q43" s="10">
        <v>0.763316151</v>
      </c>
      <c r="R43" s="10">
        <v>1.673014005</v>
      </c>
      <c r="S43" s="10">
        <v>0.472645848</v>
      </c>
      <c r="T43" s="10">
        <v>0.472119994</v>
      </c>
      <c r="U43" s="10">
        <v>1.158829253</v>
      </c>
      <c r="V43" s="10">
        <v>1.134450782</v>
      </c>
      <c r="W43" s="10">
        <v>1.27635866</v>
      </c>
      <c r="X43" s="10">
        <v>1.276237655</v>
      </c>
    </row>
    <row r="44" spans="1:24">
      <c r="A44" s="10" t="s">
        <v>80</v>
      </c>
      <c r="B44" s="10" t="str">
        <f t="shared" si="2"/>
        <v>A/T</v>
      </c>
      <c r="C44" s="10">
        <v>1.432308577</v>
      </c>
      <c r="D44" s="10">
        <v>1.617528783</v>
      </c>
      <c r="E44" s="10">
        <v>1.698331437</v>
      </c>
      <c r="F44" s="10">
        <v>1.730799975</v>
      </c>
      <c r="G44" s="10">
        <v>1.252099739</v>
      </c>
      <c r="H44" s="10">
        <v>0.362432201</v>
      </c>
      <c r="I44" s="10">
        <v>0</v>
      </c>
      <c r="J44" s="10">
        <v>1.75434014</v>
      </c>
      <c r="K44" s="10">
        <v>1.621172745</v>
      </c>
      <c r="L44" s="10">
        <v>1.405948596</v>
      </c>
      <c r="M44" s="10">
        <v>1.465981694</v>
      </c>
      <c r="N44" s="10">
        <v>1.14223421</v>
      </c>
      <c r="O44" s="10">
        <v>1.363906691</v>
      </c>
      <c r="P44" s="10">
        <v>1.520154556</v>
      </c>
      <c r="Q44" s="10">
        <v>1.767889839</v>
      </c>
      <c r="R44" s="10">
        <v>0.724459085</v>
      </c>
      <c r="S44" s="10">
        <v>0.607889659</v>
      </c>
      <c r="T44" s="10">
        <v>0.594820171</v>
      </c>
      <c r="U44" s="10">
        <v>0.931514897</v>
      </c>
      <c r="V44" s="10">
        <v>0.952948333</v>
      </c>
      <c r="W44" s="10">
        <v>0.816602779</v>
      </c>
      <c r="X44" s="10">
        <v>0.814967754</v>
      </c>
    </row>
    <row r="45" spans="1:24">
      <c r="A45" s="10" t="s">
        <v>81</v>
      </c>
      <c r="B45" s="10" t="str">
        <f t="shared" si="2"/>
        <v>A/T</v>
      </c>
      <c r="C45" s="10">
        <v>2.106243861</v>
      </c>
      <c r="D45" s="10">
        <v>1.225179552</v>
      </c>
      <c r="E45" s="10">
        <v>1.449114522</v>
      </c>
      <c r="F45" s="10">
        <v>1.863723433</v>
      </c>
      <c r="G45" s="10">
        <v>0.849063418</v>
      </c>
      <c r="H45" s="10">
        <v>0.174685019</v>
      </c>
      <c r="I45" s="10">
        <v>0</v>
      </c>
      <c r="J45" s="10">
        <v>1.898048795</v>
      </c>
      <c r="K45" s="10">
        <v>1.176813983</v>
      </c>
      <c r="L45" s="10">
        <v>1.985310272</v>
      </c>
      <c r="M45" s="10">
        <v>2.093394254</v>
      </c>
      <c r="N45" s="10">
        <v>1.607088592</v>
      </c>
      <c r="O45" s="10">
        <v>1.159983216</v>
      </c>
      <c r="P45" s="10">
        <v>1.513906615</v>
      </c>
      <c r="Q45" s="10">
        <v>1.335129005</v>
      </c>
      <c r="R45" s="10">
        <v>0.421585251</v>
      </c>
      <c r="S45" s="10">
        <v>0.560303057</v>
      </c>
      <c r="T45" s="10">
        <v>0.537702034</v>
      </c>
      <c r="U45" s="10">
        <v>0.873954203</v>
      </c>
      <c r="V45" s="10">
        <v>0.90200925</v>
      </c>
      <c r="W45" s="10">
        <v>0.763912893</v>
      </c>
      <c r="X45" s="10">
        <v>0.761537038</v>
      </c>
    </row>
    <row r="46" spans="1:24">
      <c r="A46" s="10" t="s">
        <v>82</v>
      </c>
      <c r="B46" s="10" t="str">
        <f t="shared" si="2"/>
        <v>G/C</v>
      </c>
      <c r="C46" s="10">
        <v>0.533015294</v>
      </c>
      <c r="D46" s="10">
        <v>0.743154888</v>
      </c>
      <c r="E46" s="10">
        <v>0.545454545</v>
      </c>
      <c r="F46" s="10">
        <v>0.15068868</v>
      </c>
      <c r="G46" s="10">
        <v>1.079935311</v>
      </c>
      <c r="H46" s="10">
        <v>2.459652562</v>
      </c>
      <c r="I46" s="10">
        <v>0</v>
      </c>
      <c r="J46" s="10">
        <v>0.224839338</v>
      </c>
      <c r="K46" s="10">
        <v>0.835754267</v>
      </c>
      <c r="L46" s="10">
        <v>0.637904668</v>
      </c>
      <c r="M46" s="10">
        <v>0.533983841</v>
      </c>
      <c r="N46" s="10">
        <v>0.841303988</v>
      </c>
      <c r="O46" s="10">
        <v>0.529880717</v>
      </c>
      <c r="P46" s="10">
        <v>0.646133841</v>
      </c>
      <c r="Q46" s="10">
        <v>0.152348549</v>
      </c>
      <c r="R46" s="10">
        <v>1.977768806</v>
      </c>
      <c r="S46" s="10">
        <v>1.835785393</v>
      </c>
      <c r="T46" s="10">
        <v>1.871885651</v>
      </c>
      <c r="U46" s="10">
        <v>1.603624667</v>
      </c>
      <c r="V46" s="10">
        <v>1.567634371</v>
      </c>
      <c r="W46" s="10">
        <v>1.75800372</v>
      </c>
      <c r="X46" s="10">
        <v>1.76632319</v>
      </c>
    </row>
    <row r="47" spans="1:24">
      <c r="A47" s="10" t="s">
        <v>83</v>
      </c>
      <c r="B47" s="10" t="str">
        <f t="shared" si="2"/>
        <v>G/C</v>
      </c>
      <c r="C47" s="10">
        <v>0.694598008</v>
      </c>
      <c r="D47" s="10">
        <v>0.718691532</v>
      </c>
      <c r="E47" s="10">
        <v>0.62463597</v>
      </c>
      <c r="F47" s="10">
        <v>0.164827146</v>
      </c>
      <c r="G47" s="10">
        <v>1.428315722</v>
      </c>
      <c r="H47" s="10">
        <v>1.237993778</v>
      </c>
      <c r="I47" s="10">
        <v>0</v>
      </c>
      <c r="J47" s="10">
        <v>0.166797522</v>
      </c>
      <c r="K47" s="10">
        <v>1.252223481</v>
      </c>
      <c r="L47" s="10">
        <v>0.526676288</v>
      </c>
      <c r="M47" s="10">
        <v>0.548542812</v>
      </c>
      <c r="N47" s="10">
        <v>0.708257488</v>
      </c>
      <c r="O47" s="10">
        <v>0.529241343</v>
      </c>
      <c r="P47" s="10">
        <v>0.636694199</v>
      </c>
      <c r="Q47" s="10">
        <v>0.050940365</v>
      </c>
      <c r="R47" s="10">
        <v>1.06096084</v>
      </c>
      <c r="S47" s="10">
        <v>0.515637389</v>
      </c>
      <c r="T47" s="10">
        <v>0.514040682</v>
      </c>
      <c r="U47" s="10">
        <v>0.472826461</v>
      </c>
      <c r="V47" s="10">
        <v>0.459896623</v>
      </c>
      <c r="W47" s="10">
        <v>0.53199019</v>
      </c>
      <c r="X47" s="10">
        <v>0.53997442</v>
      </c>
    </row>
    <row r="48" spans="1:24">
      <c r="A48" s="10" t="s">
        <v>84</v>
      </c>
      <c r="B48" s="10" t="str">
        <f t="shared" si="2"/>
        <v>A/T</v>
      </c>
      <c r="C48" s="10">
        <v>0.666142837</v>
      </c>
      <c r="D48" s="10">
        <v>1.312974028</v>
      </c>
      <c r="E48" s="10">
        <v>1.380794963</v>
      </c>
      <c r="F48" s="10">
        <v>1.820760741</v>
      </c>
      <c r="G48" s="10">
        <v>0.64268555</v>
      </c>
      <c r="H48" s="10">
        <v>0.127668641</v>
      </c>
      <c r="I48" s="10">
        <v>0</v>
      </c>
      <c r="J48" s="10">
        <v>1.710314345</v>
      </c>
      <c r="K48" s="10">
        <v>0.735208269</v>
      </c>
      <c r="L48" s="10">
        <v>0.850108773</v>
      </c>
      <c r="M48" s="10">
        <v>0.824079093</v>
      </c>
      <c r="N48" s="10">
        <v>0.843349932</v>
      </c>
      <c r="O48" s="10">
        <v>1.780894723</v>
      </c>
      <c r="P48" s="10">
        <v>1.203265345</v>
      </c>
      <c r="Q48" s="10">
        <v>2.461582081</v>
      </c>
      <c r="R48" s="10">
        <v>0.539685103</v>
      </c>
      <c r="S48" s="10">
        <v>1.088274161</v>
      </c>
      <c r="T48" s="10">
        <v>1.076371633</v>
      </c>
      <c r="U48" s="10">
        <v>1.04959467</v>
      </c>
      <c r="V48" s="10">
        <v>1.070459757</v>
      </c>
      <c r="W48" s="10">
        <v>0.946093197</v>
      </c>
      <c r="X48" s="10">
        <v>0.932165351</v>
      </c>
    </row>
    <row r="49" spans="1:24">
      <c r="A49" s="10" t="s">
        <v>85</v>
      </c>
      <c r="B49" s="10" t="str">
        <f t="shared" si="2"/>
        <v>A/T</v>
      </c>
      <c r="C49" s="10">
        <v>2.038892541</v>
      </c>
      <c r="D49" s="10">
        <v>1.000774666</v>
      </c>
      <c r="E49" s="10">
        <v>2.02582728</v>
      </c>
      <c r="F49" s="10">
        <v>2.015698707</v>
      </c>
      <c r="G49" s="10">
        <v>0.425722062</v>
      </c>
      <c r="H49" s="10">
        <v>0.222097273</v>
      </c>
      <c r="I49" s="10">
        <v>1.212294982</v>
      </c>
      <c r="J49" s="10">
        <v>2.312220847</v>
      </c>
      <c r="K49" s="10">
        <v>0.763473254</v>
      </c>
      <c r="L49" s="10">
        <v>1.81900668</v>
      </c>
      <c r="M49" s="10">
        <v>1.881866703</v>
      </c>
      <c r="N49" s="10">
        <v>0.709334336</v>
      </c>
      <c r="O49" s="10">
        <v>1.043069093</v>
      </c>
      <c r="P49" s="10">
        <v>2.781360737</v>
      </c>
      <c r="Q49" s="10">
        <v>2.844134289</v>
      </c>
      <c r="R49" s="10">
        <v>0.279092572</v>
      </c>
      <c r="S49" s="10">
        <v>0.329348974</v>
      </c>
      <c r="T49" s="10">
        <v>0.324393359</v>
      </c>
      <c r="U49" s="10">
        <v>1.000968733</v>
      </c>
      <c r="V49" s="10">
        <v>1.027193035</v>
      </c>
      <c r="W49" s="10">
        <v>0.883672998</v>
      </c>
      <c r="X49" s="10">
        <v>0.87829586</v>
      </c>
    </row>
    <row r="50" spans="1:24">
      <c r="A50" s="10" t="s">
        <v>86</v>
      </c>
      <c r="B50" s="10" t="str">
        <f t="shared" si="2"/>
        <v>G/C</v>
      </c>
      <c r="C50" s="10">
        <v>0.572664183</v>
      </c>
      <c r="D50" s="10">
        <v>0.803586939</v>
      </c>
      <c r="E50" s="10">
        <v>0.260194473</v>
      </c>
      <c r="F50" s="10">
        <v>0.191211016</v>
      </c>
      <c r="G50" s="10">
        <v>1.624040297</v>
      </c>
      <c r="H50" s="10">
        <v>2.448798145</v>
      </c>
      <c r="I50" s="10">
        <v>0.65352934</v>
      </c>
      <c r="J50" s="10">
        <v>0.179949416</v>
      </c>
      <c r="K50" s="10">
        <v>1.091696235</v>
      </c>
      <c r="L50" s="10">
        <v>0.686363688</v>
      </c>
      <c r="M50" s="10">
        <v>0.660955248</v>
      </c>
      <c r="N50" s="10">
        <v>1.59663492</v>
      </c>
      <c r="O50" s="10">
        <v>0.598261872</v>
      </c>
      <c r="P50" s="10">
        <v>0.236534373</v>
      </c>
      <c r="Q50" s="10">
        <v>0.051829498</v>
      </c>
      <c r="R50" s="10">
        <v>2.618039186</v>
      </c>
      <c r="S50" s="10">
        <v>2.011230333</v>
      </c>
      <c r="T50" s="10">
        <v>2.02665334</v>
      </c>
      <c r="U50" s="10">
        <v>1.357796633</v>
      </c>
      <c r="V50" s="10">
        <v>1.335891193</v>
      </c>
      <c r="W50" s="10">
        <v>1.483768945</v>
      </c>
      <c r="X50" s="10">
        <v>1.491405175</v>
      </c>
    </row>
    <row r="51" spans="1:24">
      <c r="A51" s="10" t="s">
        <v>87</v>
      </c>
      <c r="B51" s="10" t="str">
        <f t="shared" si="2"/>
        <v>G/C</v>
      </c>
      <c r="C51" s="10">
        <v>0.44689897</v>
      </c>
      <c r="D51" s="10">
        <v>0.557477875</v>
      </c>
      <c r="E51" s="10">
        <v>0.651754487</v>
      </c>
      <c r="F51" s="10">
        <v>0.317640992</v>
      </c>
      <c r="G51" s="10">
        <v>0.59763578</v>
      </c>
      <c r="H51" s="10">
        <v>1.153324431</v>
      </c>
      <c r="I51" s="10">
        <v>0.605224153</v>
      </c>
      <c r="J51" s="10">
        <v>0.445138029</v>
      </c>
      <c r="K51" s="10">
        <v>0.509607016</v>
      </c>
      <c r="L51" s="10">
        <v>0.43353106</v>
      </c>
      <c r="M51" s="10">
        <v>0.331627207</v>
      </c>
      <c r="N51" s="10">
        <v>0.535813826</v>
      </c>
      <c r="O51" s="10">
        <v>0.437989149</v>
      </c>
      <c r="P51" s="10">
        <v>0.487774628</v>
      </c>
      <c r="Q51" s="10">
        <v>0.348170502</v>
      </c>
      <c r="R51" s="10">
        <v>0.304210903</v>
      </c>
      <c r="S51" s="10">
        <v>0.98393284</v>
      </c>
      <c r="T51" s="10">
        <v>1.003609306</v>
      </c>
      <c r="U51" s="10">
        <v>0.961417691</v>
      </c>
      <c r="V51" s="10">
        <v>0.954070353</v>
      </c>
      <c r="W51" s="10">
        <v>1.024821876</v>
      </c>
      <c r="X51" s="10">
        <v>1.03095549</v>
      </c>
    </row>
    <row r="52" spans="1:24">
      <c r="A52" s="10" t="s">
        <v>88</v>
      </c>
      <c r="B52" s="10" t="str">
        <f t="shared" si="2"/>
        <v>A/T</v>
      </c>
      <c r="C52" s="10">
        <v>0.941544306</v>
      </c>
      <c r="D52" s="10">
        <v>1.63816052</v>
      </c>
      <c r="E52" s="10">
        <v>1.06222376</v>
      </c>
      <c r="F52" s="10">
        <v>1.475449285</v>
      </c>
      <c r="G52" s="10">
        <v>1.352601861</v>
      </c>
      <c r="H52" s="10">
        <v>0.175780152</v>
      </c>
      <c r="I52" s="10">
        <v>1.528951525</v>
      </c>
      <c r="J52" s="10">
        <v>1.062691707</v>
      </c>
      <c r="K52" s="10">
        <v>1.635223494</v>
      </c>
      <c r="L52" s="10">
        <v>1.061098572</v>
      </c>
      <c r="M52" s="10">
        <v>1.125550842</v>
      </c>
      <c r="N52" s="10">
        <v>1.158216918</v>
      </c>
      <c r="O52" s="10">
        <v>1.920679887</v>
      </c>
      <c r="P52" s="10">
        <v>0.494330262</v>
      </c>
      <c r="Q52" s="10">
        <v>0.755865711</v>
      </c>
      <c r="R52" s="10">
        <v>0.798657338</v>
      </c>
      <c r="S52" s="10">
        <v>0.675487852</v>
      </c>
      <c r="T52" s="10">
        <v>0.645343995</v>
      </c>
      <c r="U52" s="10">
        <v>0.679816943</v>
      </c>
      <c r="V52" s="10">
        <v>0.682845419</v>
      </c>
      <c r="W52" s="10">
        <v>0.607736181</v>
      </c>
      <c r="X52" s="10">
        <v>0.599343475</v>
      </c>
    </row>
    <row r="53" spans="1:24">
      <c r="A53" s="10" t="s">
        <v>89</v>
      </c>
      <c r="B53" s="10" t="str">
        <f t="shared" si="2"/>
        <v>A/T</v>
      </c>
      <c r="C53" s="10">
        <v>1.391529845</v>
      </c>
      <c r="D53" s="10">
        <v>0.991774484</v>
      </c>
      <c r="E53" s="10">
        <v>0.875038653</v>
      </c>
      <c r="F53" s="10">
        <v>2.017102226</v>
      </c>
      <c r="G53" s="10">
        <v>0.615792575</v>
      </c>
      <c r="H53" s="10">
        <v>0.212781553</v>
      </c>
      <c r="I53" s="10">
        <v>0</v>
      </c>
      <c r="J53" s="10">
        <v>1.586574202</v>
      </c>
      <c r="K53" s="10">
        <v>0.927300546</v>
      </c>
      <c r="L53" s="10">
        <v>1.442228874</v>
      </c>
      <c r="M53" s="10">
        <v>1.375412048</v>
      </c>
      <c r="N53" s="10">
        <v>1.151784625</v>
      </c>
      <c r="O53" s="10">
        <v>0.587405934</v>
      </c>
      <c r="P53" s="10">
        <v>1.293230202</v>
      </c>
      <c r="Q53" s="10">
        <v>2.301180863</v>
      </c>
      <c r="R53" s="10">
        <v>0.223246524</v>
      </c>
      <c r="S53" s="10">
        <v>0.444797371</v>
      </c>
      <c r="T53" s="10">
        <v>0.434699714</v>
      </c>
      <c r="U53" s="10">
        <v>0.468216032</v>
      </c>
      <c r="V53" s="10">
        <v>0.483003097</v>
      </c>
      <c r="W53" s="10">
        <v>0.368248987</v>
      </c>
      <c r="X53" s="10">
        <v>0.370613251</v>
      </c>
    </row>
    <row r="54" spans="1:24">
      <c r="A54" s="10" t="s">
        <v>90</v>
      </c>
      <c r="B54" s="10" t="str">
        <f t="shared" si="2"/>
        <v>G/C</v>
      </c>
      <c r="C54" s="10">
        <v>0.566405838</v>
      </c>
      <c r="D54" s="10">
        <v>0.825807557</v>
      </c>
      <c r="E54" s="10">
        <v>0.571585638</v>
      </c>
      <c r="F54" s="10">
        <v>0.093157263</v>
      </c>
      <c r="G54" s="10">
        <v>0.863751158</v>
      </c>
      <c r="H54" s="10">
        <v>1.057624847</v>
      </c>
      <c r="I54" s="10">
        <v>0</v>
      </c>
      <c r="J54" s="10">
        <v>0.174424411</v>
      </c>
      <c r="K54" s="10">
        <v>0.567169399</v>
      </c>
      <c r="L54" s="10">
        <v>0.454616624</v>
      </c>
      <c r="M54" s="10">
        <v>0.536879147</v>
      </c>
      <c r="N54" s="10">
        <v>0.53906645</v>
      </c>
      <c r="O54" s="10">
        <v>0.672779171</v>
      </c>
      <c r="P54" s="10">
        <v>0.586987236</v>
      </c>
      <c r="Q54" s="10">
        <v>0.08886905</v>
      </c>
      <c r="R54" s="10">
        <v>1.587846662</v>
      </c>
      <c r="S54" s="10">
        <v>1.486966046</v>
      </c>
      <c r="T54" s="10">
        <v>1.51981479</v>
      </c>
      <c r="U54" s="10">
        <v>0.950423969</v>
      </c>
      <c r="V54" s="10">
        <v>0.938542483</v>
      </c>
      <c r="W54" s="10">
        <v>1.032038708</v>
      </c>
      <c r="X54" s="10">
        <v>1.027940066</v>
      </c>
    </row>
    <row r="55" spans="1:24">
      <c r="A55" s="10" t="s">
        <v>91</v>
      </c>
      <c r="B55" s="10" t="str">
        <f t="shared" si="2"/>
        <v>G/C</v>
      </c>
      <c r="C55" s="10">
        <v>0.974505104</v>
      </c>
      <c r="D55" s="10">
        <v>0.964184731</v>
      </c>
      <c r="E55" s="10">
        <v>0.740010308</v>
      </c>
      <c r="F55" s="10">
        <v>0.222144242</v>
      </c>
      <c r="G55" s="10">
        <v>1.485689031</v>
      </c>
      <c r="H55" s="10">
        <v>2.527074149</v>
      </c>
      <c r="I55" s="10">
        <v>0</v>
      </c>
      <c r="J55" s="10">
        <v>0.366601942</v>
      </c>
      <c r="K55" s="10">
        <v>1.451453552</v>
      </c>
      <c r="L55" s="10">
        <v>0.954962008</v>
      </c>
      <c r="M55" s="10">
        <v>0.849826836</v>
      </c>
      <c r="N55" s="10">
        <v>1.323638646</v>
      </c>
      <c r="O55" s="10">
        <v>0.675201107</v>
      </c>
      <c r="P55" s="10">
        <v>0.947628056</v>
      </c>
      <c r="Q55" s="10">
        <v>0.281865033</v>
      </c>
      <c r="R55" s="10">
        <v>1.492893908</v>
      </c>
      <c r="S55" s="10">
        <v>0.784008762</v>
      </c>
      <c r="T55" s="10">
        <v>0.801743157</v>
      </c>
      <c r="U55" s="10">
        <v>1.844404154</v>
      </c>
      <c r="V55" s="10">
        <v>1.811895966</v>
      </c>
      <c r="W55" s="10">
        <v>1.988793997</v>
      </c>
      <c r="X55" s="10">
        <v>1.998807679</v>
      </c>
    </row>
    <row r="56" spans="1:24">
      <c r="A56" s="10" t="s">
        <v>92</v>
      </c>
      <c r="B56" s="10" t="str">
        <f t="shared" si="2"/>
        <v>A/T</v>
      </c>
      <c r="C56" s="10">
        <v>1.067559214</v>
      </c>
      <c r="D56" s="10">
        <v>1.218233228</v>
      </c>
      <c r="E56" s="10">
        <v>1.813365401</v>
      </c>
      <c r="F56" s="10">
        <v>1.667596269</v>
      </c>
      <c r="G56" s="10">
        <v>1.034767236</v>
      </c>
      <c r="H56" s="10">
        <v>0.202519451</v>
      </c>
      <c r="I56" s="10">
        <v>0</v>
      </c>
      <c r="J56" s="10">
        <v>1.872399445</v>
      </c>
      <c r="K56" s="10">
        <v>1.054076503</v>
      </c>
      <c r="L56" s="10">
        <v>1.148192494</v>
      </c>
      <c r="M56" s="10">
        <v>1.23788197</v>
      </c>
      <c r="N56" s="10">
        <v>0.985510279</v>
      </c>
      <c r="O56" s="10">
        <v>2.064613788</v>
      </c>
      <c r="P56" s="10">
        <v>1.172154506</v>
      </c>
      <c r="Q56" s="10">
        <v>1.328085055</v>
      </c>
      <c r="R56" s="10">
        <v>0.696012906</v>
      </c>
      <c r="S56" s="10">
        <v>1.28422782</v>
      </c>
      <c r="T56" s="10">
        <v>1.24374234</v>
      </c>
      <c r="U56" s="10">
        <v>0.736955845</v>
      </c>
      <c r="V56" s="10">
        <v>0.766558454</v>
      </c>
      <c r="W56" s="10">
        <v>0.610918309</v>
      </c>
      <c r="X56" s="10">
        <v>0.602639005</v>
      </c>
    </row>
    <row r="57" spans="1:24">
      <c r="A57" s="10" t="s">
        <v>93</v>
      </c>
      <c r="B57" s="10" t="str">
        <f t="shared" si="2"/>
        <v>A/T</v>
      </c>
      <c r="C57" s="10">
        <v>1.758023107</v>
      </c>
      <c r="D57" s="10">
        <v>2.073047859</v>
      </c>
      <c r="E57" s="10">
        <v>2.180412371</v>
      </c>
      <c r="F57" s="10">
        <v>2.230769231</v>
      </c>
      <c r="G57" s="10">
        <v>1.919972164</v>
      </c>
      <c r="H57" s="10">
        <v>1.163250366</v>
      </c>
      <c r="I57" s="10">
        <v>2.085181452</v>
      </c>
      <c r="J57" s="10">
        <v>2.142416452</v>
      </c>
      <c r="K57" s="10">
        <v>2.26937799</v>
      </c>
      <c r="L57" s="10">
        <v>1.713254751</v>
      </c>
      <c r="M57" s="10">
        <v>1.766606822</v>
      </c>
      <c r="N57" s="10">
        <v>1.846582467</v>
      </c>
      <c r="O57" s="10">
        <v>2.034660422</v>
      </c>
      <c r="P57" s="10">
        <v>1.711903659</v>
      </c>
      <c r="Q57" s="10">
        <v>2.077290837</v>
      </c>
      <c r="R57" s="10">
        <v>1.224358974</v>
      </c>
      <c r="S57" s="10">
        <v>1.893141946</v>
      </c>
      <c r="T57" s="10">
        <v>1.761927481</v>
      </c>
      <c r="U57" s="10">
        <v>0</v>
      </c>
      <c r="V57" s="10">
        <v>0</v>
      </c>
      <c r="W57" s="10">
        <v>0</v>
      </c>
      <c r="X57" s="10">
        <v>0</v>
      </c>
    </row>
    <row r="58" spans="1:24">
      <c r="A58" s="10" t="s">
        <v>94</v>
      </c>
      <c r="B58" s="10" t="str">
        <f t="shared" si="2"/>
        <v>G/C</v>
      </c>
      <c r="C58" s="10">
        <v>0.573312449</v>
      </c>
      <c r="D58" s="10">
        <v>0.400258835</v>
      </c>
      <c r="E58" s="10">
        <v>0.377176837</v>
      </c>
      <c r="F58" s="10">
        <v>0.364028538</v>
      </c>
      <c r="G58" s="10">
        <v>0.864316832</v>
      </c>
      <c r="H58" s="10">
        <v>1.540519599</v>
      </c>
      <c r="I58" s="10">
        <v>0.66612524</v>
      </c>
      <c r="J58" s="10">
        <v>0.273991265</v>
      </c>
      <c r="K58" s="10">
        <v>0.399943042</v>
      </c>
      <c r="L58" s="10">
        <v>0.503477596</v>
      </c>
      <c r="M58" s="10">
        <v>0.495515796</v>
      </c>
      <c r="N58" s="10">
        <v>0.628690472</v>
      </c>
      <c r="O58" s="10">
        <v>0.682978308</v>
      </c>
      <c r="P58" s="10">
        <v>0.355675165</v>
      </c>
      <c r="Q58" s="10">
        <v>0.258213291</v>
      </c>
      <c r="R58" s="10">
        <v>1.242135519</v>
      </c>
      <c r="S58" s="10">
        <v>1.332482951</v>
      </c>
      <c r="T58" s="10">
        <v>1.368904974</v>
      </c>
      <c r="U58" s="10">
        <v>1.140068368</v>
      </c>
      <c r="V58" s="10">
        <v>1.115120723</v>
      </c>
      <c r="W58" s="10">
        <v>1.237425738</v>
      </c>
      <c r="X58" s="10">
        <v>1.245175192</v>
      </c>
    </row>
    <row r="59" spans="1:24">
      <c r="A59" s="10" t="s">
        <v>95</v>
      </c>
      <c r="B59" s="10" t="str">
        <f t="shared" si="2"/>
        <v>G/C</v>
      </c>
      <c r="C59" s="10">
        <v>0.799101412</v>
      </c>
      <c r="D59" s="10">
        <v>0.546599496</v>
      </c>
      <c r="E59" s="10">
        <v>0.575478645</v>
      </c>
      <c r="F59" s="10">
        <v>0.635683761</v>
      </c>
      <c r="G59" s="10">
        <v>0.212943633</v>
      </c>
      <c r="H59" s="10">
        <v>0.774524158</v>
      </c>
      <c r="I59" s="10">
        <v>0.591229839</v>
      </c>
      <c r="J59" s="10">
        <v>0.612339332</v>
      </c>
      <c r="K59" s="10">
        <v>0.43492823</v>
      </c>
      <c r="L59" s="10">
        <v>0.443829685</v>
      </c>
      <c r="M59" s="10">
        <v>0.392280072</v>
      </c>
      <c r="N59" s="10">
        <v>0.186106984</v>
      </c>
      <c r="O59" s="10">
        <v>0.49882904</v>
      </c>
      <c r="P59" s="10">
        <v>0.762853173</v>
      </c>
      <c r="Q59" s="10">
        <v>0.744621514</v>
      </c>
      <c r="R59" s="10">
        <v>1.459935897</v>
      </c>
      <c r="S59" s="10">
        <v>0.692185008</v>
      </c>
      <c r="T59" s="10">
        <v>0.739980916</v>
      </c>
      <c r="U59" s="10">
        <v>0</v>
      </c>
      <c r="V59" s="10">
        <v>0</v>
      </c>
      <c r="W59" s="10">
        <v>0</v>
      </c>
      <c r="X59" s="10">
        <v>0</v>
      </c>
    </row>
    <row r="60" spans="1:24">
      <c r="A60" s="10" t="s">
        <v>96</v>
      </c>
      <c r="B60" s="10" t="str">
        <f t="shared" si="2"/>
        <v>A/T</v>
      </c>
      <c r="C60" s="10">
        <v>1.426687551</v>
      </c>
      <c r="D60" s="10">
        <v>1.599741165</v>
      </c>
      <c r="E60" s="10">
        <v>1.622823163</v>
      </c>
      <c r="F60" s="10">
        <v>1.635971462</v>
      </c>
      <c r="G60" s="10">
        <v>1.135683168</v>
      </c>
      <c r="H60" s="10">
        <v>0.459480401</v>
      </c>
      <c r="I60" s="10">
        <v>1.33387476</v>
      </c>
      <c r="J60" s="10">
        <v>1.726008735</v>
      </c>
      <c r="K60" s="10">
        <v>1.600056958</v>
      </c>
      <c r="L60" s="10">
        <v>1.496522404</v>
      </c>
      <c r="M60" s="10">
        <v>1.504484204</v>
      </c>
      <c r="N60" s="10">
        <v>1.371309528</v>
      </c>
      <c r="O60" s="10">
        <v>1.317021692</v>
      </c>
      <c r="P60" s="10">
        <v>1.644324835</v>
      </c>
      <c r="Q60" s="10">
        <v>1.741786709</v>
      </c>
      <c r="R60" s="10">
        <v>0.757864481</v>
      </c>
      <c r="S60" s="10">
        <v>0.667517049</v>
      </c>
      <c r="T60" s="10">
        <v>0.631095026</v>
      </c>
      <c r="U60" s="10">
        <v>0.859931632</v>
      </c>
      <c r="V60" s="10">
        <v>0.884879277</v>
      </c>
      <c r="W60" s="10">
        <v>0.762574262</v>
      </c>
      <c r="X60" s="10">
        <v>0.754824808</v>
      </c>
    </row>
    <row r="61" spans="1:24">
      <c r="A61" s="10" t="s">
        <v>97</v>
      </c>
      <c r="B61" s="10" t="str">
        <f t="shared" si="2"/>
        <v>A/T</v>
      </c>
      <c r="C61" s="10">
        <v>1.02890479</v>
      </c>
      <c r="D61" s="10">
        <v>1.362849332</v>
      </c>
      <c r="E61" s="10">
        <v>2.011132245</v>
      </c>
      <c r="F61" s="10">
        <v>1.688362991</v>
      </c>
      <c r="G61" s="10">
        <v>0.73198527</v>
      </c>
      <c r="H61" s="10">
        <v>0.128951835</v>
      </c>
      <c r="I61" s="10">
        <v>0</v>
      </c>
      <c r="J61" s="10">
        <v>1.813953488</v>
      </c>
      <c r="K61" s="10">
        <v>0.891422223</v>
      </c>
      <c r="L61" s="10">
        <v>0.938979091</v>
      </c>
      <c r="M61" s="10">
        <v>0.953578847</v>
      </c>
      <c r="N61" s="10">
        <v>0.364563809</v>
      </c>
      <c r="O61" s="10">
        <v>1.959908418</v>
      </c>
      <c r="P61" s="10">
        <v>0.681081081</v>
      </c>
      <c r="Q61" s="10">
        <v>1.498976668</v>
      </c>
      <c r="R61" s="10">
        <v>0.240218673</v>
      </c>
      <c r="S61" s="10">
        <v>1.097433116</v>
      </c>
      <c r="T61" s="10">
        <v>1.055010176</v>
      </c>
      <c r="U61" s="10">
        <v>0.845271829</v>
      </c>
      <c r="V61" s="10">
        <v>0.865272954</v>
      </c>
      <c r="W61" s="10">
        <v>0.733935302</v>
      </c>
      <c r="X61" s="10">
        <v>0.740312759</v>
      </c>
    </row>
    <row r="62" spans="1:24">
      <c r="A62" s="10" t="s">
        <v>98</v>
      </c>
      <c r="B62" s="10" t="str">
        <f t="shared" si="2"/>
        <v>G/C</v>
      </c>
      <c r="C62" s="10">
        <v>1.048048785</v>
      </c>
      <c r="D62" s="10">
        <v>0.385176185</v>
      </c>
      <c r="E62" s="10">
        <v>0.230413455</v>
      </c>
      <c r="F62" s="10">
        <v>0.106548762</v>
      </c>
      <c r="G62" s="10">
        <v>0.894476387</v>
      </c>
      <c r="H62" s="10">
        <v>2.853521169</v>
      </c>
      <c r="I62" s="10">
        <v>0</v>
      </c>
      <c r="J62" s="10">
        <v>0.178443649</v>
      </c>
      <c r="K62" s="10">
        <v>0.913957733</v>
      </c>
      <c r="L62" s="10">
        <v>1.241235381</v>
      </c>
      <c r="M62" s="10">
        <v>1.121921466</v>
      </c>
      <c r="N62" s="10">
        <v>1.765024081</v>
      </c>
      <c r="O62" s="10">
        <v>0.206060016</v>
      </c>
      <c r="P62" s="10">
        <v>1.13985258</v>
      </c>
      <c r="Q62" s="10">
        <v>0.12675672</v>
      </c>
      <c r="R62" s="10">
        <v>1.527334119</v>
      </c>
      <c r="S62" s="10">
        <v>1.25</v>
      </c>
      <c r="T62" s="10">
        <v>1.287202203</v>
      </c>
      <c r="U62" s="10">
        <v>1.274475706</v>
      </c>
      <c r="V62" s="10">
        <v>1.253393914</v>
      </c>
      <c r="W62" s="10">
        <v>1.405873116</v>
      </c>
      <c r="X62" s="10">
        <v>1.400983739</v>
      </c>
    </row>
    <row r="63" spans="1:24">
      <c r="A63" s="10" t="s">
        <v>99</v>
      </c>
      <c r="B63" s="10" t="str">
        <f t="shared" si="2"/>
        <v>G/C</v>
      </c>
      <c r="C63" s="10">
        <v>0.540562992</v>
      </c>
      <c r="D63" s="10">
        <v>0.440309842</v>
      </c>
      <c r="E63" s="10">
        <v>0.486294924</v>
      </c>
      <c r="F63" s="10">
        <v>0.141014025</v>
      </c>
      <c r="G63" s="10">
        <v>0.925486143</v>
      </c>
      <c r="H63" s="10">
        <v>0.604028055</v>
      </c>
      <c r="I63" s="10">
        <v>0</v>
      </c>
      <c r="J63" s="10">
        <v>0.172070662</v>
      </c>
      <c r="K63" s="10">
        <v>0.654005872</v>
      </c>
      <c r="L63" s="10">
        <v>0.293593395</v>
      </c>
      <c r="M63" s="10">
        <v>0.36497313</v>
      </c>
      <c r="N63" s="10">
        <v>0.198154167</v>
      </c>
      <c r="O63" s="10">
        <v>0.369154326</v>
      </c>
      <c r="P63" s="10">
        <v>0.410859951</v>
      </c>
      <c r="Q63" s="10">
        <v>0.071360349</v>
      </c>
      <c r="R63" s="10">
        <v>1.837978347</v>
      </c>
      <c r="S63" s="10">
        <v>0.28615329</v>
      </c>
      <c r="T63" s="10">
        <v>0.290195139</v>
      </c>
      <c r="U63" s="10">
        <v>0.398151548</v>
      </c>
      <c r="V63" s="10">
        <v>0.388120959</v>
      </c>
      <c r="W63" s="10">
        <v>0.465075377</v>
      </c>
      <c r="X63" s="10">
        <v>0.466720896</v>
      </c>
    </row>
    <row r="64" spans="1:24">
      <c r="A64" s="10" t="s">
        <v>100</v>
      </c>
      <c r="B64" s="10" t="str">
        <f t="shared" si="2"/>
        <v>A/T</v>
      </c>
      <c r="C64" s="10">
        <v>1.150565446</v>
      </c>
      <c r="D64" s="10">
        <v>1.338092345</v>
      </c>
      <c r="E64" s="10">
        <v>1.25766343</v>
      </c>
      <c r="F64" s="10">
        <v>1.780777733</v>
      </c>
      <c r="G64" s="10">
        <v>0.875405388</v>
      </c>
      <c r="H64" s="10">
        <v>0.199600499</v>
      </c>
      <c r="I64" s="10">
        <v>0</v>
      </c>
      <c r="J64" s="10">
        <v>1.84078712</v>
      </c>
      <c r="K64" s="10">
        <v>1.18755786</v>
      </c>
      <c r="L64" s="10">
        <v>1.337629779</v>
      </c>
      <c r="M64" s="10">
        <v>1.347631136</v>
      </c>
      <c r="N64" s="10">
        <v>1.369000451</v>
      </c>
      <c r="O64" s="10">
        <v>1.345235776</v>
      </c>
      <c r="P64" s="10">
        <v>1.715970516</v>
      </c>
      <c r="Q64" s="10">
        <v>2.089780325</v>
      </c>
      <c r="R64" s="10">
        <v>0.505198842</v>
      </c>
      <c r="S64" s="10">
        <v>0.731200289</v>
      </c>
      <c r="T64" s="10">
        <v>0.727642763</v>
      </c>
      <c r="U64" s="10">
        <v>1.123246292</v>
      </c>
      <c r="V64" s="10">
        <v>1.142166889</v>
      </c>
      <c r="W64" s="10">
        <v>0.988285176</v>
      </c>
      <c r="X64" s="10">
        <v>0.980880195</v>
      </c>
    </row>
    <row r="65" spans="1:24">
      <c r="A65" s="10" t="s">
        <v>101</v>
      </c>
      <c r="B65" s="10" t="str">
        <f t="shared" si="2"/>
        <v>A/T</v>
      </c>
      <c r="C65" s="10">
        <v>0.442875481</v>
      </c>
      <c r="D65" s="10">
        <v>0.380352645</v>
      </c>
      <c r="E65" s="10">
        <v>0.244108984</v>
      </c>
      <c r="F65" s="10">
        <v>0.133547009</v>
      </c>
      <c r="G65" s="10">
        <v>0.867084203</v>
      </c>
      <c r="H65" s="10">
        <v>1.062225476</v>
      </c>
      <c r="I65" s="10">
        <v>0.32358871</v>
      </c>
      <c r="J65" s="10">
        <v>0.245244216</v>
      </c>
      <c r="K65" s="10">
        <v>0.29569378</v>
      </c>
      <c r="L65" s="10">
        <v>0.842915564</v>
      </c>
      <c r="M65" s="10">
        <v>0.841113106</v>
      </c>
      <c r="N65" s="10">
        <v>0.96731055</v>
      </c>
      <c r="O65" s="10">
        <v>0.466510539</v>
      </c>
      <c r="P65" s="10">
        <v>0.525243168</v>
      </c>
      <c r="Q65" s="10">
        <v>0.178087649</v>
      </c>
      <c r="R65" s="10">
        <v>0.315705128</v>
      </c>
      <c r="S65" s="10">
        <v>0.414673046</v>
      </c>
      <c r="T65" s="10">
        <v>0.498091603</v>
      </c>
      <c r="U65" s="10">
        <v>0</v>
      </c>
      <c r="V65" s="10">
        <v>0</v>
      </c>
      <c r="W65" s="10">
        <v>0</v>
      </c>
      <c r="X65" s="10">
        <v>0</v>
      </c>
    </row>
    <row r="66" spans="1:24">
      <c r="A66" s="10" t="s">
        <v>102</v>
      </c>
      <c r="B66" s="10" t="str">
        <f t="shared" si="2"/>
        <v>G/C</v>
      </c>
      <c r="C66" s="10">
        <v>0.837083836</v>
      </c>
      <c r="D66" s="10">
        <v>0.482480279</v>
      </c>
      <c r="E66" s="10">
        <v>0.395320605</v>
      </c>
      <c r="F66" s="10">
        <v>0.379692247</v>
      </c>
      <c r="G66" s="10">
        <v>1.115771812</v>
      </c>
      <c r="H66" s="10">
        <v>1.783700809</v>
      </c>
      <c r="I66" s="10">
        <v>0</v>
      </c>
      <c r="J66" s="10">
        <v>0.328108224</v>
      </c>
      <c r="K66" s="10">
        <v>0.709962889</v>
      </c>
      <c r="L66" s="10">
        <v>0.802477024</v>
      </c>
      <c r="M66" s="10">
        <v>0.788916563</v>
      </c>
      <c r="N66" s="10">
        <v>1.073290454</v>
      </c>
      <c r="O66" s="10">
        <v>0.559615898</v>
      </c>
      <c r="P66" s="10">
        <v>0.470588235</v>
      </c>
      <c r="Q66" s="10">
        <v>0.214839424</v>
      </c>
      <c r="R66" s="10">
        <v>1.708199811</v>
      </c>
      <c r="S66" s="10">
        <v>1.520583637</v>
      </c>
      <c r="T66" s="10">
        <v>1.556009186</v>
      </c>
      <c r="U66" s="10">
        <v>1.074541629</v>
      </c>
      <c r="V66" s="10">
        <v>1.050862852</v>
      </c>
      <c r="W66" s="10">
        <v>1.183393897</v>
      </c>
      <c r="X66" s="10">
        <v>1.180719811</v>
      </c>
    </row>
    <row r="67" spans="1:24">
      <c r="A67" s="10" t="s">
        <v>103</v>
      </c>
      <c r="B67" s="10" t="str">
        <f t="shared" si="2"/>
        <v>A/T</v>
      </c>
      <c r="C67" s="10">
        <v>1.162916164</v>
      </c>
      <c r="D67" s="10">
        <v>1.517519721</v>
      </c>
      <c r="E67" s="10">
        <v>1.604679395</v>
      </c>
      <c r="F67" s="10">
        <v>1.620307753</v>
      </c>
      <c r="G67" s="10">
        <v>0.884228188</v>
      </c>
      <c r="H67" s="10">
        <v>0.216299191</v>
      </c>
      <c r="I67" s="10">
        <v>0</v>
      </c>
      <c r="J67" s="10">
        <v>1.671891776</v>
      </c>
      <c r="K67" s="10">
        <v>1.290037111</v>
      </c>
      <c r="L67" s="10">
        <v>1.197522976</v>
      </c>
      <c r="M67" s="10">
        <v>1.211083437</v>
      </c>
      <c r="N67" s="10">
        <v>0.926709546</v>
      </c>
      <c r="O67" s="10">
        <v>1.440384102</v>
      </c>
      <c r="P67" s="10">
        <v>1.529411765</v>
      </c>
      <c r="Q67" s="10">
        <v>1.785160576</v>
      </c>
      <c r="R67" s="10">
        <v>0.291800189</v>
      </c>
      <c r="S67" s="10">
        <v>0.479416363</v>
      </c>
      <c r="T67" s="10">
        <v>0.443990814</v>
      </c>
      <c r="U67" s="10">
        <v>0.925458371</v>
      </c>
      <c r="V67" s="10">
        <v>0.949137148</v>
      </c>
      <c r="W67" s="10">
        <v>0.816606103</v>
      </c>
      <c r="X67" s="10">
        <v>0.819280189</v>
      </c>
    </row>
    <row r="68" spans="1:24">
      <c r="A68" s="10" t="s">
        <v>104</v>
      </c>
      <c r="B68" s="10" t="str">
        <f t="shared" si="2"/>
        <v>A/T</v>
      </c>
      <c r="C68" s="10">
        <v>0.736823324</v>
      </c>
      <c r="D68" s="10">
        <v>3.048616091</v>
      </c>
      <c r="E68" s="10">
        <v>3.620394163</v>
      </c>
      <c r="F68" s="10">
        <v>3.791901427</v>
      </c>
      <c r="G68" s="10">
        <v>0.776612869</v>
      </c>
      <c r="H68" s="10">
        <v>0.095151483</v>
      </c>
      <c r="I68" s="10">
        <v>2.350085412</v>
      </c>
      <c r="J68" s="10">
        <v>3.334886451</v>
      </c>
      <c r="K68" s="10">
        <v>2.574092386</v>
      </c>
      <c r="L68" s="10">
        <v>0.835186306</v>
      </c>
      <c r="M68" s="10">
        <v>0.649779358</v>
      </c>
      <c r="N68" s="10">
        <v>0.411392064</v>
      </c>
      <c r="O68" s="10">
        <v>1.57018999</v>
      </c>
      <c r="P68" s="10">
        <v>2.180952968</v>
      </c>
      <c r="Q68" s="10">
        <v>3.327160154</v>
      </c>
      <c r="R68" s="10">
        <v>0.074193768</v>
      </c>
      <c r="S68" s="10">
        <v>0.669144573</v>
      </c>
      <c r="T68" s="10">
        <v>0.640993381</v>
      </c>
      <c r="U68" s="10">
        <v>0.473371606</v>
      </c>
      <c r="V68" s="10">
        <v>0.499468713</v>
      </c>
      <c r="W68" s="10">
        <v>0.344779365</v>
      </c>
      <c r="X68" s="10">
        <v>0.349595847</v>
      </c>
    </row>
    <row r="69" spans="1:24">
      <c r="A69" s="10" t="s">
        <v>105</v>
      </c>
      <c r="B69" s="10" t="str">
        <f t="shared" si="2"/>
        <v>G/C</v>
      </c>
      <c r="C69" s="10">
        <v>0.695063528</v>
      </c>
      <c r="D69" s="10">
        <v>0.467247278</v>
      </c>
      <c r="E69" s="10">
        <v>0.506689936</v>
      </c>
      <c r="F69" s="10">
        <v>0.356454942</v>
      </c>
      <c r="G69" s="10">
        <v>0.853430214</v>
      </c>
      <c r="H69" s="10">
        <v>1.423350896</v>
      </c>
      <c r="I69" s="10">
        <v>0</v>
      </c>
      <c r="J69" s="10">
        <v>0.282160821</v>
      </c>
      <c r="K69" s="10">
        <v>0.479892019</v>
      </c>
      <c r="L69" s="10">
        <v>0.639032361</v>
      </c>
      <c r="M69" s="10">
        <v>0.619359742</v>
      </c>
      <c r="N69" s="10">
        <v>0.864548996</v>
      </c>
      <c r="O69" s="10">
        <v>0.558361221</v>
      </c>
      <c r="P69" s="10">
        <v>0.448775021</v>
      </c>
      <c r="Q69" s="10">
        <v>0.310241208</v>
      </c>
      <c r="R69" s="10">
        <v>0.991027496</v>
      </c>
      <c r="S69" s="10">
        <v>0.988849581</v>
      </c>
      <c r="T69" s="10">
        <v>1.002131249</v>
      </c>
      <c r="U69" s="10">
        <v>1.066713959</v>
      </c>
      <c r="V69" s="10">
        <v>1.046902294</v>
      </c>
      <c r="W69" s="10">
        <v>1.170898386</v>
      </c>
      <c r="X69" s="10">
        <v>1.17440078</v>
      </c>
    </row>
    <row r="70" spans="1:24">
      <c r="A70" s="10" t="s">
        <v>106</v>
      </c>
      <c r="B70" s="10" t="str">
        <f t="shared" si="2"/>
        <v>G/C</v>
      </c>
      <c r="C70" s="10">
        <v>0.619776612</v>
      </c>
      <c r="D70" s="10">
        <v>1.137272336</v>
      </c>
      <c r="E70" s="10">
        <v>0.59855864</v>
      </c>
      <c r="F70" s="10">
        <v>0.342793955</v>
      </c>
      <c r="G70" s="10">
        <v>0.767710418</v>
      </c>
      <c r="H70" s="10">
        <v>0.274631532</v>
      </c>
      <c r="I70" s="10">
        <v>0.974410659</v>
      </c>
      <c r="J70" s="10">
        <v>0.768152798</v>
      </c>
      <c r="K70" s="10">
        <v>1.752027122</v>
      </c>
      <c r="L70" s="10">
        <v>0.682268523</v>
      </c>
      <c r="M70" s="10">
        <v>0.635576882</v>
      </c>
      <c r="N70" s="10">
        <v>1.322002372</v>
      </c>
      <c r="O70" s="10">
        <v>1.675920999</v>
      </c>
      <c r="P70" s="10">
        <v>1.965195429</v>
      </c>
      <c r="Q70" s="10">
        <v>0.473032471</v>
      </c>
      <c r="R70" s="10">
        <v>0.563239897</v>
      </c>
      <c r="S70" s="10">
        <v>1.643584298</v>
      </c>
      <c r="T70" s="10">
        <v>1.652426016</v>
      </c>
      <c r="U70" s="10">
        <v>0.815619032</v>
      </c>
      <c r="V70" s="10">
        <v>0.839656923</v>
      </c>
      <c r="W70" s="10">
        <v>0.715115048</v>
      </c>
      <c r="X70" s="10">
        <v>0.714729286</v>
      </c>
    </row>
    <row r="71" spans="1:24">
      <c r="A71" s="10" t="s">
        <v>107</v>
      </c>
      <c r="B71" s="10" t="str">
        <f t="shared" si="2"/>
        <v>A/T</v>
      </c>
      <c r="C71" s="10">
        <v>1.304936472</v>
      </c>
      <c r="D71" s="10">
        <v>1.532752722</v>
      </c>
      <c r="E71" s="10">
        <v>1.493310064</v>
      </c>
      <c r="F71" s="10">
        <v>1.643545058</v>
      </c>
      <c r="G71" s="10">
        <v>1.146569786</v>
      </c>
      <c r="H71" s="10">
        <v>0.576649104</v>
      </c>
      <c r="I71" s="10">
        <v>0</v>
      </c>
      <c r="J71" s="10">
        <v>1.717839179</v>
      </c>
      <c r="K71" s="10">
        <v>1.520107981</v>
      </c>
      <c r="L71" s="10">
        <v>1.360967639</v>
      </c>
      <c r="M71" s="10">
        <v>1.380640258</v>
      </c>
      <c r="N71" s="10">
        <v>1.135451004</v>
      </c>
      <c r="O71" s="10">
        <v>1.441638779</v>
      </c>
      <c r="P71" s="10">
        <v>1.551224979</v>
      </c>
      <c r="Q71" s="10">
        <v>1.689758792</v>
      </c>
      <c r="R71" s="10">
        <v>1.008972504</v>
      </c>
      <c r="S71" s="10">
        <v>1.011150419</v>
      </c>
      <c r="T71" s="10">
        <v>0.997868751</v>
      </c>
      <c r="U71" s="10">
        <v>0.933286041</v>
      </c>
      <c r="V71" s="10">
        <v>0.953097706</v>
      </c>
      <c r="W71" s="10">
        <v>0.829101614</v>
      </c>
      <c r="X71" s="10">
        <v>0.82559922</v>
      </c>
    </row>
    <row r="72" spans="1:24">
      <c r="A72" s="3" t="s">
        <v>150</v>
      </c>
      <c r="C72">
        <f>AVERAGEIF($B10:$B71,"A/T",C10:C71)</f>
        <v>1.15003482709375</v>
      </c>
      <c r="D72">
        <f t="shared" ref="D72:X72" si="3">AVERAGEIF($B10:$B71,"A/T",D10:D71)</f>
        <v>1.41380685828125</v>
      </c>
      <c r="E72">
        <f t="shared" si="3"/>
        <v>1.50965583834375</v>
      </c>
      <c r="F72">
        <f t="shared" si="3"/>
        <v>1.7084742300625</v>
      </c>
      <c r="G72">
        <f t="shared" si="3"/>
        <v>0.90899040278125</v>
      </c>
      <c r="H72">
        <f t="shared" si="3"/>
        <v>0.2937280335625</v>
      </c>
      <c r="I72">
        <f t="shared" si="3"/>
        <v>0.71684540140625</v>
      </c>
      <c r="J72">
        <f t="shared" si="3"/>
        <v>1.6900433574375</v>
      </c>
      <c r="K72">
        <f t="shared" si="3"/>
        <v>1.23489287921875</v>
      </c>
      <c r="L72">
        <f t="shared" si="3"/>
        <v>1.2039934946875</v>
      </c>
      <c r="M72">
        <f t="shared" si="3"/>
        <v>1.2308952525</v>
      </c>
      <c r="N72">
        <f t="shared" si="3"/>
        <v>1.04246837490625</v>
      </c>
      <c r="O72">
        <f t="shared" si="3"/>
        <v>1.418084605375</v>
      </c>
      <c r="P72">
        <f t="shared" si="3"/>
        <v>1.38022571390625</v>
      </c>
      <c r="Q72">
        <f t="shared" si="3"/>
        <v>1.7174321326875</v>
      </c>
      <c r="R72">
        <f t="shared" si="3"/>
        <v>0.4788658939375</v>
      </c>
      <c r="S72">
        <f t="shared" si="3"/>
        <v>0.75518653553125</v>
      </c>
      <c r="T72">
        <f t="shared" si="3"/>
        <v>0.73486264115625</v>
      </c>
      <c r="U72">
        <f t="shared" si="3"/>
        <v>0.7836195741875</v>
      </c>
      <c r="V72">
        <f t="shared" si="3"/>
        <v>0.8030275834375</v>
      </c>
      <c r="W72">
        <f t="shared" si="3"/>
        <v>0.6829230671875</v>
      </c>
      <c r="X72">
        <f t="shared" si="3"/>
        <v>0.680456174375</v>
      </c>
    </row>
    <row r="73" spans="1:24">
      <c r="A73" s="3" t="s">
        <v>151</v>
      </c>
      <c r="C73">
        <f>AVERAGEIF($B10:$B71,"G/C",C10:C71)</f>
        <v>0.839962851233333</v>
      </c>
      <c r="D73">
        <f t="shared" ref="D73:X73" si="4">AVERAGEIF($B10:$B71,"G/C",D10:D71)</f>
        <v>0.558606017833333</v>
      </c>
      <c r="E73">
        <f t="shared" si="4"/>
        <v>0.456367105766667</v>
      </c>
      <c r="F73">
        <f t="shared" si="4"/>
        <v>0.2442941546</v>
      </c>
      <c r="G73">
        <f t="shared" si="4"/>
        <v>1.09707690366667</v>
      </c>
      <c r="H73">
        <f t="shared" si="4"/>
        <v>1.75335676416667</v>
      </c>
      <c r="I73">
        <f t="shared" si="4"/>
        <v>0.3353649052</v>
      </c>
      <c r="J73">
        <f t="shared" si="4"/>
        <v>0.2639537521</v>
      </c>
      <c r="K73">
        <f t="shared" si="4"/>
        <v>0.749447595466667</v>
      </c>
      <c r="L73">
        <f t="shared" si="4"/>
        <v>0.7824069391</v>
      </c>
      <c r="M73">
        <f t="shared" si="4"/>
        <v>0.7537117306</v>
      </c>
      <c r="N73">
        <f t="shared" si="4"/>
        <v>0.9547004002</v>
      </c>
      <c r="O73">
        <f t="shared" si="4"/>
        <v>0.554043087666667</v>
      </c>
      <c r="P73">
        <f t="shared" si="4"/>
        <v>0.594425905066667</v>
      </c>
      <c r="Q73">
        <f t="shared" si="4"/>
        <v>0.234739058533333</v>
      </c>
      <c r="R73">
        <f t="shared" si="4"/>
        <v>1.55587637966667</v>
      </c>
      <c r="S73">
        <f t="shared" si="4"/>
        <v>1.26113436193333</v>
      </c>
      <c r="T73">
        <f t="shared" si="4"/>
        <v>1.28281318276667</v>
      </c>
      <c r="U73">
        <f t="shared" si="4"/>
        <v>1.1308057875</v>
      </c>
      <c r="V73">
        <f t="shared" si="4"/>
        <v>1.1101039111</v>
      </c>
      <c r="W73">
        <f t="shared" si="4"/>
        <v>1.23821539506667</v>
      </c>
      <c r="X73">
        <f t="shared" si="4"/>
        <v>1.24084674726667</v>
      </c>
    </row>
  </sheetData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112"/>
  <sheetViews>
    <sheetView workbookViewId="0">
      <selection activeCell="A2" sqref="A2:A56"/>
    </sheetView>
  </sheetViews>
  <sheetFormatPr defaultColWidth="9" defaultRowHeight="13.5"/>
  <cols>
    <col min="1" max="1" width="19" customWidth="1"/>
  </cols>
  <sheetData>
    <row r="1" ht="13.85" spans="3:24"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340</v>
      </c>
      <c r="M1" s="1" t="s">
        <v>341</v>
      </c>
      <c r="N1" s="1" t="s">
        <v>342</v>
      </c>
      <c r="O1" s="1" t="s">
        <v>343</v>
      </c>
      <c r="P1" s="1" t="s">
        <v>344</v>
      </c>
      <c r="Q1" s="1" t="s">
        <v>345</v>
      </c>
      <c r="R1" s="1" t="s">
        <v>346</v>
      </c>
      <c r="S1" s="1" t="s">
        <v>347</v>
      </c>
      <c r="T1" s="1" t="s">
        <v>348</v>
      </c>
      <c r="U1" s="1" t="s">
        <v>349</v>
      </c>
      <c r="V1" s="1" t="s">
        <v>350</v>
      </c>
      <c r="W1" s="1" t="s">
        <v>351</v>
      </c>
      <c r="X1" s="1" t="s">
        <v>352</v>
      </c>
    </row>
    <row r="2" ht="13.85" spans="1:25">
      <c r="A2" s="2" t="s">
        <v>239</v>
      </c>
      <c r="B2" s="3" t="s">
        <v>153</v>
      </c>
      <c r="C2">
        <v>537</v>
      </c>
      <c r="D2">
        <v>661</v>
      </c>
      <c r="E2">
        <v>796</v>
      </c>
      <c r="F2">
        <v>1160</v>
      </c>
      <c r="G2">
        <v>220</v>
      </c>
      <c r="H2">
        <v>749</v>
      </c>
      <c r="I2">
        <v>83</v>
      </c>
      <c r="J2">
        <v>559</v>
      </c>
      <c r="K2">
        <v>100</v>
      </c>
      <c r="L2">
        <v>124</v>
      </c>
      <c r="M2" s="5">
        <v>4</v>
      </c>
      <c r="N2" s="5">
        <v>101</v>
      </c>
      <c r="O2" s="5">
        <v>111</v>
      </c>
      <c r="P2" s="5">
        <v>3</v>
      </c>
      <c r="Q2" s="5">
        <v>342</v>
      </c>
      <c r="R2" s="5">
        <v>4494</v>
      </c>
      <c r="S2" s="5">
        <v>191</v>
      </c>
      <c r="T2" s="5">
        <v>35</v>
      </c>
      <c r="U2" s="5">
        <v>2297</v>
      </c>
      <c r="V2" s="5">
        <v>5</v>
      </c>
      <c r="W2">
        <v>498.9</v>
      </c>
      <c r="X2" s="5">
        <v>758.3</v>
      </c>
      <c r="Y2" s="6" t="str">
        <f>IF(AND(W2&gt;X2,W2&gt;10),"W","H")</f>
        <v>H</v>
      </c>
    </row>
    <row r="3" ht="13.85" spans="1:25">
      <c r="A3" s="2" t="s">
        <v>262</v>
      </c>
      <c r="B3" t="s">
        <v>176</v>
      </c>
      <c r="C3">
        <v>955</v>
      </c>
      <c r="D3">
        <v>3790</v>
      </c>
      <c r="E3">
        <v>1391</v>
      </c>
      <c r="F3">
        <v>403</v>
      </c>
      <c r="G3">
        <v>3604</v>
      </c>
      <c r="H3">
        <v>8267</v>
      </c>
      <c r="I3">
        <v>423</v>
      </c>
      <c r="J3">
        <v>7112</v>
      </c>
      <c r="K3">
        <v>1162</v>
      </c>
      <c r="L3">
        <v>429</v>
      </c>
      <c r="M3" s="5">
        <v>0</v>
      </c>
      <c r="N3" s="5">
        <v>1794</v>
      </c>
      <c r="O3" s="5">
        <v>2043</v>
      </c>
      <c r="P3" s="5">
        <v>0</v>
      </c>
      <c r="Q3" s="5">
        <v>734</v>
      </c>
      <c r="R3" s="5">
        <v>0</v>
      </c>
      <c r="S3" s="5">
        <v>16</v>
      </c>
      <c r="T3" s="5">
        <v>1316</v>
      </c>
      <c r="U3" s="5">
        <v>3</v>
      </c>
      <c r="V3" s="5">
        <v>6</v>
      </c>
      <c r="W3">
        <v>2753.6</v>
      </c>
      <c r="X3" s="5">
        <v>591.2</v>
      </c>
      <c r="Y3" s="6" t="str">
        <f t="shared" ref="Y3:Y56" si="0">IF(AND(W3&gt;X3,W3&gt;10),"W","H")</f>
        <v>W</v>
      </c>
    </row>
    <row r="4" ht="13.85" spans="1:25">
      <c r="A4" s="2" t="s">
        <v>240</v>
      </c>
      <c r="M4" s="5">
        <v>26</v>
      </c>
      <c r="N4" s="5">
        <v>52</v>
      </c>
      <c r="O4" s="5">
        <v>0</v>
      </c>
      <c r="P4" s="5">
        <v>50</v>
      </c>
      <c r="Q4" s="5">
        <v>0</v>
      </c>
      <c r="R4" s="5">
        <v>637</v>
      </c>
      <c r="S4" s="5">
        <v>209</v>
      </c>
      <c r="T4" s="5">
        <v>22</v>
      </c>
      <c r="U4" s="5">
        <v>0</v>
      </c>
      <c r="V4" s="5">
        <v>96</v>
      </c>
      <c r="X4" s="5">
        <v>109.2</v>
      </c>
      <c r="Y4" s="6" t="str">
        <f t="shared" si="0"/>
        <v>H</v>
      </c>
    </row>
    <row r="5" ht="13.85" spans="1:25">
      <c r="A5" s="2" t="s">
        <v>241</v>
      </c>
      <c r="M5" s="5">
        <v>0</v>
      </c>
      <c r="N5" s="5">
        <v>8</v>
      </c>
      <c r="O5" s="5">
        <v>0</v>
      </c>
      <c r="P5" s="5">
        <v>3</v>
      </c>
      <c r="Q5" s="5">
        <v>28</v>
      </c>
      <c r="R5" s="5">
        <v>824</v>
      </c>
      <c r="S5" s="5">
        <v>0</v>
      </c>
      <c r="T5" s="5">
        <v>12</v>
      </c>
      <c r="U5" s="5">
        <v>7</v>
      </c>
      <c r="V5" s="5">
        <v>0</v>
      </c>
      <c r="X5" s="5">
        <v>88.2</v>
      </c>
      <c r="Y5" s="6" t="str">
        <f t="shared" si="0"/>
        <v>H</v>
      </c>
    </row>
    <row r="6" ht="13.85" spans="1:25">
      <c r="A6" s="2" t="s">
        <v>264</v>
      </c>
      <c r="B6" t="s">
        <v>178</v>
      </c>
      <c r="C6">
        <v>646</v>
      </c>
      <c r="D6">
        <v>150</v>
      </c>
      <c r="E6">
        <v>6</v>
      </c>
      <c r="F6">
        <v>86</v>
      </c>
      <c r="G6">
        <v>209</v>
      </c>
      <c r="H6">
        <v>11</v>
      </c>
      <c r="I6">
        <v>173</v>
      </c>
      <c r="J6">
        <v>2661</v>
      </c>
      <c r="K6">
        <v>2234</v>
      </c>
      <c r="L6">
        <v>406</v>
      </c>
      <c r="M6" s="5">
        <v>1278</v>
      </c>
      <c r="N6" s="5">
        <v>138</v>
      </c>
      <c r="O6" s="5">
        <v>73</v>
      </c>
      <c r="P6" s="5">
        <v>78</v>
      </c>
      <c r="Q6" s="5">
        <v>248</v>
      </c>
      <c r="R6" s="5">
        <v>116</v>
      </c>
      <c r="S6" s="5">
        <v>84</v>
      </c>
      <c r="T6" s="5">
        <v>669</v>
      </c>
      <c r="U6" s="5">
        <v>29</v>
      </c>
      <c r="V6" s="5">
        <v>327</v>
      </c>
      <c r="W6">
        <v>658.2</v>
      </c>
      <c r="X6" s="5">
        <v>304</v>
      </c>
      <c r="Y6" s="6" t="str">
        <f t="shared" si="0"/>
        <v>W</v>
      </c>
    </row>
    <row r="7" ht="13.85" spans="1:39">
      <c r="A7" s="2" t="s">
        <v>265</v>
      </c>
      <c r="B7" t="s">
        <v>179</v>
      </c>
      <c r="C7">
        <v>0</v>
      </c>
      <c r="D7">
        <v>0</v>
      </c>
      <c r="E7">
        <v>23</v>
      </c>
      <c r="F7">
        <v>5</v>
      </c>
      <c r="G7">
        <v>58</v>
      </c>
      <c r="H7">
        <v>2859</v>
      </c>
      <c r="I7">
        <v>0</v>
      </c>
      <c r="J7">
        <v>234</v>
      </c>
      <c r="K7">
        <v>699</v>
      </c>
      <c r="L7">
        <v>61</v>
      </c>
      <c r="M7" s="5">
        <v>0</v>
      </c>
      <c r="N7" s="5">
        <v>140</v>
      </c>
      <c r="O7" s="5">
        <v>0</v>
      </c>
      <c r="P7" s="5">
        <v>0</v>
      </c>
      <c r="Q7" s="5">
        <v>1199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>
        <v>393.9</v>
      </c>
      <c r="X7" s="5">
        <v>133.9</v>
      </c>
      <c r="Y7" s="6" t="str">
        <f t="shared" si="0"/>
        <v>W</v>
      </c>
      <c r="AD7" s="1"/>
      <c r="AE7" s="1"/>
      <c r="AF7" s="1"/>
      <c r="AG7" s="1"/>
      <c r="AH7" s="1"/>
      <c r="AI7" s="1"/>
      <c r="AJ7" s="1"/>
      <c r="AK7" s="1"/>
      <c r="AL7" s="1"/>
      <c r="AM7" s="1"/>
    </row>
    <row r="8" ht="13.85" spans="1:29">
      <c r="A8" s="2" t="s">
        <v>242</v>
      </c>
      <c r="B8" t="s">
        <v>156</v>
      </c>
      <c r="C8">
        <v>112</v>
      </c>
      <c r="D8">
        <v>56</v>
      </c>
      <c r="E8">
        <v>59</v>
      </c>
      <c r="F8">
        <v>48</v>
      </c>
      <c r="G8">
        <v>103</v>
      </c>
      <c r="H8">
        <v>116</v>
      </c>
      <c r="I8">
        <v>96</v>
      </c>
      <c r="J8">
        <v>45</v>
      </c>
      <c r="K8">
        <v>132</v>
      </c>
      <c r="L8">
        <v>124</v>
      </c>
      <c r="M8" s="5">
        <v>277</v>
      </c>
      <c r="N8" s="5">
        <v>165</v>
      </c>
      <c r="O8" s="5">
        <v>134</v>
      </c>
      <c r="P8" s="5">
        <v>43</v>
      </c>
      <c r="Q8" s="5">
        <v>146</v>
      </c>
      <c r="R8" s="5">
        <v>0</v>
      </c>
      <c r="S8" s="5">
        <v>37</v>
      </c>
      <c r="T8" s="5">
        <v>184</v>
      </c>
      <c r="U8" s="5">
        <v>12</v>
      </c>
      <c r="V8" s="5">
        <v>96</v>
      </c>
      <c r="W8">
        <v>89.1</v>
      </c>
      <c r="X8" s="5">
        <v>109.4</v>
      </c>
      <c r="Y8" s="6" t="str">
        <f t="shared" si="0"/>
        <v>H</v>
      </c>
      <c r="AC8" s="3"/>
    </row>
    <row r="9" ht="13.85" spans="1:25">
      <c r="A9" s="2" t="s">
        <v>243</v>
      </c>
      <c r="B9" t="s">
        <v>157</v>
      </c>
      <c r="C9">
        <v>9</v>
      </c>
      <c r="D9">
        <v>12</v>
      </c>
      <c r="E9">
        <v>351</v>
      </c>
      <c r="F9">
        <v>47</v>
      </c>
      <c r="G9">
        <v>596</v>
      </c>
      <c r="H9">
        <v>168</v>
      </c>
      <c r="I9">
        <v>57</v>
      </c>
      <c r="J9">
        <v>53</v>
      </c>
      <c r="K9">
        <v>9</v>
      </c>
      <c r="L9">
        <v>28</v>
      </c>
      <c r="M9" s="5">
        <v>34</v>
      </c>
      <c r="N9" s="5">
        <v>72</v>
      </c>
      <c r="O9" s="5">
        <v>148</v>
      </c>
      <c r="P9" s="5">
        <v>6</v>
      </c>
      <c r="Q9" s="5">
        <v>188</v>
      </c>
      <c r="R9" s="5">
        <v>381</v>
      </c>
      <c r="S9" s="5">
        <v>393</v>
      </c>
      <c r="T9" s="5">
        <v>645</v>
      </c>
      <c r="U9" s="5">
        <v>0</v>
      </c>
      <c r="V9" s="5">
        <v>13</v>
      </c>
      <c r="W9">
        <v>133</v>
      </c>
      <c r="X9" s="5">
        <v>188</v>
      </c>
      <c r="Y9" s="6" t="str">
        <f t="shared" si="0"/>
        <v>H</v>
      </c>
    </row>
    <row r="10" ht="13.85" spans="1:25">
      <c r="A10" s="2" t="s">
        <v>244</v>
      </c>
      <c r="M10" s="5">
        <v>464</v>
      </c>
      <c r="N10" s="5">
        <v>502</v>
      </c>
      <c r="O10" s="5">
        <v>310</v>
      </c>
      <c r="P10" s="5">
        <v>1425</v>
      </c>
      <c r="Q10" s="5">
        <v>581</v>
      </c>
      <c r="R10" s="5">
        <v>1078</v>
      </c>
      <c r="S10" s="5">
        <v>1122</v>
      </c>
      <c r="T10" s="5">
        <v>557</v>
      </c>
      <c r="U10" s="5">
        <v>116</v>
      </c>
      <c r="V10" s="5">
        <v>1812</v>
      </c>
      <c r="X10" s="5">
        <v>796.7</v>
      </c>
      <c r="Y10" s="6" t="str">
        <f t="shared" si="0"/>
        <v>H</v>
      </c>
    </row>
    <row r="11" ht="13.85" spans="1:25">
      <c r="A11" s="2" t="s">
        <v>245</v>
      </c>
      <c r="M11" s="5">
        <v>260</v>
      </c>
      <c r="N11" s="5">
        <v>109</v>
      </c>
      <c r="O11" s="5">
        <v>34</v>
      </c>
      <c r="P11" s="5">
        <v>342</v>
      </c>
      <c r="Q11" s="5">
        <v>91</v>
      </c>
      <c r="R11" s="5">
        <v>30</v>
      </c>
      <c r="S11" s="5">
        <v>217</v>
      </c>
      <c r="T11" s="5">
        <v>56</v>
      </c>
      <c r="U11" s="5">
        <v>114</v>
      </c>
      <c r="V11" s="5">
        <v>440</v>
      </c>
      <c r="X11" s="5">
        <v>169.3</v>
      </c>
      <c r="Y11" s="6" t="str">
        <f t="shared" si="0"/>
        <v>H</v>
      </c>
    </row>
    <row r="12" ht="13.85" spans="1:25">
      <c r="A12" s="2" t="s">
        <v>246</v>
      </c>
      <c r="M12" s="5">
        <v>0</v>
      </c>
      <c r="N12" s="5">
        <v>0</v>
      </c>
      <c r="O12" s="5">
        <v>0</v>
      </c>
      <c r="P12" s="5">
        <v>0</v>
      </c>
      <c r="Q12" s="5">
        <v>71</v>
      </c>
      <c r="R12" s="5">
        <v>991</v>
      </c>
      <c r="S12" s="5">
        <v>0</v>
      </c>
      <c r="T12" s="5">
        <v>0</v>
      </c>
      <c r="U12" s="5">
        <v>0</v>
      </c>
      <c r="V12" s="5">
        <v>0</v>
      </c>
      <c r="X12" s="5">
        <v>106.2</v>
      </c>
      <c r="Y12" s="6" t="str">
        <f t="shared" si="0"/>
        <v>H</v>
      </c>
    </row>
    <row r="13" ht="13.85" spans="1:25">
      <c r="A13" s="2" t="s">
        <v>247</v>
      </c>
      <c r="B13" t="s">
        <v>161</v>
      </c>
      <c r="C13">
        <v>4</v>
      </c>
      <c r="D13">
        <v>1077</v>
      </c>
      <c r="E13">
        <v>320</v>
      </c>
      <c r="F13">
        <v>25</v>
      </c>
      <c r="G13">
        <v>15</v>
      </c>
      <c r="H13">
        <v>24</v>
      </c>
      <c r="I13">
        <v>27</v>
      </c>
      <c r="J13">
        <v>101</v>
      </c>
      <c r="K13">
        <v>36</v>
      </c>
      <c r="L13">
        <v>1</v>
      </c>
      <c r="M13" s="5">
        <v>4857</v>
      </c>
      <c r="N13" s="5">
        <v>18</v>
      </c>
      <c r="O13" s="5">
        <v>477</v>
      </c>
      <c r="P13" s="5">
        <v>1225</v>
      </c>
      <c r="Q13" s="5">
        <v>668</v>
      </c>
      <c r="R13" s="5">
        <v>43</v>
      </c>
      <c r="S13" s="5">
        <v>1003</v>
      </c>
      <c r="T13" s="5">
        <v>39</v>
      </c>
      <c r="U13" s="5">
        <v>3</v>
      </c>
      <c r="V13" s="5">
        <v>3891</v>
      </c>
      <c r="W13">
        <v>163</v>
      </c>
      <c r="X13" s="5">
        <v>1222.4</v>
      </c>
      <c r="Y13" s="6" t="str">
        <f t="shared" si="0"/>
        <v>H</v>
      </c>
    </row>
    <row r="14" ht="13.85" spans="1:25">
      <c r="A14" s="2" t="s">
        <v>260</v>
      </c>
      <c r="B14" t="s">
        <v>174</v>
      </c>
      <c r="C14">
        <v>174</v>
      </c>
      <c r="D14">
        <v>1295</v>
      </c>
      <c r="E14">
        <v>314</v>
      </c>
      <c r="F14">
        <v>144</v>
      </c>
      <c r="G14">
        <v>1159</v>
      </c>
      <c r="H14">
        <v>106</v>
      </c>
      <c r="I14">
        <v>374</v>
      </c>
      <c r="J14">
        <v>89</v>
      </c>
      <c r="K14">
        <v>845</v>
      </c>
      <c r="L14">
        <v>97</v>
      </c>
      <c r="M14" s="5">
        <v>235</v>
      </c>
      <c r="N14" s="5">
        <v>86</v>
      </c>
      <c r="O14" s="5">
        <v>276</v>
      </c>
      <c r="P14" s="5">
        <v>83</v>
      </c>
      <c r="Q14" s="5">
        <v>250</v>
      </c>
      <c r="R14" s="5">
        <v>4</v>
      </c>
      <c r="S14" s="5">
        <v>485</v>
      </c>
      <c r="T14" s="5">
        <v>64</v>
      </c>
      <c r="U14" s="5">
        <v>0</v>
      </c>
      <c r="V14" s="5">
        <v>230</v>
      </c>
      <c r="W14">
        <v>459.7</v>
      </c>
      <c r="X14" s="5">
        <v>171.3</v>
      </c>
      <c r="Y14" s="6" t="str">
        <f t="shared" si="0"/>
        <v>W</v>
      </c>
    </row>
    <row r="15" ht="13.85" spans="1:25">
      <c r="A15" s="2" t="s">
        <v>272</v>
      </c>
      <c r="B15" t="s">
        <v>330</v>
      </c>
      <c r="C15">
        <v>32</v>
      </c>
      <c r="D15">
        <v>0</v>
      </c>
      <c r="E15">
        <v>0</v>
      </c>
      <c r="F15">
        <v>1903</v>
      </c>
      <c r="G15">
        <v>32</v>
      </c>
      <c r="H15">
        <v>3</v>
      </c>
      <c r="I15">
        <v>147</v>
      </c>
      <c r="J15">
        <v>231</v>
      </c>
      <c r="K15">
        <v>1655</v>
      </c>
      <c r="L15">
        <v>632</v>
      </c>
      <c r="M15" s="5">
        <v>5</v>
      </c>
      <c r="N15" s="5">
        <v>71</v>
      </c>
      <c r="O15" s="5">
        <v>532</v>
      </c>
      <c r="P15" s="5">
        <v>162</v>
      </c>
      <c r="Q15" s="5">
        <v>855</v>
      </c>
      <c r="R15" s="5">
        <v>101</v>
      </c>
      <c r="S15" s="5">
        <v>81</v>
      </c>
      <c r="T15" s="5">
        <v>237</v>
      </c>
      <c r="U15" s="5">
        <v>267</v>
      </c>
      <c r="V15" s="5">
        <v>29</v>
      </c>
      <c r="W15">
        <v>463.5</v>
      </c>
      <c r="X15" s="5">
        <v>234</v>
      </c>
      <c r="Y15" s="6" t="str">
        <f t="shared" si="0"/>
        <v>W</v>
      </c>
    </row>
    <row r="16" ht="13.85" spans="1:25">
      <c r="A16" s="2" t="s">
        <v>248</v>
      </c>
      <c r="M16" s="5">
        <v>1412</v>
      </c>
      <c r="N16" s="5">
        <v>112</v>
      </c>
      <c r="O16" s="5">
        <v>135</v>
      </c>
      <c r="P16" s="5">
        <v>198</v>
      </c>
      <c r="Q16" s="5">
        <v>304</v>
      </c>
      <c r="R16" s="5">
        <v>43</v>
      </c>
      <c r="S16" s="5">
        <v>110</v>
      </c>
      <c r="T16" s="5">
        <v>261</v>
      </c>
      <c r="U16" s="5">
        <v>827</v>
      </c>
      <c r="V16" s="5">
        <v>245</v>
      </c>
      <c r="X16" s="5">
        <v>364.7</v>
      </c>
      <c r="Y16" s="6" t="str">
        <f t="shared" si="0"/>
        <v>H</v>
      </c>
    </row>
    <row r="17" ht="13.85" spans="1:25">
      <c r="A17" s="2" t="s">
        <v>249</v>
      </c>
      <c r="M17" s="5">
        <v>7</v>
      </c>
      <c r="N17" s="5">
        <v>154</v>
      </c>
      <c r="O17" s="5">
        <v>189</v>
      </c>
      <c r="P17" s="5">
        <v>155</v>
      </c>
      <c r="Q17" s="5">
        <v>0</v>
      </c>
      <c r="R17" s="5">
        <v>358</v>
      </c>
      <c r="S17" s="5">
        <v>5</v>
      </c>
      <c r="T17" s="5">
        <v>14</v>
      </c>
      <c r="U17" s="5">
        <v>42</v>
      </c>
      <c r="V17" s="5">
        <v>205</v>
      </c>
      <c r="X17" s="5">
        <v>112.9</v>
      </c>
      <c r="Y17" s="6" t="str">
        <f t="shared" si="0"/>
        <v>H</v>
      </c>
    </row>
    <row r="18" ht="13.85" spans="1:25">
      <c r="A18" s="2" t="s">
        <v>250</v>
      </c>
      <c r="M18" s="5">
        <v>68</v>
      </c>
      <c r="N18" s="5">
        <v>114</v>
      </c>
      <c r="O18" s="5">
        <v>83</v>
      </c>
      <c r="P18" s="5">
        <v>143</v>
      </c>
      <c r="Q18" s="5">
        <v>124</v>
      </c>
      <c r="R18" s="5">
        <v>38</v>
      </c>
      <c r="S18" s="5">
        <v>190</v>
      </c>
      <c r="T18" s="5">
        <v>518</v>
      </c>
      <c r="U18" s="5">
        <v>100</v>
      </c>
      <c r="V18" s="5">
        <v>287</v>
      </c>
      <c r="X18" s="5">
        <v>166.5</v>
      </c>
      <c r="Y18" s="6" t="str">
        <f t="shared" si="0"/>
        <v>H</v>
      </c>
    </row>
    <row r="19" ht="13.85" spans="1:25">
      <c r="A19" s="2" t="s">
        <v>251</v>
      </c>
      <c r="M19" s="5">
        <v>34</v>
      </c>
      <c r="N19" s="5">
        <v>59</v>
      </c>
      <c r="O19" s="5">
        <v>87</v>
      </c>
      <c r="P19" s="5">
        <v>125</v>
      </c>
      <c r="Q19" s="5">
        <v>93</v>
      </c>
      <c r="R19" s="5">
        <v>52</v>
      </c>
      <c r="S19" s="5">
        <v>74</v>
      </c>
      <c r="T19" s="5">
        <v>136</v>
      </c>
      <c r="U19" s="5">
        <v>24</v>
      </c>
      <c r="V19" s="5">
        <v>170</v>
      </c>
      <c r="X19" s="5">
        <v>85.4</v>
      </c>
      <c r="Y19" s="6" t="str">
        <f t="shared" si="0"/>
        <v>H</v>
      </c>
    </row>
    <row r="20" ht="13.85" spans="1:25">
      <c r="A20" s="2" t="s">
        <v>252</v>
      </c>
      <c r="M20" s="5">
        <v>6</v>
      </c>
      <c r="N20" s="5">
        <v>546</v>
      </c>
      <c r="O20" s="5">
        <v>0</v>
      </c>
      <c r="P20" s="5">
        <v>0</v>
      </c>
      <c r="Q20" s="5">
        <v>0</v>
      </c>
      <c r="R20" s="5">
        <v>0</v>
      </c>
      <c r="S20" s="5">
        <v>196</v>
      </c>
      <c r="T20" s="5">
        <v>76</v>
      </c>
      <c r="U20" s="5">
        <v>0</v>
      </c>
      <c r="V20" s="5">
        <v>0</v>
      </c>
      <c r="X20" s="5">
        <v>82.4</v>
      </c>
      <c r="Y20" s="6" t="str">
        <f t="shared" si="0"/>
        <v>H</v>
      </c>
    </row>
    <row r="21" ht="13.85" spans="1:25">
      <c r="A21" s="2" t="s">
        <v>253</v>
      </c>
      <c r="M21" s="5">
        <v>448</v>
      </c>
      <c r="N21" s="5">
        <v>56</v>
      </c>
      <c r="O21" s="5">
        <v>245</v>
      </c>
      <c r="P21" s="5">
        <v>0</v>
      </c>
      <c r="Q21" s="5">
        <v>61</v>
      </c>
      <c r="R21" s="5">
        <v>0</v>
      </c>
      <c r="S21" s="5">
        <v>401</v>
      </c>
      <c r="T21" s="5">
        <v>19</v>
      </c>
      <c r="U21" s="5">
        <v>57</v>
      </c>
      <c r="V21" s="5">
        <v>0</v>
      </c>
      <c r="X21" s="5">
        <v>128.7</v>
      </c>
      <c r="Y21" s="6" t="str">
        <f t="shared" si="0"/>
        <v>H</v>
      </c>
    </row>
    <row r="22" ht="13.85" spans="1:25">
      <c r="A22" s="2" t="s">
        <v>254</v>
      </c>
      <c r="M22" s="5">
        <v>0</v>
      </c>
      <c r="N22" s="5">
        <v>345</v>
      </c>
      <c r="O22" s="5">
        <v>0</v>
      </c>
      <c r="P22" s="5">
        <v>0</v>
      </c>
      <c r="Q22" s="5">
        <v>383</v>
      </c>
      <c r="R22" s="5">
        <v>0</v>
      </c>
      <c r="S22" s="5">
        <v>0</v>
      </c>
      <c r="T22" s="5">
        <v>173</v>
      </c>
      <c r="U22" s="5">
        <v>340</v>
      </c>
      <c r="V22" s="5">
        <v>0</v>
      </c>
      <c r="X22" s="5">
        <v>124.1</v>
      </c>
      <c r="Y22" s="6" t="str">
        <f t="shared" si="0"/>
        <v>H</v>
      </c>
    </row>
    <row r="23" ht="13.85" spans="1:25">
      <c r="A23" s="2" t="s">
        <v>255</v>
      </c>
      <c r="M23" s="5">
        <v>130</v>
      </c>
      <c r="N23" s="5">
        <v>154</v>
      </c>
      <c r="O23" s="5">
        <v>304</v>
      </c>
      <c r="P23" s="5">
        <v>50</v>
      </c>
      <c r="Q23" s="5">
        <v>319</v>
      </c>
      <c r="R23" s="5">
        <v>0</v>
      </c>
      <c r="S23" s="5">
        <v>642</v>
      </c>
      <c r="T23" s="5">
        <v>241</v>
      </c>
      <c r="U23" s="5">
        <v>64</v>
      </c>
      <c r="V23" s="5">
        <v>36</v>
      </c>
      <c r="X23" s="5">
        <v>194</v>
      </c>
      <c r="Y23" s="6" t="str">
        <f t="shared" si="0"/>
        <v>H</v>
      </c>
    </row>
    <row r="24" ht="13.85" spans="1:25">
      <c r="A24" s="2" t="s">
        <v>277</v>
      </c>
      <c r="B24" t="s">
        <v>191</v>
      </c>
      <c r="C24">
        <v>418</v>
      </c>
      <c r="D24">
        <v>1020</v>
      </c>
      <c r="E24">
        <v>1849</v>
      </c>
      <c r="F24">
        <v>826</v>
      </c>
      <c r="G24">
        <v>713</v>
      </c>
      <c r="H24">
        <v>1792</v>
      </c>
      <c r="I24">
        <v>3389</v>
      </c>
      <c r="J24">
        <v>3037</v>
      </c>
      <c r="K24">
        <v>4285</v>
      </c>
      <c r="L24">
        <v>613</v>
      </c>
      <c r="M24" s="5">
        <v>0</v>
      </c>
      <c r="N24" s="5">
        <v>318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2006</v>
      </c>
      <c r="U24" s="5">
        <v>0</v>
      </c>
      <c r="V24" s="5">
        <v>0</v>
      </c>
      <c r="W24">
        <v>1794.2</v>
      </c>
      <c r="X24" s="5">
        <v>232.4</v>
      </c>
      <c r="Y24" s="6" t="str">
        <f t="shared" si="0"/>
        <v>W</v>
      </c>
    </row>
    <row r="25" ht="13.85" spans="1:25">
      <c r="A25" s="2" t="s">
        <v>256</v>
      </c>
      <c r="M25" s="5">
        <v>155</v>
      </c>
      <c r="N25" s="5">
        <v>312</v>
      </c>
      <c r="O25" s="5">
        <v>737</v>
      </c>
      <c r="P25" s="5">
        <v>200</v>
      </c>
      <c r="Q25" s="5">
        <v>2247</v>
      </c>
      <c r="R25" s="5">
        <v>0</v>
      </c>
      <c r="S25" s="5">
        <v>102</v>
      </c>
      <c r="T25" s="5">
        <v>126</v>
      </c>
      <c r="U25" s="5">
        <v>127</v>
      </c>
      <c r="V25" s="5">
        <v>56</v>
      </c>
      <c r="X25" s="5">
        <v>406.2</v>
      </c>
      <c r="Y25" s="6" t="str">
        <f t="shared" si="0"/>
        <v>H</v>
      </c>
    </row>
    <row r="26" ht="13.85" spans="1:25">
      <c r="A26" s="2" t="s">
        <v>257</v>
      </c>
      <c r="B26" t="s">
        <v>171</v>
      </c>
      <c r="C26">
        <v>0</v>
      </c>
      <c r="D26">
        <v>2630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 s="5">
        <v>101</v>
      </c>
      <c r="N26" s="5">
        <v>1021</v>
      </c>
      <c r="O26" s="5">
        <v>0</v>
      </c>
      <c r="P26" s="5">
        <v>0</v>
      </c>
      <c r="Q26" s="5">
        <v>0</v>
      </c>
      <c r="R26" s="5">
        <v>0</v>
      </c>
      <c r="S26" s="5">
        <v>4116</v>
      </c>
      <c r="T26" s="5">
        <v>843</v>
      </c>
      <c r="U26" s="5">
        <v>0</v>
      </c>
      <c r="V26" s="5">
        <v>0</v>
      </c>
      <c r="W26">
        <v>263</v>
      </c>
      <c r="X26" s="5">
        <v>608.1</v>
      </c>
      <c r="Y26" s="6" t="str">
        <f t="shared" si="0"/>
        <v>H</v>
      </c>
    </row>
    <row r="27" ht="13.85" spans="1:25">
      <c r="A27" s="2" t="s">
        <v>258</v>
      </c>
      <c r="M27" s="5">
        <v>142</v>
      </c>
      <c r="N27" s="5">
        <v>212</v>
      </c>
      <c r="O27" s="5">
        <v>12</v>
      </c>
      <c r="P27" s="5">
        <v>232</v>
      </c>
      <c r="Q27" s="5">
        <v>0</v>
      </c>
      <c r="R27" s="5">
        <v>3378</v>
      </c>
      <c r="S27" s="5">
        <v>923</v>
      </c>
      <c r="T27" s="5">
        <v>104</v>
      </c>
      <c r="U27" s="5">
        <v>29</v>
      </c>
      <c r="V27" s="5">
        <v>347</v>
      </c>
      <c r="X27" s="5">
        <v>537.9</v>
      </c>
      <c r="Y27" s="6" t="str">
        <f t="shared" si="0"/>
        <v>H</v>
      </c>
    </row>
    <row r="28" ht="13.85" spans="1:25">
      <c r="A28" s="4" t="s">
        <v>259</v>
      </c>
      <c r="B28" t="s">
        <v>173</v>
      </c>
      <c r="C28">
        <v>75</v>
      </c>
      <c r="D28">
        <v>97</v>
      </c>
      <c r="E28">
        <v>533</v>
      </c>
      <c r="F28">
        <v>132</v>
      </c>
      <c r="G28">
        <v>0</v>
      </c>
      <c r="H28">
        <v>236</v>
      </c>
      <c r="I28">
        <v>220</v>
      </c>
      <c r="J28">
        <v>41</v>
      </c>
      <c r="K28">
        <v>163</v>
      </c>
      <c r="L28">
        <v>148</v>
      </c>
      <c r="M28" s="5"/>
      <c r="N28" s="5"/>
      <c r="O28" s="5"/>
      <c r="P28" s="5"/>
      <c r="Q28" s="5"/>
      <c r="R28" s="5"/>
      <c r="S28" s="5"/>
      <c r="T28" s="5"/>
      <c r="U28" s="5"/>
      <c r="V28" s="5"/>
      <c r="W28">
        <v>164.5</v>
      </c>
      <c r="X28" s="5"/>
      <c r="Y28" s="6" t="str">
        <f t="shared" si="0"/>
        <v>W</v>
      </c>
    </row>
    <row r="29" ht="13.85" spans="1:25">
      <c r="A29" s="4" t="s">
        <v>260</v>
      </c>
      <c r="B29" t="s">
        <v>174</v>
      </c>
      <c r="C29">
        <v>174</v>
      </c>
      <c r="D29">
        <v>1295</v>
      </c>
      <c r="E29">
        <v>314</v>
      </c>
      <c r="F29">
        <v>144</v>
      </c>
      <c r="G29">
        <v>1159</v>
      </c>
      <c r="H29">
        <v>106</v>
      </c>
      <c r="I29">
        <v>374</v>
      </c>
      <c r="J29">
        <v>89</v>
      </c>
      <c r="K29">
        <v>845</v>
      </c>
      <c r="L29">
        <v>97</v>
      </c>
      <c r="M29" s="5">
        <v>235</v>
      </c>
      <c r="N29" s="5">
        <v>86</v>
      </c>
      <c r="O29" s="5">
        <v>276</v>
      </c>
      <c r="P29" s="5">
        <v>83</v>
      </c>
      <c r="Q29" s="5">
        <v>250</v>
      </c>
      <c r="R29" s="5">
        <v>4</v>
      </c>
      <c r="S29" s="5">
        <v>485</v>
      </c>
      <c r="T29" s="5">
        <v>64</v>
      </c>
      <c r="U29" s="5">
        <v>0</v>
      </c>
      <c r="V29" s="5">
        <v>230</v>
      </c>
      <c r="W29">
        <v>459.7</v>
      </c>
      <c r="X29" s="5">
        <v>171.3</v>
      </c>
      <c r="Y29" s="6" t="str">
        <f t="shared" si="0"/>
        <v>W</v>
      </c>
    </row>
    <row r="30" ht="13.85" spans="1:25">
      <c r="A30" s="4" t="s">
        <v>239</v>
      </c>
      <c r="B30" t="s">
        <v>153</v>
      </c>
      <c r="C30">
        <v>537</v>
      </c>
      <c r="D30">
        <v>661</v>
      </c>
      <c r="E30">
        <v>796</v>
      </c>
      <c r="F30">
        <v>1160</v>
      </c>
      <c r="G30">
        <v>220</v>
      </c>
      <c r="H30">
        <v>749</v>
      </c>
      <c r="I30">
        <v>83</v>
      </c>
      <c r="J30">
        <v>559</v>
      </c>
      <c r="K30">
        <v>100</v>
      </c>
      <c r="L30">
        <v>124</v>
      </c>
      <c r="M30" s="5">
        <v>4</v>
      </c>
      <c r="N30" s="5">
        <v>101</v>
      </c>
      <c r="O30" s="5">
        <v>111</v>
      </c>
      <c r="P30" s="5">
        <v>3</v>
      </c>
      <c r="Q30" s="5">
        <v>342</v>
      </c>
      <c r="R30" s="5">
        <v>4494</v>
      </c>
      <c r="S30" s="5">
        <v>191</v>
      </c>
      <c r="T30" s="5">
        <v>35</v>
      </c>
      <c r="U30" s="5">
        <v>2297</v>
      </c>
      <c r="V30" s="5">
        <v>5</v>
      </c>
      <c r="W30">
        <v>498.9</v>
      </c>
      <c r="X30" s="5">
        <v>758.3</v>
      </c>
      <c r="Y30" s="6" t="str">
        <f t="shared" si="0"/>
        <v>H</v>
      </c>
    </row>
    <row r="31" ht="13.85" spans="1:25">
      <c r="A31" s="4" t="s">
        <v>261</v>
      </c>
      <c r="B31" s="3" t="s">
        <v>175</v>
      </c>
      <c r="C31">
        <v>634</v>
      </c>
      <c r="D31">
        <v>0</v>
      </c>
      <c r="E31">
        <v>0</v>
      </c>
      <c r="F31">
        <v>0</v>
      </c>
      <c r="G31">
        <v>76</v>
      </c>
      <c r="H31">
        <v>0</v>
      </c>
      <c r="I31">
        <v>0</v>
      </c>
      <c r="J31">
        <v>0</v>
      </c>
      <c r="K31">
        <v>0</v>
      </c>
      <c r="L31">
        <v>0</v>
      </c>
      <c r="M31" s="5"/>
      <c r="N31" s="5"/>
      <c r="O31" s="5"/>
      <c r="P31" s="5"/>
      <c r="Q31" s="5"/>
      <c r="R31" s="5"/>
      <c r="S31" s="5"/>
      <c r="T31" s="5"/>
      <c r="U31" s="5"/>
      <c r="V31" s="5"/>
      <c r="W31">
        <v>71</v>
      </c>
      <c r="X31" s="5"/>
      <c r="Y31" s="6" t="str">
        <f t="shared" si="0"/>
        <v>W</v>
      </c>
    </row>
    <row r="32" ht="13.85" spans="1:25">
      <c r="A32" s="4" t="s">
        <v>259</v>
      </c>
      <c r="B32" t="s">
        <v>173</v>
      </c>
      <c r="C32">
        <v>75</v>
      </c>
      <c r="D32">
        <v>97</v>
      </c>
      <c r="E32">
        <v>533</v>
      </c>
      <c r="F32">
        <v>132</v>
      </c>
      <c r="G32">
        <v>0</v>
      </c>
      <c r="H32">
        <v>236</v>
      </c>
      <c r="I32">
        <v>220</v>
      </c>
      <c r="J32">
        <v>41</v>
      </c>
      <c r="K32">
        <v>163</v>
      </c>
      <c r="L32">
        <v>148</v>
      </c>
      <c r="M32" s="5"/>
      <c r="N32" s="5"/>
      <c r="O32" s="5"/>
      <c r="P32" s="5"/>
      <c r="Q32" s="5"/>
      <c r="R32" s="5"/>
      <c r="S32" s="5"/>
      <c r="T32" s="5"/>
      <c r="U32" s="5"/>
      <c r="V32" s="5"/>
      <c r="W32">
        <v>164.5</v>
      </c>
      <c r="X32" s="5"/>
      <c r="Y32" s="6" t="str">
        <f t="shared" si="0"/>
        <v>W</v>
      </c>
    </row>
    <row r="33" ht="13.85" spans="1:25">
      <c r="A33" s="4" t="s">
        <v>262</v>
      </c>
      <c r="B33" t="s">
        <v>176</v>
      </c>
      <c r="C33">
        <v>955</v>
      </c>
      <c r="D33">
        <v>3790</v>
      </c>
      <c r="E33">
        <v>1391</v>
      </c>
      <c r="F33">
        <v>403</v>
      </c>
      <c r="G33">
        <v>3604</v>
      </c>
      <c r="H33">
        <v>8267</v>
      </c>
      <c r="I33">
        <v>423</v>
      </c>
      <c r="J33">
        <v>7112</v>
      </c>
      <c r="K33">
        <v>1162</v>
      </c>
      <c r="L33">
        <v>429</v>
      </c>
      <c r="M33" s="5">
        <v>0</v>
      </c>
      <c r="N33" s="5">
        <v>1794</v>
      </c>
      <c r="O33" s="5">
        <v>2043</v>
      </c>
      <c r="P33" s="5">
        <v>0</v>
      </c>
      <c r="Q33" s="5">
        <v>734</v>
      </c>
      <c r="R33" s="5">
        <v>0</v>
      </c>
      <c r="S33" s="5">
        <v>16</v>
      </c>
      <c r="T33" s="5">
        <v>1316</v>
      </c>
      <c r="U33" s="5">
        <v>3</v>
      </c>
      <c r="V33" s="5">
        <v>6</v>
      </c>
      <c r="W33">
        <v>2753.6</v>
      </c>
      <c r="X33" s="5">
        <v>591.2</v>
      </c>
      <c r="Y33" s="6" t="str">
        <f t="shared" si="0"/>
        <v>W</v>
      </c>
    </row>
    <row r="34" ht="13.85" spans="1:25">
      <c r="A34" s="4" t="s">
        <v>263</v>
      </c>
      <c r="B34" t="s">
        <v>177</v>
      </c>
      <c r="C34">
        <v>633</v>
      </c>
      <c r="D34">
        <v>800</v>
      </c>
      <c r="E34">
        <v>3126</v>
      </c>
      <c r="F34">
        <v>895</v>
      </c>
      <c r="G34">
        <v>606</v>
      </c>
      <c r="H34">
        <v>1433</v>
      </c>
      <c r="I34">
        <v>1440</v>
      </c>
      <c r="J34">
        <v>449</v>
      </c>
      <c r="K34">
        <v>947</v>
      </c>
      <c r="L34">
        <v>959</v>
      </c>
      <c r="M34" s="5"/>
      <c r="N34" s="5"/>
      <c r="O34" s="5"/>
      <c r="P34" s="5"/>
      <c r="Q34" s="5"/>
      <c r="R34" s="5"/>
      <c r="S34" s="5"/>
      <c r="T34" s="5"/>
      <c r="U34" s="5"/>
      <c r="V34" s="5"/>
      <c r="W34">
        <v>1128.8</v>
      </c>
      <c r="X34" s="5"/>
      <c r="Y34" s="6" t="str">
        <f t="shared" si="0"/>
        <v>W</v>
      </c>
    </row>
    <row r="35" ht="13.85" spans="1:25">
      <c r="A35" s="4" t="s">
        <v>264</v>
      </c>
      <c r="B35" t="s">
        <v>178</v>
      </c>
      <c r="C35">
        <v>646</v>
      </c>
      <c r="D35">
        <v>150</v>
      </c>
      <c r="E35">
        <v>6</v>
      </c>
      <c r="F35">
        <v>86</v>
      </c>
      <c r="G35">
        <v>209</v>
      </c>
      <c r="H35">
        <v>11</v>
      </c>
      <c r="I35">
        <v>173</v>
      </c>
      <c r="J35">
        <v>2661</v>
      </c>
      <c r="K35">
        <v>2234</v>
      </c>
      <c r="L35">
        <v>406</v>
      </c>
      <c r="M35" s="5">
        <v>1278</v>
      </c>
      <c r="N35" s="5">
        <v>138</v>
      </c>
      <c r="O35" s="5">
        <v>73</v>
      </c>
      <c r="P35" s="5">
        <v>78</v>
      </c>
      <c r="Q35" s="5">
        <v>248</v>
      </c>
      <c r="R35" s="5">
        <v>116</v>
      </c>
      <c r="S35" s="5">
        <v>84</v>
      </c>
      <c r="T35" s="5">
        <v>669</v>
      </c>
      <c r="U35" s="5">
        <v>29</v>
      </c>
      <c r="V35" s="5">
        <v>327</v>
      </c>
      <c r="W35">
        <v>658.2</v>
      </c>
      <c r="X35" s="5">
        <v>304</v>
      </c>
      <c r="Y35" s="6" t="str">
        <f t="shared" si="0"/>
        <v>W</v>
      </c>
    </row>
    <row r="36" ht="13.85" spans="1:25">
      <c r="A36" s="4" t="s">
        <v>265</v>
      </c>
      <c r="B36" t="s">
        <v>179</v>
      </c>
      <c r="C36">
        <v>0</v>
      </c>
      <c r="D36">
        <v>0</v>
      </c>
      <c r="E36">
        <v>23</v>
      </c>
      <c r="F36">
        <v>5</v>
      </c>
      <c r="G36">
        <v>58</v>
      </c>
      <c r="H36">
        <v>2859</v>
      </c>
      <c r="I36">
        <v>0</v>
      </c>
      <c r="J36">
        <v>234</v>
      </c>
      <c r="K36">
        <v>699</v>
      </c>
      <c r="L36">
        <v>61</v>
      </c>
      <c r="M36" s="5">
        <v>0</v>
      </c>
      <c r="N36" s="5">
        <v>140</v>
      </c>
      <c r="O36" s="5">
        <v>0</v>
      </c>
      <c r="P36" s="5">
        <v>0</v>
      </c>
      <c r="Q36" s="5">
        <v>1199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>
        <v>393.9</v>
      </c>
      <c r="X36" s="5">
        <v>133.9</v>
      </c>
      <c r="Y36" s="6" t="str">
        <f t="shared" si="0"/>
        <v>W</v>
      </c>
    </row>
    <row r="37" ht="13.85" spans="1:29">
      <c r="A37" s="4" t="s">
        <v>266</v>
      </c>
      <c r="B37" t="s">
        <v>180</v>
      </c>
      <c r="C37">
        <v>0</v>
      </c>
      <c r="D37">
        <v>0</v>
      </c>
      <c r="E37">
        <v>0</v>
      </c>
      <c r="F37">
        <v>0</v>
      </c>
      <c r="G37">
        <v>25</v>
      </c>
      <c r="H37">
        <v>831</v>
      </c>
      <c r="I37">
        <v>0</v>
      </c>
      <c r="J37">
        <v>38</v>
      </c>
      <c r="K37">
        <v>0</v>
      </c>
      <c r="L37">
        <v>7</v>
      </c>
      <c r="M37" s="5"/>
      <c r="N37" s="5"/>
      <c r="O37" s="5"/>
      <c r="P37" s="5"/>
      <c r="Q37" s="5"/>
      <c r="R37" s="5"/>
      <c r="S37" s="5"/>
      <c r="T37" s="5"/>
      <c r="U37" s="5"/>
      <c r="V37" s="5"/>
      <c r="W37">
        <v>90.1</v>
      </c>
      <c r="X37" s="5"/>
      <c r="Y37" s="6" t="str">
        <f t="shared" si="0"/>
        <v>W</v>
      </c>
      <c r="AC37" s="3"/>
    </row>
    <row r="38" ht="13.85" spans="1:25">
      <c r="A38" s="4" t="s">
        <v>267</v>
      </c>
      <c r="B38" t="s">
        <v>181</v>
      </c>
      <c r="C38">
        <v>877</v>
      </c>
      <c r="D38">
        <v>36</v>
      </c>
      <c r="E38">
        <v>81</v>
      </c>
      <c r="F38">
        <v>1560</v>
      </c>
      <c r="G38">
        <v>0</v>
      </c>
      <c r="H38">
        <v>516</v>
      </c>
      <c r="I38">
        <v>2470</v>
      </c>
      <c r="J38">
        <v>44</v>
      </c>
      <c r="K38">
        <v>290</v>
      </c>
      <c r="L38">
        <v>3828</v>
      </c>
      <c r="M38" s="5"/>
      <c r="N38" s="5"/>
      <c r="O38" s="5"/>
      <c r="P38" s="5"/>
      <c r="Q38" s="5"/>
      <c r="R38" s="5"/>
      <c r="S38" s="5"/>
      <c r="T38" s="5"/>
      <c r="U38" s="5"/>
      <c r="V38" s="5"/>
      <c r="W38">
        <v>970.2</v>
      </c>
      <c r="X38" s="5"/>
      <c r="Y38" s="6" t="str">
        <f t="shared" si="0"/>
        <v>W</v>
      </c>
    </row>
    <row r="39" ht="13.85" spans="1:25">
      <c r="A39" s="4" t="s">
        <v>242</v>
      </c>
      <c r="B39" s="3" t="s">
        <v>156</v>
      </c>
      <c r="C39">
        <v>112</v>
      </c>
      <c r="D39">
        <v>56</v>
      </c>
      <c r="E39">
        <v>59</v>
      </c>
      <c r="F39">
        <v>48</v>
      </c>
      <c r="G39">
        <v>103</v>
      </c>
      <c r="H39">
        <v>116</v>
      </c>
      <c r="I39">
        <v>96</v>
      </c>
      <c r="J39">
        <v>45</v>
      </c>
      <c r="K39">
        <v>132</v>
      </c>
      <c r="L39">
        <v>124</v>
      </c>
      <c r="M39" s="5">
        <v>277</v>
      </c>
      <c r="N39" s="5">
        <v>165</v>
      </c>
      <c r="O39" s="5">
        <v>134</v>
      </c>
      <c r="P39" s="5">
        <v>43</v>
      </c>
      <c r="Q39" s="5">
        <v>146</v>
      </c>
      <c r="R39" s="5">
        <v>0</v>
      </c>
      <c r="S39" s="5">
        <v>37</v>
      </c>
      <c r="T39" s="5">
        <v>184</v>
      </c>
      <c r="U39" s="5">
        <v>12</v>
      </c>
      <c r="V39" s="5">
        <v>96</v>
      </c>
      <c r="W39">
        <v>89.1</v>
      </c>
      <c r="X39" s="5">
        <v>109.4</v>
      </c>
      <c r="Y39" s="6" t="str">
        <f t="shared" si="0"/>
        <v>H</v>
      </c>
    </row>
    <row r="40" ht="13.85" spans="1:25">
      <c r="A40" s="4" t="s">
        <v>268</v>
      </c>
      <c r="B40" t="s">
        <v>182</v>
      </c>
      <c r="C40">
        <v>0</v>
      </c>
      <c r="D40">
        <v>0</v>
      </c>
      <c r="E40">
        <v>64</v>
      </c>
      <c r="F40">
        <v>280</v>
      </c>
      <c r="G40">
        <v>6189</v>
      </c>
      <c r="H40">
        <v>0</v>
      </c>
      <c r="I40">
        <v>124</v>
      </c>
      <c r="J40">
        <v>4</v>
      </c>
      <c r="K40">
        <v>7</v>
      </c>
      <c r="L40">
        <v>1220</v>
      </c>
      <c r="M40" s="5"/>
      <c r="N40" s="5"/>
      <c r="O40" s="5"/>
      <c r="P40" s="5"/>
      <c r="Q40" s="5"/>
      <c r="R40" s="5"/>
      <c r="S40" s="5"/>
      <c r="T40" s="5"/>
      <c r="U40" s="5"/>
      <c r="V40" s="5"/>
      <c r="W40">
        <v>788.8</v>
      </c>
      <c r="X40" s="5"/>
      <c r="Y40" s="6" t="str">
        <f t="shared" si="0"/>
        <v>W</v>
      </c>
    </row>
    <row r="41" ht="13.85" spans="1:25">
      <c r="A41" s="4" t="s">
        <v>243</v>
      </c>
      <c r="B41" t="s">
        <v>157</v>
      </c>
      <c r="C41">
        <v>9</v>
      </c>
      <c r="D41">
        <v>12</v>
      </c>
      <c r="E41">
        <v>351</v>
      </c>
      <c r="F41">
        <v>47</v>
      </c>
      <c r="G41">
        <v>596</v>
      </c>
      <c r="H41">
        <v>168</v>
      </c>
      <c r="I41">
        <v>57</v>
      </c>
      <c r="J41">
        <v>53</v>
      </c>
      <c r="K41">
        <v>9</v>
      </c>
      <c r="L41">
        <v>28</v>
      </c>
      <c r="M41" s="5">
        <v>34</v>
      </c>
      <c r="N41" s="5">
        <v>72</v>
      </c>
      <c r="O41" s="5">
        <v>148</v>
      </c>
      <c r="P41" s="5">
        <v>6</v>
      </c>
      <c r="Q41" s="5">
        <v>188</v>
      </c>
      <c r="R41" s="5">
        <v>381</v>
      </c>
      <c r="S41" s="5">
        <v>393</v>
      </c>
      <c r="T41" s="5">
        <v>645</v>
      </c>
      <c r="U41" s="5">
        <v>0</v>
      </c>
      <c r="V41" s="5">
        <v>13</v>
      </c>
      <c r="W41">
        <v>133</v>
      </c>
      <c r="X41" s="5">
        <v>188</v>
      </c>
      <c r="Y41" s="6" t="str">
        <f t="shared" si="0"/>
        <v>H</v>
      </c>
    </row>
    <row r="42" ht="13.85" spans="1:25">
      <c r="A42" s="4" t="s">
        <v>269</v>
      </c>
      <c r="B42" t="s">
        <v>183</v>
      </c>
      <c r="C42">
        <v>77</v>
      </c>
      <c r="D42">
        <v>0</v>
      </c>
      <c r="E42">
        <v>2</v>
      </c>
      <c r="F42">
        <v>29</v>
      </c>
      <c r="G42">
        <v>165</v>
      </c>
      <c r="H42">
        <v>0</v>
      </c>
      <c r="I42">
        <v>148</v>
      </c>
      <c r="J42">
        <v>139</v>
      </c>
      <c r="K42">
        <v>350</v>
      </c>
      <c r="L42">
        <v>86</v>
      </c>
      <c r="M42" s="5"/>
      <c r="N42" s="5"/>
      <c r="O42" s="5"/>
      <c r="P42" s="5"/>
      <c r="Q42" s="5"/>
      <c r="R42" s="5"/>
      <c r="S42" s="5"/>
      <c r="T42" s="5"/>
      <c r="U42" s="5"/>
      <c r="V42" s="5"/>
      <c r="W42">
        <v>99.6</v>
      </c>
      <c r="X42" s="5"/>
      <c r="Y42" s="6" t="str">
        <f t="shared" si="0"/>
        <v>W</v>
      </c>
    </row>
    <row r="43" ht="13.85" spans="1:25">
      <c r="A43" s="4" t="s">
        <v>270</v>
      </c>
      <c r="B43" t="s">
        <v>184</v>
      </c>
      <c r="C43">
        <v>5</v>
      </c>
      <c r="D43">
        <v>0</v>
      </c>
      <c r="E43">
        <v>0</v>
      </c>
      <c r="F43">
        <v>118</v>
      </c>
      <c r="G43">
        <v>0</v>
      </c>
      <c r="H43">
        <v>0</v>
      </c>
      <c r="I43">
        <v>69</v>
      </c>
      <c r="J43">
        <v>185</v>
      </c>
      <c r="K43">
        <v>2</v>
      </c>
      <c r="L43">
        <v>446</v>
      </c>
      <c r="M43" s="5"/>
      <c r="N43" s="5"/>
      <c r="O43" s="5"/>
      <c r="P43" s="5"/>
      <c r="Q43" s="5"/>
      <c r="R43" s="5"/>
      <c r="S43" s="5"/>
      <c r="T43" s="5"/>
      <c r="U43" s="5"/>
      <c r="V43" s="5"/>
      <c r="W43">
        <v>82.5</v>
      </c>
      <c r="X43" s="5"/>
      <c r="Y43" s="6" t="str">
        <f t="shared" si="0"/>
        <v>W</v>
      </c>
    </row>
    <row r="44" ht="13.85" spans="1:25">
      <c r="A44" s="4" t="s">
        <v>271</v>
      </c>
      <c r="B44" t="s">
        <v>185</v>
      </c>
      <c r="C44">
        <v>2208</v>
      </c>
      <c r="D44">
        <v>24</v>
      </c>
      <c r="E44">
        <v>38</v>
      </c>
      <c r="F44">
        <v>753</v>
      </c>
      <c r="G44">
        <v>496</v>
      </c>
      <c r="H44">
        <v>0</v>
      </c>
      <c r="I44">
        <v>587</v>
      </c>
      <c r="J44">
        <v>83</v>
      </c>
      <c r="K44">
        <v>571</v>
      </c>
      <c r="L44">
        <v>350</v>
      </c>
      <c r="M44" s="5"/>
      <c r="N44" s="5"/>
      <c r="O44" s="5"/>
      <c r="P44" s="5"/>
      <c r="Q44" s="5"/>
      <c r="R44" s="5"/>
      <c r="S44" s="5"/>
      <c r="T44" s="5"/>
      <c r="U44" s="5"/>
      <c r="V44" s="5"/>
      <c r="W44">
        <v>511</v>
      </c>
      <c r="X44" s="5"/>
      <c r="Y44" s="6" t="str">
        <f t="shared" si="0"/>
        <v>W</v>
      </c>
    </row>
    <row r="45" ht="13.85" spans="1:29">
      <c r="A45" s="4" t="s">
        <v>247</v>
      </c>
      <c r="B45" t="s">
        <v>161</v>
      </c>
      <c r="C45">
        <v>4</v>
      </c>
      <c r="D45">
        <v>1077</v>
      </c>
      <c r="E45">
        <v>320</v>
      </c>
      <c r="F45">
        <v>25</v>
      </c>
      <c r="G45">
        <v>15</v>
      </c>
      <c r="H45">
        <v>24</v>
      </c>
      <c r="I45">
        <v>27</v>
      </c>
      <c r="J45">
        <v>101</v>
      </c>
      <c r="K45">
        <v>36</v>
      </c>
      <c r="L45">
        <v>1</v>
      </c>
      <c r="M45" s="5">
        <v>4857</v>
      </c>
      <c r="N45" s="5">
        <v>18</v>
      </c>
      <c r="O45" s="5">
        <v>477</v>
      </c>
      <c r="P45" s="5">
        <v>1225</v>
      </c>
      <c r="Q45" s="5">
        <v>668</v>
      </c>
      <c r="R45" s="5">
        <v>43</v>
      </c>
      <c r="S45" s="5">
        <v>1003</v>
      </c>
      <c r="T45" s="5">
        <v>39</v>
      </c>
      <c r="U45" s="5">
        <v>3</v>
      </c>
      <c r="V45" s="5">
        <v>3891</v>
      </c>
      <c r="W45">
        <v>163</v>
      </c>
      <c r="X45" s="5">
        <v>1222.4</v>
      </c>
      <c r="Y45" s="6" t="str">
        <f t="shared" si="0"/>
        <v>H</v>
      </c>
      <c r="AC45" s="3"/>
    </row>
    <row r="46" ht="13.85" spans="1:25">
      <c r="A46" s="4" t="s">
        <v>260</v>
      </c>
      <c r="B46" t="s">
        <v>174</v>
      </c>
      <c r="C46">
        <v>174</v>
      </c>
      <c r="D46">
        <v>1295</v>
      </c>
      <c r="E46">
        <v>314</v>
      </c>
      <c r="F46">
        <v>144</v>
      </c>
      <c r="G46">
        <v>1159</v>
      </c>
      <c r="H46">
        <v>106</v>
      </c>
      <c r="I46">
        <v>374</v>
      </c>
      <c r="J46">
        <v>89</v>
      </c>
      <c r="K46">
        <v>845</v>
      </c>
      <c r="L46">
        <v>97</v>
      </c>
      <c r="M46" s="5">
        <v>235</v>
      </c>
      <c r="N46" s="5">
        <v>86</v>
      </c>
      <c r="O46" s="5">
        <v>276</v>
      </c>
      <c r="P46" s="5">
        <v>83</v>
      </c>
      <c r="Q46" s="5">
        <v>250</v>
      </c>
      <c r="R46" s="5">
        <v>4</v>
      </c>
      <c r="S46" s="5">
        <v>485</v>
      </c>
      <c r="T46" s="5">
        <v>64</v>
      </c>
      <c r="U46" s="5">
        <v>0</v>
      </c>
      <c r="V46" s="5">
        <v>230</v>
      </c>
      <c r="W46">
        <v>459.7</v>
      </c>
      <c r="X46" s="5">
        <v>171.3</v>
      </c>
      <c r="Y46" s="6" t="str">
        <f t="shared" si="0"/>
        <v>W</v>
      </c>
    </row>
    <row r="47" ht="13.85" spans="1:25">
      <c r="A47" s="4" t="s">
        <v>272</v>
      </c>
      <c r="B47" t="s">
        <v>330</v>
      </c>
      <c r="C47">
        <v>32</v>
      </c>
      <c r="D47">
        <v>0</v>
      </c>
      <c r="E47">
        <v>0</v>
      </c>
      <c r="F47">
        <v>1903</v>
      </c>
      <c r="G47">
        <v>32</v>
      </c>
      <c r="H47">
        <v>3</v>
      </c>
      <c r="I47">
        <v>147</v>
      </c>
      <c r="J47">
        <v>231</v>
      </c>
      <c r="K47">
        <v>1655</v>
      </c>
      <c r="L47">
        <v>632</v>
      </c>
      <c r="M47" s="5">
        <v>5</v>
      </c>
      <c r="N47" s="5">
        <v>71</v>
      </c>
      <c r="O47" s="5">
        <v>532</v>
      </c>
      <c r="P47" s="5">
        <v>162</v>
      </c>
      <c r="Q47" s="5">
        <v>855</v>
      </c>
      <c r="R47" s="5">
        <v>101</v>
      </c>
      <c r="S47" s="5">
        <v>81</v>
      </c>
      <c r="T47" s="5">
        <v>237</v>
      </c>
      <c r="U47" s="5">
        <v>267</v>
      </c>
      <c r="V47" s="5">
        <v>29</v>
      </c>
      <c r="W47">
        <v>463.5</v>
      </c>
      <c r="X47" s="5">
        <v>234</v>
      </c>
      <c r="Y47" s="6" t="str">
        <f t="shared" si="0"/>
        <v>W</v>
      </c>
    </row>
    <row r="48" ht="13.85" spans="1:25">
      <c r="A48" s="4" t="s">
        <v>273</v>
      </c>
      <c r="B48" t="s">
        <v>187</v>
      </c>
      <c r="C48">
        <v>10</v>
      </c>
      <c r="D48">
        <v>10</v>
      </c>
      <c r="E48">
        <v>83</v>
      </c>
      <c r="F48">
        <v>0</v>
      </c>
      <c r="G48">
        <v>79</v>
      </c>
      <c r="H48">
        <v>234</v>
      </c>
      <c r="I48">
        <v>38</v>
      </c>
      <c r="J48">
        <v>11</v>
      </c>
      <c r="K48">
        <v>0</v>
      </c>
      <c r="L48">
        <v>743</v>
      </c>
      <c r="M48" s="5"/>
      <c r="N48" s="5"/>
      <c r="O48" s="5"/>
      <c r="P48" s="5"/>
      <c r="Q48" s="5"/>
      <c r="R48" s="5"/>
      <c r="S48" s="5"/>
      <c r="T48" s="5"/>
      <c r="U48" s="5"/>
      <c r="V48" s="5"/>
      <c r="W48">
        <v>120.8</v>
      </c>
      <c r="X48" s="5"/>
      <c r="Y48" s="6" t="str">
        <f t="shared" si="0"/>
        <v>W</v>
      </c>
    </row>
    <row r="49" ht="13.85" spans="1:25">
      <c r="A49" s="4" t="s">
        <v>274</v>
      </c>
      <c r="B49" t="s">
        <v>188</v>
      </c>
      <c r="C49">
        <v>935</v>
      </c>
      <c r="D49">
        <v>0</v>
      </c>
      <c r="E49">
        <v>0</v>
      </c>
      <c r="F49">
        <v>0</v>
      </c>
      <c r="G49">
        <v>162</v>
      </c>
      <c r="H49">
        <v>0</v>
      </c>
      <c r="I49">
        <v>137</v>
      </c>
      <c r="J49">
        <v>101</v>
      </c>
      <c r="K49">
        <v>261</v>
      </c>
      <c r="L49">
        <v>588</v>
      </c>
      <c r="M49" s="5"/>
      <c r="N49" s="5"/>
      <c r="O49" s="5"/>
      <c r="P49" s="5"/>
      <c r="Q49" s="5"/>
      <c r="R49" s="5"/>
      <c r="S49" s="5"/>
      <c r="T49" s="5"/>
      <c r="U49" s="5"/>
      <c r="V49" s="5"/>
      <c r="W49">
        <v>218.4</v>
      </c>
      <c r="X49" s="5"/>
      <c r="Y49" s="6" t="str">
        <f t="shared" si="0"/>
        <v>W</v>
      </c>
    </row>
    <row r="50" ht="13.85" spans="1:25">
      <c r="A50" s="4" t="s">
        <v>275</v>
      </c>
      <c r="B50" t="s">
        <v>189</v>
      </c>
      <c r="C50">
        <v>2533</v>
      </c>
      <c r="D50">
        <v>23</v>
      </c>
      <c r="E50">
        <v>8</v>
      </c>
      <c r="F50">
        <v>0</v>
      </c>
      <c r="G50">
        <v>0</v>
      </c>
      <c r="H50">
        <v>0</v>
      </c>
      <c r="I50">
        <v>0</v>
      </c>
      <c r="J50">
        <v>12</v>
      </c>
      <c r="K50">
        <v>0</v>
      </c>
      <c r="L50">
        <v>0</v>
      </c>
      <c r="M50" s="5"/>
      <c r="N50" s="5"/>
      <c r="O50" s="5"/>
      <c r="P50" s="5"/>
      <c r="Q50" s="5"/>
      <c r="R50" s="5"/>
      <c r="S50" s="5"/>
      <c r="T50" s="5"/>
      <c r="U50" s="5"/>
      <c r="V50" s="5"/>
      <c r="W50">
        <v>257.6</v>
      </c>
      <c r="X50" s="5"/>
      <c r="Y50" s="6" t="str">
        <f t="shared" si="0"/>
        <v>W</v>
      </c>
    </row>
    <row r="51" ht="13.85" spans="1:25">
      <c r="A51" s="4" t="s">
        <v>276</v>
      </c>
      <c r="B51" t="s">
        <v>190</v>
      </c>
      <c r="C51">
        <v>57</v>
      </c>
      <c r="D51">
        <v>16</v>
      </c>
      <c r="E51">
        <v>33</v>
      </c>
      <c r="F51">
        <v>276</v>
      </c>
      <c r="G51">
        <v>28</v>
      </c>
      <c r="H51">
        <v>15</v>
      </c>
      <c r="I51">
        <v>573</v>
      </c>
      <c r="J51">
        <v>24</v>
      </c>
      <c r="K51">
        <v>140</v>
      </c>
      <c r="L51">
        <v>96</v>
      </c>
      <c r="M51" s="5"/>
      <c r="N51" s="5"/>
      <c r="O51" s="5"/>
      <c r="P51" s="5"/>
      <c r="Q51" s="5"/>
      <c r="R51" s="5"/>
      <c r="S51" s="5"/>
      <c r="T51" s="5"/>
      <c r="U51" s="5"/>
      <c r="V51" s="5"/>
      <c r="W51">
        <v>125.8</v>
      </c>
      <c r="X51" s="5"/>
      <c r="Y51" s="6" t="str">
        <f t="shared" si="0"/>
        <v>W</v>
      </c>
    </row>
    <row r="52" ht="13.85" spans="1:25">
      <c r="A52" s="4" t="s">
        <v>277</v>
      </c>
      <c r="B52" t="s">
        <v>191</v>
      </c>
      <c r="C52">
        <v>418</v>
      </c>
      <c r="D52">
        <v>1020</v>
      </c>
      <c r="E52">
        <v>1849</v>
      </c>
      <c r="F52">
        <v>826</v>
      </c>
      <c r="G52">
        <v>713</v>
      </c>
      <c r="H52">
        <v>1792</v>
      </c>
      <c r="I52">
        <v>3389</v>
      </c>
      <c r="J52">
        <v>3037</v>
      </c>
      <c r="K52">
        <v>4285</v>
      </c>
      <c r="L52">
        <v>613</v>
      </c>
      <c r="M52" s="5">
        <v>0</v>
      </c>
      <c r="N52" s="5">
        <v>318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2006</v>
      </c>
      <c r="U52" s="5">
        <v>0</v>
      </c>
      <c r="V52" s="5">
        <v>0</v>
      </c>
      <c r="W52">
        <v>1794.2</v>
      </c>
      <c r="X52" s="5">
        <v>232.4</v>
      </c>
      <c r="Y52" s="6" t="str">
        <f t="shared" si="0"/>
        <v>W</v>
      </c>
    </row>
    <row r="53" ht="13.85" spans="1:25">
      <c r="A53" s="4" t="s">
        <v>278</v>
      </c>
      <c r="B53" t="s">
        <v>192</v>
      </c>
      <c r="C53">
        <v>116</v>
      </c>
      <c r="D53">
        <v>12</v>
      </c>
      <c r="E53">
        <v>61</v>
      </c>
      <c r="F53">
        <v>88</v>
      </c>
      <c r="G53">
        <v>80</v>
      </c>
      <c r="H53">
        <v>38</v>
      </c>
      <c r="I53">
        <v>111</v>
      </c>
      <c r="J53">
        <v>172</v>
      </c>
      <c r="K53">
        <v>193</v>
      </c>
      <c r="L53">
        <v>32</v>
      </c>
      <c r="M53" s="5"/>
      <c r="N53" s="5"/>
      <c r="O53" s="5"/>
      <c r="P53" s="5"/>
      <c r="Q53" s="5"/>
      <c r="R53" s="5"/>
      <c r="S53" s="5"/>
      <c r="T53" s="5"/>
      <c r="U53" s="5"/>
      <c r="V53" s="5"/>
      <c r="W53">
        <v>90.3</v>
      </c>
      <c r="X53" s="5"/>
      <c r="Y53" s="6" t="str">
        <f t="shared" si="0"/>
        <v>W</v>
      </c>
    </row>
    <row r="54" ht="13.85" spans="1:25">
      <c r="A54" s="4" t="s">
        <v>279</v>
      </c>
      <c r="B54" t="s">
        <v>193</v>
      </c>
      <c r="C54">
        <v>74</v>
      </c>
      <c r="D54">
        <v>2</v>
      </c>
      <c r="E54">
        <v>30</v>
      </c>
      <c r="F54">
        <v>0</v>
      </c>
      <c r="G54">
        <v>1454</v>
      </c>
      <c r="H54">
        <v>0</v>
      </c>
      <c r="I54">
        <v>6</v>
      </c>
      <c r="J54">
        <v>10</v>
      </c>
      <c r="K54">
        <v>19</v>
      </c>
      <c r="L54">
        <v>11</v>
      </c>
      <c r="M54" s="5"/>
      <c r="N54" s="5"/>
      <c r="O54" s="5"/>
      <c r="P54" s="5"/>
      <c r="Q54" s="5"/>
      <c r="R54" s="5"/>
      <c r="S54" s="5"/>
      <c r="T54" s="5"/>
      <c r="U54" s="5"/>
      <c r="V54" s="5"/>
      <c r="W54">
        <v>160.6</v>
      </c>
      <c r="X54" s="5"/>
      <c r="Y54" s="6" t="str">
        <f t="shared" si="0"/>
        <v>W</v>
      </c>
    </row>
    <row r="55" ht="13.85" spans="1:25">
      <c r="A55" s="4" t="s">
        <v>280</v>
      </c>
      <c r="B55" t="s">
        <v>194</v>
      </c>
      <c r="C55">
        <v>12</v>
      </c>
      <c r="D55">
        <v>0</v>
      </c>
      <c r="E55">
        <v>430</v>
      </c>
      <c r="F55">
        <v>1400</v>
      </c>
      <c r="G55">
        <v>24</v>
      </c>
      <c r="H55">
        <v>81</v>
      </c>
      <c r="I55">
        <v>10</v>
      </c>
      <c r="J55">
        <v>41</v>
      </c>
      <c r="K55">
        <v>323</v>
      </c>
      <c r="L55">
        <v>132</v>
      </c>
      <c r="M55" s="5"/>
      <c r="N55" s="5"/>
      <c r="O55" s="5"/>
      <c r="P55" s="5"/>
      <c r="Q55" s="5"/>
      <c r="R55" s="5"/>
      <c r="S55" s="5"/>
      <c r="T55" s="5"/>
      <c r="U55" s="5"/>
      <c r="V55" s="5"/>
      <c r="W55">
        <v>245.3</v>
      </c>
      <c r="X55" s="5"/>
      <c r="Y55" s="6" t="str">
        <f t="shared" si="0"/>
        <v>W</v>
      </c>
    </row>
    <row r="56" ht="13.85" spans="1:25">
      <c r="A56" s="4" t="s">
        <v>257</v>
      </c>
      <c r="B56" t="s">
        <v>171</v>
      </c>
      <c r="C56">
        <v>0</v>
      </c>
      <c r="D56">
        <v>2630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 s="5">
        <v>101</v>
      </c>
      <c r="N56" s="5">
        <v>1021</v>
      </c>
      <c r="O56" s="5">
        <v>0</v>
      </c>
      <c r="P56" s="5">
        <v>0</v>
      </c>
      <c r="Q56" s="5">
        <v>0</v>
      </c>
      <c r="R56" s="5">
        <v>0</v>
      </c>
      <c r="S56" s="5">
        <v>4116</v>
      </c>
      <c r="T56" s="5">
        <v>843</v>
      </c>
      <c r="U56" s="5">
        <v>0</v>
      </c>
      <c r="V56" s="5">
        <v>0</v>
      </c>
      <c r="W56">
        <v>263</v>
      </c>
      <c r="X56" s="5">
        <v>608.1</v>
      </c>
      <c r="Y56" s="6" t="str">
        <f t="shared" si="0"/>
        <v>H</v>
      </c>
    </row>
    <row r="57" ht="13.85" spans="3:23">
      <c r="C57" s="1" t="s">
        <v>341</v>
      </c>
      <c r="D57" s="1" t="s">
        <v>342</v>
      </c>
      <c r="E57" s="1" t="s">
        <v>343</v>
      </c>
      <c r="F57" s="1" t="s">
        <v>344</v>
      </c>
      <c r="G57" s="1" t="s">
        <v>345</v>
      </c>
      <c r="H57" s="1" t="s">
        <v>346</v>
      </c>
      <c r="I57" s="1" t="s">
        <v>347</v>
      </c>
      <c r="J57" s="1" t="s">
        <v>348</v>
      </c>
      <c r="K57" s="1" t="s">
        <v>349</v>
      </c>
      <c r="L57" s="1" t="s">
        <v>350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 t="s">
        <v>352</v>
      </c>
    </row>
    <row r="58" ht="13.85" spans="1:23">
      <c r="A58" s="2" t="s">
        <v>239</v>
      </c>
      <c r="B58" s="5" t="s">
        <v>153</v>
      </c>
      <c r="C58" s="5">
        <v>4</v>
      </c>
      <c r="D58" s="5">
        <v>101</v>
      </c>
      <c r="E58" s="5">
        <v>111</v>
      </c>
      <c r="F58" s="5">
        <v>3</v>
      </c>
      <c r="G58" s="5">
        <v>342</v>
      </c>
      <c r="H58" s="5">
        <v>4494</v>
      </c>
      <c r="I58" s="5">
        <v>191</v>
      </c>
      <c r="J58" s="5">
        <v>35</v>
      </c>
      <c r="K58" s="5">
        <v>2297</v>
      </c>
      <c r="L58" s="5">
        <v>5</v>
      </c>
      <c r="M58" s="5"/>
      <c r="N58" s="5"/>
      <c r="O58" s="5"/>
      <c r="P58" s="5"/>
      <c r="Q58" s="5"/>
      <c r="R58" s="5"/>
      <c r="S58" s="5"/>
      <c r="T58" s="5"/>
      <c r="U58" s="5"/>
      <c r="V58" s="5"/>
      <c r="W58" s="5">
        <v>758.3</v>
      </c>
    </row>
    <row r="59" ht="13.85" spans="1:23">
      <c r="A59" s="2" t="s">
        <v>262</v>
      </c>
      <c r="B59" s="5" t="s">
        <v>176</v>
      </c>
      <c r="C59" s="5">
        <v>0</v>
      </c>
      <c r="D59" s="5">
        <v>1794</v>
      </c>
      <c r="E59" s="5">
        <v>2043</v>
      </c>
      <c r="F59" s="5">
        <v>0</v>
      </c>
      <c r="G59" s="5">
        <v>734</v>
      </c>
      <c r="H59" s="5">
        <v>0</v>
      </c>
      <c r="I59" s="5">
        <v>16</v>
      </c>
      <c r="J59" s="5">
        <v>1316</v>
      </c>
      <c r="K59" s="5">
        <v>3</v>
      </c>
      <c r="L59" s="5">
        <v>6</v>
      </c>
      <c r="M59" s="5"/>
      <c r="N59" s="5"/>
      <c r="O59" s="5"/>
      <c r="P59" s="5"/>
      <c r="Q59" s="5"/>
      <c r="R59" s="5"/>
      <c r="S59" s="5"/>
      <c r="T59" s="5"/>
      <c r="U59" s="5"/>
      <c r="V59" s="5"/>
      <c r="W59" s="5">
        <v>591.2</v>
      </c>
    </row>
    <row r="60" ht="13.85" spans="1:23">
      <c r="A60" s="2" t="s">
        <v>240</v>
      </c>
      <c r="B60" s="5" t="s">
        <v>154</v>
      </c>
      <c r="C60" s="5">
        <v>26</v>
      </c>
      <c r="D60" s="5">
        <v>52</v>
      </c>
      <c r="E60" s="5">
        <v>0</v>
      </c>
      <c r="F60" s="5">
        <v>50</v>
      </c>
      <c r="G60" s="5">
        <v>0</v>
      </c>
      <c r="H60" s="5">
        <v>637</v>
      </c>
      <c r="I60" s="5">
        <v>209</v>
      </c>
      <c r="J60" s="5">
        <v>22</v>
      </c>
      <c r="K60" s="5">
        <v>0</v>
      </c>
      <c r="L60" s="5">
        <v>96</v>
      </c>
      <c r="M60" s="5"/>
      <c r="N60" s="5"/>
      <c r="O60" s="5"/>
      <c r="P60" s="5"/>
      <c r="Q60" s="5"/>
      <c r="R60" s="5"/>
      <c r="S60" s="5"/>
      <c r="T60" s="5"/>
      <c r="U60" s="5"/>
      <c r="V60" s="5"/>
      <c r="W60" s="5">
        <v>109.2</v>
      </c>
    </row>
    <row r="61" ht="13.85" spans="1:23">
      <c r="A61" s="2" t="s">
        <v>241</v>
      </c>
      <c r="B61" s="5" t="s">
        <v>155</v>
      </c>
      <c r="C61" s="5">
        <v>0</v>
      </c>
      <c r="D61" s="5">
        <v>8</v>
      </c>
      <c r="E61" s="5">
        <v>0</v>
      </c>
      <c r="F61" s="5">
        <v>3</v>
      </c>
      <c r="G61" s="5">
        <v>28</v>
      </c>
      <c r="H61" s="5">
        <v>824</v>
      </c>
      <c r="I61" s="5">
        <v>0</v>
      </c>
      <c r="J61" s="5">
        <v>12</v>
      </c>
      <c r="K61" s="5">
        <v>7</v>
      </c>
      <c r="L61" s="5">
        <v>0</v>
      </c>
      <c r="M61" s="5"/>
      <c r="N61" s="5"/>
      <c r="O61" s="5"/>
      <c r="P61" s="5"/>
      <c r="Q61" s="5"/>
      <c r="R61" s="5"/>
      <c r="S61" s="5"/>
      <c r="T61" s="5"/>
      <c r="U61" s="5"/>
      <c r="V61" s="5"/>
      <c r="W61" s="5">
        <v>88.2</v>
      </c>
    </row>
    <row r="62" ht="13.85" spans="1:23">
      <c r="A62" s="2" t="s">
        <v>264</v>
      </c>
      <c r="B62" s="5" t="s">
        <v>178</v>
      </c>
      <c r="C62" s="5">
        <v>1278</v>
      </c>
      <c r="D62" s="5">
        <v>138</v>
      </c>
      <c r="E62" s="5">
        <v>73</v>
      </c>
      <c r="F62" s="5">
        <v>78</v>
      </c>
      <c r="G62" s="5">
        <v>248</v>
      </c>
      <c r="H62" s="5">
        <v>116</v>
      </c>
      <c r="I62" s="5">
        <v>84</v>
      </c>
      <c r="J62" s="5">
        <v>669</v>
      </c>
      <c r="K62" s="5">
        <v>29</v>
      </c>
      <c r="L62" s="5">
        <v>327</v>
      </c>
      <c r="M62" s="5"/>
      <c r="N62" s="5"/>
      <c r="O62" s="5"/>
      <c r="P62" s="5"/>
      <c r="Q62" s="5"/>
      <c r="R62" s="5"/>
      <c r="S62" s="5"/>
      <c r="T62" s="5"/>
      <c r="U62" s="5"/>
      <c r="V62" s="5"/>
      <c r="W62" s="5">
        <v>304</v>
      </c>
    </row>
    <row r="63" ht="13.85" spans="1:23">
      <c r="A63" s="2" t="s">
        <v>265</v>
      </c>
      <c r="B63" s="5" t="s">
        <v>179</v>
      </c>
      <c r="C63" s="5">
        <v>0</v>
      </c>
      <c r="D63" s="5">
        <v>140</v>
      </c>
      <c r="E63" s="5">
        <v>0</v>
      </c>
      <c r="F63" s="5">
        <v>0</v>
      </c>
      <c r="G63" s="5">
        <v>1199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/>
      <c r="N63" s="5"/>
      <c r="O63" s="5"/>
      <c r="P63" s="5"/>
      <c r="Q63" s="5"/>
      <c r="R63" s="5"/>
      <c r="S63" s="5"/>
      <c r="T63" s="5"/>
      <c r="U63" s="5"/>
      <c r="V63" s="5"/>
      <c r="W63" s="5">
        <v>133.9</v>
      </c>
    </row>
    <row r="64" ht="13.85" spans="1:23">
      <c r="A64" s="2" t="s">
        <v>242</v>
      </c>
      <c r="B64" s="5" t="s">
        <v>156</v>
      </c>
      <c r="C64" s="5">
        <v>277</v>
      </c>
      <c r="D64" s="5">
        <v>165</v>
      </c>
      <c r="E64" s="5">
        <v>134</v>
      </c>
      <c r="F64" s="5">
        <v>43</v>
      </c>
      <c r="G64" s="5">
        <v>146</v>
      </c>
      <c r="H64" s="5">
        <v>0</v>
      </c>
      <c r="I64" s="5">
        <v>37</v>
      </c>
      <c r="J64" s="5">
        <v>184</v>
      </c>
      <c r="K64" s="5">
        <v>12</v>
      </c>
      <c r="L64" s="5">
        <v>96</v>
      </c>
      <c r="M64" s="5"/>
      <c r="N64" s="5"/>
      <c r="O64" s="5"/>
      <c r="P64" s="5"/>
      <c r="Q64" s="5"/>
      <c r="R64" s="5"/>
      <c r="S64" s="5"/>
      <c r="T64" s="5"/>
      <c r="U64" s="5"/>
      <c r="V64" s="5"/>
      <c r="W64" s="5">
        <v>109.4</v>
      </c>
    </row>
    <row r="65" ht="13.85" spans="1:23">
      <c r="A65" s="2" t="s">
        <v>243</v>
      </c>
      <c r="B65" s="5" t="s">
        <v>157</v>
      </c>
      <c r="C65" s="5">
        <v>34</v>
      </c>
      <c r="D65" s="5">
        <v>72</v>
      </c>
      <c r="E65" s="5">
        <v>148</v>
      </c>
      <c r="F65" s="5">
        <v>6</v>
      </c>
      <c r="G65" s="5">
        <v>188</v>
      </c>
      <c r="H65" s="5">
        <v>381</v>
      </c>
      <c r="I65" s="5">
        <v>393</v>
      </c>
      <c r="J65" s="5">
        <v>645</v>
      </c>
      <c r="K65" s="5">
        <v>0</v>
      </c>
      <c r="L65" s="5">
        <v>13</v>
      </c>
      <c r="M65" s="5"/>
      <c r="N65" s="5"/>
      <c r="O65" s="5"/>
      <c r="P65" s="5"/>
      <c r="Q65" s="5"/>
      <c r="R65" s="5"/>
      <c r="S65" s="5"/>
      <c r="T65" s="5"/>
      <c r="U65" s="5"/>
      <c r="V65" s="5"/>
      <c r="W65" s="5">
        <v>188</v>
      </c>
    </row>
    <row r="66" ht="13.85" spans="1:23">
      <c r="A66" s="2" t="s">
        <v>244</v>
      </c>
      <c r="B66" s="5" t="s">
        <v>158</v>
      </c>
      <c r="C66" s="5">
        <v>464</v>
      </c>
      <c r="D66" s="5">
        <v>502</v>
      </c>
      <c r="E66" s="5">
        <v>310</v>
      </c>
      <c r="F66" s="5">
        <v>1425</v>
      </c>
      <c r="G66" s="5">
        <v>581</v>
      </c>
      <c r="H66" s="5">
        <v>1078</v>
      </c>
      <c r="I66" s="5">
        <v>1122</v>
      </c>
      <c r="J66" s="5">
        <v>557</v>
      </c>
      <c r="K66" s="5">
        <v>116</v>
      </c>
      <c r="L66" s="5">
        <v>1812</v>
      </c>
      <c r="M66" s="5"/>
      <c r="N66" s="5"/>
      <c r="O66" s="5"/>
      <c r="P66" s="5"/>
      <c r="Q66" s="5"/>
      <c r="R66" s="5"/>
      <c r="S66" s="5"/>
      <c r="T66" s="5"/>
      <c r="U66" s="5"/>
      <c r="V66" s="5"/>
      <c r="W66" s="5">
        <v>796.7</v>
      </c>
    </row>
    <row r="67" ht="13.85" spans="1:23">
      <c r="A67" s="2" t="s">
        <v>245</v>
      </c>
      <c r="B67" s="5" t="s">
        <v>159</v>
      </c>
      <c r="C67" s="5">
        <v>260</v>
      </c>
      <c r="D67" s="5">
        <v>109</v>
      </c>
      <c r="E67" s="5">
        <v>34</v>
      </c>
      <c r="F67" s="5">
        <v>342</v>
      </c>
      <c r="G67" s="5">
        <v>91</v>
      </c>
      <c r="H67" s="5">
        <v>30</v>
      </c>
      <c r="I67" s="5">
        <v>217</v>
      </c>
      <c r="J67" s="5">
        <v>56</v>
      </c>
      <c r="K67" s="5">
        <v>114</v>
      </c>
      <c r="L67" s="5">
        <v>440</v>
      </c>
      <c r="M67" s="5"/>
      <c r="N67" s="5"/>
      <c r="O67" s="5"/>
      <c r="P67" s="5"/>
      <c r="Q67" s="5"/>
      <c r="R67" s="5"/>
      <c r="S67" s="5"/>
      <c r="T67" s="5"/>
      <c r="U67" s="5"/>
      <c r="V67" s="5"/>
      <c r="W67" s="5">
        <v>169.3</v>
      </c>
    </row>
    <row r="68" ht="13.85" spans="1:23">
      <c r="A68" s="2" t="s">
        <v>246</v>
      </c>
      <c r="B68" s="5" t="s">
        <v>160</v>
      </c>
      <c r="C68" s="5">
        <v>0</v>
      </c>
      <c r="D68" s="5">
        <v>0</v>
      </c>
      <c r="E68" s="5">
        <v>0</v>
      </c>
      <c r="F68" s="5">
        <v>0</v>
      </c>
      <c r="G68" s="5">
        <v>71</v>
      </c>
      <c r="H68" s="5">
        <v>991</v>
      </c>
      <c r="I68" s="5">
        <v>0</v>
      </c>
      <c r="J68" s="5">
        <v>0</v>
      </c>
      <c r="K68" s="5">
        <v>0</v>
      </c>
      <c r="L68" s="5">
        <v>0</v>
      </c>
      <c r="M68" s="5"/>
      <c r="N68" s="5"/>
      <c r="O68" s="5"/>
      <c r="P68" s="5"/>
      <c r="Q68" s="5"/>
      <c r="R68" s="5"/>
      <c r="S68" s="5"/>
      <c r="T68" s="5"/>
      <c r="U68" s="5"/>
      <c r="V68" s="5"/>
      <c r="W68" s="5">
        <v>106.2</v>
      </c>
    </row>
    <row r="69" ht="13.85" spans="1:23">
      <c r="A69" s="2" t="s">
        <v>247</v>
      </c>
      <c r="B69" s="5" t="s">
        <v>161</v>
      </c>
      <c r="C69" s="5">
        <v>4857</v>
      </c>
      <c r="D69" s="5">
        <v>18</v>
      </c>
      <c r="E69" s="5">
        <v>477</v>
      </c>
      <c r="F69" s="5">
        <v>1225</v>
      </c>
      <c r="G69" s="5">
        <v>668</v>
      </c>
      <c r="H69" s="5">
        <v>43</v>
      </c>
      <c r="I69" s="5">
        <v>1003</v>
      </c>
      <c r="J69" s="5">
        <v>39</v>
      </c>
      <c r="K69" s="5">
        <v>3</v>
      </c>
      <c r="L69" s="5">
        <v>3891</v>
      </c>
      <c r="M69" s="5"/>
      <c r="N69" s="5"/>
      <c r="O69" s="5"/>
      <c r="P69" s="5"/>
      <c r="Q69" s="5"/>
      <c r="R69" s="5"/>
      <c r="S69" s="5"/>
      <c r="T69" s="5"/>
      <c r="U69" s="5"/>
      <c r="V69" s="5"/>
      <c r="W69" s="5">
        <v>1222.4</v>
      </c>
    </row>
    <row r="70" ht="13.85" spans="1:23">
      <c r="A70" s="2" t="s">
        <v>260</v>
      </c>
      <c r="B70" s="5" t="s">
        <v>174</v>
      </c>
      <c r="C70" s="5">
        <v>235</v>
      </c>
      <c r="D70" s="5">
        <v>86</v>
      </c>
      <c r="E70" s="5">
        <v>276</v>
      </c>
      <c r="F70" s="5">
        <v>83</v>
      </c>
      <c r="G70" s="5">
        <v>250</v>
      </c>
      <c r="H70" s="5">
        <v>4</v>
      </c>
      <c r="I70" s="5">
        <v>485</v>
      </c>
      <c r="J70" s="5">
        <v>64</v>
      </c>
      <c r="K70" s="5">
        <v>0</v>
      </c>
      <c r="L70" s="5">
        <v>230</v>
      </c>
      <c r="M70" s="5"/>
      <c r="N70" s="5"/>
      <c r="O70" s="5"/>
      <c r="P70" s="5"/>
      <c r="Q70" s="5"/>
      <c r="R70" s="5"/>
      <c r="S70" s="5"/>
      <c r="T70" s="5"/>
      <c r="U70" s="5"/>
      <c r="V70" s="5"/>
      <c r="W70" s="5">
        <v>171.3</v>
      </c>
    </row>
    <row r="71" ht="13.85" spans="1:23">
      <c r="A71" s="2" t="s">
        <v>272</v>
      </c>
      <c r="B71" s="5" t="s">
        <v>186</v>
      </c>
      <c r="C71" s="5">
        <v>5</v>
      </c>
      <c r="D71" s="5">
        <v>71</v>
      </c>
      <c r="E71" s="5">
        <v>532</v>
      </c>
      <c r="F71" s="5">
        <v>162</v>
      </c>
      <c r="G71" s="5">
        <v>855</v>
      </c>
      <c r="H71" s="5">
        <v>101</v>
      </c>
      <c r="I71" s="5">
        <v>81</v>
      </c>
      <c r="J71" s="5">
        <v>237</v>
      </c>
      <c r="K71" s="5">
        <v>267</v>
      </c>
      <c r="L71" s="5">
        <v>29</v>
      </c>
      <c r="M71" s="5"/>
      <c r="N71" s="5"/>
      <c r="O71" s="5"/>
      <c r="P71" s="5"/>
      <c r="Q71" s="5"/>
      <c r="R71" s="5"/>
      <c r="S71" s="5"/>
      <c r="T71" s="5"/>
      <c r="U71" s="5"/>
      <c r="V71" s="5"/>
      <c r="W71" s="5">
        <v>234</v>
      </c>
    </row>
    <row r="72" ht="13.85" spans="1:23">
      <c r="A72" s="2" t="s">
        <v>248</v>
      </c>
      <c r="B72" s="5" t="s">
        <v>162</v>
      </c>
      <c r="C72" s="5">
        <v>1412</v>
      </c>
      <c r="D72" s="5">
        <v>112</v>
      </c>
      <c r="E72" s="5">
        <v>135</v>
      </c>
      <c r="F72" s="5">
        <v>198</v>
      </c>
      <c r="G72" s="5">
        <v>304</v>
      </c>
      <c r="H72" s="5">
        <v>43</v>
      </c>
      <c r="I72" s="5">
        <v>110</v>
      </c>
      <c r="J72" s="5">
        <v>261</v>
      </c>
      <c r="K72" s="5">
        <v>827</v>
      </c>
      <c r="L72" s="5">
        <v>245</v>
      </c>
      <c r="M72" s="5"/>
      <c r="N72" s="5"/>
      <c r="O72" s="5"/>
      <c r="P72" s="5"/>
      <c r="Q72" s="5"/>
      <c r="R72" s="5"/>
      <c r="S72" s="5"/>
      <c r="T72" s="5"/>
      <c r="U72" s="5"/>
      <c r="V72" s="5"/>
      <c r="W72" s="5">
        <v>364.7</v>
      </c>
    </row>
    <row r="73" ht="13.85" spans="1:23">
      <c r="A73" s="2" t="s">
        <v>249</v>
      </c>
      <c r="B73" s="5" t="s">
        <v>163</v>
      </c>
      <c r="C73" s="5">
        <v>7</v>
      </c>
      <c r="D73" s="5">
        <v>154</v>
      </c>
      <c r="E73" s="5">
        <v>189</v>
      </c>
      <c r="F73" s="5">
        <v>155</v>
      </c>
      <c r="G73" s="5">
        <v>0</v>
      </c>
      <c r="H73" s="5">
        <v>358</v>
      </c>
      <c r="I73" s="5">
        <v>5</v>
      </c>
      <c r="J73" s="5">
        <v>14</v>
      </c>
      <c r="K73" s="5">
        <v>42</v>
      </c>
      <c r="L73" s="5">
        <v>205</v>
      </c>
      <c r="M73" s="5"/>
      <c r="N73" s="5"/>
      <c r="O73" s="5"/>
      <c r="P73" s="5"/>
      <c r="Q73" s="5"/>
      <c r="R73" s="5"/>
      <c r="S73" s="5"/>
      <c r="T73" s="5"/>
      <c r="U73" s="5"/>
      <c r="V73" s="5"/>
      <c r="W73" s="5">
        <v>112.9</v>
      </c>
    </row>
    <row r="74" ht="13.85" spans="1:23">
      <c r="A74" s="2" t="s">
        <v>250</v>
      </c>
      <c r="B74" s="5" t="s">
        <v>164</v>
      </c>
      <c r="C74" s="5">
        <v>68</v>
      </c>
      <c r="D74" s="5">
        <v>114</v>
      </c>
      <c r="E74" s="5">
        <v>83</v>
      </c>
      <c r="F74" s="5">
        <v>143</v>
      </c>
      <c r="G74" s="5">
        <v>124</v>
      </c>
      <c r="H74" s="5">
        <v>38</v>
      </c>
      <c r="I74" s="5">
        <v>190</v>
      </c>
      <c r="J74" s="5">
        <v>518</v>
      </c>
      <c r="K74" s="5">
        <v>100</v>
      </c>
      <c r="L74" s="5">
        <v>287</v>
      </c>
      <c r="M74" s="5"/>
      <c r="N74" s="5"/>
      <c r="O74" s="5"/>
      <c r="P74" s="5"/>
      <c r="Q74" s="5"/>
      <c r="R74" s="5"/>
      <c r="S74" s="5"/>
      <c r="T74" s="5"/>
      <c r="U74" s="5"/>
      <c r="V74" s="5"/>
      <c r="W74" s="5">
        <v>166.5</v>
      </c>
    </row>
    <row r="75" ht="13.85" spans="1:23">
      <c r="A75" s="2" t="s">
        <v>251</v>
      </c>
      <c r="B75" s="5" t="s">
        <v>353</v>
      </c>
      <c r="C75" s="5">
        <v>34</v>
      </c>
      <c r="D75" s="5">
        <v>59</v>
      </c>
      <c r="E75" s="5">
        <v>87</v>
      </c>
      <c r="F75" s="5">
        <v>125</v>
      </c>
      <c r="G75" s="5">
        <v>93</v>
      </c>
      <c r="H75" s="5">
        <v>52</v>
      </c>
      <c r="I75" s="5">
        <v>74</v>
      </c>
      <c r="J75" s="5">
        <v>136</v>
      </c>
      <c r="K75" s="5">
        <v>24</v>
      </c>
      <c r="L75" s="5">
        <v>170</v>
      </c>
      <c r="M75" s="5"/>
      <c r="N75" s="5"/>
      <c r="O75" s="5"/>
      <c r="P75" s="5"/>
      <c r="Q75" s="5"/>
      <c r="R75" s="5"/>
      <c r="S75" s="5"/>
      <c r="T75" s="5"/>
      <c r="U75" s="5"/>
      <c r="V75" s="5"/>
      <c r="W75" s="5">
        <v>85.4</v>
      </c>
    </row>
    <row r="76" ht="13.85" spans="1:23">
      <c r="A76" s="2" t="s">
        <v>252</v>
      </c>
      <c r="B76" s="5" t="s">
        <v>166</v>
      </c>
      <c r="C76" s="5">
        <v>6</v>
      </c>
      <c r="D76" s="5">
        <v>546</v>
      </c>
      <c r="E76" s="5">
        <v>0</v>
      </c>
      <c r="F76" s="5">
        <v>0</v>
      </c>
      <c r="G76" s="5">
        <v>0</v>
      </c>
      <c r="H76" s="5">
        <v>0</v>
      </c>
      <c r="I76" s="5">
        <v>196</v>
      </c>
      <c r="J76" s="5">
        <v>76</v>
      </c>
      <c r="K76" s="5">
        <v>0</v>
      </c>
      <c r="L76" s="5">
        <v>0</v>
      </c>
      <c r="M76" s="5"/>
      <c r="N76" s="5"/>
      <c r="O76" s="5"/>
      <c r="P76" s="5"/>
      <c r="Q76" s="5"/>
      <c r="R76" s="5"/>
      <c r="S76" s="5"/>
      <c r="T76" s="5"/>
      <c r="U76" s="5"/>
      <c r="V76" s="5"/>
      <c r="W76" s="5">
        <v>82.4</v>
      </c>
    </row>
    <row r="77" ht="13.85" spans="1:23">
      <c r="A77" s="2" t="s">
        <v>253</v>
      </c>
      <c r="B77" s="5" t="s">
        <v>167</v>
      </c>
      <c r="C77" s="5">
        <v>448</v>
      </c>
      <c r="D77" s="5">
        <v>56</v>
      </c>
      <c r="E77" s="5">
        <v>245</v>
      </c>
      <c r="F77" s="5">
        <v>0</v>
      </c>
      <c r="G77" s="5">
        <v>61</v>
      </c>
      <c r="H77" s="5">
        <v>0</v>
      </c>
      <c r="I77" s="5">
        <v>401</v>
      </c>
      <c r="J77" s="5">
        <v>19</v>
      </c>
      <c r="K77" s="5">
        <v>57</v>
      </c>
      <c r="L77" s="5">
        <v>0</v>
      </c>
      <c r="M77" s="5"/>
      <c r="N77" s="5"/>
      <c r="O77" s="5"/>
      <c r="P77" s="5"/>
      <c r="Q77" s="5"/>
      <c r="R77" s="5"/>
      <c r="S77" s="5"/>
      <c r="T77" s="5"/>
      <c r="U77" s="5"/>
      <c r="V77" s="5"/>
      <c r="W77" s="5">
        <v>128.7</v>
      </c>
    </row>
    <row r="78" ht="13.85" spans="1:23">
      <c r="A78" s="2" t="s">
        <v>254</v>
      </c>
      <c r="B78" s="5" t="s">
        <v>168</v>
      </c>
      <c r="C78" s="5">
        <v>0</v>
      </c>
      <c r="D78" s="5">
        <v>345</v>
      </c>
      <c r="E78" s="5">
        <v>0</v>
      </c>
      <c r="F78" s="5">
        <v>0</v>
      </c>
      <c r="G78" s="5">
        <v>383</v>
      </c>
      <c r="H78" s="5">
        <v>0</v>
      </c>
      <c r="I78" s="5">
        <v>0</v>
      </c>
      <c r="J78" s="5">
        <v>173</v>
      </c>
      <c r="K78" s="5">
        <v>340</v>
      </c>
      <c r="L78" s="5">
        <v>0</v>
      </c>
      <c r="M78" s="5"/>
      <c r="N78" s="5"/>
      <c r="O78" s="5"/>
      <c r="P78" s="5"/>
      <c r="Q78" s="5"/>
      <c r="R78" s="5"/>
      <c r="S78" s="5"/>
      <c r="T78" s="5"/>
      <c r="U78" s="5"/>
      <c r="V78" s="5"/>
      <c r="W78" s="5">
        <v>124.1</v>
      </c>
    </row>
    <row r="79" ht="13.85" spans="1:23">
      <c r="A79" s="2" t="s">
        <v>255</v>
      </c>
      <c r="B79" s="5" t="s">
        <v>169</v>
      </c>
      <c r="C79" s="5">
        <v>130</v>
      </c>
      <c r="D79" s="5">
        <v>154</v>
      </c>
      <c r="E79" s="5">
        <v>304</v>
      </c>
      <c r="F79" s="5">
        <v>50</v>
      </c>
      <c r="G79" s="5">
        <v>319</v>
      </c>
      <c r="H79" s="5">
        <v>0</v>
      </c>
      <c r="I79" s="5">
        <v>642</v>
      </c>
      <c r="J79" s="5">
        <v>241</v>
      </c>
      <c r="K79" s="5">
        <v>64</v>
      </c>
      <c r="L79" s="5">
        <v>36</v>
      </c>
      <c r="M79" s="5"/>
      <c r="N79" s="5"/>
      <c r="O79" s="5"/>
      <c r="P79" s="5"/>
      <c r="Q79" s="5"/>
      <c r="R79" s="5"/>
      <c r="S79" s="5"/>
      <c r="T79" s="5"/>
      <c r="U79" s="5"/>
      <c r="V79" s="5"/>
      <c r="W79" s="5">
        <v>194</v>
      </c>
    </row>
    <row r="80" ht="13.85" spans="1:23">
      <c r="A80" s="2" t="s">
        <v>277</v>
      </c>
      <c r="B80" s="5" t="s">
        <v>191</v>
      </c>
      <c r="C80" s="5">
        <v>0</v>
      </c>
      <c r="D80" s="5">
        <v>318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  <c r="J80" s="5">
        <v>2006</v>
      </c>
      <c r="K80" s="5">
        <v>0</v>
      </c>
      <c r="L80" s="5">
        <v>0</v>
      </c>
      <c r="M80" s="5"/>
      <c r="N80" s="5"/>
      <c r="O80" s="5"/>
      <c r="P80" s="5"/>
      <c r="Q80" s="5"/>
      <c r="R80" s="5"/>
      <c r="S80" s="5"/>
      <c r="T80" s="5"/>
      <c r="U80" s="5"/>
      <c r="V80" s="5"/>
      <c r="W80" s="5">
        <v>232.4</v>
      </c>
    </row>
    <row r="81" ht="13.85" spans="1:23">
      <c r="A81" s="2" t="s">
        <v>256</v>
      </c>
      <c r="B81" s="5" t="s">
        <v>170</v>
      </c>
      <c r="C81" s="5">
        <v>155</v>
      </c>
      <c r="D81" s="5">
        <v>312</v>
      </c>
      <c r="E81" s="5">
        <v>737</v>
      </c>
      <c r="F81" s="5">
        <v>200</v>
      </c>
      <c r="G81" s="5">
        <v>2247</v>
      </c>
      <c r="H81" s="5">
        <v>0</v>
      </c>
      <c r="I81" s="5">
        <v>102</v>
      </c>
      <c r="J81" s="5">
        <v>126</v>
      </c>
      <c r="K81" s="5">
        <v>127</v>
      </c>
      <c r="L81" s="5">
        <v>56</v>
      </c>
      <c r="M81" s="5"/>
      <c r="N81" s="5"/>
      <c r="O81" s="5"/>
      <c r="P81" s="5"/>
      <c r="Q81" s="5"/>
      <c r="R81" s="5"/>
      <c r="S81" s="5"/>
      <c r="T81" s="5"/>
      <c r="U81" s="5"/>
      <c r="V81" s="5"/>
      <c r="W81" s="5">
        <v>406.2</v>
      </c>
    </row>
    <row r="82" ht="13.85" spans="1:23">
      <c r="A82" s="2" t="s">
        <v>257</v>
      </c>
      <c r="B82" s="5" t="s">
        <v>171</v>
      </c>
      <c r="C82" s="5">
        <v>101</v>
      </c>
      <c r="D82" s="5">
        <v>1021</v>
      </c>
      <c r="E82" s="5">
        <v>0</v>
      </c>
      <c r="F82" s="5">
        <v>0</v>
      </c>
      <c r="G82" s="5">
        <v>0</v>
      </c>
      <c r="H82" s="5">
        <v>0</v>
      </c>
      <c r="I82" s="5">
        <v>4116</v>
      </c>
      <c r="J82" s="5">
        <v>843</v>
      </c>
      <c r="K82" s="5">
        <v>0</v>
      </c>
      <c r="L82" s="5">
        <v>0</v>
      </c>
      <c r="M82" s="5"/>
      <c r="N82" s="5"/>
      <c r="O82" s="5"/>
      <c r="P82" s="5"/>
      <c r="Q82" s="5"/>
      <c r="R82" s="5"/>
      <c r="S82" s="5"/>
      <c r="T82" s="5"/>
      <c r="U82" s="5"/>
      <c r="V82" s="5"/>
      <c r="W82" s="5">
        <v>608.1</v>
      </c>
    </row>
    <row r="83" ht="13.85" spans="1:23">
      <c r="A83" s="2" t="s">
        <v>258</v>
      </c>
      <c r="B83" s="5" t="s">
        <v>172</v>
      </c>
      <c r="C83" s="5">
        <v>142</v>
      </c>
      <c r="D83" s="5">
        <v>212</v>
      </c>
      <c r="E83" s="5">
        <v>12</v>
      </c>
      <c r="F83" s="5">
        <v>232</v>
      </c>
      <c r="G83" s="5">
        <v>0</v>
      </c>
      <c r="H83" s="5">
        <v>3378</v>
      </c>
      <c r="I83" s="5">
        <v>923</v>
      </c>
      <c r="J83" s="5">
        <v>104</v>
      </c>
      <c r="K83" s="5">
        <v>29</v>
      </c>
      <c r="L83" s="5">
        <v>347</v>
      </c>
      <c r="M83" s="5"/>
      <c r="N83" s="5"/>
      <c r="O83" s="5"/>
      <c r="P83" s="5"/>
      <c r="Q83" s="5"/>
      <c r="R83" s="5"/>
      <c r="S83" s="5"/>
      <c r="T83" s="5"/>
      <c r="U83" s="5"/>
      <c r="V83" s="5"/>
      <c r="W83" s="5">
        <v>537.9</v>
      </c>
    </row>
    <row r="84" ht="13.85" spans="1:23">
      <c r="A84" s="4" t="s">
        <v>259</v>
      </c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</row>
    <row r="85" ht="13.85" spans="1:23">
      <c r="A85" s="4" t="s">
        <v>260</v>
      </c>
      <c r="B85" s="5" t="s">
        <v>174</v>
      </c>
      <c r="C85" s="5">
        <v>235</v>
      </c>
      <c r="D85" s="5">
        <v>86</v>
      </c>
      <c r="E85" s="5">
        <v>276</v>
      </c>
      <c r="F85" s="5">
        <v>83</v>
      </c>
      <c r="G85" s="5">
        <v>250</v>
      </c>
      <c r="H85" s="5">
        <v>4</v>
      </c>
      <c r="I85" s="5">
        <v>485</v>
      </c>
      <c r="J85" s="5">
        <v>64</v>
      </c>
      <c r="K85" s="5">
        <v>0</v>
      </c>
      <c r="L85" s="5">
        <v>230</v>
      </c>
      <c r="M85" s="5"/>
      <c r="N85" s="5"/>
      <c r="O85" s="5"/>
      <c r="P85" s="5"/>
      <c r="Q85" s="5"/>
      <c r="R85" s="5"/>
      <c r="S85" s="5"/>
      <c r="T85" s="5"/>
      <c r="U85" s="5"/>
      <c r="V85" s="5"/>
      <c r="W85" s="5">
        <v>171.3</v>
      </c>
    </row>
    <row r="86" ht="13.85" spans="1:23">
      <c r="A86" s="4" t="s">
        <v>239</v>
      </c>
      <c r="B86" s="5" t="s">
        <v>153</v>
      </c>
      <c r="C86" s="5">
        <v>4</v>
      </c>
      <c r="D86" s="5">
        <v>101</v>
      </c>
      <c r="E86" s="5">
        <v>111</v>
      </c>
      <c r="F86" s="5">
        <v>3</v>
      </c>
      <c r="G86" s="5">
        <v>342</v>
      </c>
      <c r="H86" s="5">
        <v>4494</v>
      </c>
      <c r="I86" s="5">
        <v>191</v>
      </c>
      <c r="J86" s="5">
        <v>35</v>
      </c>
      <c r="K86" s="5">
        <v>2297</v>
      </c>
      <c r="L86" s="5">
        <v>5</v>
      </c>
      <c r="M86" s="5"/>
      <c r="N86" s="5"/>
      <c r="O86" s="5"/>
      <c r="P86" s="5"/>
      <c r="Q86" s="5"/>
      <c r="R86" s="5"/>
      <c r="S86" s="5"/>
      <c r="T86" s="5"/>
      <c r="U86" s="5"/>
      <c r="V86" s="5"/>
      <c r="W86" s="5">
        <v>758.3</v>
      </c>
    </row>
    <row r="87" ht="13.85" spans="1:23">
      <c r="A87" s="4" t="s">
        <v>261</v>
      </c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</row>
    <row r="88" ht="13.85" spans="1:23">
      <c r="A88" s="4" t="s">
        <v>259</v>
      </c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</row>
    <row r="89" ht="13.85" spans="1:23">
      <c r="A89" s="4" t="s">
        <v>262</v>
      </c>
      <c r="B89" s="5" t="s">
        <v>176</v>
      </c>
      <c r="C89" s="5">
        <v>0</v>
      </c>
      <c r="D89" s="5">
        <v>1794</v>
      </c>
      <c r="E89" s="5">
        <v>2043</v>
      </c>
      <c r="F89" s="5">
        <v>0</v>
      </c>
      <c r="G89" s="5">
        <v>734</v>
      </c>
      <c r="H89" s="5">
        <v>0</v>
      </c>
      <c r="I89" s="5">
        <v>16</v>
      </c>
      <c r="J89" s="5">
        <v>1316</v>
      </c>
      <c r="K89" s="5">
        <v>3</v>
      </c>
      <c r="L89" s="5">
        <v>6</v>
      </c>
      <c r="M89" s="5"/>
      <c r="N89" s="5"/>
      <c r="O89" s="5"/>
      <c r="P89" s="5"/>
      <c r="Q89" s="5"/>
      <c r="R89" s="5"/>
      <c r="S89" s="5"/>
      <c r="T89" s="5"/>
      <c r="U89" s="5"/>
      <c r="V89" s="5"/>
      <c r="W89" s="5">
        <v>591.2</v>
      </c>
    </row>
    <row r="90" ht="13.85" spans="1:23">
      <c r="A90" s="4" t="s">
        <v>263</v>
      </c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</row>
    <row r="91" ht="13.85" spans="1:23">
      <c r="A91" s="4" t="s">
        <v>264</v>
      </c>
      <c r="B91" s="5" t="s">
        <v>178</v>
      </c>
      <c r="C91" s="5">
        <v>1278</v>
      </c>
      <c r="D91" s="5">
        <v>138</v>
      </c>
      <c r="E91" s="5">
        <v>73</v>
      </c>
      <c r="F91" s="5">
        <v>78</v>
      </c>
      <c r="G91" s="5">
        <v>248</v>
      </c>
      <c r="H91" s="5">
        <v>116</v>
      </c>
      <c r="I91" s="5">
        <v>84</v>
      </c>
      <c r="J91" s="5">
        <v>669</v>
      </c>
      <c r="K91" s="5">
        <v>29</v>
      </c>
      <c r="L91" s="5">
        <v>327</v>
      </c>
      <c r="M91" s="5"/>
      <c r="N91" s="5"/>
      <c r="O91" s="5"/>
      <c r="P91" s="5"/>
      <c r="Q91" s="5"/>
      <c r="R91" s="5"/>
      <c r="S91" s="5"/>
      <c r="T91" s="5"/>
      <c r="U91" s="5"/>
      <c r="V91" s="5"/>
      <c r="W91" s="5">
        <v>304</v>
      </c>
    </row>
    <row r="92" ht="13.85" spans="1:23">
      <c r="A92" s="4" t="s">
        <v>265</v>
      </c>
      <c r="B92" s="5" t="s">
        <v>179</v>
      </c>
      <c r="C92" s="5">
        <v>0</v>
      </c>
      <c r="D92" s="5">
        <v>140</v>
      </c>
      <c r="E92" s="5">
        <v>0</v>
      </c>
      <c r="F92" s="5">
        <v>0</v>
      </c>
      <c r="G92" s="5">
        <v>1199</v>
      </c>
      <c r="H92" s="5">
        <v>0</v>
      </c>
      <c r="I92" s="5">
        <v>0</v>
      </c>
      <c r="J92" s="5">
        <v>0</v>
      </c>
      <c r="K92" s="5">
        <v>0</v>
      </c>
      <c r="L92" s="5">
        <v>0</v>
      </c>
      <c r="M92" s="5"/>
      <c r="N92" s="5"/>
      <c r="O92" s="5"/>
      <c r="P92" s="5"/>
      <c r="Q92" s="5"/>
      <c r="R92" s="5"/>
      <c r="S92" s="5"/>
      <c r="T92" s="5"/>
      <c r="U92" s="5"/>
      <c r="V92" s="5"/>
      <c r="W92" s="5">
        <v>133.9</v>
      </c>
    </row>
    <row r="93" ht="13.85" spans="1:23">
      <c r="A93" s="4" t="s">
        <v>266</v>
      </c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</row>
    <row r="94" ht="13.85" spans="1:23">
      <c r="A94" s="4" t="s">
        <v>267</v>
      </c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</row>
    <row r="95" ht="13.85" spans="1:23">
      <c r="A95" s="4" t="s">
        <v>242</v>
      </c>
      <c r="B95" s="5" t="s">
        <v>156</v>
      </c>
      <c r="C95" s="5">
        <v>277</v>
      </c>
      <c r="D95" s="5">
        <v>165</v>
      </c>
      <c r="E95" s="5">
        <v>134</v>
      </c>
      <c r="F95" s="5">
        <v>43</v>
      </c>
      <c r="G95" s="5">
        <v>146</v>
      </c>
      <c r="H95" s="5">
        <v>0</v>
      </c>
      <c r="I95" s="5">
        <v>37</v>
      </c>
      <c r="J95" s="5">
        <v>184</v>
      </c>
      <c r="K95" s="5">
        <v>12</v>
      </c>
      <c r="L95" s="5">
        <v>96</v>
      </c>
      <c r="M95" s="5"/>
      <c r="N95" s="5"/>
      <c r="O95" s="5"/>
      <c r="P95" s="5"/>
      <c r="Q95" s="5"/>
      <c r="R95" s="5"/>
      <c r="S95" s="5"/>
      <c r="T95" s="5"/>
      <c r="U95" s="5"/>
      <c r="V95" s="5"/>
      <c r="W95" s="5">
        <v>109.4</v>
      </c>
    </row>
    <row r="96" ht="13.85" spans="1:23">
      <c r="A96" s="4" t="s">
        <v>268</v>
      </c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</row>
    <row r="97" ht="13.85" spans="1:23">
      <c r="A97" s="4" t="s">
        <v>243</v>
      </c>
      <c r="B97" s="5" t="s">
        <v>157</v>
      </c>
      <c r="C97" s="5">
        <v>34</v>
      </c>
      <c r="D97" s="5">
        <v>72</v>
      </c>
      <c r="E97" s="5">
        <v>148</v>
      </c>
      <c r="F97" s="5">
        <v>6</v>
      </c>
      <c r="G97" s="5">
        <v>188</v>
      </c>
      <c r="H97" s="5">
        <v>381</v>
      </c>
      <c r="I97" s="5">
        <v>393</v>
      </c>
      <c r="J97" s="5">
        <v>645</v>
      </c>
      <c r="K97" s="5">
        <v>0</v>
      </c>
      <c r="L97" s="5">
        <v>13</v>
      </c>
      <c r="M97" s="5"/>
      <c r="N97" s="5"/>
      <c r="O97" s="5"/>
      <c r="P97" s="5"/>
      <c r="Q97" s="5"/>
      <c r="R97" s="5"/>
      <c r="S97" s="5"/>
      <c r="T97" s="5"/>
      <c r="U97" s="5"/>
      <c r="V97" s="5"/>
      <c r="W97" s="5">
        <v>188</v>
      </c>
    </row>
    <row r="98" ht="13.85" spans="1:23">
      <c r="A98" s="4" t="s">
        <v>269</v>
      </c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</row>
    <row r="99" ht="13.85" spans="1:23">
      <c r="A99" s="4" t="s">
        <v>270</v>
      </c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</row>
    <row r="100" ht="13.85" spans="1:23">
      <c r="A100" s="4" t="s">
        <v>271</v>
      </c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</row>
    <row r="101" ht="13.85" spans="1:23">
      <c r="A101" s="4" t="s">
        <v>247</v>
      </c>
      <c r="B101" s="5" t="s">
        <v>161</v>
      </c>
      <c r="C101" s="5">
        <v>4857</v>
      </c>
      <c r="D101" s="5">
        <v>18</v>
      </c>
      <c r="E101" s="5">
        <v>477</v>
      </c>
      <c r="F101" s="5">
        <v>1225</v>
      </c>
      <c r="G101" s="5">
        <v>668</v>
      </c>
      <c r="H101" s="5">
        <v>43</v>
      </c>
      <c r="I101" s="5">
        <v>1003</v>
      </c>
      <c r="J101" s="5">
        <v>39</v>
      </c>
      <c r="K101" s="5">
        <v>3</v>
      </c>
      <c r="L101" s="5">
        <v>3891</v>
      </c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>
        <v>1222.4</v>
      </c>
    </row>
    <row r="102" ht="13.85" spans="1:23">
      <c r="A102" s="4" t="s">
        <v>260</v>
      </c>
      <c r="B102" s="5" t="s">
        <v>174</v>
      </c>
      <c r="C102" s="5">
        <v>235</v>
      </c>
      <c r="D102" s="5">
        <v>86</v>
      </c>
      <c r="E102" s="5">
        <v>276</v>
      </c>
      <c r="F102" s="5">
        <v>83</v>
      </c>
      <c r="G102" s="5">
        <v>250</v>
      </c>
      <c r="H102" s="5">
        <v>4</v>
      </c>
      <c r="I102" s="5">
        <v>485</v>
      </c>
      <c r="J102" s="5">
        <v>64</v>
      </c>
      <c r="K102" s="5">
        <v>0</v>
      </c>
      <c r="L102" s="5">
        <v>230</v>
      </c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>
        <v>171.3</v>
      </c>
    </row>
    <row r="103" ht="13.85" spans="1:23">
      <c r="A103" s="4" t="s">
        <v>272</v>
      </c>
      <c r="B103" s="5" t="s">
        <v>186</v>
      </c>
      <c r="C103" s="5">
        <v>5</v>
      </c>
      <c r="D103" s="5">
        <v>71</v>
      </c>
      <c r="E103" s="5">
        <v>532</v>
      </c>
      <c r="F103" s="5">
        <v>162</v>
      </c>
      <c r="G103" s="5">
        <v>855</v>
      </c>
      <c r="H103" s="5">
        <v>101</v>
      </c>
      <c r="I103" s="5">
        <v>81</v>
      </c>
      <c r="J103" s="5">
        <v>237</v>
      </c>
      <c r="K103" s="5">
        <v>267</v>
      </c>
      <c r="L103" s="5">
        <v>29</v>
      </c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>
        <v>234</v>
      </c>
    </row>
    <row r="104" ht="13.85" spans="1:23">
      <c r="A104" s="4" t="s">
        <v>273</v>
      </c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</row>
    <row r="105" ht="13.85" spans="1:23">
      <c r="A105" s="4" t="s">
        <v>274</v>
      </c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</row>
    <row r="106" ht="13.85" spans="1:23">
      <c r="A106" s="4" t="s">
        <v>275</v>
      </c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</row>
    <row r="107" ht="13.85" spans="1:23">
      <c r="A107" s="4" t="s">
        <v>276</v>
      </c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</row>
    <row r="108" ht="13.85" spans="1:23">
      <c r="A108" s="4" t="s">
        <v>277</v>
      </c>
      <c r="B108" s="5" t="s">
        <v>191</v>
      </c>
      <c r="C108" s="5">
        <v>0</v>
      </c>
      <c r="D108" s="5">
        <v>318</v>
      </c>
      <c r="E108" s="5">
        <v>0</v>
      </c>
      <c r="F108" s="5">
        <v>0</v>
      </c>
      <c r="G108" s="5">
        <v>0</v>
      </c>
      <c r="H108" s="5">
        <v>0</v>
      </c>
      <c r="I108" s="5">
        <v>0</v>
      </c>
      <c r="J108" s="5">
        <v>2006</v>
      </c>
      <c r="K108" s="5">
        <v>0</v>
      </c>
      <c r="L108" s="5">
        <v>0</v>
      </c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>
        <v>232.4</v>
      </c>
    </row>
    <row r="109" ht="13.85" spans="1:23">
      <c r="A109" s="4" t="s">
        <v>278</v>
      </c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</row>
    <row r="110" ht="13.85" spans="1:23">
      <c r="A110" s="4" t="s">
        <v>279</v>
      </c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</row>
    <row r="111" ht="13.85" spans="1:23">
      <c r="A111" s="4" t="s">
        <v>280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</row>
    <row r="112" ht="13.85" spans="1:23">
      <c r="A112" s="4" t="s">
        <v>257</v>
      </c>
      <c r="B112" s="5" t="s">
        <v>171</v>
      </c>
      <c r="C112" s="5">
        <v>101</v>
      </c>
      <c r="D112" s="5">
        <v>1021</v>
      </c>
      <c r="E112" s="5">
        <v>0</v>
      </c>
      <c r="F112" s="5">
        <v>0</v>
      </c>
      <c r="G112" s="5">
        <v>0</v>
      </c>
      <c r="H112" s="5">
        <v>0</v>
      </c>
      <c r="I112" s="5">
        <v>4116</v>
      </c>
      <c r="J112" s="5">
        <v>843</v>
      </c>
      <c r="K112" s="5">
        <v>0</v>
      </c>
      <c r="L112" s="5">
        <v>0</v>
      </c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>
        <v>608.1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全部菌密码子</vt:lpstr>
      <vt:lpstr>全部菌密码子mean</vt:lpstr>
      <vt:lpstr>alljun</vt:lpstr>
      <vt:lpstr>精氨酸</vt:lpstr>
      <vt:lpstr>Arg</vt:lpstr>
      <vt:lpstr>Sheet1</vt:lpstr>
      <vt:lpstr>缬氨酸</vt:lpstr>
      <vt:lpstr>Val</vt:lpstr>
      <vt:lpstr>脯氨酸</vt:lpstr>
      <vt:lpstr>Pro</vt:lpstr>
      <vt:lpstr>赖氨酸</vt:lpstr>
      <vt:lpstr>Lys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shiqi luo</dc:creator>
  <cp:lastModifiedBy>闲闲</cp:lastModifiedBy>
  <dcterms:created xsi:type="dcterms:W3CDTF">2025-04-14T12:45:00Z</dcterms:created>
  <dcterms:modified xsi:type="dcterms:W3CDTF">2025-05-16T08:21:13Z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B3CC7BB8E2F54A0DA0F675D750A1F1E8_13</vt:lpwstr>
  </property>
  <property fmtid="{D5CDD505-2E9C-101B-9397-08002B2CF9AE}" pid="3" name="KSOProductBuildVer">
    <vt:lpwstr>2052-12.1.0.21171</vt:lpwstr>
  </property>
</Properties>
</file>