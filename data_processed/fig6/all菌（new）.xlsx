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7A6B06F4-A4A0-468B-8075-73C0C8144861}" xr6:coauthVersionLast="47" xr6:coauthVersionMax="47" xr10:uidLastSave="{00000000-0000-0000-0000-000000000000}"/>
  <bookViews>
    <workbookView xWindow="-103" yWindow="-103" windowWidth="22149" windowHeight="13200" xr2:uid="{5F8ACAF2-A0B2-46C9-95FA-6987653C57A2}"/>
  </bookViews>
  <sheets>
    <sheet name="allju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8" i="1" l="1"/>
  <c r="AU67" i="1"/>
  <c r="AE67" i="1"/>
  <c r="O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C68" i="1" s="1"/>
  <c r="B14" i="1"/>
  <c r="B13" i="1"/>
  <c r="B12" i="1"/>
  <c r="B11" i="1"/>
  <c r="B10" i="1"/>
  <c r="B9" i="1"/>
  <c r="B8" i="1"/>
  <c r="B7" i="1"/>
  <c r="B6" i="1"/>
  <c r="B5" i="1"/>
  <c r="AV68" i="1" s="1"/>
  <c r="AG68" i="1" l="1"/>
  <c r="P67" i="1"/>
  <c r="AF67" i="1"/>
  <c r="AV67" i="1"/>
  <c r="R68" i="1"/>
  <c r="AH68" i="1"/>
  <c r="AI68" i="1"/>
  <c r="R67" i="1"/>
  <c r="AH67" i="1"/>
  <c r="D68" i="1"/>
  <c r="T68" i="1"/>
  <c r="AJ68" i="1"/>
  <c r="S68" i="1"/>
  <c r="C67" i="1"/>
  <c r="S67" i="1"/>
  <c r="AI67" i="1"/>
  <c r="E68" i="1"/>
  <c r="U68" i="1"/>
  <c r="AK68" i="1"/>
  <c r="D67" i="1"/>
  <c r="T67" i="1"/>
  <c r="AJ67" i="1"/>
  <c r="F68" i="1"/>
  <c r="V68" i="1"/>
  <c r="AL68" i="1"/>
  <c r="E67" i="1"/>
  <c r="U67" i="1"/>
  <c r="AK67" i="1"/>
  <c r="G68" i="1"/>
  <c r="W68" i="1"/>
  <c r="AM68" i="1"/>
  <c r="F67" i="1"/>
  <c r="V67" i="1"/>
  <c r="AL67" i="1"/>
  <c r="H68" i="1"/>
  <c r="X68" i="1"/>
  <c r="AN68" i="1"/>
  <c r="G67" i="1"/>
  <c r="W67" i="1"/>
  <c r="AM67" i="1"/>
  <c r="I68" i="1"/>
  <c r="Y68" i="1"/>
  <c r="AO68" i="1"/>
  <c r="H67" i="1"/>
  <c r="X67" i="1"/>
  <c r="AN67" i="1"/>
  <c r="J68" i="1"/>
  <c r="Z68" i="1"/>
  <c r="AP68" i="1"/>
  <c r="Q67" i="1"/>
  <c r="I67" i="1"/>
  <c r="Y67" i="1"/>
  <c r="AO67" i="1"/>
  <c r="K68" i="1"/>
  <c r="AA68" i="1"/>
  <c r="AQ68" i="1"/>
  <c r="J67" i="1"/>
  <c r="Z67" i="1"/>
  <c r="AP67" i="1"/>
  <c r="L68" i="1"/>
  <c r="AB68" i="1"/>
  <c r="AR68" i="1"/>
  <c r="AG67" i="1"/>
  <c r="K67" i="1"/>
  <c r="AA67" i="1"/>
  <c r="AQ67" i="1"/>
  <c r="M68" i="1"/>
  <c r="AC68" i="1"/>
  <c r="AS68" i="1"/>
  <c r="L67" i="1"/>
  <c r="AB67" i="1"/>
  <c r="AR67" i="1"/>
  <c r="N68" i="1"/>
  <c r="AD68" i="1"/>
  <c r="AT68" i="1"/>
  <c r="M67" i="1"/>
  <c r="AC67" i="1"/>
  <c r="AS67" i="1"/>
  <c r="O68" i="1"/>
  <c r="AE68" i="1"/>
  <c r="AU68" i="1"/>
  <c r="N67" i="1"/>
  <c r="AD67" i="1"/>
  <c r="AT67" i="1"/>
  <c r="P68" i="1"/>
  <c r="AF68" i="1"/>
</calcChain>
</file>

<file path=xl/sharedStrings.xml><?xml version="1.0" encoding="utf-8"?>
<sst xmlns="http://schemas.openxmlformats.org/spreadsheetml/2006/main" count="243" uniqueCount="239">
  <si>
    <t>asv</t>
  </si>
  <si>
    <t>ASV45</t>
  </si>
  <si>
    <t>ASV1833</t>
  </si>
  <si>
    <t>ASV3729</t>
  </si>
  <si>
    <t>ASV31</t>
  </si>
  <si>
    <t>ASV17</t>
  </si>
  <si>
    <t>ASV9</t>
  </si>
  <si>
    <t>ASV73</t>
  </si>
  <si>
    <t>ASV1517</t>
  </si>
  <si>
    <t>ASV7</t>
  </si>
  <si>
    <t>ASV30</t>
  </si>
  <si>
    <t>ASV21</t>
  </si>
  <si>
    <t>ASV54</t>
  </si>
  <si>
    <t>ASV33</t>
  </si>
  <si>
    <t>ASV1834</t>
  </si>
  <si>
    <t>ASV28</t>
  </si>
  <si>
    <t>ASV3787</t>
  </si>
  <si>
    <t>ASV8</t>
  </si>
  <si>
    <t>ASV4</t>
  </si>
  <si>
    <t>ASV1831</t>
  </si>
  <si>
    <t>ASV1555</t>
  </si>
  <si>
    <t>ASV1853</t>
  </si>
  <si>
    <t>ASV22</t>
  </si>
  <si>
    <t>ASV7036</t>
  </si>
  <si>
    <t>ASV2</t>
  </si>
  <si>
    <t>ASV77</t>
  </si>
  <si>
    <t>ASV167</t>
  </si>
  <si>
    <t>ASV1540</t>
  </si>
  <si>
    <t>ASV3402</t>
  </si>
  <si>
    <t>ASV2874</t>
  </si>
  <si>
    <t>ASV2996</t>
  </si>
  <si>
    <t>ASV318</t>
  </si>
  <si>
    <t>ASV2586</t>
  </si>
  <si>
    <t>ASV1515</t>
  </si>
  <si>
    <t>ASV5</t>
  </si>
  <si>
    <t>ASV2860</t>
  </si>
  <si>
    <t>ASV48</t>
  </si>
  <si>
    <t>ASV38</t>
  </si>
  <si>
    <t>ASV2839</t>
  </si>
  <si>
    <t>ASV1527</t>
  </si>
  <si>
    <t>ASV172</t>
  </si>
  <si>
    <t>ASV1089</t>
  </si>
  <si>
    <t>ASV3058</t>
  </si>
  <si>
    <t>HW_name</t>
  </si>
  <si>
    <t>H_CE_GCA_000005845.2</t>
  </si>
  <si>
    <t>H_CE_GCA_000407565.1</t>
  </si>
  <si>
    <t>H_CE_GCA_001701045.1</t>
  </si>
  <si>
    <t>H_CE_GCA_003703885.1</t>
  </si>
  <si>
    <t>H_CE_GCA_009695655.1</t>
  </si>
  <si>
    <t>H_CE_GCA_012317385.1</t>
  </si>
  <si>
    <t>H_CE_GCA_013046825.1</t>
  </si>
  <si>
    <t>H_CE_GCA_013374815.1</t>
  </si>
  <si>
    <t>H_CE_GCA_014058685.1</t>
  </si>
  <si>
    <t>H_CE_GCA_020138775.1</t>
  </si>
  <si>
    <t>H_CE_GCA_020892115.1</t>
  </si>
  <si>
    <t>H_CE_GCA_021412605.1</t>
  </si>
  <si>
    <t>H_CE_GCA_022010015.1</t>
  </si>
  <si>
    <t>H_CE_GCA_022845955.1</t>
  </si>
  <si>
    <t>H_CE_GCA_022846015.1</t>
  </si>
  <si>
    <t>H_CE_GCA_022846095.1</t>
  </si>
  <si>
    <t>H_CE_GCA_025149785.1</t>
  </si>
  <si>
    <t>H_CE_GCA_900163975.1</t>
  </si>
  <si>
    <t>H_CE_GCA_900167205.1</t>
  </si>
  <si>
    <t>H_CE_GCA_900474605.1</t>
  </si>
  <si>
    <t>W_CE_GCA_000056065.1</t>
  </si>
  <si>
    <t>W_CE_GCA_014898655.1</t>
  </si>
  <si>
    <t>W_CE_GCA_000025985.1</t>
  </si>
  <si>
    <t>W_CE_GCA_000194115.1</t>
  </si>
  <si>
    <t>W_CE_GCA_001908415.1</t>
  </si>
  <si>
    <t>W_CE_GCA_002736145.1</t>
  </si>
  <si>
    <t>W_CE_GCA_003006415.1</t>
  </si>
  <si>
    <t>W_CE_GCA_003010495.1</t>
  </si>
  <si>
    <t>W_CE_GCA_003019315.1</t>
  </si>
  <si>
    <t>W_CE_GCA_003732525.1</t>
  </si>
  <si>
    <t>W_CE_GCA_009695815.1</t>
  </si>
  <si>
    <t>W_CE_GCA_009730395.1</t>
  </si>
  <si>
    <t>W_CE_GCA_013267695.1</t>
  </si>
  <si>
    <t>W_CE_GCA_014982935.1</t>
  </si>
  <si>
    <t>W_CE_GCA_023497905.1</t>
  </si>
  <si>
    <t>W_CE_GCA_025147765.1</t>
  </si>
  <si>
    <t>W_CE_GCA_025148125.1</t>
  </si>
  <si>
    <t>W_CE_GCA_025264445.1</t>
  </si>
  <si>
    <t>W_CE_GCA_025311515.1</t>
  </si>
  <si>
    <t>W_CE_GCA_029224645.1</t>
  </si>
  <si>
    <t>W_CE_GCA_034174805.1</t>
  </si>
  <si>
    <t>W_CE_GCA_900103425.1</t>
  </si>
  <si>
    <t>H6_PBMC</t>
  </si>
  <si>
    <t>H7_PBMC</t>
  </si>
  <si>
    <t>W10_PBMC</t>
  </si>
  <si>
    <t>W6_PBMC</t>
  </si>
  <si>
    <t>name</t>
  </si>
  <si>
    <t>GCA_000005845.2</t>
  </si>
  <si>
    <t>GCA_000407565.1</t>
  </si>
  <si>
    <t>GCA_001701045.1</t>
  </si>
  <si>
    <t>GCA_003703885.1</t>
  </si>
  <si>
    <t>GCA_009695655.1</t>
  </si>
  <si>
    <t>GCA_012317385.1</t>
  </si>
  <si>
    <t>GCA_013046825.1</t>
  </si>
  <si>
    <t>GCA_013374815.1</t>
  </si>
  <si>
    <t>GCA_014058685.1</t>
  </si>
  <si>
    <t>GCA_020138775.1</t>
  </si>
  <si>
    <t>GCA_020892115.1</t>
  </si>
  <si>
    <t>GCA_021412605.1</t>
  </si>
  <si>
    <t>GCA_022010015.1</t>
  </si>
  <si>
    <t>GCA_022845955.1</t>
  </si>
  <si>
    <t>GCA_022846015.1</t>
  </si>
  <si>
    <t>GCA_022846095.1</t>
  </si>
  <si>
    <t>GCA_025149785.1</t>
  </si>
  <si>
    <t>GCA_900163975.1</t>
  </si>
  <si>
    <t>GCA_900167205.1</t>
  </si>
  <si>
    <t>GCA_900474605.1</t>
  </si>
  <si>
    <t>GCA_000056065.1</t>
  </si>
  <si>
    <t>GCA_014898655.1</t>
  </si>
  <si>
    <t>GCA_000025985.1</t>
  </si>
  <si>
    <t>GCA_000194115.1</t>
  </si>
  <si>
    <t>GCA_001908415.1</t>
  </si>
  <si>
    <t>GCA_002736145.1</t>
  </si>
  <si>
    <t>GCA_003006415.1</t>
  </si>
  <si>
    <t>GCA_003010495.1</t>
  </si>
  <si>
    <t>GCA_003019315.1</t>
  </si>
  <si>
    <t>GCA_003732525.1</t>
  </si>
  <si>
    <t>GCA_009695815.1</t>
  </si>
  <si>
    <t>GCA_009730395.1</t>
  </si>
  <si>
    <t>GCA_013267695.1</t>
  </si>
  <si>
    <t>GCA_014982935.1</t>
  </si>
  <si>
    <t>GCA_023497905.1</t>
  </si>
  <si>
    <t>GCA_025147765.1</t>
  </si>
  <si>
    <t>GCA_025148125.1</t>
  </si>
  <si>
    <t>GCA_025264445.1</t>
  </si>
  <si>
    <t>GCA_025311515.1</t>
  </si>
  <si>
    <t>GCA_029224645.1</t>
  </si>
  <si>
    <t>GCA_034174805.1</t>
  </si>
  <si>
    <t>GCA_900103425.1</t>
  </si>
  <si>
    <t>ASV45:g__Escherichia-Shigella_s__unclassified_g__Escherichia-Shigella</t>
  </si>
  <si>
    <t>ASV1833:g__Enterococcus_s__unclassified_g__Enterococcus</t>
  </si>
  <si>
    <t>ASV3729:g__Cloacibacillus_s__Cloacibacillus_porcorum</t>
  </si>
  <si>
    <t>ASV31:g__Bacillus_s__Lactobacillus_vaginalis_g__Bacillus</t>
  </si>
  <si>
    <t>ASV17:g__Sharpea_s__uncultured_bacterium_g__Sharpea</t>
  </si>
  <si>
    <t>ASV9:g__Romboutsia_s__unclassified_g__Romboutsia</t>
  </si>
  <si>
    <t>ASV73:g__Turicibacter_s__unclassified_g__Turicibacter</t>
  </si>
  <si>
    <t>ASV1517:g__Escherichia-Shigella_s__unclassified_g__Escherichia-Shigella</t>
  </si>
  <si>
    <t>ASV7:g__Lactobacillus_s__unclassified_g__Lactobacillus</t>
  </si>
  <si>
    <t>ASV30:g__Clostridium_sensu_stricto_1_s__unclassified_g__Clostridium_sensu_stricto_1</t>
  </si>
  <si>
    <t>ASV21:g__Lachnoclostridium_s__Clostridium_scindens</t>
  </si>
  <si>
    <t>ASV54:g__Clostridium_sensu_stricto_1_s__unclassified_g__Clostridium_sensu_stricto_1</t>
  </si>
  <si>
    <t>ASV33:g__norank_f__norank_o__Clostridia_vadinBB60_group_s__gut_metagenome_g__norank_f__norank</t>
  </si>
  <si>
    <t>ASV1834:g__unclassified_f__Lachnospiraceae_s__unclassified_f__Lachnospiraceae</t>
  </si>
  <si>
    <t>ASV28:g__Christensenellaceae_R-7_group_s__uncultured_prokaryote_g__Christensenellaceae_R-7_group</t>
  </si>
  <si>
    <t>ASV3787:g__UCG-002_s__uncultured_organism_g__UCG-002</t>
  </si>
  <si>
    <t>ASV8:g__Coprococcus_s__unclassified_g__Coprococcus</t>
  </si>
  <si>
    <t>ASV4:g__Christensenellaceae_R-7_group_s__uncultured_spirochete_g__Christensenellaceae_R-7_group</t>
  </si>
  <si>
    <t>ASV1831:g__norank_f__Eubacterium_coprostanoligenes_group_s__Eubacterium_coprostanoligenes</t>
  </si>
  <si>
    <t>ASV1555:g__Enterococcus_s__unclassified_g__Enterococcus</t>
  </si>
  <si>
    <t>ASV1853:g__Lactobacillus_s__unclassified_g__Lactobacillus</t>
  </si>
  <si>
    <t>ASV22:g__Lactobacillus_s__unclassified_g__Lactobacillus</t>
  </si>
  <si>
    <t>ASV7036:g__Bacteroides_s__unclassified_g__Bacteroides</t>
  </si>
  <si>
    <t>ASV2:g__Lactobacillus_s__unclassified_g__Lactobacillus</t>
  </si>
  <si>
    <t>ASV77:g__Lactobacillus_s__unclassified_g__Lactobacillus</t>
  </si>
  <si>
    <t>ASV167:g__Collinsella_s__unclassified_g__Collinsella</t>
  </si>
  <si>
    <t>ASV1540:g__Megasphaera_s__unclassified_g__Megasphaera</t>
  </si>
  <si>
    <t>ASV3402:g__Megasphaera_s__unclassified_g__Megasphaera</t>
  </si>
  <si>
    <t>ASV2874:g__Fusobacterium_s__unclassified_g__Fusobacterium</t>
  </si>
  <si>
    <t>ASV2996:g__Fusobacterium_s__unclassified_g__Fusobacterium</t>
  </si>
  <si>
    <t>ASV318:g__Peptostreptococcus_s__unclassified_g__Peptostreptococcus</t>
  </si>
  <si>
    <t>ASV2586:g__Campylobacter_s__unclassified_g__Campylobacter</t>
  </si>
  <si>
    <t>ASV1515:g__Streptococcus_s__unclassified_g__Streptococcus</t>
  </si>
  <si>
    <t>ASV5:g__UCG-002_s__unclassified_g__UCG-002</t>
  </si>
  <si>
    <t>ASV2860:g__Phascolarctobacterium_s__unclassified_g__Phascolarctobacterium</t>
  </si>
  <si>
    <t>ASV48:g__Blautia_s__unclassified_g__Blautia</t>
  </si>
  <si>
    <t>ASV38:g__Blautia_s__unclassified_g__Blautia</t>
  </si>
  <si>
    <t>ASV2839:g__Pasteurella_s__Pasteurella_aerogenes</t>
  </si>
  <si>
    <t>ASV1527:g__Bacillus_s__Lactobacillus_vaginalis_g__Bacillus</t>
  </si>
  <si>
    <t>ASV172:g__Mogibacterium_s__uncultured_bacterium_g__Mogibacterium</t>
  </si>
  <si>
    <t>ASV1089:g__Fusobacterium_s__Fusobacterium_gastrosuis</t>
  </si>
  <si>
    <t>ASV3058:g__Allisonella_s__uncultured_bacterium_g__Allisonella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</si>
  <si>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</si>
  <si>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</si>
  <si>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</si>
  <si>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</si>
  <si>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</si>
  <si>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</si>
  <si>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</si>
  <si>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</si>
  <si>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</si>
  <si>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</si>
  <si>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</si>
  <si>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</si>
  <si>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</si>
  <si>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</si>
  <si>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</si>
  <si>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</si>
  <si>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</si>
  <si>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</si>
  <si>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</si>
  <si>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</si>
  <si>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</si>
  <si>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</si>
  <si>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</si>
  <si>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</si>
  <si>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</si>
  <si>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</si>
  <si>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</si>
  <si>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</si>
  <si>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</si>
  <si>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</si>
  <si>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</si>
  <si>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</si>
  <si>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</si>
  <si>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</si>
  <si>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</si>
  <si>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</si>
  <si>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</si>
  <si>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</si>
  <si>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</si>
  <si>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</si>
  <si>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</si>
  <si>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</si>
  <si>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</si>
  <si>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</si>
  <si>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</si>
  <si>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</si>
  <si>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</si>
  <si>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TAA</t>
  </si>
  <si>
    <t>TAC</t>
  </si>
  <si>
    <t>TAG</t>
  </si>
  <si>
    <t>TAT</t>
  </si>
  <si>
    <t>TCA</t>
  </si>
  <si>
    <t>TCC</t>
  </si>
  <si>
    <t>TCG</t>
  </si>
  <si>
    <t>TCT</t>
  </si>
  <si>
    <t>TGA</t>
  </si>
  <si>
    <t>TGC</t>
  </si>
  <si>
    <t>TGT</t>
  </si>
  <si>
    <t>TTA</t>
  </si>
  <si>
    <t>TTC</t>
  </si>
  <si>
    <t>TTG</t>
  </si>
  <si>
    <t>TTT</t>
  </si>
  <si>
    <t>allAA_AT3</t>
  </si>
  <si>
    <t>allAA_GC3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</si>
</sst>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1" fillId="3" borderId="0" xfId="1" applyFill="1">
      <alignment vertical="center"/>
    </xf>
    <xf numFmtId="0" fontId="1" fillId="4" borderId="0" xfId="1" applyFill="1">
      <alignment vertical="center"/>
    </xf>
    <xf numFmtId="0" fontId="3" fillId="0" borderId="0" xfId="1" applyFont="1">
      <alignment vertical="center"/>
    </xf>
  </cellXfs>
  <cellStyles count="2">
    <cellStyle name="常规" xfId="0" builtinId="0"/>
    <cellStyle name="常规 2" xfId="1" xr:uid="{5C785B7C-1B80-4C5A-A276-4C507E64ADEF}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C350-A545-4F62-9320-F48CEC4630B6}">
  <dimension ref="A1:AV68"/>
  <sheetViews>
    <sheetView tabSelected="1" workbookViewId="0">
      <selection activeCell="C67" sqref="C67:AV68"/>
    </sheetView>
  </sheetViews>
  <sheetFormatPr defaultColWidth="9" defaultRowHeight="14.15" x14ac:dyDescent="0.3"/>
  <cols>
    <col min="1" max="2" width="9" style="1"/>
    <col min="3" max="3" width="16.61328125" style="1" customWidth="1"/>
    <col min="4" max="8" width="9" style="1"/>
    <col min="9" max="9" width="24.23046875" style="1" customWidth="1"/>
    <col min="10" max="35" width="9" style="1"/>
    <col min="36" max="36" width="21" style="1" customWidth="1"/>
    <col min="37" max="43" width="9" style="1"/>
    <col min="44" max="44" width="23" style="1" customWidth="1"/>
    <col min="45" max="16384" width="9" style="1"/>
  </cols>
  <sheetData>
    <row r="1" spans="1:48" x14ac:dyDescent="0.3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e">
        <v>#N/A</v>
      </c>
      <c r="AT1" s="1" t="e">
        <v>#N/A</v>
      </c>
      <c r="AU1" s="1" t="e">
        <v>#N/A</v>
      </c>
      <c r="AV1" s="1" t="e">
        <v>#N/A</v>
      </c>
    </row>
    <row r="2" spans="1:48" x14ac:dyDescent="0.3">
      <c r="A2" s="1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3" t="s">
        <v>64</v>
      </c>
      <c r="X2" s="3" t="s">
        <v>65</v>
      </c>
      <c r="Y2" s="3" t="s">
        <v>66</v>
      </c>
      <c r="Z2" s="3" t="s">
        <v>67</v>
      </c>
      <c r="AA2" s="3" t="s">
        <v>68</v>
      </c>
      <c r="AB2" s="3" t="s">
        <v>69</v>
      </c>
      <c r="AC2" s="3" t="s">
        <v>70</v>
      </c>
      <c r="AD2" s="3" t="s">
        <v>71</v>
      </c>
      <c r="AE2" s="3" t="s">
        <v>72</v>
      </c>
      <c r="AF2" s="3" t="s">
        <v>73</v>
      </c>
      <c r="AG2" s="3" t="s">
        <v>74</v>
      </c>
      <c r="AH2" s="3" t="s">
        <v>75</v>
      </c>
      <c r="AI2" s="3" t="s">
        <v>76</v>
      </c>
      <c r="AJ2" s="3" t="s">
        <v>77</v>
      </c>
      <c r="AK2" s="3" t="s">
        <v>78</v>
      </c>
      <c r="AL2" s="3" t="s">
        <v>79</v>
      </c>
      <c r="AM2" s="3" t="s">
        <v>80</v>
      </c>
      <c r="AN2" s="3" t="s">
        <v>81</v>
      </c>
      <c r="AO2" s="3" t="s">
        <v>82</v>
      </c>
      <c r="AP2" s="3" t="s">
        <v>83</v>
      </c>
      <c r="AQ2" s="3" t="s">
        <v>84</v>
      </c>
      <c r="AR2" s="3" t="s">
        <v>85</v>
      </c>
      <c r="AS2" s="4" t="s">
        <v>86</v>
      </c>
      <c r="AT2" s="4" t="s">
        <v>87</v>
      </c>
      <c r="AU2" s="3" t="s">
        <v>88</v>
      </c>
      <c r="AV2" s="3" t="s">
        <v>89</v>
      </c>
    </row>
    <row r="3" spans="1:48" x14ac:dyDescent="0.3">
      <c r="A3" s="1" t="s">
        <v>90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  <c r="M3" s="2" t="s">
        <v>101</v>
      </c>
      <c r="N3" s="2" t="s">
        <v>102</v>
      </c>
      <c r="O3" s="2" t="s">
        <v>103</v>
      </c>
      <c r="P3" s="2" t="s">
        <v>104</v>
      </c>
      <c r="Q3" s="2" t="s">
        <v>105</v>
      </c>
      <c r="R3" s="2" t="s">
        <v>106</v>
      </c>
      <c r="S3" s="2" t="s">
        <v>107</v>
      </c>
      <c r="T3" s="2" t="s">
        <v>108</v>
      </c>
      <c r="U3" s="2" t="s">
        <v>109</v>
      </c>
      <c r="V3" s="2" t="s">
        <v>110</v>
      </c>
      <c r="W3" s="3" t="s">
        <v>111</v>
      </c>
      <c r="X3" s="3" t="s">
        <v>112</v>
      </c>
      <c r="Y3" s="3" t="s">
        <v>113</v>
      </c>
      <c r="Z3" s="3" t="s">
        <v>114</v>
      </c>
      <c r="AA3" s="3" t="s">
        <v>115</v>
      </c>
      <c r="AB3" s="3" t="s">
        <v>116</v>
      </c>
      <c r="AC3" s="3" t="s">
        <v>117</v>
      </c>
      <c r="AD3" s="3" t="s">
        <v>118</v>
      </c>
      <c r="AE3" s="3" t="s">
        <v>119</v>
      </c>
      <c r="AF3" s="3" t="s">
        <v>120</v>
      </c>
      <c r="AG3" s="3" t="s">
        <v>121</v>
      </c>
      <c r="AH3" s="3" t="s">
        <v>122</v>
      </c>
      <c r="AI3" s="3" t="s">
        <v>123</v>
      </c>
      <c r="AJ3" s="3" t="s">
        <v>124</v>
      </c>
      <c r="AK3" s="3" t="s">
        <v>125</v>
      </c>
      <c r="AL3" s="3" t="s">
        <v>126</v>
      </c>
      <c r="AM3" s="3" t="s">
        <v>127</v>
      </c>
      <c r="AN3" s="3" t="s">
        <v>128</v>
      </c>
      <c r="AO3" s="3" t="s">
        <v>129</v>
      </c>
      <c r="AP3" s="3" t="s">
        <v>130</v>
      </c>
      <c r="AQ3" s="3" t="s">
        <v>131</v>
      </c>
      <c r="AR3" s="3" t="s">
        <v>132</v>
      </c>
      <c r="AS3" s="4" t="s">
        <v>86</v>
      </c>
      <c r="AT3" s="4" t="s">
        <v>87</v>
      </c>
      <c r="AU3" s="3" t="s">
        <v>88</v>
      </c>
      <c r="AV3" s="3" t="s">
        <v>89</v>
      </c>
    </row>
    <row r="4" spans="1:48" x14ac:dyDescent="0.3">
      <c r="C4" s="1" t="s">
        <v>133</v>
      </c>
      <c r="D4" s="1" t="s">
        <v>134</v>
      </c>
      <c r="E4" s="1" t="s">
        <v>135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144</v>
      </c>
      <c r="O4" s="1" t="s">
        <v>145</v>
      </c>
      <c r="P4" s="1" t="s">
        <v>146</v>
      </c>
      <c r="Q4" s="1" t="s">
        <v>147</v>
      </c>
      <c r="R4" s="1" t="s">
        <v>148</v>
      </c>
      <c r="S4" s="1" t="s">
        <v>149</v>
      </c>
      <c r="T4" s="1" t="s">
        <v>150</v>
      </c>
      <c r="U4" s="1" t="s">
        <v>151</v>
      </c>
      <c r="V4" s="1" t="s">
        <v>152</v>
      </c>
      <c r="W4" s="1" t="s">
        <v>153</v>
      </c>
      <c r="X4" s="1" t="s">
        <v>154</v>
      </c>
      <c r="Y4" s="1" t="s">
        <v>155</v>
      </c>
      <c r="Z4" s="1" t="s">
        <v>156</v>
      </c>
      <c r="AA4" s="1" t="s">
        <v>157</v>
      </c>
      <c r="AB4" s="1" t="s">
        <v>158</v>
      </c>
      <c r="AC4" s="1" t="s">
        <v>159</v>
      </c>
      <c r="AD4" s="1" t="s">
        <v>160</v>
      </c>
      <c r="AE4" s="1" t="s">
        <v>161</v>
      </c>
      <c r="AF4" s="1" t="s">
        <v>162</v>
      </c>
      <c r="AG4" s="1" t="s">
        <v>163</v>
      </c>
      <c r="AH4" s="1" t="s">
        <v>164</v>
      </c>
      <c r="AI4" s="1" t="s">
        <v>165</v>
      </c>
      <c r="AJ4" s="1" t="s">
        <v>166</v>
      </c>
      <c r="AK4" s="1" t="s">
        <v>167</v>
      </c>
      <c r="AL4" s="1" t="s">
        <v>168</v>
      </c>
      <c r="AM4" s="1" t="s">
        <v>169</v>
      </c>
      <c r="AN4" s="1" t="s">
        <v>170</v>
      </c>
      <c r="AO4" s="1" t="s">
        <v>171</v>
      </c>
      <c r="AP4" s="1" t="s">
        <v>172</v>
      </c>
      <c r="AQ4" s="1" t="s">
        <v>173</v>
      </c>
      <c r="AR4" s="1" t="s">
        <v>174</v>
      </c>
      <c r="AS4" s="4"/>
      <c r="AT4" s="4"/>
      <c r="AU4" s="3"/>
      <c r="AV4" s="3"/>
    </row>
    <row r="5" spans="1:48" x14ac:dyDescent="0.3">
      <c r="A5" s="1" t="s">
        <v>175</v>
      </c>
      <c r="B5" s="5" t="str">
        <f>IF(OR(RIGHT(A5,1)="A",RIGHT(A5,1)="T"),"A/T","G/C")</f>
        <v>A/T</v>
      </c>
      <c r="C5" s="1">
        <v>1.534493305</v>
      </c>
      <c r="D5" s="1">
        <v>1.552724953</v>
      </c>
      <c r="E5" s="1">
        <v>0</v>
      </c>
      <c r="F5" s="1">
        <v>1.095624457</v>
      </c>
      <c r="G5" s="1">
        <v>1.1003009029999999</v>
      </c>
      <c r="H5" s="1">
        <v>1.5187490910000001</v>
      </c>
      <c r="I5" s="1">
        <v>1.559194631</v>
      </c>
      <c r="J5" s="1">
        <v>1.529664803</v>
      </c>
      <c r="K5" s="1">
        <v>1.2350620699999999</v>
      </c>
      <c r="L5" s="1">
        <v>1.3844374770000001</v>
      </c>
      <c r="M5" s="1">
        <v>0.86034144999999995</v>
      </c>
      <c r="N5" s="1">
        <v>1.4183298470000001</v>
      </c>
      <c r="O5" s="1">
        <v>1.1789638929999999</v>
      </c>
      <c r="P5" s="1">
        <v>1.119021518</v>
      </c>
      <c r="Q5" s="1">
        <v>1.115887297</v>
      </c>
      <c r="R5" s="1">
        <v>0.45727554799999998</v>
      </c>
      <c r="S5" s="1">
        <v>1.208842924</v>
      </c>
      <c r="T5" s="1">
        <v>1.0443848549999999</v>
      </c>
      <c r="U5" s="1">
        <v>1.121476758</v>
      </c>
      <c r="V5" s="1">
        <v>1.5521489509999999</v>
      </c>
      <c r="W5" s="1">
        <v>0.50928422799999995</v>
      </c>
      <c r="X5" s="1">
        <v>0.88990039600000004</v>
      </c>
      <c r="Y5" s="1">
        <v>1.281806365</v>
      </c>
      <c r="Z5" s="1">
        <v>0.94544423399999999</v>
      </c>
      <c r="AA5" s="1">
        <v>0.51771297599999999</v>
      </c>
      <c r="AB5" s="1">
        <v>0.32621684400000001</v>
      </c>
      <c r="AC5" s="1">
        <v>1.0685378290000001</v>
      </c>
      <c r="AD5" s="1">
        <v>1.0705511729999999</v>
      </c>
      <c r="AE5" s="1">
        <v>1.6205278430000001</v>
      </c>
      <c r="AF5" s="1">
        <v>1.527847325</v>
      </c>
      <c r="AG5" s="1">
        <v>1.25266769</v>
      </c>
      <c r="AH5" s="1">
        <v>1.6783761699999999</v>
      </c>
      <c r="AI5" s="1">
        <v>1.597018402</v>
      </c>
      <c r="AJ5" s="1">
        <v>1.4902614000000001</v>
      </c>
      <c r="AK5" s="1">
        <v>0.92982258900000003</v>
      </c>
      <c r="AL5" s="1">
        <v>1.364296081</v>
      </c>
      <c r="AM5" s="1">
        <v>1.274511457</v>
      </c>
      <c r="AN5" s="1">
        <v>1.7985108009999999</v>
      </c>
      <c r="AO5" s="1">
        <v>0.84433909600000001</v>
      </c>
      <c r="AP5" s="1">
        <v>0.75492687300000005</v>
      </c>
      <c r="AQ5" s="1">
        <v>1.684311807</v>
      </c>
      <c r="AR5" s="1">
        <v>0.88084687299999997</v>
      </c>
      <c r="AS5" s="1">
        <v>0.82420332900000004</v>
      </c>
      <c r="AT5" s="1">
        <v>0.84761224700000004</v>
      </c>
      <c r="AU5" s="1">
        <v>0.72913693999999996</v>
      </c>
      <c r="AV5" s="1">
        <v>0.72889925300000002</v>
      </c>
    </row>
    <row r="6" spans="1:48" x14ac:dyDescent="0.3">
      <c r="A6" s="1" t="s">
        <v>176</v>
      </c>
      <c r="B6" s="5" t="str">
        <f>IF(OR(RIGHT(A6,1)="A",RIGHT(A6,1)="T"),"A/T","G/C")</f>
        <v>G/C</v>
      </c>
      <c r="C6" s="1">
        <v>1.1056572849999999</v>
      </c>
      <c r="D6" s="1">
        <v>0.44191522799999999</v>
      </c>
      <c r="E6" s="1">
        <v>1.327664497</v>
      </c>
      <c r="F6" s="1">
        <v>0</v>
      </c>
      <c r="G6" s="1">
        <v>0.44965649299999999</v>
      </c>
      <c r="H6" s="1">
        <v>0.33113055899999999</v>
      </c>
      <c r="I6" s="1">
        <v>0.41820066099999997</v>
      </c>
      <c r="J6" s="1">
        <v>1.094758251</v>
      </c>
      <c r="K6" s="1">
        <v>0.49387856600000002</v>
      </c>
      <c r="L6" s="1">
        <v>0.34829941399999997</v>
      </c>
      <c r="M6" s="1">
        <v>0.74777448099999999</v>
      </c>
      <c r="N6" s="1">
        <v>0.26150329900000002</v>
      </c>
      <c r="O6" s="1">
        <v>0.23711185600000001</v>
      </c>
      <c r="P6" s="1">
        <v>0.83726106600000005</v>
      </c>
      <c r="Q6" s="1">
        <v>1.0548612580000001</v>
      </c>
      <c r="R6" s="1">
        <v>1.63685379</v>
      </c>
      <c r="S6" s="1">
        <v>0.66831659099999996</v>
      </c>
      <c r="T6" s="1">
        <v>0.95215696800000005</v>
      </c>
      <c r="U6" s="1">
        <v>0.93924178599999997</v>
      </c>
      <c r="V6" s="1">
        <v>0.44187311200000001</v>
      </c>
      <c r="W6" s="1">
        <v>1.3166014479999999</v>
      </c>
      <c r="X6" s="1">
        <v>0.94639449899999994</v>
      </c>
      <c r="Y6" s="1">
        <v>0.80780772999999995</v>
      </c>
      <c r="Z6" s="1">
        <v>0.83513347000000004</v>
      </c>
      <c r="AA6" s="1">
        <v>1.2931712550000001</v>
      </c>
      <c r="AB6" s="1">
        <v>1.5653434660000001</v>
      </c>
      <c r="AC6" s="1">
        <v>1.0367471020000001</v>
      </c>
      <c r="AD6" s="1">
        <v>1.0558358969999999</v>
      </c>
      <c r="AE6" s="1">
        <v>0.304170037</v>
      </c>
      <c r="AF6" s="1">
        <v>0.41853426100000002</v>
      </c>
      <c r="AG6" s="1">
        <v>0.46567213400000002</v>
      </c>
      <c r="AH6" s="1">
        <v>0.27558779500000002</v>
      </c>
      <c r="AI6" s="1">
        <v>0.56425540200000002</v>
      </c>
      <c r="AJ6" s="1">
        <v>0.93756226099999995</v>
      </c>
      <c r="AK6" s="1">
        <v>0.96351419699999996</v>
      </c>
      <c r="AL6" s="1">
        <v>0.633902093</v>
      </c>
      <c r="AM6" s="1">
        <v>0.65698822199999996</v>
      </c>
      <c r="AN6" s="1">
        <v>0.57416652700000004</v>
      </c>
      <c r="AO6" s="1">
        <v>0.76651456699999998</v>
      </c>
      <c r="AP6" s="1">
        <v>1.131170284</v>
      </c>
      <c r="AQ6" s="1">
        <v>0.26299282000000002</v>
      </c>
      <c r="AR6" s="1">
        <v>0.71951558199999999</v>
      </c>
      <c r="AS6" s="1">
        <v>1.095302467</v>
      </c>
      <c r="AT6" s="1">
        <v>1.0755309099999999</v>
      </c>
      <c r="AU6" s="1">
        <v>1.209384858</v>
      </c>
      <c r="AV6" s="1">
        <v>1.2117843639999999</v>
      </c>
    </row>
    <row r="7" spans="1:48" x14ac:dyDescent="0.3">
      <c r="A7" s="1" t="s">
        <v>177</v>
      </c>
      <c r="B7" s="5" t="str">
        <f>IF(OR(RIGHT(A7,1)="A",RIGHT(A7,1)="T"),"A/T","G/C")</f>
        <v>G/C</v>
      </c>
      <c r="C7" s="1">
        <v>0.46550669500000003</v>
      </c>
      <c r="D7" s="1">
        <v>0.44727504699999998</v>
      </c>
      <c r="E7" s="1">
        <v>0</v>
      </c>
      <c r="F7" s="1">
        <v>0.904375543</v>
      </c>
      <c r="G7" s="1">
        <v>0.89969909699999995</v>
      </c>
      <c r="H7" s="1">
        <v>0.481250909</v>
      </c>
      <c r="I7" s="1">
        <v>0.440805369</v>
      </c>
      <c r="J7" s="1">
        <v>0.47033519699999998</v>
      </c>
      <c r="K7" s="1">
        <v>0.76493792999999999</v>
      </c>
      <c r="L7" s="1">
        <v>0.61556252300000003</v>
      </c>
      <c r="M7" s="1">
        <v>1.13965855</v>
      </c>
      <c r="N7" s="1">
        <v>0.58167015300000002</v>
      </c>
      <c r="O7" s="1">
        <v>0.82103610699999996</v>
      </c>
      <c r="P7" s="1">
        <v>0.88097848199999995</v>
      </c>
      <c r="Q7" s="1">
        <v>0.884112703</v>
      </c>
      <c r="R7" s="1">
        <v>1.5427244520000001</v>
      </c>
      <c r="S7" s="1">
        <v>0.79115707599999996</v>
      </c>
      <c r="T7" s="1">
        <v>0.955615145</v>
      </c>
      <c r="U7" s="1">
        <v>0.87852324199999998</v>
      </c>
      <c r="V7" s="1">
        <v>0.447851049</v>
      </c>
      <c r="W7" s="1">
        <v>1.4907157719999999</v>
      </c>
      <c r="X7" s="1">
        <v>1.110099604</v>
      </c>
      <c r="Y7" s="1">
        <v>0.718193635</v>
      </c>
      <c r="Z7" s="1">
        <v>1.054555766</v>
      </c>
      <c r="AA7" s="1">
        <v>1.4822870239999999</v>
      </c>
      <c r="AB7" s="1">
        <v>1.673783156</v>
      </c>
      <c r="AC7" s="1">
        <v>0.93146217099999995</v>
      </c>
      <c r="AD7" s="1">
        <v>0.92944882699999998</v>
      </c>
      <c r="AE7" s="1">
        <v>0.37947215699999998</v>
      </c>
      <c r="AF7" s="1">
        <v>0.47215267500000002</v>
      </c>
      <c r="AG7" s="1">
        <v>0.74733231</v>
      </c>
      <c r="AH7" s="1">
        <v>0.32162383</v>
      </c>
      <c r="AI7" s="1">
        <v>0.402981598</v>
      </c>
      <c r="AJ7" s="1">
        <v>0.50973860000000004</v>
      </c>
      <c r="AK7" s="1">
        <v>1.070177411</v>
      </c>
      <c r="AL7" s="1">
        <v>0.63570391900000001</v>
      </c>
      <c r="AM7" s="1">
        <v>0.72548854299999999</v>
      </c>
      <c r="AN7" s="1">
        <v>0.20148919900000001</v>
      </c>
      <c r="AO7" s="1">
        <v>1.1556609040000001</v>
      </c>
      <c r="AP7" s="1">
        <v>1.2450731269999999</v>
      </c>
      <c r="AQ7" s="1">
        <v>0.31568819300000001</v>
      </c>
      <c r="AR7" s="1">
        <v>1.1191531269999999</v>
      </c>
      <c r="AS7" s="1">
        <v>1.1757966710000001</v>
      </c>
      <c r="AT7" s="1">
        <v>1.152387753</v>
      </c>
      <c r="AU7" s="1">
        <v>1.2708630599999999</v>
      </c>
      <c r="AV7" s="1">
        <v>1.271100747</v>
      </c>
    </row>
    <row r="8" spans="1:48" x14ac:dyDescent="0.3">
      <c r="A8" s="1" t="s">
        <v>178</v>
      </c>
      <c r="B8" s="5" t="str">
        <f>IF(OR(RIGHT(A8,1)="A",RIGHT(A8,1)="T"),"A/T","G/C")</f>
        <v>A/T</v>
      </c>
      <c r="C8" s="1">
        <v>0.89434271499999995</v>
      </c>
      <c r="D8" s="1">
        <v>1.558084772</v>
      </c>
      <c r="E8" s="1">
        <v>0.672335503</v>
      </c>
      <c r="F8" s="1">
        <v>0</v>
      </c>
      <c r="G8" s="1">
        <v>1.550343507</v>
      </c>
      <c r="H8" s="1">
        <v>1.668869441</v>
      </c>
      <c r="I8" s="1">
        <v>1.581799339</v>
      </c>
      <c r="J8" s="1">
        <v>0.90524174899999998</v>
      </c>
      <c r="K8" s="1">
        <v>1.506121434</v>
      </c>
      <c r="L8" s="1">
        <v>1.651700586</v>
      </c>
      <c r="M8" s="1">
        <v>1.252225519</v>
      </c>
      <c r="N8" s="1">
        <v>1.7384967010000001</v>
      </c>
      <c r="O8" s="1">
        <v>1.7628881439999999</v>
      </c>
      <c r="P8" s="1">
        <v>1.1627389340000001</v>
      </c>
      <c r="Q8" s="1">
        <v>0.94513874200000003</v>
      </c>
      <c r="R8" s="1">
        <v>0.36314621000000002</v>
      </c>
      <c r="S8" s="1">
        <v>1.331683409</v>
      </c>
      <c r="T8" s="1">
        <v>1.0478430320000001</v>
      </c>
      <c r="U8" s="1">
        <v>1.060758214</v>
      </c>
      <c r="V8" s="1">
        <v>1.5581268880000001</v>
      </c>
      <c r="W8" s="1">
        <v>0.68339855199999999</v>
      </c>
      <c r="X8" s="1">
        <v>1.0536055010000001</v>
      </c>
      <c r="Y8" s="1">
        <v>1.1921922700000001</v>
      </c>
      <c r="Z8" s="1">
        <v>1.1648665300000001</v>
      </c>
      <c r="AA8" s="1">
        <v>0.70682874500000004</v>
      </c>
      <c r="AB8" s="1">
        <v>0.43465653399999998</v>
      </c>
      <c r="AC8" s="1">
        <v>0.96325289800000002</v>
      </c>
      <c r="AD8" s="1">
        <v>0.94416410299999998</v>
      </c>
      <c r="AE8" s="1">
        <v>1.695829963</v>
      </c>
      <c r="AF8" s="1">
        <v>1.581465739</v>
      </c>
      <c r="AG8" s="1">
        <v>1.5343278659999999</v>
      </c>
      <c r="AH8" s="1">
        <v>1.7244122049999999</v>
      </c>
      <c r="AI8" s="1">
        <v>1.4357445980000001</v>
      </c>
      <c r="AJ8" s="1">
        <v>1.0624377389999999</v>
      </c>
      <c r="AK8" s="1">
        <v>1.0364858029999999</v>
      </c>
      <c r="AL8" s="1">
        <v>1.3660979069999999</v>
      </c>
      <c r="AM8" s="1">
        <v>1.3430117779999999</v>
      </c>
      <c r="AN8" s="1">
        <v>1.425833473</v>
      </c>
      <c r="AO8" s="1">
        <v>1.233485433</v>
      </c>
      <c r="AP8" s="1">
        <v>0.86882971600000003</v>
      </c>
      <c r="AQ8" s="1">
        <v>1.73700718</v>
      </c>
      <c r="AR8" s="1">
        <v>1.2804844179999999</v>
      </c>
      <c r="AS8" s="1">
        <v>0.904697533</v>
      </c>
      <c r="AT8" s="1">
        <v>0.92446908999999999</v>
      </c>
      <c r="AU8" s="1">
        <v>0.79061514200000005</v>
      </c>
      <c r="AV8" s="1">
        <v>0.788215636</v>
      </c>
    </row>
    <row r="9" spans="1:48" x14ac:dyDescent="0.3">
      <c r="A9" s="1" t="s">
        <v>179</v>
      </c>
      <c r="B9" s="5" t="str">
        <f>IF(OR(RIGHT(A9,1)="A",RIGHT(A9,1)="T"),"A/T","G/C")</f>
        <v>A/T</v>
      </c>
      <c r="C9" s="1">
        <v>0.51469137700000001</v>
      </c>
      <c r="D9" s="1">
        <v>1.277586162</v>
      </c>
      <c r="E9" s="1">
        <v>0</v>
      </c>
      <c r="F9" s="1">
        <v>0</v>
      </c>
      <c r="G9" s="1">
        <v>2.2324906000000002</v>
      </c>
      <c r="H9" s="1">
        <v>1.7933592110000001</v>
      </c>
      <c r="I9" s="1">
        <v>1.7010857619999999</v>
      </c>
      <c r="J9" s="1">
        <v>0.52534263199999998</v>
      </c>
      <c r="K9" s="1">
        <v>1.0469924230000001</v>
      </c>
      <c r="L9" s="1">
        <v>1.6724142120000001</v>
      </c>
      <c r="M9" s="1">
        <v>1.0441376010000001</v>
      </c>
      <c r="N9" s="1">
        <v>1.807739932</v>
      </c>
      <c r="O9" s="1">
        <v>1.7989975579999999</v>
      </c>
      <c r="P9" s="1">
        <v>0.87104424800000002</v>
      </c>
      <c r="Q9" s="1">
        <v>0.79379342100000005</v>
      </c>
      <c r="R9" s="1">
        <v>0.216432509</v>
      </c>
      <c r="S9" s="1">
        <v>1.6952859689999999</v>
      </c>
      <c r="T9" s="1">
        <v>0.82251532800000005</v>
      </c>
      <c r="U9" s="1">
        <v>1.925398725</v>
      </c>
      <c r="V9" s="1">
        <v>1.2742811919999999</v>
      </c>
      <c r="W9" s="1">
        <v>0.31146774100000002</v>
      </c>
      <c r="X9" s="1">
        <v>0.36462413900000001</v>
      </c>
      <c r="Y9" s="1">
        <v>1.064668513</v>
      </c>
      <c r="Z9" s="1">
        <v>0.76034209699999999</v>
      </c>
      <c r="AA9" s="1">
        <v>0.318694019</v>
      </c>
      <c r="AB9" s="1">
        <v>0.206024297</v>
      </c>
      <c r="AC9" s="1">
        <v>0.519820108</v>
      </c>
      <c r="AD9" s="1">
        <v>0.509728548</v>
      </c>
      <c r="AE9" s="1">
        <v>1.768081196</v>
      </c>
      <c r="AF9" s="1">
        <v>1.441668003</v>
      </c>
      <c r="AG9" s="1">
        <v>1.7432823340000001</v>
      </c>
      <c r="AH9" s="1">
        <v>1.253687604</v>
      </c>
      <c r="AI9" s="1">
        <v>1.7040753639999999</v>
      </c>
      <c r="AJ9" s="1">
        <v>1.863372093</v>
      </c>
      <c r="AK9" s="1">
        <v>0.77867460899999996</v>
      </c>
      <c r="AL9" s="1">
        <v>1.881372582</v>
      </c>
      <c r="AM9" s="1">
        <v>1.843151448</v>
      </c>
      <c r="AN9" s="1">
        <v>0.78504672900000005</v>
      </c>
      <c r="AO9" s="1">
        <v>0.97127703799999998</v>
      </c>
      <c r="AP9" s="1">
        <v>0.59505285600000002</v>
      </c>
      <c r="AQ9" s="1">
        <v>1.972937046</v>
      </c>
      <c r="AR9" s="1">
        <v>1.0422389430000001</v>
      </c>
      <c r="AS9" s="1">
        <v>1.0752810209999999</v>
      </c>
      <c r="AT9" s="1">
        <v>1.0973739870000001</v>
      </c>
      <c r="AU9" s="1">
        <v>0.95089291200000003</v>
      </c>
      <c r="AV9" s="1">
        <v>0.94136557700000001</v>
      </c>
    </row>
    <row r="10" spans="1:48" x14ac:dyDescent="0.3">
      <c r="A10" s="1" t="s">
        <v>180</v>
      </c>
      <c r="B10" s="5" t="str">
        <f>IF(OR(RIGHT(A10,1)="A",RIGHT(A10,1)="T"),"A/T","G/C")</f>
        <v>G/C</v>
      </c>
      <c r="C10" s="1">
        <v>1.750628638</v>
      </c>
      <c r="D10" s="1">
        <v>0.76143334799999995</v>
      </c>
      <c r="E10" s="1">
        <v>0</v>
      </c>
      <c r="F10" s="1">
        <v>0</v>
      </c>
      <c r="G10" s="1">
        <v>0.35337741499999997</v>
      </c>
      <c r="H10" s="1">
        <v>0.122234035</v>
      </c>
      <c r="I10" s="1">
        <v>0.45786628000000001</v>
      </c>
      <c r="J10" s="1">
        <v>1.7348146950000001</v>
      </c>
      <c r="K10" s="1">
        <v>0.455268328</v>
      </c>
      <c r="L10" s="1">
        <v>0.253799946</v>
      </c>
      <c r="M10" s="1">
        <v>1.1443052119999999</v>
      </c>
      <c r="N10" s="1">
        <v>0.145128639</v>
      </c>
      <c r="O10" s="1">
        <v>0.41382855699999999</v>
      </c>
      <c r="P10" s="1">
        <v>1.615362832</v>
      </c>
      <c r="Q10" s="1">
        <v>0.92791864800000001</v>
      </c>
      <c r="R10" s="1">
        <v>2.804078487</v>
      </c>
      <c r="S10" s="1">
        <v>0.89875482100000004</v>
      </c>
      <c r="T10" s="1">
        <v>1.3480238</v>
      </c>
      <c r="U10" s="1">
        <v>0.80722073000000005</v>
      </c>
      <c r="V10" s="1">
        <v>0.76117119499999997</v>
      </c>
      <c r="W10" s="1">
        <v>1.681839444</v>
      </c>
      <c r="X10" s="1">
        <v>1.1420238469999999</v>
      </c>
      <c r="Y10" s="1">
        <v>1.164684802</v>
      </c>
      <c r="Z10" s="1">
        <v>0.73576179900000005</v>
      </c>
      <c r="AA10" s="1">
        <v>1.663825484</v>
      </c>
      <c r="AB10" s="1">
        <v>2.0034392859999999</v>
      </c>
      <c r="AC10" s="1">
        <v>1.3025976260000001</v>
      </c>
      <c r="AD10" s="1">
        <v>1.3097074849999999</v>
      </c>
      <c r="AE10" s="1">
        <v>0.12168677899999999</v>
      </c>
      <c r="AF10" s="1">
        <v>0.72801924600000001</v>
      </c>
      <c r="AG10" s="1">
        <v>0.29052382100000002</v>
      </c>
      <c r="AH10" s="1">
        <v>0.72013285100000002</v>
      </c>
      <c r="AI10" s="1">
        <v>0.53819373299999995</v>
      </c>
      <c r="AJ10" s="1">
        <v>1.1400634249999999</v>
      </c>
      <c r="AK10" s="1">
        <v>1.4469099030000001</v>
      </c>
      <c r="AL10" s="1">
        <v>0.71101927399999998</v>
      </c>
      <c r="AM10" s="1">
        <v>0.80768374200000004</v>
      </c>
      <c r="AN10" s="1">
        <v>1.4485118619999999</v>
      </c>
      <c r="AO10" s="1">
        <v>0.89344707499999998</v>
      </c>
      <c r="AP10" s="1">
        <v>1.9434113669999999</v>
      </c>
      <c r="AQ10" s="1">
        <v>0.164831794</v>
      </c>
      <c r="AR10" s="1">
        <v>1.570285441</v>
      </c>
      <c r="AS10" s="1">
        <v>1.4166975879999999</v>
      </c>
      <c r="AT10" s="1">
        <v>1.3920074019999999</v>
      </c>
      <c r="AU10" s="1">
        <v>1.5784089939999999</v>
      </c>
      <c r="AV10" s="1">
        <v>1.5754042509999999</v>
      </c>
    </row>
    <row r="11" spans="1:48" x14ac:dyDescent="0.3">
      <c r="A11" s="1" t="s">
        <v>181</v>
      </c>
      <c r="B11" s="5" t="str">
        <f>IF(OR(RIGHT(A11,1)="A",RIGHT(A11,1)="T"),"A/T","G/C")</f>
        <v>G/C</v>
      </c>
      <c r="C11" s="1">
        <v>1.072505244</v>
      </c>
      <c r="D11" s="1">
        <v>0.78112740599999997</v>
      </c>
      <c r="E11" s="1">
        <v>0</v>
      </c>
      <c r="F11" s="1">
        <v>0</v>
      </c>
      <c r="G11" s="1">
        <v>0.463632828</v>
      </c>
      <c r="H11" s="1">
        <v>0.163868767</v>
      </c>
      <c r="I11" s="1">
        <v>0.91863378600000001</v>
      </c>
      <c r="J11" s="1">
        <v>1.0806368770000001</v>
      </c>
      <c r="K11" s="1">
        <v>0.31045558000000001</v>
      </c>
      <c r="L11" s="1">
        <v>6.0896422999999998E-2</v>
      </c>
      <c r="M11" s="1">
        <v>1.2672998639999999</v>
      </c>
      <c r="N11" s="1">
        <v>0.118713025</v>
      </c>
      <c r="O11" s="1">
        <v>0.21616758799999999</v>
      </c>
      <c r="P11" s="1">
        <v>1.0963539819999999</v>
      </c>
      <c r="Q11" s="1">
        <v>1.9430625260000001</v>
      </c>
      <c r="R11" s="1">
        <v>0.83626771</v>
      </c>
      <c r="S11" s="1">
        <v>0.73897277500000003</v>
      </c>
      <c r="T11" s="1">
        <v>1.2650392530000001</v>
      </c>
      <c r="U11" s="1">
        <v>0.34964899199999999</v>
      </c>
      <c r="V11" s="1">
        <v>0.78259034599999999</v>
      </c>
      <c r="W11" s="1">
        <v>0.795653269</v>
      </c>
      <c r="X11" s="1">
        <v>1.6469848170000001</v>
      </c>
      <c r="Y11" s="1">
        <v>0.70528005999999999</v>
      </c>
      <c r="Z11" s="1">
        <v>0.504909724</v>
      </c>
      <c r="AA11" s="1">
        <v>0.78243282300000006</v>
      </c>
      <c r="AB11" s="1">
        <v>1.5072946140000001</v>
      </c>
      <c r="AC11" s="1">
        <v>1.7919441650000001</v>
      </c>
      <c r="AD11" s="1">
        <v>1.786893447</v>
      </c>
      <c r="AE11" s="1">
        <v>4.1343669E-2</v>
      </c>
      <c r="AF11" s="1">
        <v>0.71942261399999996</v>
      </c>
      <c r="AG11" s="1">
        <v>0.45502387300000002</v>
      </c>
      <c r="AH11" s="1">
        <v>0.28348148899999998</v>
      </c>
      <c r="AI11" s="1">
        <v>0.64233053500000004</v>
      </c>
      <c r="AJ11" s="1">
        <v>0.433756166</v>
      </c>
      <c r="AK11" s="1">
        <v>0.78165301600000003</v>
      </c>
      <c r="AL11" s="1">
        <v>0.62132041599999999</v>
      </c>
      <c r="AM11" s="1">
        <v>0.46648106900000003</v>
      </c>
      <c r="AN11" s="1">
        <v>0.77239396100000002</v>
      </c>
      <c r="AO11" s="1">
        <v>0.63043547700000002</v>
      </c>
      <c r="AP11" s="1">
        <v>1.004361023</v>
      </c>
      <c r="AQ11" s="1">
        <v>0.146698933</v>
      </c>
      <c r="AR11" s="1">
        <v>0.655599347</v>
      </c>
      <c r="AS11" s="1">
        <v>0.55933646199999998</v>
      </c>
      <c r="AT11" s="1">
        <v>0.53974268599999997</v>
      </c>
      <c r="AU11" s="1">
        <v>0.64597243800000004</v>
      </c>
      <c r="AV11" s="1">
        <v>0.66047694400000001</v>
      </c>
    </row>
    <row r="12" spans="1:48" x14ac:dyDescent="0.3">
      <c r="A12" s="1" t="s">
        <v>182</v>
      </c>
      <c r="B12" s="5" t="str">
        <f>IF(OR(RIGHT(A12,1)="A",RIGHT(A12,1)="T"),"A/T","G/C")</f>
        <v>A/T</v>
      </c>
      <c r="C12" s="1">
        <v>0.66217474099999996</v>
      </c>
      <c r="D12" s="1">
        <v>1.1798530840000001</v>
      </c>
      <c r="E12" s="1">
        <v>0</v>
      </c>
      <c r="F12" s="1">
        <v>0</v>
      </c>
      <c r="G12" s="1">
        <v>0.95049915699999998</v>
      </c>
      <c r="H12" s="1">
        <v>1.920537988</v>
      </c>
      <c r="I12" s="1">
        <v>0.92241417199999998</v>
      </c>
      <c r="J12" s="1">
        <v>0.65920579599999996</v>
      </c>
      <c r="K12" s="1">
        <v>2.1872836699999998</v>
      </c>
      <c r="L12" s="1">
        <v>2.012889419</v>
      </c>
      <c r="M12" s="1">
        <v>0.54425732299999996</v>
      </c>
      <c r="N12" s="1">
        <v>1.9284184040000001</v>
      </c>
      <c r="O12" s="1">
        <v>1.5710062970000001</v>
      </c>
      <c r="P12" s="1">
        <v>0.417238938</v>
      </c>
      <c r="Q12" s="1">
        <v>0.33522540499999998</v>
      </c>
      <c r="R12" s="1">
        <v>0.143221293</v>
      </c>
      <c r="S12" s="1">
        <v>0.66698643499999999</v>
      </c>
      <c r="T12" s="1">
        <v>0.56442161899999999</v>
      </c>
      <c r="U12" s="1">
        <v>0.91773155200000001</v>
      </c>
      <c r="V12" s="1">
        <v>1.181957267</v>
      </c>
      <c r="W12" s="1">
        <v>1.211039545</v>
      </c>
      <c r="X12" s="1">
        <v>0.84636719800000004</v>
      </c>
      <c r="Y12" s="1">
        <v>1.0653666260000001</v>
      </c>
      <c r="Z12" s="1">
        <v>1.998986379</v>
      </c>
      <c r="AA12" s="1">
        <v>1.235047674</v>
      </c>
      <c r="AB12" s="1">
        <v>0.28324180399999999</v>
      </c>
      <c r="AC12" s="1">
        <v>0.38563810199999998</v>
      </c>
      <c r="AD12" s="1">
        <v>0.393670519</v>
      </c>
      <c r="AE12" s="1">
        <v>2.068888356</v>
      </c>
      <c r="AF12" s="1">
        <v>1.1108901360000001</v>
      </c>
      <c r="AG12" s="1">
        <v>1.511169972</v>
      </c>
      <c r="AH12" s="1">
        <v>1.7426980560000001</v>
      </c>
      <c r="AI12" s="1">
        <v>1.1154003690000001</v>
      </c>
      <c r="AJ12" s="1">
        <v>0.56280831600000003</v>
      </c>
      <c r="AK12" s="1">
        <v>0.99276247200000001</v>
      </c>
      <c r="AL12" s="1">
        <v>0.78628772700000005</v>
      </c>
      <c r="AM12" s="1">
        <v>0.88268374199999999</v>
      </c>
      <c r="AN12" s="1">
        <v>0.994047448</v>
      </c>
      <c r="AO12" s="1">
        <v>1.5048404099999999</v>
      </c>
      <c r="AP12" s="1">
        <v>0.45717475499999999</v>
      </c>
      <c r="AQ12" s="1">
        <v>1.715532227</v>
      </c>
      <c r="AR12" s="1">
        <v>0.73187626900000002</v>
      </c>
      <c r="AS12" s="1">
        <v>0.94868492900000001</v>
      </c>
      <c r="AT12" s="1">
        <v>0.97087592499999997</v>
      </c>
      <c r="AU12" s="1">
        <v>0.824725657</v>
      </c>
      <c r="AV12" s="1">
        <v>0.82275322699999998</v>
      </c>
    </row>
    <row r="13" spans="1:48" x14ac:dyDescent="0.3">
      <c r="A13" s="1" t="s">
        <v>183</v>
      </c>
      <c r="B13" s="5" t="str">
        <f>IF(OR(RIGHT(A13,1)="A",RIGHT(A13,1)="T"),"A/T","G/C")</f>
        <v>A/T</v>
      </c>
      <c r="C13" s="1">
        <v>0.21333008000000001</v>
      </c>
      <c r="D13" s="1">
        <v>1.1085594990000001</v>
      </c>
      <c r="E13" s="1">
        <v>0</v>
      </c>
      <c r="F13" s="1">
        <v>0.467438042</v>
      </c>
      <c r="G13" s="1">
        <v>2.15070922</v>
      </c>
      <c r="H13" s="1">
        <v>4.9494198489999999</v>
      </c>
      <c r="I13" s="1">
        <v>1.0592134790000001</v>
      </c>
      <c r="J13" s="1">
        <v>0.22055787900000001</v>
      </c>
      <c r="K13" s="1">
        <v>1.995915318</v>
      </c>
      <c r="L13" s="1">
        <v>5.1465396659999998</v>
      </c>
      <c r="M13" s="1">
        <v>1.4813217759999999</v>
      </c>
      <c r="N13" s="1">
        <v>4.9301618200000004</v>
      </c>
      <c r="O13" s="1">
        <v>3.4057454389999999</v>
      </c>
      <c r="P13" s="1">
        <v>1.04392284</v>
      </c>
      <c r="Q13" s="1">
        <v>0.56284347599999995</v>
      </c>
      <c r="R13" s="1">
        <v>0.13977767799999999</v>
      </c>
      <c r="S13" s="1">
        <v>1.9790771890000001</v>
      </c>
      <c r="T13" s="1">
        <v>0.76583681999999997</v>
      </c>
      <c r="U13" s="1">
        <v>2.8377992710000002</v>
      </c>
      <c r="V13" s="1">
        <v>1.1081947649999999</v>
      </c>
      <c r="W13" s="1">
        <v>0.97058823500000002</v>
      </c>
      <c r="X13" s="1">
        <v>0.42386002900000003</v>
      </c>
      <c r="Y13" s="1">
        <v>0.82834924099999996</v>
      </c>
      <c r="Z13" s="1">
        <v>1.7803473409999999</v>
      </c>
      <c r="AA13" s="1">
        <v>1.010196278</v>
      </c>
      <c r="AB13" s="1">
        <v>9.0549591999999998E-2</v>
      </c>
      <c r="AC13" s="1">
        <v>0.24602622299999999</v>
      </c>
      <c r="AD13" s="1">
        <v>0.242925631</v>
      </c>
      <c r="AE13" s="1">
        <v>5.343662578</v>
      </c>
      <c r="AF13" s="1">
        <v>3.0704132230000001</v>
      </c>
      <c r="AG13" s="1">
        <v>4.4608331149999998</v>
      </c>
      <c r="AH13" s="1">
        <v>3.1309334180000001</v>
      </c>
      <c r="AI13" s="1">
        <v>0.69197441699999995</v>
      </c>
      <c r="AJ13" s="1">
        <v>1.625921993</v>
      </c>
      <c r="AK13" s="1">
        <v>0.79962935700000004</v>
      </c>
      <c r="AL13" s="1">
        <v>2.0389950269999999</v>
      </c>
      <c r="AM13" s="1">
        <v>2.1077662799999999</v>
      </c>
      <c r="AN13" s="1">
        <v>0.41943872199999999</v>
      </c>
      <c r="AO13" s="1">
        <v>0.43845742799999998</v>
      </c>
      <c r="AP13" s="1">
        <v>1.129738744</v>
      </c>
      <c r="AQ13" s="1">
        <v>5.0807682710000002</v>
      </c>
      <c r="AR13" s="1">
        <v>1.3217934849999999</v>
      </c>
      <c r="AS13" s="1">
        <v>1.2141559790000001</v>
      </c>
      <c r="AT13" s="1">
        <v>1.2785367759999999</v>
      </c>
      <c r="AU13" s="1">
        <v>1.027482735</v>
      </c>
      <c r="AV13" s="1">
        <v>1.0239430629999999</v>
      </c>
    </row>
    <row r="14" spans="1:48" x14ac:dyDescent="0.3">
      <c r="A14" s="1" t="s">
        <v>184</v>
      </c>
      <c r="B14" s="5" t="str">
        <f>IF(OR(RIGHT(A14,1)="A",RIGHT(A14,1)="T"),"A/T","G/C")</f>
        <v>G/C</v>
      </c>
      <c r="C14" s="1">
        <v>1.6704955100000001</v>
      </c>
      <c r="D14" s="1">
        <v>0.70664201999999998</v>
      </c>
      <c r="E14" s="1">
        <v>0</v>
      </c>
      <c r="F14" s="1">
        <v>0</v>
      </c>
      <c r="G14" s="1">
        <v>0.76668833400000003</v>
      </c>
      <c r="H14" s="1">
        <v>0.46283477699999998</v>
      </c>
      <c r="I14" s="1">
        <v>0.41793973400000001</v>
      </c>
      <c r="J14" s="1">
        <v>1.6587630280000001</v>
      </c>
      <c r="K14" s="1">
        <v>0.64170563800000002</v>
      </c>
      <c r="L14" s="1">
        <v>0.51752079399999995</v>
      </c>
      <c r="M14" s="1">
        <v>1.582250079</v>
      </c>
      <c r="N14" s="1">
        <v>0.49070631999999997</v>
      </c>
      <c r="O14" s="1">
        <v>0.86965397600000005</v>
      </c>
      <c r="P14" s="1">
        <v>1.6090638770000001</v>
      </c>
      <c r="Q14" s="1">
        <v>1.763312583</v>
      </c>
      <c r="R14" s="1">
        <v>2.0183530329999999</v>
      </c>
      <c r="S14" s="1">
        <v>1.034681972</v>
      </c>
      <c r="T14" s="1">
        <v>1.2423409670000001</v>
      </c>
      <c r="U14" s="1">
        <v>1.2037545380000001</v>
      </c>
      <c r="V14" s="1">
        <v>0.70701701100000003</v>
      </c>
      <c r="W14" s="1">
        <v>2.0319047050000001</v>
      </c>
      <c r="X14" s="1">
        <v>1.4182496010000001</v>
      </c>
      <c r="Y14" s="1">
        <v>0.92798815300000004</v>
      </c>
      <c r="Z14" s="1">
        <v>0.90089474300000005</v>
      </c>
      <c r="AA14" s="1">
        <v>2.001626898</v>
      </c>
      <c r="AB14" s="1">
        <v>1.606442277</v>
      </c>
      <c r="AC14" s="1">
        <v>1.646784789</v>
      </c>
      <c r="AD14" s="1">
        <v>1.624837721</v>
      </c>
      <c r="AE14" s="1">
        <v>0.32473734500000001</v>
      </c>
      <c r="AF14" s="1">
        <v>0.66604422600000002</v>
      </c>
      <c r="AG14" s="1">
        <v>0.67258257600000004</v>
      </c>
      <c r="AH14" s="1">
        <v>1.338570735</v>
      </c>
      <c r="AI14" s="1">
        <v>0.84659976599999998</v>
      </c>
      <c r="AJ14" s="1">
        <v>1.4932738619999999</v>
      </c>
      <c r="AK14" s="1">
        <v>2.269956128</v>
      </c>
      <c r="AL14" s="1">
        <v>0.95723846899999998</v>
      </c>
      <c r="AM14" s="1">
        <v>1.035058475</v>
      </c>
      <c r="AN14" s="1">
        <v>1.1051921600000001</v>
      </c>
      <c r="AO14" s="1">
        <v>0.78762510200000002</v>
      </c>
      <c r="AP14" s="1">
        <v>1.497563617</v>
      </c>
      <c r="AQ14" s="1">
        <v>0.39546064399999997</v>
      </c>
      <c r="AR14" s="1">
        <v>1.048990933</v>
      </c>
      <c r="AS14" s="1">
        <v>1.435390787</v>
      </c>
      <c r="AT14" s="1">
        <v>1.4128014710000001</v>
      </c>
      <c r="AU14" s="1">
        <v>1.60482098</v>
      </c>
      <c r="AV14" s="1">
        <v>1.603235542</v>
      </c>
    </row>
    <row r="15" spans="1:48" x14ac:dyDescent="0.3">
      <c r="A15" s="1" t="s">
        <v>185</v>
      </c>
      <c r="B15" s="5" t="str">
        <f>IF(OR(RIGHT(A15,1)="A",RIGHT(A15,1)="T"),"A/T","G/C")</f>
        <v>G/C</v>
      </c>
      <c r="C15" s="1">
        <v>0.118254646</v>
      </c>
      <c r="D15" s="1">
        <v>0.20936474799999999</v>
      </c>
      <c r="E15" s="1">
        <v>0</v>
      </c>
      <c r="F15" s="1">
        <v>0.20944414</v>
      </c>
      <c r="G15" s="1">
        <v>0.32291666699999999</v>
      </c>
      <c r="H15" s="1">
        <v>0.59569674399999994</v>
      </c>
      <c r="I15" s="1">
        <v>0.220833477</v>
      </c>
      <c r="J15" s="1">
        <v>0.12766633099999999</v>
      </c>
      <c r="K15" s="1">
        <v>0.274072229</v>
      </c>
      <c r="L15" s="1">
        <v>0.58369413199999998</v>
      </c>
      <c r="M15" s="1">
        <v>1.343380121</v>
      </c>
      <c r="N15" s="1">
        <v>0.636208785</v>
      </c>
      <c r="O15" s="1">
        <v>0.76179492599999998</v>
      </c>
      <c r="P15" s="1">
        <v>1.2335059049999999</v>
      </c>
      <c r="Q15" s="1">
        <v>0.9292184</v>
      </c>
      <c r="R15" s="1">
        <v>0.47153372399999999</v>
      </c>
      <c r="S15" s="1">
        <v>0.57499340200000004</v>
      </c>
      <c r="T15" s="1">
        <v>0.83352295700000001</v>
      </c>
      <c r="U15" s="1">
        <v>0.48707784999999998</v>
      </c>
      <c r="V15" s="1">
        <v>0.210275147</v>
      </c>
      <c r="W15" s="1">
        <v>0.32506393900000002</v>
      </c>
      <c r="X15" s="1">
        <v>0.15049934200000001</v>
      </c>
      <c r="Y15" s="1">
        <v>0.42399546900000001</v>
      </c>
      <c r="Z15" s="1">
        <v>0.203275443</v>
      </c>
      <c r="AA15" s="1">
        <v>0.327810349</v>
      </c>
      <c r="AB15" s="1">
        <v>0.25905899399999999</v>
      </c>
      <c r="AC15" s="1">
        <v>0.20042869499999999</v>
      </c>
      <c r="AD15" s="1">
        <v>0.195743686</v>
      </c>
      <c r="AE15" s="1">
        <v>0.391435335</v>
      </c>
      <c r="AF15" s="1">
        <v>0.48132231399999997</v>
      </c>
      <c r="AG15" s="1">
        <v>0.928215876</v>
      </c>
      <c r="AH15" s="1">
        <v>0.58489964999999999</v>
      </c>
      <c r="AI15" s="1">
        <v>0.19781308</v>
      </c>
      <c r="AJ15" s="1">
        <v>0.27879344499999997</v>
      </c>
      <c r="AK15" s="1">
        <v>0.32706010200000002</v>
      </c>
      <c r="AL15" s="1">
        <v>0.50693535700000003</v>
      </c>
      <c r="AM15" s="1">
        <v>0.701996446</v>
      </c>
      <c r="AN15" s="1">
        <v>6.0180338E-2</v>
      </c>
      <c r="AO15" s="1">
        <v>0.24020306399999999</v>
      </c>
      <c r="AP15" s="1">
        <v>0.189438577</v>
      </c>
      <c r="AQ15" s="1">
        <v>0.50975305599999998</v>
      </c>
      <c r="AR15" s="1">
        <v>0.59285971900000001</v>
      </c>
      <c r="AS15" s="1">
        <v>1.196419305</v>
      </c>
      <c r="AT15" s="1">
        <v>1.214353427</v>
      </c>
      <c r="AU15" s="1">
        <v>1.208372037</v>
      </c>
      <c r="AV15" s="1">
        <v>1.2079255790000001</v>
      </c>
    </row>
    <row r="16" spans="1:48" x14ac:dyDescent="0.3">
      <c r="A16" s="1" t="s">
        <v>186</v>
      </c>
      <c r="B16" s="5" t="str">
        <f>IF(OR(RIGHT(A16,1)="A",RIGHT(A16,1)="T"),"A/T","G/C")</f>
        <v>A/T</v>
      </c>
      <c r="C16" s="1">
        <v>0.90215130200000004</v>
      </c>
      <c r="D16" s="1">
        <v>1.767288749</v>
      </c>
      <c r="E16" s="1">
        <v>0</v>
      </c>
      <c r="F16" s="1">
        <v>0</v>
      </c>
      <c r="G16" s="1">
        <v>1.454022701</v>
      </c>
      <c r="H16" s="1">
        <v>1.8204617110000001</v>
      </c>
      <c r="I16" s="1">
        <v>1.5965562120000001</v>
      </c>
      <c r="J16" s="1">
        <v>0.91770623500000004</v>
      </c>
      <c r="K16" s="1">
        <v>1.710924565</v>
      </c>
      <c r="L16" s="1">
        <v>1.7464985239999999</v>
      </c>
      <c r="M16" s="1">
        <v>0.69048899399999997</v>
      </c>
      <c r="N16" s="1">
        <v>1.881104168</v>
      </c>
      <c r="O16" s="1">
        <v>1.673165255</v>
      </c>
      <c r="P16" s="1">
        <v>0.68506087999999998</v>
      </c>
      <c r="Q16" s="1">
        <v>0.575624146</v>
      </c>
      <c r="R16" s="1">
        <v>0.195545409</v>
      </c>
      <c r="S16" s="1">
        <v>1.1972360150000001</v>
      </c>
      <c r="T16" s="1">
        <v>0.49089058499999999</v>
      </c>
      <c r="U16" s="1">
        <v>0.66554502800000004</v>
      </c>
      <c r="V16" s="1">
        <v>1.766555286</v>
      </c>
      <c r="W16" s="1">
        <v>0.60804501399999999</v>
      </c>
      <c r="X16" s="1">
        <v>1.068524765</v>
      </c>
      <c r="Y16" s="1">
        <v>1.148847049</v>
      </c>
      <c r="Z16" s="1">
        <v>1.3710078290000001</v>
      </c>
      <c r="AA16" s="1">
        <v>0.63358640600000005</v>
      </c>
      <c r="AB16" s="1">
        <v>0.28282774100000002</v>
      </c>
      <c r="AC16" s="1">
        <v>0.66015860100000001</v>
      </c>
      <c r="AD16" s="1">
        <v>0.64817832799999997</v>
      </c>
      <c r="AE16" s="1">
        <v>1.8883885929999999</v>
      </c>
      <c r="AF16" s="1">
        <v>1.3861916460000001</v>
      </c>
      <c r="AG16" s="1">
        <v>1.232762871</v>
      </c>
      <c r="AH16" s="1">
        <v>1.933329289</v>
      </c>
      <c r="AI16" s="1">
        <v>1.273041699</v>
      </c>
      <c r="AJ16" s="1">
        <v>0.80998362999999995</v>
      </c>
      <c r="AK16" s="1">
        <v>0.80542419200000004</v>
      </c>
      <c r="AL16" s="1">
        <v>1.2546569519999999</v>
      </c>
      <c r="AM16" s="1">
        <v>1.1535038790000001</v>
      </c>
      <c r="AN16" s="1">
        <v>1.247864152</v>
      </c>
      <c r="AO16" s="1">
        <v>1.6077295899999999</v>
      </c>
      <c r="AP16" s="1">
        <v>0.52382241500000004</v>
      </c>
      <c r="AQ16" s="1">
        <v>1.599284436</v>
      </c>
      <c r="AR16" s="1">
        <v>0.77763966100000004</v>
      </c>
      <c r="AS16" s="1">
        <v>0.92346383799999998</v>
      </c>
      <c r="AT16" s="1">
        <v>0.93824381300000004</v>
      </c>
      <c r="AU16" s="1">
        <v>0.80201005000000003</v>
      </c>
      <c r="AV16" s="1">
        <v>0.80786686799999996</v>
      </c>
    </row>
    <row r="17" spans="1:48" x14ac:dyDescent="0.3">
      <c r="A17" s="1" t="s">
        <v>187</v>
      </c>
      <c r="B17" s="5" t="str">
        <f>IF(OR(RIGHT(A17,1)="A",RIGHT(A17,1)="T"),"A/T","G/C")</f>
        <v>A/T</v>
      </c>
      <c r="C17" s="1">
        <v>0.20843033</v>
      </c>
      <c r="D17" s="1">
        <v>0.32087886900000001</v>
      </c>
      <c r="E17" s="1">
        <v>0</v>
      </c>
      <c r="F17" s="1">
        <v>0</v>
      </c>
      <c r="G17" s="1">
        <v>0.40421746600000003</v>
      </c>
      <c r="H17" s="1">
        <v>2.0545090090000002</v>
      </c>
      <c r="I17" s="1">
        <v>0.279445428</v>
      </c>
      <c r="J17" s="1">
        <v>0.21728225900000001</v>
      </c>
      <c r="K17" s="1">
        <v>0.31668747400000002</v>
      </c>
      <c r="L17" s="1">
        <v>1.864243943</v>
      </c>
      <c r="M17" s="1">
        <v>0.58031932200000003</v>
      </c>
      <c r="N17" s="1">
        <v>1.6467685080000001</v>
      </c>
      <c r="O17" s="1">
        <v>0.86576368199999998</v>
      </c>
      <c r="P17" s="1">
        <v>0.669920925</v>
      </c>
      <c r="Q17" s="1">
        <v>0.41068370999999998</v>
      </c>
      <c r="R17" s="1">
        <v>0.14178918900000001</v>
      </c>
      <c r="S17" s="1">
        <v>0.34779252900000002</v>
      </c>
      <c r="T17" s="1">
        <v>0.55567343400000002</v>
      </c>
      <c r="U17" s="1">
        <v>0.49542205499999997</v>
      </c>
      <c r="V17" s="1">
        <v>0.32137130600000002</v>
      </c>
      <c r="W17" s="1">
        <v>0.116339752</v>
      </c>
      <c r="X17" s="1">
        <v>0.104173083</v>
      </c>
      <c r="Y17" s="1">
        <v>0.73474633099999997</v>
      </c>
      <c r="Z17" s="1">
        <v>0.20131296300000001</v>
      </c>
      <c r="AA17" s="1">
        <v>0.119362445</v>
      </c>
      <c r="AB17" s="1">
        <v>9.3987559999999998E-2</v>
      </c>
      <c r="AC17" s="1">
        <v>0.16465519000000001</v>
      </c>
      <c r="AD17" s="1">
        <v>0.15813648299999999</v>
      </c>
      <c r="AE17" s="1">
        <v>1.652555478</v>
      </c>
      <c r="AF17" s="1">
        <v>0.57368430400000003</v>
      </c>
      <c r="AG17" s="1">
        <v>1.3217638789999999</v>
      </c>
      <c r="AH17" s="1">
        <v>0.89066095199999995</v>
      </c>
      <c r="AI17" s="1">
        <v>0.207768707</v>
      </c>
      <c r="AJ17" s="1">
        <v>0.24402553099999999</v>
      </c>
      <c r="AK17" s="1">
        <v>0.34580879599999997</v>
      </c>
      <c r="AL17" s="1">
        <v>0.44362479999999999</v>
      </c>
      <c r="AM17" s="1">
        <v>0.50228428999999997</v>
      </c>
      <c r="AN17" s="1">
        <v>0.16558527000000001</v>
      </c>
      <c r="AO17" s="1">
        <v>0.18439903099999999</v>
      </c>
      <c r="AP17" s="1">
        <v>0.163060341</v>
      </c>
      <c r="AQ17" s="1">
        <v>1.561097422</v>
      </c>
      <c r="AR17" s="1">
        <v>0.48783763200000002</v>
      </c>
      <c r="AS17" s="1">
        <v>0.46631219400000001</v>
      </c>
      <c r="AT17" s="1">
        <v>0.48634991399999999</v>
      </c>
      <c r="AU17" s="1">
        <v>0.39227241000000002</v>
      </c>
      <c r="AV17" s="1">
        <v>0.39377709</v>
      </c>
    </row>
    <row r="18" spans="1:48" x14ac:dyDescent="0.3">
      <c r="A18" s="1" t="s">
        <v>188</v>
      </c>
      <c r="B18" s="5" t="str">
        <f>IF(OR(RIGHT(A18,1)="A",RIGHT(A18,1)="T"),"A/T","G/C")</f>
        <v>G/C</v>
      </c>
      <c r="C18" s="1">
        <v>1.2648483109999999</v>
      </c>
      <c r="D18" s="1">
        <v>0.73668249699999999</v>
      </c>
      <c r="E18" s="1">
        <v>0</v>
      </c>
      <c r="F18" s="1">
        <v>0</v>
      </c>
      <c r="G18" s="1">
        <v>0.77478938799999997</v>
      </c>
      <c r="H18" s="1">
        <v>0.109986105</v>
      </c>
      <c r="I18" s="1">
        <v>0.60765343599999999</v>
      </c>
      <c r="J18" s="1">
        <v>1.255759326</v>
      </c>
      <c r="K18" s="1">
        <v>0.47974753799999997</v>
      </c>
      <c r="L18" s="1">
        <v>0.13690476200000001</v>
      </c>
      <c r="M18" s="1">
        <v>1.371823069</v>
      </c>
      <c r="N18" s="1">
        <v>0.11178025900000001</v>
      </c>
      <c r="O18" s="1">
        <v>0.25217487100000002</v>
      </c>
      <c r="P18" s="1">
        <v>1.1806426059999999</v>
      </c>
      <c r="Q18" s="1">
        <v>1.515028735</v>
      </c>
      <c r="R18" s="1">
        <v>2.3287743619999999</v>
      </c>
      <c r="S18" s="1">
        <v>1.4003901320000001</v>
      </c>
      <c r="T18" s="1">
        <v>1.4623619619999999</v>
      </c>
      <c r="U18" s="1">
        <v>0.93920776500000003</v>
      </c>
      <c r="V18" s="1">
        <v>0.73619913000000003</v>
      </c>
      <c r="W18" s="1">
        <v>1.880780997</v>
      </c>
      <c r="X18" s="1">
        <v>1.3577148139999999</v>
      </c>
      <c r="Y18" s="1">
        <v>1.123100276</v>
      </c>
      <c r="Z18" s="1">
        <v>0.94526139899999995</v>
      </c>
      <c r="AA18" s="1">
        <v>1.8469390800000001</v>
      </c>
      <c r="AB18" s="1">
        <v>2.097011057</v>
      </c>
      <c r="AC18" s="1">
        <v>2.007801878</v>
      </c>
      <c r="AD18" s="1">
        <v>2.0221128610000001</v>
      </c>
      <c r="AE18" s="1">
        <v>0.28100342299999997</v>
      </c>
      <c r="AF18" s="1">
        <v>0.53262283700000002</v>
      </c>
      <c r="AG18" s="1">
        <v>0.37365288200000002</v>
      </c>
      <c r="AH18" s="1">
        <v>0.69000676699999997</v>
      </c>
      <c r="AI18" s="1">
        <v>0.80615245400000002</v>
      </c>
      <c r="AJ18" s="1">
        <v>1.3847224279999999</v>
      </c>
      <c r="AK18" s="1">
        <v>1.1124401909999999</v>
      </c>
      <c r="AL18" s="1">
        <v>1.2586964169999999</v>
      </c>
      <c r="AM18" s="1">
        <v>1.163555186</v>
      </c>
      <c r="AN18" s="1">
        <v>0.75920648800000001</v>
      </c>
      <c r="AO18" s="1">
        <v>0.73854419000000004</v>
      </c>
      <c r="AP18" s="1">
        <v>1.4494161839999999</v>
      </c>
      <c r="AQ18" s="1">
        <v>0.19234649200000001</v>
      </c>
      <c r="AR18" s="1">
        <v>0.88209980200000004</v>
      </c>
      <c r="AS18" s="1">
        <v>1.4644880849999999</v>
      </c>
      <c r="AT18" s="1">
        <v>1.4214617970000001</v>
      </c>
      <c r="AU18" s="1">
        <v>1.6639403880000001</v>
      </c>
      <c r="AV18" s="1">
        <v>1.66512456</v>
      </c>
    </row>
    <row r="19" spans="1:48" x14ac:dyDescent="0.3">
      <c r="A19" s="1" t="s">
        <v>189</v>
      </c>
      <c r="B19" s="5" t="str">
        <f>IF(OR(RIGHT(A19,1)="A",RIGHT(A19,1)="T"),"A/T","G/C")</f>
        <v>A/T</v>
      </c>
      <c r="C19" s="1">
        <v>1.5267213580000001</v>
      </c>
      <c r="D19" s="1">
        <v>1.9424386339999999</v>
      </c>
      <c r="E19" s="1">
        <v>0</v>
      </c>
      <c r="F19" s="1">
        <v>0</v>
      </c>
      <c r="G19" s="1">
        <v>1.8209931450000001</v>
      </c>
      <c r="H19" s="1">
        <v>0.83550488599999995</v>
      </c>
      <c r="I19" s="1">
        <v>2.1129011360000001</v>
      </c>
      <c r="J19" s="1">
        <v>1.526958415</v>
      </c>
      <c r="K19" s="1">
        <v>2.2035649880000001</v>
      </c>
      <c r="L19" s="1">
        <v>0.99885129500000003</v>
      </c>
      <c r="M19" s="1">
        <v>1.0478576079999999</v>
      </c>
      <c r="N19" s="1">
        <v>1.2414512339999999</v>
      </c>
      <c r="O19" s="1">
        <v>1.8820614470000001</v>
      </c>
      <c r="P19" s="1">
        <v>1.1494364690000001</v>
      </c>
      <c r="Q19" s="1">
        <v>1.0742875549999999</v>
      </c>
      <c r="R19" s="1">
        <v>0.52943644899999998</v>
      </c>
      <c r="S19" s="1">
        <v>1.2518173399999999</v>
      </c>
      <c r="T19" s="1">
        <v>0.98196460399999996</v>
      </c>
      <c r="U19" s="1">
        <v>1.5653701799999999</v>
      </c>
      <c r="V19" s="1">
        <v>1.942429564</v>
      </c>
      <c r="W19" s="1">
        <v>1.002879251</v>
      </c>
      <c r="X19" s="1">
        <v>1.538112103</v>
      </c>
      <c r="Y19" s="1">
        <v>1.1421533930000001</v>
      </c>
      <c r="Z19" s="1">
        <v>1.8534256389999999</v>
      </c>
      <c r="AA19" s="1">
        <v>1.033698475</v>
      </c>
      <c r="AB19" s="1">
        <v>0.80900138200000005</v>
      </c>
      <c r="AC19" s="1">
        <v>0.82754293099999998</v>
      </c>
      <c r="AD19" s="1">
        <v>0.81975065599999997</v>
      </c>
      <c r="AE19" s="1">
        <v>1.0664410989999999</v>
      </c>
      <c r="AF19" s="1">
        <v>1.893692859</v>
      </c>
      <c r="AG19" s="1">
        <v>1.3045832390000001</v>
      </c>
      <c r="AH19" s="1">
        <v>1.419332281</v>
      </c>
      <c r="AI19" s="1">
        <v>1.9860788389999999</v>
      </c>
      <c r="AJ19" s="1">
        <v>1.371252041</v>
      </c>
      <c r="AK19" s="1">
        <v>1.541751012</v>
      </c>
      <c r="AL19" s="1">
        <v>1.2976787830000001</v>
      </c>
      <c r="AM19" s="1">
        <v>1.334160523</v>
      </c>
      <c r="AN19" s="1">
        <v>2.075208242</v>
      </c>
      <c r="AO19" s="1">
        <v>2.0770567789999999</v>
      </c>
      <c r="AP19" s="1">
        <v>1.3875234750000001</v>
      </c>
      <c r="AQ19" s="1">
        <v>1.2465560870000001</v>
      </c>
      <c r="AR19" s="1">
        <v>1.630062567</v>
      </c>
      <c r="AS19" s="1">
        <v>1.0691997209999999</v>
      </c>
      <c r="AT19" s="1">
        <v>1.09218829</v>
      </c>
      <c r="AU19" s="1">
        <v>0.94378720199999999</v>
      </c>
      <c r="AV19" s="1">
        <v>0.941098349</v>
      </c>
    </row>
    <row r="20" spans="1:48" x14ac:dyDescent="0.3">
      <c r="A20" s="1" t="s">
        <v>190</v>
      </c>
      <c r="B20" s="5" t="str">
        <f>IF(OR(RIGHT(A20,1)="A",RIGHT(A20,1)="T"),"A/T","G/C")</f>
        <v>A/T</v>
      </c>
      <c r="C20" s="1">
        <v>0.69374631799999997</v>
      </c>
      <c r="D20" s="1">
        <v>1.667788155</v>
      </c>
      <c r="E20" s="1">
        <v>0.24468705700000001</v>
      </c>
      <c r="F20" s="1">
        <v>1.511270737</v>
      </c>
      <c r="G20" s="1">
        <v>0.92921602999999997</v>
      </c>
      <c r="H20" s="1">
        <v>1.7370268790000001</v>
      </c>
      <c r="I20" s="1">
        <v>1.596565708</v>
      </c>
      <c r="J20" s="1">
        <v>0.681855514</v>
      </c>
      <c r="K20" s="1">
        <v>1.632738818</v>
      </c>
      <c r="L20" s="1">
        <v>1.71632176</v>
      </c>
      <c r="M20" s="1">
        <v>0.34444796</v>
      </c>
      <c r="N20" s="1">
        <v>1.787615631</v>
      </c>
      <c r="O20" s="1">
        <v>1.5914210769999999</v>
      </c>
      <c r="P20" s="1">
        <v>0.322805342</v>
      </c>
      <c r="Q20" s="1">
        <v>0.57294281700000005</v>
      </c>
      <c r="R20" s="1">
        <v>0.198947657</v>
      </c>
      <c r="S20" s="1">
        <v>0.3029693</v>
      </c>
      <c r="T20" s="1">
        <v>0.51830903100000003</v>
      </c>
      <c r="U20" s="1">
        <v>1.112649727</v>
      </c>
      <c r="V20" s="1">
        <v>1.6669183409999999</v>
      </c>
      <c r="W20" s="1">
        <v>0.70639404500000003</v>
      </c>
      <c r="X20" s="1">
        <v>0.87117998699999999</v>
      </c>
      <c r="Y20" s="1">
        <v>0.92999848600000001</v>
      </c>
      <c r="Z20" s="1">
        <v>1.6295010050000001</v>
      </c>
      <c r="AA20" s="1">
        <v>0.73691197900000005</v>
      </c>
      <c r="AB20" s="1">
        <v>0.32814710000000002</v>
      </c>
      <c r="AC20" s="1">
        <v>0.34098978299999999</v>
      </c>
      <c r="AD20" s="1">
        <v>0.334868371</v>
      </c>
      <c r="AE20" s="1">
        <v>1.720160307</v>
      </c>
      <c r="AF20" s="1">
        <v>1.476740025</v>
      </c>
      <c r="AG20" s="1">
        <v>1.104157354</v>
      </c>
      <c r="AH20" s="1">
        <v>1.8132901539999999</v>
      </c>
      <c r="AI20" s="1">
        <v>1.629311403</v>
      </c>
      <c r="AJ20" s="1">
        <v>0.379497113</v>
      </c>
      <c r="AK20" s="1">
        <v>0.52005273699999999</v>
      </c>
      <c r="AL20" s="1">
        <v>0.27640092100000002</v>
      </c>
      <c r="AM20" s="1">
        <v>0.33948372199999999</v>
      </c>
      <c r="AN20" s="1">
        <v>1.6899991169999999</v>
      </c>
      <c r="AO20" s="1">
        <v>1.350909795</v>
      </c>
      <c r="AP20" s="1">
        <v>0.28652906</v>
      </c>
      <c r="AQ20" s="1">
        <v>1.7372894219999999</v>
      </c>
      <c r="AR20" s="1">
        <v>0.15660389599999999</v>
      </c>
      <c r="AS20" s="1">
        <v>0.45931998600000001</v>
      </c>
      <c r="AT20" s="1">
        <v>0.47288367199999998</v>
      </c>
      <c r="AU20" s="1">
        <v>0.389131059</v>
      </c>
      <c r="AV20" s="1">
        <v>0.38574890000000001</v>
      </c>
    </row>
    <row r="21" spans="1:48" x14ac:dyDescent="0.3">
      <c r="A21" s="1" t="s">
        <v>191</v>
      </c>
      <c r="B21" s="5" t="str">
        <f>IF(OR(RIGHT(A21,1)="A",RIGHT(A21,1)="T"),"A/T","G/C")</f>
        <v>G/C</v>
      </c>
      <c r="C21" s="1">
        <v>0.86132883599999999</v>
      </c>
      <c r="D21" s="1">
        <v>0.44274595</v>
      </c>
      <c r="E21" s="1">
        <v>0</v>
      </c>
      <c r="F21" s="1">
        <v>0.67098226900000002</v>
      </c>
      <c r="G21" s="1">
        <v>0.244264219</v>
      </c>
      <c r="H21" s="1">
        <v>0.32565613300000001</v>
      </c>
      <c r="I21" s="1">
        <v>0.40314569500000003</v>
      </c>
      <c r="J21" s="1">
        <v>0.852845768</v>
      </c>
      <c r="K21" s="1">
        <v>0.56913681500000002</v>
      </c>
      <c r="L21" s="1">
        <v>0.37368285800000001</v>
      </c>
      <c r="M21" s="1">
        <v>0.59721814699999998</v>
      </c>
      <c r="N21" s="1">
        <v>0.28220372599999999</v>
      </c>
      <c r="O21" s="1">
        <v>0.25898273399999999</v>
      </c>
      <c r="P21" s="1">
        <v>0.54771784199999995</v>
      </c>
      <c r="Q21" s="1">
        <v>0.80351403499999996</v>
      </c>
      <c r="R21" s="1">
        <v>1.643325538</v>
      </c>
      <c r="S21" s="1">
        <v>0.55805666099999995</v>
      </c>
      <c r="T21" s="1">
        <v>0.98873503900000004</v>
      </c>
      <c r="U21" s="1">
        <v>1.105806142</v>
      </c>
      <c r="V21" s="1">
        <v>0.44274809199999998</v>
      </c>
      <c r="W21" s="1">
        <v>1.377015925</v>
      </c>
      <c r="X21" s="1">
        <v>0.74210640900000002</v>
      </c>
      <c r="Y21" s="1">
        <v>0.70051953600000005</v>
      </c>
      <c r="Z21" s="1">
        <v>0.94792615300000005</v>
      </c>
      <c r="AA21" s="1">
        <v>1.3563877090000001</v>
      </c>
      <c r="AB21" s="1">
        <v>1.2451583150000001</v>
      </c>
      <c r="AC21" s="1">
        <v>0.89920037399999997</v>
      </c>
      <c r="AD21" s="1">
        <v>0.91174478000000003</v>
      </c>
      <c r="AE21" s="1">
        <v>0.428571429</v>
      </c>
      <c r="AF21" s="1">
        <v>0.36725625899999997</v>
      </c>
      <c r="AG21" s="1">
        <v>0.49113542100000002</v>
      </c>
      <c r="AH21" s="1">
        <v>0.420487106</v>
      </c>
      <c r="AI21" s="1">
        <v>0.75069461999999998</v>
      </c>
      <c r="AJ21" s="1">
        <v>0.61512534200000002</v>
      </c>
      <c r="AK21" s="1">
        <v>0.63225402799999997</v>
      </c>
      <c r="AL21" s="1">
        <v>0.47834552400000002</v>
      </c>
      <c r="AM21" s="1">
        <v>0.51804527199999995</v>
      </c>
      <c r="AN21" s="1">
        <v>0.56583654900000002</v>
      </c>
      <c r="AO21" s="1">
        <v>0.88182032899999996</v>
      </c>
      <c r="AP21" s="1">
        <v>1.145266304</v>
      </c>
      <c r="AQ21" s="1">
        <v>0.32175957900000002</v>
      </c>
      <c r="AR21" s="1">
        <v>0.51831726600000005</v>
      </c>
      <c r="AS21" s="1">
        <v>1.1842673159999999</v>
      </c>
      <c r="AT21" s="1">
        <v>1.1640668519999999</v>
      </c>
      <c r="AU21" s="1">
        <v>1.309084224</v>
      </c>
      <c r="AV21" s="1">
        <v>1.314156171</v>
      </c>
    </row>
    <row r="22" spans="1:48" x14ac:dyDescent="0.3">
      <c r="A22" s="1" t="s">
        <v>192</v>
      </c>
      <c r="B22" s="5" t="str">
        <f>IF(OR(RIGHT(A22,1)="A",RIGHT(A22,1)="T"),"A/T","G/C")</f>
        <v>G/C</v>
      </c>
      <c r="C22" s="1">
        <v>1.3062536819999999</v>
      </c>
      <c r="D22" s="1">
        <v>0.33221184500000001</v>
      </c>
      <c r="E22" s="1">
        <v>1.7553129430000001</v>
      </c>
      <c r="F22" s="1">
        <v>0.48872926300000002</v>
      </c>
      <c r="G22" s="1">
        <v>1.0707839699999999</v>
      </c>
      <c r="H22" s="1">
        <v>0.26297312099999998</v>
      </c>
      <c r="I22" s="1">
        <v>0.40343429200000003</v>
      </c>
      <c r="J22" s="1">
        <v>1.318144486</v>
      </c>
      <c r="K22" s="1">
        <v>0.36726118200000002</v>
      </c>
      <c r="L22" s="1">
        <v>0.28367824000000003</v>
      </c>
      <c r="M22" s="1">
        <v>1.6555520399999999</v>
      </c>
      <c r="N22" s="1">
        <v>0.21238436899999999</v>
      </c>
      <c r="O22" s="1">
        <v>0.40857892299999998</v>
      </c>
      <c r="P22" s="1">
        <v>1.6771946579999999</v>
      </c>
      <c r="Q22" s="1">
        <v>1.4270571830000001</v>
      </c>
      <c r="R22" s="1">
        <v>1.8010523430000001</v>
      </c>
      <c r="S22" s="1">
        <v>1.6970307</v>
      </c>
      <c r="T22" s="1">
        <v>1.481690969</v>
      </c>
      <c r="U22" s="1">
        <v>0.88735027300000002</v>
      </c>
      <c r="V22" s="1">
        <v>0.33308165899999997</v>
      </c>
      <c r="W22" s="1">
        <v>1.2936059550000001</v>
      </c>
      <c r="X22" s="1">
        <v>1.1288200129999999</v>
      </c>
      <c r="Y22" s="1">
        <v>1.0700015140000001</v>
      </c>
      <c r="Z22" s="1">
        <v>0.370498995</v>
      </c>
      <c r="AA22" s="1">
        <v>1.2630880209999999</v>
      </c>
      <c r="AB22" s="1">
        <v>1.6718529</v>
      </c>
      <c r="AC22" s="1">
        <v>1.6590102170000001</v>
      </c>
      <c r="AD22" s="1">
        <v>1.665131629</v>
      </c>
      <c r="AE22" s="1">
        <v>0.279839693</v>
      </c>
      <c r="AF22" s="1">
        <v>0.52325997499999999</v>
      </c>
      <c r="AG22" s="1">
        <v>0.89584264599999996</v>
      </c>
      <c r="AH22" s="1">
        <v>0.18670984600000001</v>
      </c>
      <c r="AI22" s="1">
        <v>0.37068859700000001</v>
      </c>
      <c r="AJ22" s="1">
        <v>1.620502887</v>
      </c>
      <c r="AK22" s="1">
        <v>1.4799472629999999</v>
      </c>
      <c r="AL22" s="1">
        <v>1.723599079</v>
      </c>
      <c r="AM22" s="1">
        <v>1.660516278</v>
      </c>
      <c r="AN22" s="1">
        <v>0.310000883</v>
      </c>
      <c r="AO22" s="1">
        <v>0.64909020500000003</v>
      </c>
      <c r="AP22" s="1">
        <v>1.7134709400000001</v>
      </c>
      <c r="AQ22" s="1">
        <v>0.26271057799999997</v>
      </c>
      <c r="AR22" s="1">
        <v>1.843396104</v>
      </c>
      <c r="AS22" s="1">
        <v>1.5406800140000001</v>
      </c>
      <c r="AT22" s="1">
        <v>1.527116328</v>
      </c>
      <c r="AU22" s="1">
        <v>1.6108689410000001</v>
      </c>
      <c r="AV22" s="1">
        <v>1.6142510999999999</v>
      </c>
    </row>
    <row r="23" spans="1:48" x14ac:dyDescent="0.3">
      <c r="A23" s="1" t="s">
        <v>193</v>
      </c>
      <c r="B23" s="5" t="str">
        <f>IF(OR(RIGHT(A23,1)="A",RIGHT(A23,1)="T"),"A/T","G/C")</f>
        <v>A/T</v>
      </c>
      <c r="C23" s="1">
        <v>1.138671164</v>
      </c>
      <c r="D23" s="1">
        <v>1.5572540500000001</v>
      </c>
      <c r="E23" s="1">
        <v>0</v>
      </c>
      <c r="F23" s="1">
        <v>1.329017731</v>
      </c>
      <c r="G23" s="1">
        <v>1.7557357810000001</v>
      </c>
      <c r="H23" s="1">
        <v>1.6743438669999999</v>
      </c>
      <c r="I23" s="1">
        <v>1.5968543049999999</v>
      </c>
      <c r="J23" s="1">
        <v>1.1471542320000001</v>
      </c>
      <c r="K23" s="1">
        <v>1.430863185</v>
      </c>
      <c r="L23" s="1">
        <v>1.626317142</v>
      </c>
      <c r="M23" s="1">
        <v>1.402781853</v>
      </c>
      <c r="N23" s="1">
        <v>1.7177962739999999</v>
      </c>
      <c r="O23" s="1">
        <v>1.7410172660000001</v>
      </c>
      <c r="P23" s="1">
        <v>1.452282158</v>
      </c>
      <c r="Q23" s="1">
        <v>1.1964859649999999</v>
      </c>
      <c r="R23" s="1">
        <v>0.35667446200000003</v>
      </c>
      <c r="S23" s="1">
        <v>1.441943339</v>
      </c>
      <c r="T23" s="1">
        <v>1.011264961</v>
      </c>
      <c r="U23" s="1">
        <v>0.89419385799999995</v>
      </c>
      <c r="V23" s="1">
        <v>1.557251908</v>
      </c>
      <c r="W23" s="1">
        <v>0.62298407499999997</v>
      </c>
      <c r="X23" s="1">
        <v>1.257893591</v>
      </c>
      <c r="Y23" s="1">
        <v>1.2994804639999999</v>
      </c>
      <c r="Z23" s="1">
        <v>1.052073847</v>
      </c>
      <c r="AA23" s="1">
        <v>0.64361229099999995</v>
      </c>
      <c r="AB23" s="1">
        <v>0.75484168500000004</v>
      </c>
      <c r="AC23" s="1">
        <v>1.1007996259999999</v>
      </c>
      <c r="AD23" s="1">
        <v>1.08825522</v>
      </c>
      <c r="AE23" s="1">
        <v>1.571428571</v>
      </c>
      <c r="AF23" s="1">
        <v>1.6327437410000001</v>
      </c>
      <c r="AG23" s="1">
        <v>1.5088645789999999</v>
      </c>
      <c r="AH23" s="1">
        <v>1.5795128940000001</v>
      </c>
      <c r="AI23" s="1">
        <v>1.24930538</v>
      </c>
      <c r="AJ23" s="1">
        <v>1.384874658</v>
      </c>
      <c r="AK23" s="1">
        <v>1.367745972</v>
      </c>
      <c r="AL23" s="1">
        <v>1.5216544759999999</v>
      </c>
      <c r="AM23" s="1">
        <v>1.4819547280000001</v>
      </c>
      <c r="AN23" s="1">
        <v>1.4341634510000001</v>
      </c>
      <c r="AO23" s="1">
        <v>1.118179671</v>
      </c>
      <c r="AP23" s="1">
        <v>0.85473369600000004</v>
      </c>
      <c r="AQ23" s="1">
        <v>1.6782404209999999</v>
      </c>
      <c r="AR23" s="1">
        <v>1.4816827340000001</v>
      </c>
      <c r="AS23" s="1">
        <v>0.81573268399999999</v>
      </c>
      <c r="AT23" s="1">
        <v>0.83593314799999996</v>
      </c>
      <c r="AU23" s="1">
        <v>0.69091577599999998</v>
      </c>
      <c r="AV23" s="1">
        <v>0.68584382899999996</v>
      </c>
    </row>
    <row r="24" spans="1:48" x14ac:dyDescent="0.3">
      <c r="A24" s="1" t="s">
        <v>194</v>
      </c>
      <c r="B24" s="5" t="str">
        <f>IF(OR(RIGHT(A24,1)="A",RIGHT(A24,1)="T"),"A/T","G/C")</f>
        <v>A/T</v>
      </c>
      <c r="C24" s="1">
        <v>0.76132848799999997</v>
      </c>
      <c r="D24" s="1">
        <v>1.9579962129999999</v>
      </c>
      <c r="E24" s="1">
        <v>0.32574850300000002</v>
      </c>
      <c r="F24" s="1">
        <v>1.976747136</v>
      </c>
      <c r="G24" s="1">
        <v>1.7866127999999999</v>
      </c>
      <c r="H24" s="1">
        <v>2.173238236</v>
      </c>
      <c r="I24" s="1">
        <v>1.9913628759999999</v>
      </c>
      <c r="J24" s="1">
        <v>0.75725746400000005</v>
      </c>
      <c r="K24" s="1">
        <v>2.0752344840000001</v>
      </c>
      <c r="L24" s="1">
        <v>2.1193107929999999</v>
      </c>
      <c r="M24" s="1">
        <v>0.83909357200000001</v>
      </c>
      <c r="N24" s="1">
        <v>2.339284358</v>
      </c>
      <c r="O24" s="1">
        <v>1.860669227</v>
      </c>
      <c r="P24" s="1">
        <v>0.26381220700000002</v>
      </c>
      <c r="Q24" s="1">
        <v>0.37846012200000001</v>
      </c>
      <c r="R24" s="1">
        <v>0.10962448499999999</v>
      </c>
      <c r="S24" s="1">
        <v>0.99178365800000001</v>
      </c>
      <c r="T24" s="1">
        <v>0.52811284000000003</v>
      </c>
      <c r="U24" s="1">
        <v>0.78775936000000002</v>
      </c>
      <c r="V24" s="1">
        <v>1.9542063730000001</v>
      </c>
      <c r="W24" s="1">
        <v>1.2788522849999999</v>
      </c>
      <c r="X24" s="1">
        <v>1.7642370030000001</v>
      </c>
      <c r="Y24" s="1">
        <v>0.42690138900000002</v>
      </c>
      <c r="Z24" s="1">
        <v>2.1478105809999999</v>
      </c>
      <c r="AA24" s="1">
        <v>1.319424688</v>
      </c>
      <c r="AB24" s="1">
        <v>0.17928185799999999</v>
      </c>
      <c r="AC24" s="1">
        <v>0.25769921299999998</v>
      </c>
      <c r="AD24" s="1">
        <v>0.25225618599999999</v>
      </c>
      <c r="AE24" s="1">
        <v>2.1387604069999999</v>
      </c>
      <c r="AF24" s="1">
        <v>0.70821806300000001</v>
      </c>
      <c r="AG24" s="1">
        <v>2.034333733</v>
      </c>
      <c r="AH24" s="1">
        <v>1.151611505</v>
      </c>
      <c r="AI24" s="1">
        <v>2.183973876</v>
      </c>
      <c r="AJ24" s="1">
        <v>0.52633839100000002</v>
      </c>
      <c r="AK24" s="1">
        <v>0.28017562800000001</v>
      </c>
      <c r="AL24" s="1">
        <v>1.145858869</v>
      </c>
      <c r="AM24" s="1">
        <v>0.91507376200000001</v>
      </c>
      <c r="AN24" s="1">
        <v>1.260243979</v>
      </c>
      <c r="AO24" s="1">
        <v>1.9514592930000001</v>
      </c>
      <c r="AP24" s="1">
        <v>0.398016386</v>
      </c>
      <c r="AQ24" s="1">
        <v>1.835365452</v>
      </c>
      <c r="AR24" s="1">
        <v>0.82170457699999999</v>
      </c>
      <c r="AS24" s="1">
        <v>1.0458651779999999</v>
      </c>
      <c r="AT24" s="1">
        <v>1.07014966</v>
      </c>
      <c r="AU24" s="1">
        <v>0.93597447</v>
      </c>
      <c r="AV24" s="1">
        <v>0.93617497999999999</v>
      </c>
    </row>
    <row r="25" spans="1:48" x14ac:dyDescent="0.3">
      <c r="A25" s="1" t="s">
        <v>195</v>
      </c>
      <c r="B25" s="5" t="str">
        <f>IF(OR(RIGHT(A25,1)="A",RIGHT(A25,1)="T"),"A/T","G/C")</f>
        <v>G/C</v>
      </c>
      <c r="C25" s="1">
        <v>0.49272373899999999</v>
      </c>
      <c r="D25" s="1">
        <v>0.24134963000000001</v>
      </c>
      <c r="E25" s="1">
        <v>1.405413174</v>
      </c>
      <c r="F25" s="1">
        <v>0.35513465500000002</v>
      </c>
      <c r="G25" s="1">
        <v>0.30043154900000002</v>
      </c>
      <c r="H25" s="1">
        <v>5.5084556E-2</v>
      </c>
      <c r="I25" s="1">
        <v>0.25366688700000001</v>
      </c>
      <c r="J25" s="1">
        <v>0.489157224</v>
      </c>
      <c r="K25" s="1">
        <v>0.23029335500000001</v>
      </c>
      <c r="L25" s="1">
        <v>8.8101429999999994E-2</v>
      </c>
      <c r="M25" s="1">
        <v>0.588376754</v>
      </c>
      <c r="N25" s="1">
        <v>7.0804528000000005E-2</v>
      </c>
      <c r="O25" s="1">
        <v>0.165660998</v>
      </c>
      <c r="P25" s="1">
        <v>1.190760563</v>
      </c>
      <c r="Q25" s="1">
        <v>0.87513971999999995</v>
      </c>
      <c r="R25" s="1">
        <v>2.6439246930000002</v>
      </c>
      <c r="S25" s="1">
        <v>0.16756162299999999</v>
      </c>
      <c r="T25" s="1">
        <v>1.314299611</v>
      </c>
      <c r="U25" s="1">
        <v>0.25570882099999998</v>
      </c>
      <c r="V25" s="1">
        <v>0.24233538900000001</v>
      </c>
      <c r="W25" s="1">
        <v>0.56429330499999997</v>
      </c>
      <c r="X25" s="1">
        <v>0.417323532</v>
      </c>
      <c r="Y25" s="1">
        <v>0.90365836899999996</v>
      </c>
      <c r="Z25" s="1">
        <v>0.18922132</v>
      </c>
      <c r="AA25" s="1">
        <v>0.55234181500000001</v>
      </c>
      <c r="AB25" s="1">
        <v>1.830501105</v>
      </c>
      <c r="AC25" s="1">
        <v>1.067117801</v>
      </c>
      <c r="AD25" s="1">
        <v>1.079475983</v>
      </c>
      <c r="AE25" s="1">
        <v>7.8445882999999994E-2</v>
      </c>
      <c r="AF25" s="1">
        <v>0.52682397599999997</v>
      </c>
      <c r="AG25" s="1">
        <v>0.13997598999999999</v>
      </c>
      <c r="AH25" s="1">
        <v>0.29657465</v>
      </c>
      <c r="AI25" s="1">
        <v>0.18106003500000001</v>
      </c>
      <c r="AJ25" s="1">
        <v>1.2287432009999999</v>
      </c>
      <c r="AK25" s="1">
        <v>0.66788170000000002</v>
      </c>
      <c r="AL25" s="1">
        <v>0.188641802</v>
      </c>
      <c r="AM25" s="1">
        <v>0.42873560500000002</v>
      </c>
      <c r="AN25" s="1">
        <v>0.28213950599999998</v>
      </c>
      <c r="AO25" s="1">
        <v>0.35616999500000002</v>
      </c>
      <c r="AP25" s="1">
        <v>0.31457524799999997</v>
      </c>
      <c r="AQ25" s="1">
        <v>0.13866737000000001</v>
      </c>
      <c r="AR25" s="1">
        <v>0.42422581500000001</v>
      </c>
      <c r="AS25" s="1">
        <v>1.283761248</v>
      </c>
      <c r="AT25" s="1">
        <v>1.254204082</v>
      </c>
      <c r="AU25" s="1">
        <v>1.42694228</v>
      </c>
      <c r="AV25" s="1">
        <v>1.429934373</v>
      </c>
    </row>
    <row r="26" spans="1:48" x14ac:dyDescent="0.3">
      <c r="A26" s="1" t="s">
        <v>196</v>
      </c>
      <c r="B26" s="5" t="str">
        <f>IF(OR(RIGHT(A26,1)="A",RIGHT(A26,1)="T"),"A/T","G/C")</f>
        <v>G/C</v>
      </c>
      <c r="C26" s="1">
        <v>2.1174004900000001</v>
      </c>
      <c r="D26" s="1">
        <v>0.54329488699999995</v>
      </c>
      <c r="E26" s="1">
        <v>1.8380838319999999</v>
      </c>
      <c r="F26" s="1">
        <v>0.62740455799999995</v>
      </c>
      <c r="G26" s="1">
        <v>0.22054907700000001</v>
      </c>
      <c r="H26" s="1">
        <v>0.177095949</v>
      </c>
      <c r="I26" s="1">
        <v>0.56024588600000003</v>
      </c>
      <c r="J26" s="1">
        <v>2.112182615</v>
      </c>
      <c r="K26" s="1">
        <v>0.337457593</v>
      </c>
      <c r="L26" s="1">
        <v>5.3803640999999999E-2</v>
      </c>
      <c r="M26" s="1">
        <v>1.7461384310000001</v>
      </c>
      <c r="N26" s="1">
        <v>0.16288080199999999</v>
      </c>
      <c r="O26" s="1">
        <v>0.152495886</v>
      </c>
      <c r="P26" s="1">
        <v>1.6193302030000001</v>
      </c>
      <c r="Q26" s="1">
        <v>2.1125649289999999</v>
      </c>
      <c r="R26" s="1">
        <v>1.0704388380000001</v>
      </c>
      <c r="S26" s="1">
        <v>2.2775441550000002</v>
      </c>
      <c r="T26" s="1">
        <v>1.311964981</v>
      </c>
      <c r="U26" s="1">
        <v>1.480931958</v>
      </c>
      <c r="V26" s="1">
        <v>0.54365917799999997</v>
      </c>
      <c r="W26" s="1">
        <v>1.454410202</v>
      </c>
      <c r="X26" s="1">
        <v>1.076432557</v>
      </c>
      <c r="Y26" s="1">
        <v>1.4887910879999999</v>
      </c>
      <c r="Z26" s="1">
        <v>0.34713691299999999</v>
      </c>
      <c r="AA26" s="1">
        <v>1.4247932139999999</v>
      </c>
      <c r="AB26" s="1">
        <v>1.5554186750000001</v>
      </c>
      <c r="AC26" s="1">
        <v>2.078994614</v>
      </c>
      <c r="AD26" s="1">
        <v>2.0748180490000001</v>
      </c>
      <c r="AE26" s="1">
        <v>5.1063829999999998E-2</v>
      </c>
      <c r="AF26" s="1">
        <v>1.297965826</v>
      </c>
      <c r="AG26" s="1">
        <v>0.54093637500000002</v>
      </c>
      <c r="AH26" s="1">
        <v>0.19453678299999999</v>
      </c>
      <c r="AI26" s="1">
        <v>0.45174579300000001</v>
      </c>
      <c r="AJ26" s="1">
        <v>0.68451188100000004</v>
      </c>
      <c r="AK26" s="1">
        <v>1.9065528949999999</v>
      </c>
      <c r="AL26" s="1">
        <v>1.948053464</v>
      </c>
      <c r="AM26" s="1">
        <v>1.636888149</v>
      </c>
      <c r="AN26" s="1">
        <v>1.685799187</v>
      </c>
      <c r="AO26" s="1">
        <v>0.77788018400000003</v>
      </c>
      <c r="AP26" s="1">
        <v>2.9150495900000002</v>
      </c>
      <c r="AQ26" s="1">
        <v>0.26283529999999999</v>
      </c>
      <c r="AR26" s="1">
        <v>1.905398739</v>
      </c>
      <c r="AS26" s="1">
        <v>0.52373520699999998</v>
      </c>
      <c r="AT26" s="1">
        <v>0.51860317499999997</v>
      </c>
      <c r="AU26" s="1">
        <v>0.60059991000000001</v>
      </c>
      <c r="AV26" s="1">
        <v>0.60686513399999997</v>
      </c>
    </row>
    <row r="27" spans="1:48" x14ac:dyDescent="0.3">
      <c r="A27" s="1" t="s">
        <v>197</v>
      </c>
      <c r="B27" s="5" t="str">
        <f>IF(OR(RIGHT(A27,1)="A",RIGHT(A27,1)="T"),"A/T","G/C")</f>
        <v>A/T</v>
      </c>
      <c r="C27" s="1">
        <v>0.62854728299999996</v>
      </c>
      <c r="D27" s="1">
        <v>1.25735927</v>
      </c>
      <c r="E27" s="1">
        <v>0.43075449100000002</v>
      </c>
      <c r="F27" s="1">
        <v>1.040713652</v>
      </c>
      <c r="G27" s="1">
        <v>1.6924065740000001</v>
      </c>
      <c r="H27" s="1">
        <v>1.5945812589999999</v>
      </c>
      <c r="I27" s="1">
        <v>1.1947243510000001</v>
      </c>
      <c r="J27" s="1">
        <v>0.64140269599999999</v>
      </c>
      <c r="K27" s="1">
        <v>1.3570145680000001</v>
      </c>
      <c r="L27" s="1">
        <v>1.738784135</v>
      </c>
      <c r="M27" s="1">
        <v>0.82639124399999997</v>
      </c>
      <c r="N27" s="1">
        <v>1.4270303120000001</v>
      </c>
      <c r="O27" s="1">
        <v>1.821173889</v>
      </c>
      <c r="P27" s="1">
        <v>0.92609702699999996</v>
      </c>
      <c r="Q27" s="1">
        <v>0.633835229</v>
      </c>
      <c r="R27" s="1">
        <v>0.17601198400000001</v>
      </c>
      <c r="S27" s="1">
        <v>0.56311056500000001</v>
      </c>
      <c r="T27" s="1">
        <v>0.84562256800000002</v>
      </c>
      <c r="U27" s="1">
        <v>1.4755998610000001</v>
      </c>
      <c r="V27" s="1">
        <v>1.25979906</v>
      </c>
      <c r="W27" s="1">
        <v>0.70244420799999996</v>
      </c>
      <c r="X27" s="1">
        <v>0.74200690800000002</v>
      </c>
      <c r="Y27" s="1">
        <v>1.1806491539999999</v>
      </c>
      <c r="Z27" s="1">
        <v>1.3158311869999999</v>
      </c>
      <c r="AA27" s="1">
        <v>0.70344028199999997</v>
      </c>
      <c r="AB27" s="1">
        <v>0.43479836199999999</v>
      </c>
      <c r="AC27" s="1">
        <v>0.59618837199999997</v>
      </c>
      <c r="AD27" s="1">
        <v>0.59344978199999998</v>
      </c>
      <c r="AE27" s="1">
        <v>1.7317298800000001</v>
      </c>
      <c r="AF27" s="1">
        <v>1.4669921349999999</v>
      </c>
      <c r="AG27" s="1">
        <v>1.2847539020000001</v>
      </c>
      <c r="AH27" s="1">
        <v>2.3572770630000002</v>
      </c>
      <c r="AI27" s="1">
        <v>1.183220296</v>
      </c>
      <c r="AJ27" s="1">
        <v>1.560406527</v>
      </c>
      <c r="AK27" s="1">
        <v>1.1453897770000001</v>
      </c>
      <c r="AL27" s="1">
        <v>0.71744586499999996</v>
      </c>
      <c r="AM27" s="1">
        <v>1.019302484</v>
      </c>
      <c r="AN27" s="1">
        <v>0.771817329</v>
      </c>
      <c r="AO27" s="1">
        <v>0.914490527</v>
      </c>
      <c r="AP27" s="1">
        <v>0.37235877499999998</v>
      </c>
      <c r="AQ27" s="1">
        <v>1.7631318789999999</v>
      </c>
      <c r="AR27" s="1">
        <v>0.84867086899999999</v>
      </c>
      <c r="AS27" s="1">
        <v>1.146638367</v>
      </c>
      <c r="AT27" s="1">
        <v>1.1570430840000001</v>
      </c>
      <c r="AU27" s="1">
        <v>1.03648334</v>
      </c>
      <c r="AV27" s="1">
        <v>1.0270255129999999</v>
      </c>
    </row>
    <row r="28" spans="1:48" x14ac:dyDescent="0.3">
      <c r="A28" s="1" t="s">
        <v>198</v>
      </c>
      <c r="B28" s="5" t="str">
        <f>IF(OR(RIGHT(A28,1)="A",RIGHT(A28,1)="T"),"A/T","G/C")</f>
        <v>A/T</v>
      </c>
      <c r="C28" s="1">
        <v>0.380057745</v>
      </c>
      <c r="D28" s="1">
        <v>0.75402624500000004</v>
      </c>
      <c r="E28" s="1">
        <v>0</v>
      </c>
      <c r="F28" s="1">
        <v>1.160972559</v>
      </c>
      <c r="G28" s="1">
        <v>0.36059397199999998</v>
      </c>
      <c r="H28" s="1">
        <v>0.12526754500000001</v>
      </c>
      <c r="I28" s="1">
        <v>1.094430826</v>
      </c>
      <c r="J28" s="1">
        <v>0.38450749000000001</v>
      </c>
      <c r="K28" s="1">
        <v>0.74301369900000003</v>
      </c>
      <c r="L28" s="1">
        <v>3.7367615E-2</v>
      </c>
      <c r="M28" s="1">
        <v>0.333568003</v>
      </c>
      <c r="N28" s="1">
        <v>0.116802531</v>
      </c>
      <c r="O28" s="1">
        <v>0.25099601599999999</v>
      </c>
      <c r="P28" s="1">
        <v>0.204782873</v>
      </c>
      <c r="Q28" s="1">
        <v>0.28073478499999999</v>
      </c>
      <c r="R28" s="1">
        <v>9.7566471000000002E-2</v>
      </c>
      <c r="S28" s="1">
        <v>0.42642224699999998</v>
      </c>
      <c r="T28" s="1">
        <v>0.54137339200000001</v>
      </c>
      <c r="U28" s="1">
        <v>0.54986522900000001</v>
      </c>
      <c r="V28" s="1">
        <v>0.75810901500000005</v>
      </c>
      <c r="W28" s="1">
        <v>0.19974424599999999</v>
      </c>
      <c r="X28" s="1">
        <v>0.69280792800000002</v>
      </c>
      <c r="Y28" s="1">
        <v>0.460461069</v>
      </c>
      <c r="Z28" s="1">
        <v>0.48861693499999997</v>
      </c>
      <c r="AA28" s="1">
        <v>0.210553148</v>
      </c>
      <c r="AB28" s="1">
        <v>0.26825922000000002</v>
      </c>
      <c r="AC28" s="1">
        <v>0.24485705499999999</v>
      </c>
      <c r="AD28" s="1">
        <v>0.23205098199999999</v>
      </c>
      <c r="AE28" s="1">
        <v>3.2709275000000003E-2</v>
      </c>
      <c r="AF28" s="1">
        <v>1.30137741</v>
      </c>
      <c r="AG28" s="1">
        <v>0.23264343700000001</v>
      </c>
      <c r="AH28" s="1">
        <v>0.227078687</v>
      </c>
      <c r="AI28" s="1">
        <v>0.60854136599999997</v>
      </c>
      <c r="AJ28" s="1">
        <v>0.398128749</v>
      </c>
      <c r="AK28" s="1">
        <v>0.19880499700000001</v>
      </c>
      <c r="AL28" s="1">
        <v>0.59029050000000005</v>
      </c>
      <c r="AM28" s="1">
        <v>0.42719765900000001</v>
      </c>
      <c r="AN28" s="1">
        <v>0.52136030499999997</v>
      </c>
      <c r="AO28" s="1">
        <v>1.1120413250000001</v>
      </c>
      <c r="AP28" s="1">
        <v>0.92095608699999998</v>
      </c>
      <c r="AQ28" s="1">
        <v>0.13619356399999999</v>
      </c>
      <c r="AR28" s="1">
        <v>0.37071763400000002</v>
      </c>
      <c r="AS28" s="1">
        <v>0.739880643</v>
      </c>
      <c r="AT28" s="1">
        <v>0.747002732</v>
      </c>
      <c r="AU28" s="1">
        <v>0.67515447699999998</v>
      </c>
      <c r="AV28" s="1">
        <v>0.67645921200000003</v>
      </c>
    </row>
    <row r="29" spans="1:48" x14ac:dyDescent="0.3">
      <c r="A29" s="1" t="s">
        <v>199</v>
      </c>
      <c r="B29" s="5" t="str">
        <f>IF(OR(RIGHT(A29,1)="A",RIGHT(A29,1)="T"),"A/T","G/C")</f>
        <v>G/C</v>
      </c>
      <c r="C29" s="1">
        <v>2.407547477</v>
      </c>
      <c r="D29" s="1">
        <v>1.0935729199999999</v>
      </c>
      <c r="E29" s="1">
        <v>0</v>
      </c>
      <c r="F29" s="1">
        <v>0.81385349100000004</v>
      </c>
      <c r="G29" s="1">
        <v>0.61879432599999995</v>
      </c>
      <c r="H29" s="1">
        <v>3.4020502000000001E-2</v>
      </c>
      <c r="I29" s="1">
        <v>0.639091254</v>
      </c>
      <c r="J29" s="1">
        <v>2.3952522100000002</v>
      </c>
      <c r="K29" s="1">
        <v>0.63033623900000002</v>
      </c>
      <c r="L29" s="1">
        <v>1.7984414000000001E-2</v>
      </c>
      <c r="M29" s="1">
        <v>0.96031152399999997</v>
      </c>
      <c r="N29" s="1">
        <v>2.9930648000000001E-2</v>
      </c>
      <c r="O29" s="1">
        <v>0.218284756</v>
      </c>
      <c r="P29" s="1">
        <v>0.89562798200000004</v>
      </c>
      <c r="Q29" s="1">
        <v>1.9675859959999999</v>
      </c>
      <c r="R29" s="1">
        <v>2.5764608679999998</v>
      </c>
      <c r="S29" s="1">
        <v>0.67677615999999996</v>
      </c>
      <c r="T29" s="1">
        <v>2.0777908479999998</v>
      </c>
      <c r="U29" s="1">
        <v>0.58601553799999995</v>
      </c>
      <c r="V29" s="1">
        <v>1.095220342</v>
      </c>
      <c r="W29" s="1">
        <v>1.5861892580000001</v>
      </c>
      <c r="X29" s="1">
        <v>1.856158551</v>
      </c>
      <c r="Y29" s="1">
        <v>1.185463486</v>
      </c>
      <c r="Z29" s="1">
        <v>0.91757401199999999</v>
      </c>
      <c r="AA29" s="1">
        <v>1.593678307</v>
      </c>
      <c r="AB29" s="1">
        <v>3.763860867</v>
      </c>
      <c r="AC29" s="1">
        <v>2.835564958</v>
      </c>
      <c r="AD29" s="1">
        <v>2.8605589340000002</v>
      </c>
      <c r="AE29" s="1">
        <v>7.5317409999999998E-3</v>
      </c>
      <c r="AF29" s="1">
        <v>0.14369145999999999</v>
      </c>
      <c r="AG29" s="1">
        <v>6.2352632999999998E-2</v>
      </c>
      <c r="AH29" s="1">
        <v>0.923988531</v>
      </c>
      <c r="AI29" s="1">
        <v>1.014813287</v>
      </c>
      <c r="AJ29" s="1">
        <v>1.042504951</v>
      </c>
      <c r="AK29" s="1">
        <v>2.2253890150000002</v>
      </c>
      <c r="AL29" s="1">
        <v>0.64066998200000003</v>
      </c>
      <c r="AM29" s="1">
        <v>0.72520121299999996</v>
      </c>
      <c r="AN29" s="1">
        <v>1.866401</v>
      </c>
      <c r="AO29" s="1">
        <v>0.64873530499999998</v>
      </c>
      <c r="AP29" s="1">
        <v>0.94719288499999998</v>
      </c>
      <c r="AQ29" s="1">
        <v>2.3946121000000001E-2</v>
      </c>
      <c r="AR29" s="1">
        <v>1.1162399329999999</v>
      </c>
      <c r="AS29" s="1">
        <v>1.0439061460000001</v>
      </c>
      <c r="AT29" s="1">
        <v>0.99537166099999996</v>
      </c>
      <c r="AU29" s="1">
        <v>1.185897177</v>
      </c>
      <c r="AV29" s="1">
        <v>1.177638959</v>
      </c>
    </row>
    <row r="30" spans="1:48" x14ac:dyDescent="0.3">
      <c r="A30" s="1" t="s">
        <v>200</v>
      </c>
      <c r="B30" s="5" t="str">
        <f>IF(OR(RIGHT(A30,1)="A",RIGHT(A30,1)="T"),"A/T","G/C")</f>
        <v>G/C</v>
      </c>
      <c r="C30" s="1">
        <v>0.57972428899999995</v>
      </c>
      <c r="D30" s="1">
        <v>0.32567849700000001</v>
      </c>
      <c r="E30" s="1">
        <v>0</v>
      </c>
      <c r="F30" s="1">
        <v>1.416386522</v>
      </c>
      <c r="G30" s="1">
        <v>0.119237589</v>
      </c>
      <c r="H30" s="1">
        <v>6.3084380000000004E-3</v>
      </c>
      <c r="I30" s="1">
        <v>0.15619928899999999</v>
      </c>
      <c r="J30" s="1">
        <v>0.59363256200000003</v>
      </c>
      <c r="K30" s="1">
        <v>0.292303861</v>
      </c>
      <c r="L30" s="1">
        <v>5.1954970000000003E-3</v>
      </c>
      <c r="M30" s="1">
        <v>1.125577507</v>
      </c>
      <c r="N30" s="1">
        <v>1.2410269E-2</v>
      </c>
      <c r="O30" s="1">
        <v>5.6615643E-2</v>
      </c>
      <c r="P30" s="1">
        <v>1.69585644</v>
      </c>
      <c r="Q30" s="1">
        <v>1.207510686</v>
      </c>
      <c r="R30" s="1">
        <v>2.4510289919999999</v>
      </c>
      <c r="S30" s="1">
        <v>0.92065167800000003</v>
      </c>
      <c r="T30" s="1">
        <v>1.1499701099999999</v>
      </c>
      <c r="U30" s="1">
        <v>6.8178215E-2</v>
      </c>
      <c r="V30" s="1">
        <v>0.325702781</v>
      </c>
      <c r="W30" s="1">
        <v>2.3202046040000002</v>
      </c>
      <c r="X30" s="1">
        <v>1.3791127969999999</v>
      </c>
      <c r="Y30" s="1">
        <v>0.97926709700000003</v>
      </c>
      <c r="Z30" s="1">
        <v>0.232970395</v>
      </c>
      <c r="AA30" s="1">
        <v>2.2447106809999999</v>
      </c>
      <c r="AB30" s="1">
        <v>0.29876523300000002</v>
      </c>
      <c r="AC30" s="1">
        <v>1.515742004</v>
      </c>
      <c r="AD30" s="1">
        <v>1.510173059</v>
      </c>
      <c r="AE30" s="1">
        <v>5.3798149999999996E-3</v>
      </c>
      <c r="AF30" s="1">
        <v>0.31030302999999998</v>
      </c>
      <c r="AG30" s="1">
        <v>3.1438302000000001E-2</v>
      </c>
      <c r="AH30" s="1">
        <v>2.2937241000000001E-2</v>
      </c>
      <c r="AI30" s="1">
        <v>0.148793068</v>
      </c>
      <c r="AJ30" s="1">
        <v>1.0509428009999999</v>
      </c>
      <c r="AK30" s="1">
        <v>0.23599706000000001</v>
      </c>
      <c r="AL30" s="1">
        <v>0.53964930600000005</v>
      </c>
      <c r="AM30" s="1">
        <v>0.66833908200000003</v>
      </c>
      <c r="AN30" s="1">
        <v>0.37303704700000001</v>
      </c>
      <c r="AO30" s="1">
        <v>1.806198789</v>
      </c>
      <c r="AP30" s="1">
        <v>2.0847137299999998</v>
      </c>
      <c r="AQ30" s="1">
        <v>2.4245447999999999E-2</v>
      </c>
      <c r="AR30" s="1">
        <v>1.169852146</v>
      </c>
      <c r="AS30" s="1">
        <v>1.2922195860000001</v>
      </c>
      <c r="AT30" s="1">
        <v>1.2514916629999999</v>
      </c>
      <c r="AU30" s="1">
        <v>1.432636</v>
      </c>
      <c r="AV30" s="1">
        <v>1.447433567</v>
      </c>
    </row>
    <row r="31" spans="1:48" x14ac:dyDescent="0.3">
      <c r="A31" s="1" t="s">
        <v>201</v>
      </c>
      <c r="B31" s="5" t="str">
        <f>IF(OR(RIGHT(A31,1)="A",RIGHT(A31,1)="T"),"A/T","G/C")</f>
        <v>A/T</v>
      </c>
      <c r="C31" s="1">
        <v>2.3010857630000001</v>
      </c>
      <c r="D31" s="1">
        <v>2.5087980910000001</v>
      </c>
      <c r="E31" s="1">
        <v>0</v>
      </c>
      <c r="F31" s="1">
        <v>1.9319052459999999</v>
      </c>
      <c r="G31" s="1">
        <v>2.4277482269999999</v>
      </c>
      <c r="H31" s="1">
        <v>0.28928692099999997</v>
      </c>
      <c r="I31" s="1">
        <v>2.8302316749999998</v>
      </c>
      <c r="J31" s="1">
        <v>2.278383528</v>
      </c>
      <c r="K31" s="1">
        <v>2.0643586549999999</v>
      </c>
      <c r="L31" s="1">
        <v>0.20921867699999999</v>
      </c>
      <c r="M31" s="1">
        <v>0.75584107</v>
      </c>
      <c r="N31" s="1">
        <v>0.27448594700000001</v>
      </c>
      <c r="O31" s="1">
        <v>1.306563221</v>
      </c>
      <c r="P31" s="1">
        <v>0.92630395899999995</v>
      </c>
      <c r="Q31" s="1">
        <v>1.0521066560000001</v>
      </c>
      <c r="R31" s="1">
        <v>0.26363226699999998</v>
      </c>
      <c r="S31" s="1">
        <v>1.422079324</v>
      </c>
      <c r="T31" s="1">
        <v>0.63150587199999997</v>
      </c>
      <c r="U31" s="1">
        <v>1.4710638970000001</v>
      </c>
      <c r="V31" s="1">
        <v>2.5024979489999999</v>
      </c>
      <c r="W31" s="1">
        <v>0.59820971899999997</v>
      </c>
      <c r="X31" s="1">
        <v>1.497561353</v>
      </c>
      <c r="Y31" s="1">
        <v>2.1224636380000002</v>
      </c>
      <c r="Z31" s="1">
        <v>2.3772158729999999</v>
      </c>
      <c r="AA31" s="1">
        <v>0.613051236</v>
      </c>
      <c r="AB31" s="1">
        <v>1.319506093</v>
      </c>
      <c r="AC31" s="1">
        <v>0.95738106499999998</v>
      </c>
      <c r="AD31" s="1">
        <v>0.958547708</v>
      </c>
      <c r="AE31" s="1">
        <v>0.21928125700000001</v>
      </c>
      <c r="AF31" s="1">
        <v>0.69289256200000005</v>
      </c>
      <c r="AG31" s="1">
        <v>0.28451663599999999</v>
      </c>
      <c r="AH31" s="1">
        <v>1.1101624720000001</v>
      </c>
      <c r="AI31" s="1">
        <v>3.338064782</v>
      </c>
      <c r="AJ31" s="1">
        <v>1.6037080619999999</v>
      </c>
      <c r="AK31" s="1">
        <v>2.2131194679999999</v>
      </c>
      <c r="AL31" s="1">
        <v>1.6834598270000001</v>
      </c>
      <c r="AM31" s="1">
        <v>1.3694993209999999</v>
      </c>
      <c r="AN31" s="1">
        <v>2.7595825879999998</v>
      </c>
      <c r="AO31" s="1">
        <v>1.7543640899999999</v>
      </c>
      <c r="AP31" s="1">
        <v>0.72795997800000001</v>
      </c>
      <c r="AQ31" s="1">
        <v>0.22509354000000001</v>
      </c>
      <c r="AR31" s="1">
        <v>1.428537084</v>
      </c>
      <c r="AS31" s="1">
        <v>0.51341834099999994</v>
      </c>
      <c r="AT31" s="1">
        <v>0.51324374100000003</v>
      </c>
      <c r="AU31" s="1">
        <v>0.47045757399999999</v>
      </c>
      <c r="AV31" s="1">
        <v>0.46659962100000002</v>
      </c>
    </row>
    <row r="32" spans="1:48" x14ac:dyDescent="0.3">
      <c r="A32" s="1" t="s">
        <v>202</v>
      </c>
      <c r="B32" s="5" t="str">
        <f>IF(OR(RIGHT(A32,1)="A",RIGHT(A32,1)="T"),"A/T","G/C")</f>
        <v>A/T</v>
      </c>
      <c r="C32" s="1">
        <v>0.21832001200000001</v>
      </c>
      <c r="D32" s="1">
        <v>0.66027679900000003</v>
      </c>
      <c r="E32" s="1">
        <v>0.17663954000000001</v>
      </c>
      <c r="F32" s="1">
        <v>0.577246327</v>
      </c>
      <c r="G32" s="1">
        <v>0.43377902499999998</v>
      </c>
      <c r="H32" s="1">
        <v>0.75738507700000002</v>
      </c>
      <c r="I32" s="1">
        <v>0.50361535099999999</v>
      </c>
      <c r="J32" s="1">
        <v>0.215692881</v>
      </c>
      <c r="K32" s="1">
        <v>0.68713461200000003</v>
      </c>
      <c r="L32" s="1">
        <v>0.517187277</v>
      </c>
      <c r="M32" s="1">
        <v>0.26279190499999999</v>
      </c>
      <c r="N32" s="1">
        <v>0.481567615</v>
      </c>
      <c r="O32" s="1">
        <v>0.70785423400000003</v>
      </c>
      <c r="P32" s="1">
        <v>0.11582806900000001</v>
      </c>
      <c r="Q32" s="1">
        <v>0.17802922400000001</v>
      </c>
      <c r="R32" s="1">
        <v>6.6606038000000006E-2</v>
      </c>
      <c r="S32" s="1">
        <v>0.148877708</v>
      </c>
      <c r="T32" s="1">
        <v>0.13736680200000001</v>
      </c>
      <c r="U32" s="1">
        <v>0.12653107599999999</v>
      </c>
      <c r="V32" s="1">
        <v>0.66100674000000004</v>
      </c>
      <c r="W32" s="1">
        <v>0.19014277099999999</v>
      </c>
      <c r="X32" s="1">
        <v>0.30717465599999999</v>
      </c>
      <c r="Y32" s="1">
        <v>0.31035788399999997</v>
      </c>
      <c r="Z32" s="1">
        <v>0.44010572399999998</v>
      </c>
      <c r="AA32" s="1">
        <v>0.20532444699999999</v>
      </c>
      <c r="AB32" s="1">
        <v>0.153592325</v>
      </c>
      <c r="AC32" s="1">
        <v>9.4771587000000004E-2</v>
      </c>
      <c r="AD32" s="1">
        <v>9.0748677E-2</v>
      </c>
      <c r="AE32" s="1">
        <v>0.78260869600000005</v>
      </c>
      <c r="AF32" s="1">
        <v>0.387993963</v>
      </c>
      <c r="AG32" s="1">
        <v>0.82169647999999995</v>
      </c>
      <c r="AH32" s="1">
        <v>0.41665918000000002</v>
      </c>
      <c r="AI32" s="1">
        <v>0.49841935599999998</v>
      </c>
      <c r="AJ32" s="1">
        <v>0.10165516500000001</v>
      </c>
      <c r="AK32" s="1">
        <v>0.104489622</v>
      </c>
      <c r="AL32" s="1">
        <v>0.12698684700000001</v>
      </c>
      <c r="AM32" s="1">
        <v>0.152554681</v>
      </c>
      <c r="AN32" s="1">
        <v>0.34903234900000002</v>
      </c>
      <c r="AO32" s="1">
        <v>0.64978435499999998</v>
      </c>
      <c r="AP32" s="1">
        <v>0.121291643</v>
      </c>
      <c r="AQ32" s="1">
        <v>0.58078284199999997</v>
      </c>
      <c r="AR32" s="1">
        <v>7.6366670999999997E-2</v>
      </c>
      <c r="AS32" s="1">
        <v>0.38366612700000002</v>
      </c>
      <c r="AT32" s="1">
        <v>0.39397443999999998</v>
      </c>
      <c r="AU32" s="1">
        <v>0.32541968399999999</v>
      </c>
      <c r="AV32" s="1">
        <v>0.325082653</v>
      </c>
    </row>
    <row r="33" spans="1:48" x14ac:dyDescent="0.3">
      <c r="A33" s="1" t="s">
        <v>203</v>
      </c>
      <c r="B33" s="5" t="str">
        <f>IF(OR(RIGHT(A33,1)="A",RIGHT(A33,1)="T"),"A/T","G/C")</f>
        <v>G/C</v>
      </c>
      <c r="C33" s="1">
        <v>0.62724485900000004</v>
      </c>
      <c r="D33" s="1">
        <v>0.21610934400000001</v>
      </c>
      <c r="E33" s="1">
        <v>1.9913001850000001</v>
      </c>
      <c r="F33" s="1">
        <v>0.38384010899999998</v>
      </c>
      <c r="G33" s="1">
        <v>0.61636504999999997</v>
      </c>
      <c r="H33" s="1">
        <v>2.9698278000000002E-2</v>
      </c>
      <c r="I33" s="1">
        <v>0.22638668100000001</v>
      </c>
      <c r="J33" s="1">
        <v>0.61894120200000002</v>
      </c>
      <c r="K33" s="1">
        <v>0.20320238299999999</v>
      </c>
      <c r="L33" s="1">
        <v>2.8170019000000001E-2</v>
      </c>
      <c r="M33" s="1">
        <v>0.38692267800000002</v>
      </c>
      <c r="N33" s="1">
        <v>2.4235276E-2</v>
      </c>
      <c r="O33" s="1">
        <v>6.5962585000000004E-2</v>
      </c>
      <c r="P33" s="1">
        <v>0.52648319099999996</v>
      </c>
      <c r="Q33" s="1">
        <v>0.78985713700000004</v>
      </c>
      <c r="R33" s="1">
        <v>1.23399298</v>
      </c>
      <c r="S33" s="1">
        <v>0.47610891100000002</v>
      </c>
      <c r="T33" s="1">
        <v>2.1180168529999999</v>
      </c>
      <c r="U33" s="1">
        <v>1.011566867</v>
      </c>
      <c r="V33" s="1">
        <v>0.2172666</v>
      </c>
      <c r="W33" s="1">
        <v>0.64263442900000001</v>
      </c>
      <c r="X33" s="1">
        <v>0.297856921</v>
      </c>
      <c r="Y33" s="1">
        <v>0.59791327800000005</v>
      </c>
      <c r="Z33" s="1">
        <v>0.235332703</v>
      </c>
      <c r="AA33" s="1">
        <v>0.63464918699999995</v>
      </c>
      <c r="AB33" s="1">
        <v>1.9374064499999999</v>
      </c>
      <c r="AC33" s="1">
        <v>1.613468176</v>
      </c>
      <c r="AD33" s="1">
        <v>1.638013612</v>
      </c>
      <c r="AE33" s="1">
        <v>9.5514584E-2</v>
      </c>
      <c r="AF33" s="1">
        <v>0.18812948500000001</v>
      </c>
      <c r="AG33" s="1">
        <v>0.128563185</v>
      </c>
      <c r="AH33" s="1">
        <v>0.191458397</v>
      </c>
      <c r="AI33" s="1">
        <v>0.38132648899999999</v>
      </c>
      <c r="AJ33" s="1">
        <v>0.458297391</v>
      </c>
      <c r="AK33" s="1">
        <v>0.45084493599999997</v>
      </c>
      <c r="AL33" s="1">
        <v>0.46347628600000002</v>
      </c>
      <c r="AM33" s="1">
        <v>0.41077202400000001</v>
      </c>
      <c r="AN33" s="1">
        <v>0.26147761000000003</v>
      </c>
      <c r="AO33" s="1">
        <v>0.45143038000000002</v>
      </c>
      <c r="AP33" s="1">
        <v>0.56309211400000003</v>
      </c>
      <c r="AQ33" s="1">
        <v>5.8366382000000001E-2</v>
      </c>
      <c r="AR33" s="1">
        <v>0.77312560900000005</v>
      </c>
      <c r="AS33" s="1">
        <v>1.153976884</v>
      </c>
      <c r="AT33" s="1">
        <v>1.125882788</v>
      </c>
      <c r="AU33" s="1">
        <v>1.262805422</v>
      </c>
      <c r="AV33" s="1">
        <v>1.261562056</v>
      </c>
    </row>
    <row r="34" spans="1:48" x14ac:dyDescent="0.3">
      <c r="A34" s="1" t="s">
        <v>204</v>
      </c>
      <c r="B34" s="5" t="str">
        <f>IF(OR(RIGHT(A34,1)="A",RIGHT(A34,1)="T"),"A/T","G/C")</f>
        <v>G/C</v>
      </c>
      <c r="C34" s="1">
        <v>2.9919793960000001</v>
      </c>
      <c r="D34" s="1">
        <v>0.26020802900000001</v>
      </c>
      <c r="E34" s="1">
        <v>2.0308864240000002</v>
      </c>
      <c r="F34" s="1">
        <v>0.31465664500000001</v>
      </c>
      <c r="G34" s="1">
        <v>0.38163772499999998</v>
      </c>
      <c r="H34" s="1">
        <v>6.6505186999999993E-2</v>
      </c>
      <c r="I34" s="1">
        <v>0.16686785100000001</v>
      </c>
      <c r="J34" s="1">
        <v>2.9995255420000002</v>
      </c>
      <c r="K34" s="1">
        <v>0.20018618499999999</v>
      </c>
      <c r="L34" s="1">
        <v>3.0452146999999999E-2</v>
      </c>
      <c r="M34" s="1">
        <v>2.5542985640000002</v>
      </c>
      <c r="N34" s="1">
        <v>5.1408161000000001E-2</v>
      </c>
      <c r="O34" s="1">
        <v>0.10856792699999999</v>
      </c>
      <c r="P34" s="1">
        <v>2.9955382780000002</v>
      </c>
      <c r="Q34" s="1">
        <v>2.144165412</v>
      </c>
      <c r="R34" s="1">
        <v>4.0600822240000003</v>
      </c>
      <c r="S34" s="1">
        <v>2.1956963919999999</v>
      </c>
      <c r="T34" s="1">
        <v>1.5039457839999999</v>
      </c>
      <c r="U34" s="1">
        <v>0.33896148199999998</v>
      </c>
      <c r="V34" s="1">
        <v>0.26201061199999998</v>
      </c>
      <c r="W34" s="1">
        <v>2.2115857989999999</v>
      </c>
      <c r="X34" s="1">
        <v>2.5733512790000002</v>
      </c>
      <c r="Y34" s="1">
        <v>1.7837690020000001</v>
      </c>
      <c r="Z34" s="1">
        <v>0.39496073900000001</v>
      </c>
      <c r="AA34" s="1">
        <v>2.1701332940000002</v>
      </c>
      <c r="AB34" s="1">
        <v>2.3408286839999999</v>
      </c>
      <c r="AC34" s="1">
        <v>2.3837586100000001</v>
      </c>
      <c r="AD34" s="1">
        <v>2.3859339550000001</v>
      </c>
      <c r="AE34" s="1">
        <v>8.3461750000000001E-2</v>
      </c>
      <c r="AF34" s="1">
        <v>0.46136076599999998</v>
      </c>
      <c r="AG34" s="1">
        <v>0.49197922700000002</v>
      </c>
      <c r="AH34" s="1">
        <v>7.1257882999999994E-2</v>
      </c>
      <c r="AI34" s="1">
        <v>0.29963379099999998</v>
      </c>
      <c r="AJ34" s="1">
        <v>2.9820465820000002</v>
      </c>
      <c r="AK34" s="1">
        <v>2.9349103439999999</v>
      </c>
      <c r="AL34" s="1">
        <v>2.3005441069999999</v>
      </c>
      <c r="AM34" s="1">
        <v>2.2682977439999998</v>
      </c>
      <c r="AN34" s="1">
        <v>0.39903941199999998</v>
      </c>
      <c r="AO34" s="1">
        <v>0.53701578800000005</v>
      </c>
      <c r="AP34" s="1">
        <v>3.3849575230000002</v>
      </c>
      <c r="AQ34" s="1">
        <v>0.134765521</v>
      </c>
      <c r="AR34" s="1">
        <v>2.9650855470000002</v>
      </c>
      <c r="AS34" s="1">
        <v>2.3708176860000001</v>
      </c>
      <c r="AT34" s="1">
        <v>2.314604235</v>
      </c>
      <c r="AU34" s="1">
        <v>2.6789102640000002</v>
      </c>
      <c r="AV34" s="1">
        <v>2.6791034460000001</v>
      </c>
    </row>
    <row r="35" spans="1:48" x14ac:dyDescent="0.3">
      <c r="A35" s="1" t="s">
        <v>205</v>
      </c>
      <c r="B35" s="5" t="str">
        <f>IF(OR(RIGHT(A35,1)="A",RIGHT(A35,1)="T"),"A/T","G/C")</f>
        <v>A/T</v>
      </c>
      <c r="C35" s="1">
        <v>0.61813244499999997</v>
      </c>
      <c r="D35" s="1">
        <v>0.67506232300000002</v>
      </c>
      <c r="E35" s="1">
        <v>1.2471538289999999</v>
      </c>
      <c r="F35" s="1">
        <v>1.399760847</v>
      </c>
      <c r="G35" s="1">
        <v>1.7234986510000001</v>
      </c>
      <c r="H35" s="1">
        <v>1.0117160759999999</v>
      </c>
      <c r="I35" s="1">
        <v>0.88417731399999999</v>
      </c>
      <c r="J35" s="1">
        <v>0.62933802699999997</v>
      </c>
      <c r="K35" s="1">
        <v>1.0833736730000001</v>
      </c>
      <c r="L35" s="1">
        <v>1.2371986880000001</v>
      </c>
      <c r="M35" s="1">
        <v>1.347102577</v>
      </c>
      <c r="N35" s="1">
        <v>1.090253591</v>
      </c>
      <c r="O35" s="1">
        <v>1.3330930320000001</v>
      </c>
      <c r="P35" s="1">
        <v>1.247073375</v>
      </c>
      <c r="Q35" s="1">
        <v>1.37938052</v>
      </c>
      <c r="R35" s="1">
        <v>0.26953574200000002</v>
      </c>
      <c r="S35" s="1">
        <v>1.8227170539999999</v>
      </c>
      <c r="T35" s="1">
        <v>1.3334076420000001</v>
      </c>
      <c r="U35" s="1">
        <v>2.6996932170000001</v>
      </c>
      <c r="V35" s="1">
        <v>0.67382762100000004</v>
      </c>
      <c r="W35" s="1">
        <v>0.66221760299999999</v>
      </c>
      <c r="X35" s="1">
        <v>0.71529143799999995</v>
      </c>
      <c r="Y35" s="1">
        <v>0.94411566700000005</v>
      </c>
      <c r="Z35" s="1">
        <v>1.1580267399999999</v>
      </c>
      <c r="AA35" s="1">
        <v>0.67716420099999997</v>
      </c>
      <c r="AB35" s="1">
        <v>0.93073887600000005</v>
      </c>
      <c r="AC35" s="1">
        <v>0.38532607899999999</v>
      </c>
      <c r="AD35" s="1">
        <v>0.36762666999999999</v>
      </c>
      <c r="AE35" s="1">
        <v>1.2382223450000001</v>
      </c>
      <c r="AF35" s="1">
        <v>0.81636738799999997</v>
      </c>
      <c r="AG35" s="1">
        <v>1.22458165</v>
      </c>
      <c r="AH35" s="1">
        <v>1.755682124</v>
      </c>
      <c r="AI35" s="1">
        <v>1.574509374</v>
      </c>
      <c r="AJ35" s="1">
        <v>0.724606427</v>
      </c>
      <c r="AK35" s="1">
        <v>0.89722606000000005</v>
      </c>
      <c r="AL35" s="1">
        <v>1.8236365189999999</v>
      </c>
      <c r="AM35" s="1">
        <v>1.650920723</v>
      </c>
      <c r="AN35" s="1">
        <v>0.66433112000000005</v>
      </c>
      <c r="AO35" s="1">
        <v>1.3805246710000001</v>
      </c>
      <c r="AP35" s="1">
        <v>0.804341058</v>
      </c>
      <c r="AQ35" s="1">
        <v>1.1230460069999999</v>
      </c>
      <c r="AR35" s="1">
        <v>1.344415079</v>
      </c>
      <c r="AS35" s="1">
        <v>0.80254866300000005</v>
      </c>
      <c r="AT35" s="1">
        <v>0.82641290099999998</v>
      </c>
      <c r="AU35" s="1">
        <v>0.67297021599999995</v>
      </c>
      <c r="AV35" s="1">
        <v>0.66992671199999998</v>
      </c>
    </row>
    <row r="36" spans="1:48" x14ac:dyDescent="0.3">
      <c r="A36" s="1" t="s">
        <v>206</v>
      </c>
      <c r="B36" s="5" t="str">
        <f>IF(OR(RIGHT(A36,1)="A",RIGHT(A36,1)="T"),"A/T","G/C")</f>
        <v>A/T</v>
      </c>
      <c r="C36" s="1">
        <v>1.3811949859999999</v>
      </c>
      <c r="D36" s="1">
        <v>1.6458609639999999</v>
      </c>
      <c r="E36" s="1">
        <v>0.76727304299999999</v>
      </c>
      <c r="F36" s="1">
        <v>1.6143792699999999</v>
      </c>
      <c r="G36" s="1">
        <v>1.664425273</v>
      </c>
      <c r="H36" s="1">
        <v>1.6306050160000001</v>
      </c>
      <c r="I36" s="1">
        <v>1.465194431</v>
      </c>
      <c r="J36" s="1">
        <v>1.3772358339999999</v>
      </c>
      <c r="K36" s="1">
        <v>1.6613310370000001</v>
      </c>
      <c r="L36" s="1">
        <v>1.532772697</v>
      </c>
      <c r="M36" s="1">
        <v>1.1177919119999999</v>
      </c>
      <c r="N36" s="1">
        <v>1.653536168</v>
      </c>
      <c r="O36" s="1">
        <v>1.4194609929999999</v>
      </c>
      <c r="P36" s="1">
        <v>1.282489811</v>
      </c>
      <c r="Q36" s="1">
        <v>1.1978543850000001</v>
      </c>
      <c r="R36" s="1">
        <v>0.29450103799999999</v>
      </c>
      <c r="S36" s="1">
        <v>1.3465359459999999</v>
      </c>
      <c r="T36" s="1">
        <v>1.1235473279999999</v>
      </c>
      <c r="U36" s="1">
        <v>1.4023113229999999</v>
      </c>
      <c r="V36" s="1">
        <v>1.6455400979999999</v>
      </c>
      <c r="W36" s="1">
        <v>1.527880006</v>
      </c>
      <c r="X36" s="1">
        <v>1.384254385</v>
      </c>
      <c r="Y36" s="1">
        <v>1.3520131339999999</v>
      </c>
      <c r="Z36" s="1">
        <v>1.69579328</v>
      </c>
      <c r="AA36" s="1">
        <v>1.527354152</v>
      </c>
      <c r="AB36" s="1">
        <v>0.32698599499999997</v>
      </c>
      <c r="AC36" s="1">
        <v>1.7691101890000001</v>
      </c>
      <c r="AD36" s="1">
        <v>1.776666262</v>
      </c>
      <c r="AE36" s="1">
        <v>1.2366838490000001</v>
      </c>
      <c r="AF36" s="1">
        <v>1.579529129</v>
      </c>
      <c r="AG36" s="1">
        <v>1.4242594630000001</v>
      </c>
      <c r="AH36" s="1">
        <v>1.560405257</v>
      </c>
      <c r="AI36" s="1">
        <v>1.6061560939999999</v>
      </c>
      <c r="AJ36" s="1">
        <v>1.6598718509999999</v>
      </c>
      <c r="AK36" s="1">
        <v>1.1288603939999999</v>
      </c>
      <c r="AL36" s="1">
        <v>1.4108206249999999</v>
      </c>
      <c r="AM36" s="1">
        <v>1.2958585819999999</v>
      </c>
      <c r="AN36" s="1">
        <v>1.6128919770000001</v>
      </c>
      <c r="AO36" s="1">
        <v>1.566504154</v>
      </c>
      <c r="AP36" s="1">
        <v>1.1249231369999999</v>
      </c>
      <c r="AQ36" s="1">
        <v>1.7151329369999999</v>
      </c>
      <c r="AR36" s="1">
        <v>1.651381969</v>
      </c>
      <c r="AS36" s="1">
        <v>0.84117074700000005</v>
      </c>
      <c r="AT36" s="1">
        <v>0.86554921799999995</v>
      </c>
      <c r="AU36" s="1">
        <v>0.72364134000000002</v>
      </c>
      <c r="AV36" s="1">
        <v>0.72376234500000003</v>
      </c>
    </row>
    <row r="37" spans="1:48" x14ac:dyDescent="0.3">
      <c r="A37" s="1" t="s">
        <v>207</v>
      </c>
      <c r="B37" s="5" t="str">
        <f>IF(OR(RIGHT(A37,1)="A",RIGHT(A37,1)="T"),"A/T","G/C")</f>
        <v>G/C</v>
      </c>
      <c r="C37" s="1">
        <v>0.74790026099999996</v>
      </c>
      <c r="D37" s="1">
        <v>0.38272147699999998</v>
      </c>
      <c r="E37" s="1">
        <v>0</v>
      </c>
      <c r="F37" s="1">
        <v>0</v>
      </c>
      <c r="G37" s="1">
        <v>0.34411033200000002</v>
      </c>
      <c r="H37" s="1">
        <v>0.26920002500000001</v>
      </c>
      <c r="I37" s="1">
        <v>0.301668563</v>
      </c>
      <c r="J37" s="1">
        <v>0.74438653300000002</v>
      </c>
      <c r="K37" s="1">
        <v>0.41160630500000001</v>
      </c>
      <c r="L37" s="1">
        <v>0.25438473099999998</v>
      </c>
      <c r="M37" s="1">
        <v>0.77906976699999997</v>
      </c>
      <c r="N37" s="1">
        <v>0.18460997900000001</v>
      </c>
      <c r="O37" s="1">
        <v>0.178953627</v>
      </c>
      <c r="P37" s="1">
        <v>0.67393013400000001</v>
      </c>
      <c r="Q37" s="1">
        <v>1.0132584360000001</v>
      </c>
      <c r="R37" s="1">
        <v>1.6375677989999999</v>
      </c>
      <c r="S37" s="1">
        <v>0.56769142299999997</v>
      </c>
      <c r="T37" s="1">
        <v>0.94223214499999997</v>
      </c>
      <c r="U37" s="1">
        <v>0.93183459999999996</v>
      </c>
      <c r="V37" s="1">
        <v>0.38247121699999997</v>
      </c>
      <c r="W37" s="1">
        <v>1.4051798289999999</v>
      </c>
      <c r="X37" s="1">
        <v>0.77399634299999998</v>
      </c>
      <c r="Y37" s="1">
        <v>0.77108578999999999</v>
      </c>
      <c r="Z37" s="1">
        <v>0.61726227600000005</v>
      </c>
      <c r="AA37" s="1">
        <v>1.392110341</v>
      </c>
      <c r="AB37" s="1">
        <v>1.2755409150000001</v>
      </c>
      <c r="AC37" s="1">
        <v>1.070850742</v>
      </c>
      <c r="AD37" s="1">
        <v>1.0848603109999999</v>
      </c>
      <c r="AE37" s="1">
        <v>0.23211016100000001</v>
      </c>
      <c r="AF37" s="1">
        <v>0.47984544400000001</v>
      </c>
      <c r="AG37" s="1">
        <v>0.42935604599999999</v>
      </c>
      <c r="AH37" s="1">
        <v>0.175272593</v>
      </c>
      <c r="AI37" s="1">
        <v>0.63609330900000005</v>
      </c>
      <c r="AJ37" s="1">
        <v>0.85776578999999997</v>
      </c>
      <c r="AK37" s="1">
        <v>0.74532577899999997</v>
      </c>
      <c r="AL37" s="1">
        <v>0.534018306</v>
      </c>
      <c r="AM37" s="1">
        <v>0.59405140400000001</v>
      </c>
      <c r="AN37" s="1">
        <v>0.37882725499999997</v>
      </c>
      <c r="AO37" s="1">
        <v>0.53566043200000002</v>
      </c>
      <c r="AP37" s="1">
        <v>0.82413200600000003</v>
      </c>
      <c r="AQ37" s="1">
        <v>0.24565986000000001</v>
      </c>
      <c r="AR37" s="1">
        <v>0.57909364600000002</v>
      </c>
      <c r="AS37" s="1">
        <v>1.068485103</v>
      </c>
      <c r="AT37" s="1">
        <v>1.0470516670000001</v>
      </c>
      <c r="AU37" s="1">
        <v>1.1833972210000001</v>
      </c>
      <c r="AV37" s="1">
        <v>1.185032246</v>
      </c>
    </row>
    <row r="38" spans="1:48" x14ac:dyDescent="0.3">
      <c r="A38" s="1" t="s">
        <v>208</v>
      </c>
      <c r="B38" s="5" t="str">
        <f>IF(OR(RIGHT(A38,1)="A",RIGHT(A38,1)="T"),"A/T","G/C")</f>
        <v>G/C</v>
      </c>
      <c r="C38" s="1">
        <v>0.61880501399999999</v>
      </c>
      <c r="D38" s="1">
        <v>0.35413903600000002</v>
      </c>
      <c r="E38" s="1">
        <v>1.2327269569999999</v>
      </c>
      <c r="F38" s="1">
        <v>0.38562073000000002</v>
      </c>
      <c r="G38" s="1">
        <v>0.33557472700000002</v>
      </c>
      <c r="H38" s="1">
        <v>0.36939498399999998</v>
      </c>
      <c r="I38" s="1">
        <v>0.53480556899999998</v>
      </c>
      <c r="J38" s="1">
        <v>0.62276416599999995</v>
      </c>
      <c r="K38" s="1">
        <v>0.33866896299999999</v>
      </c>
      <c r="L38" s="1">
        <v>0.46722730299999998</v>
      </c>
      <c r="M38" s="1">
        <v>0.88220808799999995</v>
      </c>
      <c r="N38" s="1">
        <v>0.34646383200000003</v>
      </c>
      <c r="O38" s="1">
        <v>0.58053900700000005</v>
      </c>
      <c r="P38" s="1">
        <v>0.71751018899999996</v>
      </c>
      <c r="Q38" s="1">
        <v>0.80214561500000003</v>
      </c>
      <c r="R38" s="1">
        <v>1.7054989620000001</v>
      </c>
      <c r="S38" s="1">
        <v>0.65346405399999996</v>
      </c>
      <c r="T38" s="1">
        <v>0.87645267199999999</v>
      </c>
      <c r="U38" s="1">
        <v>0.59768867699999995</v>
      </c>
      <c r="V38" s="1">
        <v>0.35445990199999999</v>
      </c>
      <c r="W38" s="1">
        <v>0.47211999399999999</v>
      </c>
      <c r="X38" s="1">
        <v>0.61574561500000002</v>
      </c>
      <c r="Y38" s="1">
        <v>0.64798686599999999</v>
      </c>
      <c r="Z38" s="1">
        <v>0.30420671999999999</v>
      </c>
      <c r="AA38" s="1">
        <v>0.47264584799999998</v>
      </c>
      <c r="AB38" s="1">
        <v>1.673014005</v>
      </c>
      <c r="AC38" s="1">
        <v>0.230889811</v>
      </c>
      <c r="AD38" s="1">
        <v>0.223333738</v>
      </c>
      <c r="AE38" s="1">
        <v>0.76331615100000005</v>
      </c>
      <c r="AF38" s="1">
        <v>0.42047087100000002</v>
      </c>
      <c r="AG38" s="1">
        <v>0.57574053700000005</v>
      </c>
      <c r="AH38" s="1">
        <v>0.43959474300000001</v>
      </c>
      <c r="AI38" s="1">
        <v>0.39384390600000002</v>
      </c>
      <c r="AJ38" s="1">
        <v>0.34012814899999999</v>
      </c>
      <c r="AK38" s="1">
        <v>0.87113960599999996</v>
      </c>
      <c r="AL38" s="1">
        <v>0.58917937499999995</v>
      </c>
      <c r="AM38" s="1">
        <v>0.70414141799999996</v>
      </c>
      <c r="AN38" s="1">
        <v>0.38710802300000002</v>
      </c>
      <c r="AO38" s="1">
        <v>0.43349584600000002</v>
      </c>
      <c r="AP38" s="1">
        <v>0.87507686299999998</v>
      </c>
      <c r="AQ38" s="1">
        <v>0.28486706299999998</v>
      </c>
      <c r="AR38" s="1">
        <v>0.34861803099999999</v>
      </c>
      <c r="AS38" s="1">
        <v>1.1588292529999999</v>
      </c>
      <c r="AT38" s="1">
        <v>1.134450782</v>
      </c>
      <c r="AU38" s="1">
        <v>1.2763586600000001</v>
      </c>
      <c r="AV38" s="1">
        <v>1.2762376550000001</v>
      </c>
    </row>
    <row r="39" spans="1:48" x14ac:dyDescent="0.3">
      <c r="A39" s="1" t="s">
        <v>209</v>
      </c>
      <c r="B39" s="5" t="str">
        <f>IF(OR(RIGHT(A39,1)="A",RIGHT(A39,1)="T"),"A/T","G/C")</f>
        <v>A/T</v>
      </c>
      <c r="C39" s="1">
        <v>1.2520997389999999</v>
      </c>
      <c r="D39" s="1">
        <v>1.617278523</v>
      </c>
      <c r="E39" s="1">
        <v>0</v>
      </c>
      <c r="F39" s="1">
        <v>0</v>
      </c>
      <c r="G39" s="1">
        <v>1.6558896679999999</v>
      </c>
      <c r="H39" s="1">
        <v>1.730799975</v>
      </c>
      <c r="I39" s="1">
        <v>1.698331437</v>
      </c>
      <c r="J39" s="1">
        <v>1.2556134670000001</v>
      </c>
      <c r="K39" s="1">
        <v>1.5883936949999999</v>
      </c>
      <c r="L39" s="1">
        <v>1.745615269</v>
      </c>
      <c r="M39" s="1">
        <v>1.220930233</v>
      </c>
      <c r="N39" s="1">
        <v>1.815390021</v>
      </c>
      <c r="O39" s="1">
        <v>1.8210463729999999</v>
      </c>
      <c r="P39" s="1">
        <v>1.3260698660000001</v>
      </c>
      <c r="Q39" s="1">
        <v>0.98674156400000002</v>
      </c>
      <c r="R39" s="1">
        <v>0.36243220100000001</v>
      </c>
      <c r="S39" s="1">
        <v>1.4323085769999999</v>
      </c>
      <c r="T39" s="1">
        <v>1.057767855</v>
      </c>
      <c r="U39" s="1">
        <v>1.0681654</v>
      </c>
      <c r="V39" s="1">
        <v>1.617528783</v>
      </c>
      <c r="W39" s="1">
        <v>0.59482017099999995</v>
      </c>
      <c r="X39" s="1">
        <v>1.2260036569999999</v>
      </c>
      <c r="Y39" s="1">
        <v>1.2289142099999999</v>
      </c>
      <c r="Z39" s="1">
        <v>1.3827377240000001</v>
      </c>
      <c r="AA39" s="1">
        <v>0.60788965900000003</v>
      </c>
      <c r="AB39" s="1">
        <v>0.724459085</v>
      </c>
      <c r="AC39" s="1">
        <v>0.92914925800000003</v>
      </c>
      <c r="AD39" s="1">
        <v>0.91513968899999998</v>
      </c>
      <c r="AE39" s="1">
        <v>1.767889839</v>
      </c>
      <c r="AF39" s="1">
        <v>1.520154556</v>
      </c>
      <c r="AG39" s="1">
        <v>1.5706439539999999</v>
      </c>
      <c r="AH39" s="1">
        <v>1.8247274069999999</v>
      </c>
      <c r="AI39" s="1">
        <v>1.3639066909999999</v>
      </c>
      <c r="AJ39" s="1">
        <v>1.14223421</v>
      </c>
      <c r="AK39" s="1">
        <v>1.2546742209999999</v>
      </c>
      <c r="AL39" s="1">
        <v>1.4659816939999999</v>
      </c>
      <c r="AM39" s="1">
        <v>1.405948596</v>
      </c>
      <c r="AN39" s="1">
        <v>1.621172745</v>
      </c>
      <c r="AO39" s="1">
        <v>1.464339568</v>
      </c>
      <c r="AP39" s="1">
        <v>1.1758679940000001</v>
      </c>
      <c r="AQ39" s="1">
        <v>1.75434014</v>
      </c>
      <c r="AR39" s="1">
        <v>1.420906354</v>
      </c>
      <c r="AS39" s="1">
        <v>0.93151489700000001</v>
      </c>
      <c r="AT39" s="1">
        <v>0.95294833300000004</v>
      </c>
      <c r="AU39" s="1">
        <v>0.816602779</v>
      </c>
      <c r="AV39" s="1">
        <v>0.81496775399999999</v>
      </c>
    </row>
    <row r="40" spans="1:48" x14ac:dyDescent="0.3">
      <c r="A40" s="1" t="s">
        <v>210</v>
      </c>
      <c r="B40" s="5" t="str">
        <f>IF(OR(RIGHT(A40,1)="A",RIGHT(A40,1)="T"),"A/T","G/C")</f>
        <v>A/T</v>
      </c>
      <c r="C40" s="1">
        <v>0.84906341799999996</v>
      </c>
      <c r="D40" s="1">
        <v>1.2244390030000001</v>
      </c>
      <c r="E40" s="1">
        <v>0</v>
      </c>
      <c r="F40" s="1">
        <v>0</v>
      </c>
      <c r="G40" s="1">
        <v>1.2560840019999999</v>
      </c>
      <c r="H40" s="1">
        <v>1.8637234330000001</v>
      </c>
      <c r="I40" s="1">
        <v>1.4491145219999999</v>
      </c>
      <c r="J40" s="1">
        <v>0.85643234800000001</v>
      </c>
      <c r="K40" s="1">
        <v>1.4160746900000001</v>
      </c>
      <c r="L40" s="1">
        <v>1.468885792</v>
      </c>
      <c r="M40" s="1">
        <v>1.341334537</v>
      </c>
      <c r="N40" s="1">
        <v>1.948874824</v>
      </c>
      <c r="O40" s="1">
        <v>1.354880112</v>
      </c>
      <c r="P40" s="1">
        <v>0.93762185600000003</v>
      </c>
      <c r="Q40" s="1">
        <v>0.78072935200000004</v>
      </c>
      <c r="R40" s="1">
        <v>0.174685019</v>
      </c>
      <c r="S40" s="1">
        <v>2.1062438609999998</v>
      </c>
      <c r="T40" s="1">
        <v>0.71796287400000003</v>
      </c>
      <c r="U40" s="1">
        <v>2.0156115360000002</v>
      </c>
      <c r="V40" s="1">
        <v>1.2251795519999999</v>
      </c>
      <c r="W40" s="1">
        <v>0.53770203400000005</v>
      </c>
      <c r="X40" s="1">
        <v>0.87252802399999996</v>
      </c>
      <c r="Y40" s="1">
        <v>1.0748489960000001</v>
      </c>
      <c r="Z40" s="1">
        <v>1.2112228169999999</v>
      </c>
      <c r="AA40" s="1">
        <v>0.56030305700000005</v>
      </c>
      <c r="AB40" s="1">
        <v>0.42158525099999999</v>
      </c>
      <c r="AC40" s="1">
        <v>0.47712195200000002</v>
      </c>
      <c r="AD40" s="1">
        <v>0.458893306</v>
      </c>
      <c r="AE40" s="1">
        <v>1.335129005</v>
      </c>
      <c r="AF40" s="1">
        <v>1.513906615</v>
      </c>
      <c r="AG40" s="1">
        <v>1.7945617540000001</v>
      </c>
      <c r="AH40" s="1">
        <v>1.3275293050000001</v>
      </c>
      <c r="AI40" s="1">
        <v>1.1599832160000001</v>
      </c>
      <c r="AJ40" s="1">
        <v>1.607088592</v>
      </c>
      <c r="AK40" s="1">
        <v>1.118515556</v>
      </c>
      <c r="AL40" s="1">
        <v>2.0933942540000001</v>
      </c>
      <c r="AM40" s="1">
        <v>1.985310272</v>
      </c>
      <c r="AN40" s="1">
        <v>1.176813983</v>
      </c>
      <c r="AO40" s="1">
        <v>1.2933887310000001</v>
      </c>
      <c r="AP40" s="1">
        <v>1.0999951100000001</v>
      </c>
      <c r="AQ40" s="1">
        <v>1.898048795</v>
      </c>
      <c r="AR40" s="1">
        <v>1.151689575</v>
      </c>
      <c r="AS40" s="1">
        <v>0.87395420300000004</v>
      </c>
      <c r="AT40" s="1">
        <v>0.90200924999999998</v>
      </c>
      <c r="AU40" s="1">
        <v>0.76391289299999998</v>
      </c>
      <c r="AV40" s="1">
        <v>0.76153703800000005</v>
      </c>
    </row>
    <row r="41" spans="1:48" x14ac:dyDescent="0.3">
      <c r="A41" s="1" t="s">
        <v>211</v>
      </c>
      <c r="B41" s="5" t="str">
        <f>IF(OR(RIGHT(A41,1)="A",RIGHT(A41,1)="T"),"A/T","G/C")</f>
        <v>G/C</v>
      </c>
      <c r="C41" s="1">
        <v>1.0799353110000001</v>
      </c>
      <c r="D41" s="1">
        <v>0.74344666999999998</v>
      </c>
      <c r="E41" s="1">
        <v>0</v>
      </c>
      <c r="F41" s="1">
        <v>0</v>
      </c>
      <c r="G41" s="1">
        <v>0.75808112000000005</v>
      </c>
      <c r="H41" s="1">
        <v>0.15068867999999999</v>
      </c>
      <c r="I41" s="1">
        <v>0.54545454500000001</v>
      </c>
      <c r="J41" s="1">
        <v>1.071382115</v>
      </c>
      <c r="K41" s="1">
        <v>0.46752587800000001</v>
      </c>
      <c r="L41" s="1">
        <v>0.30687874100000001</v>
      </c>
      <c r="M41" s="1">
        <v>1.023764637</v>
      </c>
      <c r="N41" s="1">
        <v>0.14908579499999999</v>
      </c>
      <c r="O41" s="1">
        <v>0.40231024999999998</v>
      </c>
      <c r="P41" s="1">
        <v>1.2996112719999999</v>
      </c>
      <c r="Q41" s="1">
        <v>0.83500670300000002</v>
      </c>
      <c r="R41" s="1">
        <v>2.459652562</v>
      </c>
      <c r="S41" s="1">
        <v>0.53301529400000003</v>
      </c>
      <c r="T41" s="1">
        <v>1.29289444</v>
      </c>
      <c r="U41" s="1">
        <v>0.50950377599999996</v>
      </c>
      <c r="V41" s="1">
        <v>0.74315488799999996</v>
      </c>
      <c r="W41" s="1">
        <v>1.8718856509999999</v>
      </c>
      <c r="X41" s="1">
        <v>1.403484401</v>
      </c>
      <c r="Y41" s="1">
        <v>1.2846079560000001</v>
      </c>
      <c r="Z41" s="1">
        <v>0.74411095599999999</v>
      </c>
      <c r="AA41" s="1">
        <v>1.8357853930000001</v>
      </c>
      <c r="AB41" s="1">
        <v>1.977768806</v>
      </c>
      <c r="AC41" s="1">
        <v>2.109084433</v>
      </c>
      <c r="AD41" s="1">
        <v>2.1321849959999999</v>
      </c>
      <c r="AE41" s="1">
        <v>0.152348549</v>
      </c>
      <c r="AF41" s="1">
        <v>0.64613384100000004</v>
      </c>
      <c r="AG41" s="1">
        <v>0.39812967199999999</v>
      </c>
      <c r="AH41" s="1">
        <v>0.403095482</v>
      </c>
      <c r="AI41" s="1">
        <v>0.52988071699999995</v>
      </c>
      <c r="AJ41" s="1">
        <v>0.84130398799999995</v>
      </c>
      <c r="AK41" s="1">
        <v>0.85003599100000005</v>
      </c>
      <c r="AL41" s="1">
        <v>0.53398384099999996</v>
      </c>
      <c r="AM41" s="1">
        <v>0.63790466800000001</v>
      </c>
      <c r="AN41" s="1">
        <v>0.835754267</v>
      </c>
      <c r="AO41" s="1">
        <v>0.69985664599999997</v>
      </c>
      <c r="AP41" s="1">
        <v>1.1150554989999999</v>
      </c>
      <c r="AQ41" s="1">
        <v>0.224839338</v>
      </c>
      <c r="AR41" s="1">
        <v>1.129161911</v>
      </c>
      <c r="AS41" s="1">
        <v>1.6036246670000001</v>
      </c>
      <c r="AT41" s="1">
        <v>1.567634371</v>
      </c>
      <c r="AU41" s="1">
        <v>1.75800372</v>
      </c>
      <c r="AV41" s="1">
        <v>1.76632319</v>
      </c>
    </row>
    <row r="42" spans="1:48" x14ac:dyDescent="0.3">
      <c r="A42" s="1" t="s">
        <v>212</v>
      </c>
      <c r="B42" s="5" t="str">
        <f>IF(OR(RIGHT(A42,1)="A",RIGHT(A42,1)="T"),"A/T","G/C")</f>
        <v>G/C</v>
      </c>
      <c r="C42" s="1">
        <v>1.428315722</v>
      </c>
      <c r="D42" s="1">
        <v>0.71968206800000001</v>
      </c>
      <c r="E42" s="1">
        <v>0</v>
      </c>
      <c r="F42" s="1">
        <v>0</v>
      </c>
      <c r="G42" s="1">
        <v>0.44949557299999998</v>
      </c>
      <c r="H42" s="1">
        <v>0.16482714600000001</v>
      </c>
      <c r="I42" s="1">
        <v>0.62463597000000004</v>
      </c>
      <c r="J42" s="1">
        <v>1.4207864349999999</v>
      </c>
      <c r="K42" s="1">
        <v>0.237669982</v>
      </c>
      <c r="L42" s="1">
        <v>8.6414692000000001E-2</v>
      </c>
      <c r="M42" s="1">
        <v>1.053344308</v>
      </c>
      <c r="N42" s="1">
        <v>0.13628692000000001</v>
      </c>
      <c r="O42" s="1">
        <v>0.187620326</v>
      </c>
      <c r="P42" s="1">
        <v>1.139833125</v>
      </c>
      <c r="Q42" s="1">
        <v>1.9211555819999999</v>
      </c>
      <c r="R42" s="1">
        <v>1.2379937780000001</v>
      </c>
      <c r="S42" s="1">
        <v>0.69459800800000004</v>
      </c>
      <c r="T42" s="1">
        <v>1.525314563</v>
      </c>
      <c r="U42" s="1">
        <v>0.42587054600000002</v>
      </c>
      <c r="V42" s="1">
        <v>0.71869153200000002</v>
      </c>
      <c r="W42" s="1">
        <v>0.51404068199999997</v>
      </c>
      <c r="X42" s="1">
        <v>0.62657483000000003</v>
      </c>
      <c r="Y42" s="1">
        <v>0.473065344</v>
      </c>
      <c r="Z42" s="1">
        <v>0.31574570099999999</v>
      </c>
      <c r="AA42" s="1">
        <v>0.515637389</v>
      </c>
      <c r="AB42" s="1">
        <v>1.0609608399999999</v>
      </c>
      <c r="AC42" s="1">
        <v>0.49766247600000002</v>
      </c>
      <c r="AD42" s="1">
        <v>0.48507792300000002</v>
      </c>
      <c r="AE42" s="1">
        <v>5.0940365000000001E-2</v>
      </c>
      <c r="AF42" s="1">
        <v>0.63669419900000002</v>
      </c>
      <c r="AG42" s="1">
        <v>0.44971260099999999</v>
      </c>
      <c r="AH42" s="1">
        <v>0.36975076800000001</v>
      </c>
      <c r="AI42" s="1">
        <v>0.52924134300000003</v>
      </c>
      <c r="AJ42" s="1">
        <v>0.70825748799999999</v>
      </c>
      <c r="AK42" s="1">
        <v>0.70978165199999999</v>
      </c>
      <c r="AL42" s="1">
        <v>0.54854281199999999</v>
      </c>
      <c r="AM42" s="1">
        <v>0.52667628799999999</v>
      </c>
      <c r="AN42" s="1">
        <v>1.2522234809999999</v>
      </c>
      <c r="AO42" s="1">
        <v>0.42500668200000002</v>
      </c>
      <c r="AP42" s="1">
        <v>1.28961909</v>
      </c>
      <c r="AQ42" s="1">
        <v>0.166797522</v>
      </c>
      <c r="AR42" s="1">
        <v>0.75264228700000002</v>
      </c>
      <c r="AS42" s="1">
        <v>0.47282646099999998</v>
      </c>
      <c r="AT42" s="1">
        <v>0.459896623</v>
      </c>
      <c r="AU42" s="1">
        <v>0.53199019000000003</v>
      </c>
      <c r="AV42" s="1">
        <v>0.53997441999999995</v>
      </c>
    </row>
    <row r="43" spans="1:48" x14ac:dyDescent="0.3">
      <c r="A43" s="1" t="s">
        <v>213</v>
      </c>
      <c r="B43" s="5" t="str">
        <f>IF(OR(RIGHT(A43,1)="A",RIGHT(A43,1)="T"),"A/T","G/C")</f>
        <v>A/T</v>
      </c>
      <c r="C43" s="1">
        <v>0.64268555000000005</v>
      </c>
      <c r="D43" s="1">
        <v>1.3124322589999999</v>
      </c>
      <c r="E43" s="1">
        <v>0</v>
      </c>
      <c r="F43" s="1">
        <v>0</v>
      </c>
      <c r="G43" s="1">
        <v>1.536339304</v>
      </c>
      <c r="H43" s="1">
        <v>1.820760741</v>
      </c>
      <c r="I43" s="1">
        <v>1.380794963</v>
      </c>
      <c r="J43" s="1">
        <v>0.65139910199999995</v>
      </c>
      <c r="K43" s="1">
        <v>1.87872945</v>
      </c>
      <c r="L43" s="1">
        <v>2.1378207759999999</v>
      </c>
      <c r="M43" s="1">
        <v>0.581556517</v>
      </c>
      <c r="N43" s="1">
        <v>1.7657524609999999</v>
      </c>
      <c r="O43" s="1">
        <v>2.055189312</v>
      </c>
      <c r="P43" s="1">
        <v>0.62293374700000004</v>
      </c>
      <c r="Q43" s="1">
        <v>0.46310836300000002</v>
      </c>
      <c r="R43" s="1">
        <v>0.127668641</v>
      </c>
      <c r="S43" s="1">
        <v>0.66614283699999999</v>
      </c>
      <c r="T43" s="1">
        <v>0.46382812299999998</v>
      </c>
      <c r="U43" s="1">
        <v>1.0490141420000001</v>
      </c>
      <c r="V43" s="1">
        <v>1.312974028</v>
      </c>
      <c r="W43" s="1">
        <v>1.0763716329999999</v>
      </c>
      <c r="X43" s="1">
        <v>1.097412745</v>
      </c>
      <c r="Y43" s="1">
        <v>1.1674777039999999</v>
      </c>
      <c r="Z43" s="1">
        <v>1.7289205249999999</v>
      </c>
      <c r="AA43" s="1">
        <v>1.088274161</v>
      </c>
      <c r="AB43" s="1">
        <v>0.53968510300000005</v>
      </c>
      <c r="AC43" s="1">
        <v>0.91613113899999998</v>
      </c>
      <c r="AD43" s="1">
        <v>0.92384377600000001</v>
      </c>
      <c r="AE43" s="1">
        <v>2.461582081</v>
      </c>
      <c r="AF43" s="1">
        <v>1.2032653449999999</v>
      </c>
      <c r="AG43" s="1">
        <v>1.357595973</v>
      </c>
      <c r="AH43" s="1">
        <v>1.8996244449999999</v>
      </c>
      <c r="AI43" s="1">
        <v>1.7808947230000001</v>
      </c>
      <c r="AJ43" s="1">
        <v>0.84334993199999997</v>
      </c>
      <c r="AK43" s="1">
        <v>1.3216668</v>
      </c>
      <c r="AL43" s="1">
        <v>0.82407909300000004</v>
      </c>
      <c r="AM43" s="1">
        <v>0.85010877299999998</v>
      </c>
      <c r="AN43" s="1">
        <v>0.73520826900000003</v>
      </c>
      <c r="AO43" s="1">
        <v>1.5817479409999999</v>
      </c>
      <c r="AP43" s="1">
        <v>0.495330302</v>
      </c>
      <c r="AQ43" s="1">
        <v>1.710314345</v>
      </c>
      <c r="AR43" s="1">
        <v>0.966506227</v>
      </c>
      <c r="AS43" s="1">
        <v>1.0495946700000001</v>
      </c>
      <c r="AT43" s="1">
        <v>1.0704597570000001</v>
      </c>
      <c r="AU43" s="1">
        <v>0.94609319700000005</v>
      </c>
      <c r="AV43" s="1">
        <v>0.93216535099999998</v>
      </c>
    </row>
    <row r="44" spans="1:48" x14ac:dyDescent="0.3">
      <c r="A44" s="1" t="s">
        <v>214</v>
      </c>
      <c r="B44" s="5" t="str">
        <f>IF(OR(RIGHT(A44,1)="A",RIGHT(A44,1)="T"),"A/T","G/C")</f>
        <v>A/T</v>
      </c>
      <c r="C44" s="1">
        <v>0.42572206200000001</v>
      </c>
      <c r="D44" s="1">
        <v>1.0023634020000001</v>
      </c>
      <c r="E44" s="1">
        <v>0</v>
      </c>
      <c r="F44" s="1">
        <v>1.212294982</v>
      </c>
      <c r="G44" s="1">
        <v>0.84348902599999998</v>
      </c>
      <c r="H44" s="1">
        <v>2.0156987069999999</v>
      </c>
      <c r="I44" s="1">
        <v>2.0258272800000001</v>
      </c>
      <c r="J44" s="1">
        <v>0.43580290999999999</v>
      </c>
      <c r="K44" s="1">
        <v>1.343434343</v>
      </c>
      <c r="L44" s="1">
        <v>2.3505340760000002</v>
      </c>
      <c r="M44" s="1">
        <v>1.628833719</v>
      </c>
      <c r="N44" s="1">
        <v>2.086732477</v>
      </c>
      <c r="O44" s="1">
        <v>1.2915360499999999</v>
      </c>
      <c r="P44" s="1">
        <v>1.214344171</v>
      </c>
      <c r="Q44" s="1">
        <v>0.96886912300000005</v>
      </c>
      <c r="R44" s="1">
        <v>0.22209727300000001</v>
      </c>
      <c r="S44" s="1">
        <v>2.0388925410000001</v>
      </c>
      <c r="T44" s="1">
        <v>0.84404096200000001</v>
      </c>
      <c r="U44" s="1">
        <v>0.81064960399999997</v>
      </c>
      <c r="V44" s="1">
        <v>1.0007746660000001</v>
      </c>
      <c r="W44" s="1">
        <v>0.32439335899999999</v>
      </c>
      <c r="X44" s="1">
        <v>0.59236533700000005</v>
      </c>
      <c r="Y44" s="1">
        <v>1.5436175270000001</v>
      </c>
      <c r="Z44" s="1">
        <v>0.56569232000000003</v>
      </c>
      <c r="AA44" s="1">
        <v>0.32934897400000002</v>
      </c>
      <c r="AB44" s="1">
        <v>0.27909257199999998</v>
      </c>
      <c r="AC44" s="1">
        <v>0.37484249600000003</v>
      </c>
      <c r="AD44" s="1">
        <v>0.36979356000000002</v>
      </c>
      <c r="AE44" s="1">
        <v>2.8441342889999999</v>
      </c>
      <c r="AF44" s="1">
        <v>2.781360737</v>
      </c>
      <c r="AG44" s="1">
        <v>1.736185562</v>
      </c>
      <c r="AH44" s="1">
        <v>1.4651632210000001</v>
      </c>
      <c r="AI44" s="1">
        <v>1.0430690929999999</v>
      </c>
      <c r="AJ44" s="1">
        <v>0.70933433599999995</v>
      </c>
      <c r="AK44" s="1">
        <v>0.46897639800000002</v>
      </c>
      <c r="AL44" s="1">
        <v>1.881866703</v>
      </c>
      <c r="AM44" s="1">
        <v>1.81900668</v>
      </c>
      <c r="AN44" s="1">
        <v>0.76347325399999999</v>
      </c>
      <c r="AO44" s="1">
        <v>1.0368385040000001</v>
      </c>
      <c r="AP44" s="1">
        <v>1.4671814670000001</v>
      </c>
      <c r="AQ44" s="1">
        <v>2.3122208469999999</v>
      </c>
      <c r="AR44" s="1">
        <v>1.3071154810000001</v>
      </c>
      <c r="AS44" s="1">
        <v>1.0009687330000001</v>
      </c>
      <c r="AT44" s="1">
        <v>1.027193035</v>
      </c>
      <c r="AU44" s="1">
        <v>0.88367299799999999</v>
      </c>
      <c r="AV44" s="1">
        <v>0.87829586000000004</v>
      </c>
    </row>
    <row r="45" spans="1:48" x14ac:dyDescent="0.3">
      <c r="A45" s="1" t="s">
        <v>215</v>
      </c>
      <c r="B45" s="5" t="str">
        <f>IF(OR(RIGHT(A45,1)="A",RIGHT(A45,1)="T"),"A/T","G/C")</f>
        <v>G/C</v>
      </c>
      <c r="C45" s="1">
        <v>1.6240402970000001</v>
      </c>
      <c r="D45" s="1">
        <v>0.80383760400000004</v>
      </c>
      <c r="E45" s="1">
        <v>0</v>
      </c>
      <c r="F45" s="1">
        <v>0.65352933999999996</v>
      </c>
      <c r="G45" s="1">
        <v>0.95027574599999998</v>
      </c>
      <c r="H45" s="1">
        <v>0.19121101600000001</v>
      </c>
      <c r="I45" s="1">
        <v>0.26019447299999998</v>
      </c>
      <c r="J45" s="1">
        <v>1.6033614780000001</v>
      </c>
      <c r="K45" s="1">
        <v>0.61661559399999999</v>
      </c>
      <c r="L45" s="1">
        <v>0.20433612500000001</v>
      </c>
      <c r="M45" s="1">
        <v>1.2776893149999999</v>
      </c>
      <c r="N45" s="1">
        <v>0.202831067</v>
      </c>
      <c r="O45" s="1">
        <v>0.67309398499999995</v>
      </c>
      <c r="P45" s="1">
        <v>1.1786077420000001</v>
      </c>
      <c r="Q45" s="1">
        <v>1.7964421859999999</v>
      </c>
      <c r="R45" s="1">
        <v>2.448798145</v>
      </c>
      <c r="S45" s="1">
        <v>0.57266418299999999</v>
      </c>
      <c r="T45" s="1">
        <v>1.8107342580000001</v>
      </c>
      <c r="U45" s="1">
        <v>1.654809674</v>
      </c>
      <c r="V45" s="1">
        <v>0.803586939</v>
      </c>
      <c r="W45" s="1">
        <v>2.0266533400000002</v>
      </c>
      <c r="X45" s="1">
        <v>1.7166423580000001</v>
      </c>
      <c r="Y45" s="1">
        <v>0.73570953299999997</v>
      </c>
      <c r="Z45" s="1">
        <v>1.103841155</v>
      </c>
      <c r="AA45" s="1">
        <v>2.0112303329999999</v>
      </c>
      <c r="AB45" s="1">
        <v>2.6180391859999999</v>
      </c>
      <c r="AC45" s="1">
        <v>2.400475213</v>
      </c>
      <c r="AD45" s="1">
        <v>2.4211835380000002</v>
      </c>
      <c r="AE45" s="1">
        <v>5.1829498000000002E-2</v>
      </c>
      <c r="AF45" s="1">
        <v>0.23653437299999999</v>
      </c>
      <c r="AG45" s="1">
        <v>0.41711337100000001</v>
      </c>
      <c r="AH45" s="1">
        <v>0.72499477999999995</v>
      </c>
      <c r="AI45" s="1">
        <v>0.59826187200000003</v>
      </c>
      <c r="AJ45" s="1">
        <v>1.5966349200000001</v>
      </c>
      <c r="AK45" s="1">
        <v>2.103418928</v>
      </c>
      <c r="AL45" s="1">
        <v>0.66095524800000005</v>
      </c>
      <c r="AM45" s="1">
        <v>0.68636368800000003</v>
      </c>
      <c r="AN45" s="1">
        <v>1.0916962349999999</v>
      </c>
      <c r="AO45" s="1">
        <v>0.70814324799999995</v>
      </c>
      <c r="AP45" s="1">
        <v>1.3048187330000001</v>
      </c>
      <c r="AQ45" s="1">
        <v>0.179949416</v>
      </c>
      <c r="AR45" s="1">
        <v>1.0763761599999999</v>
      </c>
      <c r="AS45" s="1">
        <v>1.357796633</v>
      </c>
      <c r="AT45" s="1">
        <v>1.3358911929999999</v>
      </c>
      <c r="AU45" s="1">
        <v>1.483768945</v>
      </c>
      <c r="AV45" s="1">
        <v>1.4914051749999999</v>
      </c>
    </row>
    <row r="46" spans="1:48" x14ac:dyDescent="0.3">
      <c r="A46" s="1" t="s">
        <v>216</v>
      </c>
      <c r="B46" s="5" t="str">
        <f>IF(OR(RIGHT(A46,1)="A",RIGHT(A46,1)="T"),"A/T","G/C")</f>
        <v>G/C</v>
      </c>
      <c r="C46" s="1">
        <v>0.59763577999999995</v>
      </c>
      <c r="D46" s="1">
        <v>0.55654615699999999</v>
      </c>
      <c r="E46" s="1">
        <v>0</v>
      </c>
      <c r="F46" s="1">
        <v>0.60522415299999999</v>
      </c>
      <c r="G46" s="1">
        <v>0.41030950999999999</v>
      </c>
      <c r="H46" s="1">
        <v>0.31764099200000001</v>
      </c>
      <c r="I46" s="1">
        <v>0.65175448700000005</v>
      </c>
      <c r="J46" s="1">
        <v>0.60724620399999996</v>
      </c>
      <c r="K46" s="1">
        <v>0.32448076300000001</v>
      </c>
      <c r="L46" s="1">
        <v>0.33017401299999999</v>
      </c>
      <c r="M46" s="1">
        <v>0.72444302900000002</v>
      </c>
      <c r="N46" s="1">
        <v>0.34637114299999999</v>
      </c>
      <c r="O46" s="1">
        <v>0.14289939099999999</v>
      </c>
      <c r="P46" s="1">
        <v>0.99030330099999997</v>
      </c>
      <c r="Q46" s="1">
        <v>0.65743329100000003</v>
      </c>
      <c r="R46" s="1">
        <v>1.1533244309999999</v>
      </c>
      <c r="S46" s="1">
        <v>0.44689897000000001</v>
      </c>
      <c r="T46" s="1">
        <v>0.75526181999999997</v>
      </c>
      <c r="U46" s="1">
        <v>9.3482269000000007E-2</v>
      </c>
      <c r="V46" s="1">
        <v>0.55747787500000001</v>
      </c>
      <c r="W46" s="1">
        <v>1.003609306</v>
      </c>
      <c r="X46" s="1">
        <v>0.51551576700000001</v>
      </c>
      <c r="Y46" s="1">
        <v>0.48326204699999997</v>
      </c>
      <c r="Z46" s="1">
        <v>0.23804651399999999</v>
      </c>
      <c r="AA46" s="1">
        <v>0.98393284000000003</v>
      </c>
      <c r="AB46" s="1">
        <v>0.30421090299999998</v>
      </c>
      <c r="AC46" s="1">
        <v>0.53771105600000002</v>
      </c>
      <c r="AD46" s="1">
        <v>0.52147626599999997</v>
      </c>
      <c r="AE46" s="1">
        <v>0.34817050199999999</v>
      </c>
      <c r="AF46" s="1">
        <v>0.48777462799999999</v>
      </c>
      <c r="AG46" s="1">
        <v>0.33946195099999998</v>
      </c>
      <c r="AH46" s="1">
        <v>0.42124312699999999</v>
      </c>
      <c r="AI46" s="1">
        <v>0.43798914900000002</v>
      </c>
      <c r="AJ46" s="1">
        <v>0.53581382600000005</v>
      </c>
      <c r="AK46" s="1">
        <v>0.140244535</v>
      </c>
      <c r="AL46" s="1">
        <v>0.33162720699999998</v>
      </c>
      <c r="AM46" s="1">
        <v>0.43353106000000002</v>
      </c>
      <c r="AN46" s="1">
        <v>0.50960701600000002</v>
      </c>
      <c r="AO46" s="1">
        <v>0.62921989099999998</v>
      </c>
      <c r="AP46" s="1">
        <v>0.44015443999999998</v>
      </c>
      <c r="AQ46" s="1">
        <v>0.44513802899999999</v>
      </c>
      <c r="AR46" s="1">
        <v>0.79731155899999995</v>
      </c>
      <c r="AS46" s="1">
        <v>0.96141769099999996</v>
      </c>
      <c r="AT46" s="1">
        <v>0.95407035299999998</v>
      </c>
      <c r="AU46" s="1">
        <v>1.0248218760000001</v>
      </c>
      <c r="AV46" s="1">
        <v>1.03095549</v>
      </c>
    </row>
    <row r="47" spans="1:48" x14ac:dyDescent="0.3">
      <c r="A47" s="1" t="s">
        <v>217</v>
      </c>
      <c r="B47" s="5" t="str">
        <f>IF(OR(RIGHT(A47,1)="A",RIGHT(A47,1)="T"),"A/T","G/C")</f>
        <v>A/T</v>
      </c>
      <c r="C47" s="1">
        <v>1.3526018609999999</v>
      </c>
      <c r="D47" s="1">
        <v>1.6372528369999999</v>
      </c>
      <c r="E47" s="1">
        <v>0</v>
      </c>
      <c r="F47" s="1">
        <v>1.5289515250000001</v>
      </c>
      <c r="G47" s="1">
        <v>1.7959257179999999</v>
      </c>
      <c r="H47" s="1">
        <v>1.4754492850000001</v>
      </c>
      <c r="I47" s="1">
        <v>1.06222376</v>
      </c>
      <c r="J47" s="1">
        <v>1.3535894079999999</v>
      </c>
      <c r="K47" s="1">
        <v>1.7154693000000001</v>
      </c>
      <c r="L47" s="1">
        <v>1.1149557859999999</v>
      </c>
      <c r="M47" s="1">
        <v>0.36903393699999998</v>
      </c>
      <c r="N47" s="1">
        <v>1.364065313</v>
      </c>
      <c r="O47" s="1">
        <v>1.8924705740000001</v>
      </c>
      <c r="P47" s="1">
        <v>0.61674478600000004</v>
      </c>
      <c r="Q47" s="1">
        <v>0.57725539999999997</v>
      </c>
      <c r="R47" s="1">
        <v>0.175780152</v>
      </c>
      <c r="S47" s="1">
        <v>0.94154430600000005</v>
      </c>
      <c r="T47" s="1">
        <v>0.58996296000000004</v>
      </c>
      <c r="U47" s="1">
        <v>1.441058454</v>
      </c>
      <c r="V47" s="1">
        <v>1.63816052</v>
      </c>
      <c r="W47" s="1">
        <v>0.64534399499999995</v>
      </c>
      <c r="X47" s="1">
        <v>1.1754765380000001</v>
      </c>
      <c r="Y47" s="1">
        <v>1.2374108930000001</v>
      </c>
      <c r="Z47" s="1">
        <v>2.0924200110000002</v>
      </c>
      <c r="AA47" s="1">
        <v>0.67548785200000006</v>
      </c>
      <c r="AB47" s="1">
        <v>0.79865733800000005</v>
      </c>
      <c r="AC47" s="1">
        <v>0.68697123500000001</v>
      </c>
      <c r="AD47" s="1">
        <v>0.68754663599999999</v>
      </c>
      <c r="AE47" s="1">
        <v>0.755865711</v>
      </c>
      <c r="AF47" s="1">
        <v>0.49433026200000002</v>
      </c>
      <c r="AG47" s="1">
        <v>1.507239116</v>
      </c>
      <c r="AH47" s="1">
        <v>1.388598872</v>
      </c>
      <c r="AI47" s="1">
        <v>1.9206798869999999</v>
      </c>
      <c r="AJ47" s="1">
        <v>1.1582169179999999</v>
      </c>
      <c r="AK47" s="1">
        <v>1.287360139</v>
      </c>
      <c r="AL47" s="1">
        <v>1.125550842</v>
      </c>
      <c r="AM47" s="1">
        <v>1.0610985719999999</v>
      </c>
      <c r="AN47" s="1">
        <v>1.6352234940000001</v>
      </c>
      <c r="AO47" s="1">
        <v>1.6257983579999999</v>
      </c>
      <c r="AP47" s="1">
        <v>0.78784535899999997</v>
      </c>
      <c r="AQ47" s="1">
        <v>1.0626917069999999</v>
      </c>
      <c r="AR47" s="1">
        <v>0.81919680100000003</v>
      </c>
      <c r="AS47" s="1">
        <v>0.67981694299999995</v>
      </c>
      <c r="AT47" s="1">
        <v>0.68284541899999995</v>
      </c>
      <c r="AU47" s="1">
        <v>0.60773618100000004</v>
      </c>
      <c r="AV47" s="1">
        <v>0.59934347499999996</v>
      </c>
    </row>
    <row r="48" spans="1:48" x14ac:dyDescent="0.3">
      <c r="A48" s="1" t="s">
        <v>218</v>
      </c>
      <c r="B48" s="5" t="str">
        <f>IF(OR(RIGHT(A48,1)="A",RIGHT(A48,1)="T"),"A/T","G/C")</f>
        <v>A/T</v>
      </c>
      <c r="C48" s="1">
        <v>0.61579257499999995</v>
      </c>
      <c r="D48" s="1">
        <v>0.99536572300000004</v>
      </c>
      <c r="E48" s="1">
        <v>0.65174484499999996</v>
      </c>
      <c r="F48" s="1">
        <v>0</v>
      </c>
      <c r="G48" s="1">
        <v>0.83465358999999995</v>
      </c>
      <c r="H48" s="1">
        <v>2.017102226</v>
      </c>
      <c r="I48" s="1">
        <v>0.87503865300000006</v>
      </c>
      <c r="J48" s="1">
        <v>0.61737847300000004</v>
      </c>
      <c r="K48" s="1">
        <v>1.282593227</v>
      </c>
      <c r="L48" s="1">
        <v>1.607779799</v>
      </c>
      <c r="M48" s="1">
        <v>1.2856460759999999</v>
      </c>
      <c r="N48" s="1">
        <v>1.7785112949999999</v>
      </c>
      <c r="O48" s="1">
        <v>1.2395433149999999</v>
      </c>
      <c r="P48" s="1">
        <v>1.0123526890000001</v>
      </c>
      <c r="Q48" s="1">
        <v>0.97961271000000005</v>
      </c>
      <c r="R48" s="1">
        <v>0.21278155300000001</v>
      </c>
      <c r="S48" s="1">
        <v>1.391529845</v>
      </c>
      <c r="T48" s="1">
        <v>0.53444851699999996</v>
      </c>
      <c r="U48" s="1">
        <v>0.76263338000000003</v>
      </c>
      <c r="V48" s="1">
        <v>0.99177448400000001</v>
      </c>
      <c r="W48" s="1">
        <v>0.43469971400000001</v>
      </c>
      <c r="X48" s="1">
        <v>0.62372620599999995</v>
      </c>
      <c r="Y48" s="1">
        <v>1.349154518</v>
      </c>
      <c r="Z48" s="1">
        <v>1.0768669550000001</v>
      </c>
      <c r="AA48" s="1">
        <v>0.444797371</v>
      </c>
      <c r="AB48" s="1">
        <v>0.223246524</v>
      </c>
      <c r="AC48" s="1">
        <v>0.51196725399999998</v>
      </c>
      <c r="AD48" s="1">
        <v>0.48979429099999999</v>
      </c>
      <c r="AE48" s="1">
        <v>2.3011808629999999</v>
      </c>
      <c r="AF48" s="1">
        <v>1.2932302019999999</v>
      </c>
      <c r="AG48" s="1">
        <v>1.369061318</v>
      </c>
      <c r="AH48" s="1">
        <v>1.3297575150000001</v>
      </c>
      <c r="AI48" s="1">
        <v>0.58740593399999996</v>
      </c>
      <c r="AJ48" s="1">
        <v>1.1517846249999999</v>
      </c>
      <c r="AK48" s="1">
        <v>1.2120885939999999</v>
      </c>
      <c r="AL48" s="1">
        <v>1.3754120480000001</v>
      </c>
      <c r="AM48" s="1">
        <v>1.442228874</v>
      </c>
      <c r="AN48" s="1">
        <v>0.927300546</v>
      </c>
      <c r="AO48" s="1">
        <v>0.78803209600000002</v>
      </c>
      <c r="AP48" s="1">
        <v>0.927633865</v>
      </c>
      <c r="AQ48" s="1">
        <v>1.586574202</v>
      </c>
      <c r="AR48" s="1">
        <v>1.421763492</v>
      </c>
      <c r="AS48" s="1">
        <v>0.468216032</v>
      </c>
      <c r="AT48" s="1">
        <v>0.48300309699999999</v>
      </c>
      <c r="AU48" s="1">
        <v>0.36824898700000003</v>
      </c>
      <c r="AV48" s="1">
        <v>0.37061325099999998</v>
      </c>
    </row>
    <row r="49" spans="1:48" x14ac:dyDescent="0.3">
      <c r="A49" s="1" t="s">
        <v>219</v>
      </c>
      <c r="B49" s="5" t="str">
        <f>IF(OR(RIGHT(A49,1)="A",RIGHT(A49,1)="T"),"A/T","G/C")</f>
        <v>G/C</v>
      </c>
      <c r="C49" s="1">
        <v>0.86375115800000002</v>
      </c>
      <c r="D49" s="1">
        <v>0.82426054500000001</v>
      </c>
      <c r="E49" s="1">
        <v>1.6832822409999999</v>
      </c>
      <c r="F49" s="1">
        <v>0</v>
      </c>
      <c r="G49" s="1">
        <v>0.96282325300000005</v>
      </c>
      <c r="H49" s="1">
        <v>9.3157263000000004E-2</v>
      </c>
      <c r="I49" s="1">
        <v>0.57158563799999995</v>
      </c>
      <c r="J49" s="1">
        <v>0.85854322900000002</v>
      </c>
      <c r="K49" s="1">
        <v>0.346923178</v>
      </c>
      <c r="L49" s="1">
        <v>8.3102398999999993E-2</v>
      </c>
      <c r="M49" s="1">
        <v>0.689883617</v>
      </c>
      <c r="N49" s="1">
        <v>6.6379989E-2</v>
      </c>
      <c r="O49" s="1">
        <v>0.17271792699999999</v>
      </c>
      <c r="P49" s="1">
        <v>0.60134372800000002</v>
      </c>
      <c r="Q49" s="1">
        <v>0.84937951700000003</v>
      </c>
      <c r="R49" s="1">
        <v>1.057624847</v>
      </c>
      <c r="S49" s="1">
        <v>0.56640583799999999</v>
      </c>
      <c r="T49" s="1">
        <v>1.4919994190000001</v>
      </c>
      <c r="U49" s="1">
        <v>0.43094423199999998</v>
      </c>
      <c r="V49" s="1">
        <v>0.82580755699999997</v>
      </c>
      <c r="W49" s="1">
        <v>1.5198147900000001</v>
      </c>
      <c r="X49" s="1">
        <v>1.119111709</v>
      </c>
      <c r="Y49" s="1">
        <v>0.64684664800000002</v>
      </c>
      <c r="Z49" s="1">
        <v>0.52540518000000003</v>
      </c>
      <c r="AA49" s="1">
        <v>1.486966046</v>
      </c>
      <c r="AB49" s="1">
        <v>1.587846662</v>
      </c>
      <c r="AC49" s="1">
        <v>2.6151717859999999</v>
      </c>
      <c r="AD49" s="1">
        <v>2.6443151010000001</v>
      </c>
      <c r="AE49" s="1">
        <v>8.8869050000000005E-2</v>
      </c>
      <c r="AF49" s="1">
        <v>0.58698723600000002</v>
      </c>
      <c r="AG49" s="1">
        <v>0.37744533899999999</v>
      </c>
      <c r="AH49" s="1">
        <v>0.25149923600000001</v>
      </c>
      <c r="AI49" s="1">
        <v>0.67277917099999995</v>
      </c>
      <c r="AJ49" s="1">
        <v>0.53906644999999997</v>
      </c>
      <c r="AK49" s="1">
        <v>0.44785758599999997</v>
      </c>
      <c r="AL49" s="1">
        <v>0.53687914699999995</v>
      </c>
      <c r="AM49" s="1">
        <v>0.45461662400000002</v>
      </c>
      <c r="AN49" s="1">
        <v>0.56716939899999996</v>
      </c>
      <c r="AO49" s="1">
        <v>0.52375901000000002</v>
      </c>
      <c r="AP49" s="1">
        <v>0.477985404</v>
      </c>
      <c r="AQ49" s="1">
        <v>0.174424411</v>
      </c>
      <c r="AR49" s="1">
        <v>0.54969035700000002</v>
      </c>
      <c r="AS49" s="1">
        <v>0.95042396900000004</v>
      </c>
      <c r="AT49" s="1">
        <v>0.93854248299999998</v>
      </c>
      <c r="AU49" s="1">
        <v>1.032038708</v>
      </c>
      <c r="AV49" s="1">
        <v>1.027940066</v>
      </c>
    </row>
    <row r="50" spans="1:48" x14ac:dyDescent="0.3">
      <c r="A50" s="1" t="s">
        <v>220</v>
      </c>
      <c r="B50" s="5" t="str">
        <f>IF(OR(RIGHT(A50,1)="A",RIGHT(A50,1)="T"),"A/T","G/C")</f>
        <v>G/C</v>
      </c>
      <c r="C50" s="1">
        <v>1.4856890309999999</v>
      </c>
      <c r="D50" s="1">
        <v>0.96350240300000001</v>
      </c>
      <c r="E50" s="1">
        <v>1.1590867730000001</v>
      </c>
      <c r="F50" s="1">
        <v>0</v>
      </c>
      <c r="G50" s="1">
        <v>0.61880212899999998</v>
      </c>
      <c r="H50" s="1">
        <v>0.22214424199999999</v>
      </c>
      <c r="I50" s="1">
        <v>0.74001030800000001</v>
      </c>
      <c r="J50" s="1">
        <v>1.490326375</v>
      </c>
      <c r="K50" s="1">
        <v>0.346817763</v>
      </c>
      <c r="L50" s="1">
        <v>0.22686546899999999</v>
      </c>
      <c r="M50" s="1">
        <v>1.2982393320000001</v>
      </c>
      <c r="N50" s="1">
        <v>0.20895160800000001</v>
      </c>
      <c r="O50" s="1">
        <v>0.29868513600000002</v>
      </c>
      <c r="P50" s="1">
        <v>1.5422444479999999</v>
      </c>
      <c r="Q50" s="1">
        <v>1.365607528</v>
      </c>
      <c r="R50" s="1">
        <v>2.5270741490000002</v>
      </c>
      <c r="S50" s="1">
        <v>0.97450510400000001</v>
      </c>
      <c r="T50" s="1">
        <v>1.395508049</v>
      </c>
      <c r="U50" s="1">
        <v>0.57227702800000002</v>
      </c>
      <c r="V50" s="1">
        <v>0.96418473100000002</v>
      </c>
      <c r="W50" s="1">
        <v>0.80174315699999998</v>
      </c>
      <c r="X50" s="1">
        <v>0.59584695300000001</v>
      </c>
      <c r="Y50" s="1">
        <v>1.1391654689999999</v>
      </c>
      <c r="Z50" s="1">
        <v>0.46036791900000001</v>
      </c>
      <c r="AA50" s="1">
        <v>0.78400876200000003</v>
      </c>
      <c r="AB50" s="1">
        <v>1.4928939080000001</v>
      </c>
      <c r="AC50" s="1">
        <v>0.43411851699999998</v>
      </c>
      <c r="AD50" s="1">
        <v>0.424732897</v>
      </c>
      <c r="AE50" s="1">
        <v>0.28186503299999999</v>
      </c>
      <c r="AF50" s="1">
        <v>0.947628056</v>
      </c>
      <c r="AG50" s="1">
        <v>0.61651910499999996</v>
      </c>
      <c r="AH50" s="1">
        <v>0.78802100799999997</v>
      </c>
      <c r="AI50" s="1">
        <v>0.67520110700000002</v>
      </c>
      <c r="AJ50" s="1">
        <v>1.323638646</v>
      </c>
      <c r="AK50" s="1">
        <v>0.88743531399999998</v>
      </c>
      <c r="AL50" s="1">
        <v>0.84982683599999997</v>
      </c>
      <c r="AM50" s="1">
        <v>0.95496200799999997</v>
      </c>
      <c r="AN50" s="1">
        <v>1.451453552</v>
      </c>
      <c r="AO50" s="1">
        <v>0.40342717299999997</v>
      </c>
      <c r="AP50" s="1">
        <v>1.7469457589999999</v>
      </c>
      <c r="AQ50" s="1">
        <v>0.36660194200000001</v>
      </c>
      <c r="AR50" s="1">
        <v>1.0558537299999999</v>
      </c>
      <c r="AS50" s="1">
        <v>1.844404154</v>
      </c>
      <c r="AT50" s="1">
        <v>1.811895966</v>
      </c>
      <c r="AU50" s="1">
        <v>1.9887939969999999</v>
      </c>
      <c r="AV50" s="1">
        <v>1.998807679</v>
      </c>
    </row>
    <row r="51" spans="1:48" x14ac:dyDescent="0.3">
      <c r="A51" s="1" t="s">
        <v>221</v>
      </c>
      <c r="B51" s="5" t="str">
        <f>IF(OR(RIGHT(A51,1)="A",RIGHT(A51,1)="T"),"A/T","G/C")</f>
        <v>A/T</v>
      </c>
      <c r="C51" s="1">
        <v>1.034767236</v>
      </c>
      <c r="D51" s="1">
        <v>1.2168713289999999</v>
      </c>
      <c r="E51" s="1">
        <v>0.50588614099999996</v>
      </c>
      <c r="F51" s="1">
        <v>0</v>
      </c>
      <c r="G51" s="1">
        <v>1.583721028</v>
      </c>
      <c r="H51" s="1">
        <v>1.6675962689999999</v>
      </c>
      <c r="I51" s="1">
        <v>1.813365401</v>
      </c>
      <c r="J51" s="1">
        <v>1.033751922</v>
      </c>
      <c r="K51" s="1">
        <v>2.0236658319999998</v>
      </c>
      <c r="L51" s="1">
        <v>2.082252333</v>
      </c>
      <c r="M51" s="1">
        <v>0.72623097599999997</v>
      </c>
      <c r="N51" s="1">
        <v>1.9461571070000001</v>
      </c>
      <c r="O51" s="1">
        <v>2.289053623</v>
      </c>
      <c r="P51" s="1">
        <v>0.84405913600000004</v>
      </c>
      <c r="Q51" s="1">
        <v>0.80540024499999996</v>
      </c>
      <c r="R51" s="1">
        <v>0.20251945099999999</v>
      </c>
      <c r="S51" s="1">
        <v>1.0675592140000001</v>
      </c>
      <c r="T51" s="1">
        <v>0.57804401500000002</v>
      </c>
      <c r="U51" s="1">
        <v>2.2341453590000002</v>
      </c>
      <c r="V51" s="1">
        <v>1.2182332279999999</v>
      </c>
      <c r="W51" s="1">
        <v>1.2437423400000001</v>
      </c>
      <c r="X51" s="1">
        <v>1.6613151319999999</v>
      </c>
      <c r="Y51" s="1">
        <v>0.86483336499999997</v>
      </c>
      <c r="Z51" s="1">
        <v>1.9373599459999999</v>
      </c>
      <c r="AA51" s="1">
        <v>1.2842278199999999</v>
      </c>
      <c r="AB51" s="1">
        <v>0.69601290599999999</v>
      </c>
      <c r="AC51" s="1">
        <v>0.43874244299999998</v>
      </c>
      <c r="AD51" s="1">
        <v>0.44115770999999998</v>
      </c>
      <c r="AE51" s="1">
        <v>1.3280850550000001</v>
      </c>
      <c r="AF51" s="1">
        <v>1.172154506</v>
      </c>
      <c r="AG51" s="1">
        <v>1.636974237</v>
      </c>
      <c r="AH51" s="1">
        <v>1.630722241</v>
      </c>
      <c r="AI51" s="1">
        <v>2.0646137879999999</v>
      </c>
      <c r="AJ51" s="1">
        <v>0.98551027899999999</v>
      </c>
      <c r="AK51" s="1">
        <v>1.452618505</v>
      </c>
      <c r="AL51" s="1">
        <v>1.2378819700000001</v>
      </c>
      <c r="AM51" s="1">
        <v>1.1481924939999999</v>
      </c>
      <c r="AN51" s="1">
        <v>1.0540765030000001</v>
      </c>
      <c r="AO51" s="1">
        <v>2.284781722</v>
      </c>
      <c r="AP51" s="1">
        <v>0.84743497199999995</v>
      </c>
      <c r="AQ51" s="1">
        <v>1.8723994450000001</v>
      </c>
      <c r="AR51" s="1">
        <v>0.97269242099999997</v>
      </c>
      <c r="AS51" s="1">
        <v>0.736955845</v>
      </c>
      <c r="AT51" s="1">
        <v>0.766558454</v>
      </c>
      <c r="AU51" s="1">
        <v>0.61091830899999999</v>
      </c>
      <c r="AV51" s="1">
        <v>0.60263900500000001</v>
      </c>
    </row>
    <row r="52" spans="1:48" x14ac:dyDescent="0.3">
      <c r="A52" s="1" t="s">
        <v>222</v>
      </c>
      <c r="B52" s="5" t="str">
        <f>IF(OR(RIGHT(A52,1)="A",RIGHT(A52,1)="T"),"A/T","G/C")</f>
        <v>A/T</v>
      </c>
      <c r="C52" s="1">
        <v>1.919972164</v>
      </c>
      <c r="D52" s="1">
        <v>2.0782828279999999</v>
      </c>
      <c r="E52" s="1">
        <v>0</v>
      </c>
      <c r="F52" s="1">
        <v>2.085181452</v>
      </c>
      <c r="G52" s="1">
        <v>1.780061216</v>
      </c>
      <c r="H52" s="1">
        <v>2.230769231</v>
      </c>
      <c r="I52" s="1">
        <v>2.1804123710000001</v>
      </c>
      <c r="J52" s="1">
        <v>1.903269755</v>
      </c>
      <c r="K52" s="1">
        <v>2.1303331390000002</v>
      </c>
      <c r="L52" s="1">
        <v>2.252918288</v>
      </c>
      <c r="M52" s="1">
        <v>1.543273611</v>
      </c>
      <c r="N52" s="1">
        <v>2.192092154</v>
      </c>
      <c r="O52" s="1">
        <v>1.5634052620000001</v>
      </c>
      <c r="P52" s="1">
        <v>1.475363679</v>
      </c>
      <c r="Q52" s="1">
        <v>1.6434195730000001</v>
      </c>
      <c r="R52" s="1">
        <v>1.163250366</v>
      </c>
      <c r="S52" s="1">
        <v>1.7580231070000001</v>
      </c>
      <c r="T52" s="1">
        <v>0.93977231000000006</v>
      </c>
      <c r="U52" s="1">
        <v>2.1462815000000002</v>
      </c>
      <c r="V52" s="1">
        <v>2.0730478589999999</v>
      </c>
      <c r="W52" s="1">
        <v>1.7619274810000001</v>
      </c>
      <c r="X52" s="1">
        <v>1.7491961410000001</v>
      </c>
      <c r="Y52" s="1">
        <v>1.8509581260000001</v>
      </c>
      <c r="Z52" s="1">
        <v>2.0953124999999999</v>
      </c>
      <c r="AA52" s="1">
        <v>1.8931419460000001</v>
      </c>
      <c r="AB52" s="1">
        <v>1.224358974</v>
      </c>
      <c r="AC52" s="1">
        <v>1.5512708150000001</v>
      </c>
      <c r="AD52" s="1">
        <v>1.5544327060000001</v>
      </c>
      <c r="AE52" s="1">
        <v>2.0772908370000001</v>
      </c>
      <c r="AF52" s="1">
        <v>1.7119036590000001</v>
      </c>
      <c r="AG52" s="1">
        <v>1.7744401970000001</v>
      </c>
      <c r="AH52" s="1">
        <v>1.911990549</v>
      </c>
      <c r="AI52" s="1">
        <v>2.034660422</v>
      </c>
      <c r="AJ52" s="1">
        <v>1.8465824669999999</v>
      </c>
      <c r="AK52" s="1">
        <v>2.0032756200000001</v>
      </c>
      <c r="AL52" s="1">
        <v>1.766606822</v>
      </c>
      <c r="AM52" s="1">
        <v>1.713254751</v>
      </c>
      <c r="AN52" s="1">
        <v>2.2693779900000002</v>
      </c>
      <c r="AO52" s="1">
        <v>1.967555041</v>
      </c>
      <c r="AP52" s="1">
        <v>1.6222509700000001</v>
      </c>
      <c r="AQ52" s="1">
        <v>2.142416452</v>
      </c>
      <c r="AR52" s="1">
        <v>1.758893281</v>
      </c>
      <c r="AS52" s="1">
        <v>0</v>
      </c>
      <c r="AT52" s="1">
        <v>0</v>
      </c>
      <c r="AU52" s="1">
        <v>0</v>
      </c>
      <c r="AV52" s="1">
        <v>0</v>
      </c>
    </row>
    <row r="53" spans="1:48" x14ac:dyDescent="0.3">
      <c r="A53" s="1" t="s">
        <v>223</v>
      </c>
      <c r="B53" s="5" t="str">
        <f>IF(OR(RIGHT(A53,1)="A",RIGHT(A53,1)="T"),"A/T","G/C")</f>
        <v>G/C</v>
      </c>
      <c r="C53" s="1">
        <v>0.86431683199999998</v>
      </c>
      <c r="D53" s="1">
        <v>0.39966927899999999</v>
      </c>
      <c r="E53" s="1">
        <v>1.0473104339999999</v>
      </c>
      <c r="F53" s="1">
        <v>0.66612523999999995</v>
      </c>
      <c r="G53" s="1">
        <v>0.26224508099999999</v>
      </c>
      <c r="H53" s="1">
        <v>0.36402853800000001</v>
      </c>
      <c r="I53" s="1">
        <v>0.37717683699999999</v>
      </c>
      <c r="J53" s="1">
        <v>0.855793531</v>
      </c>
      <c r="K53" s="1">
        <v>0.55076719100000004</v>
      </c>
      <c r="L53" s="1">
        <v>0.328121995</v>
      </c>
      <c r="M53" s="1">
        <v>0.61617297800000004</v>
      </c>
      <c r="N53" s="1">
        <v>0.242165505</v>
      </c>
      <c r="O53" s="1">
        <v>0.18164100599999999</v>
      </c>
      <c r="P53" s="1">
        <v>0.59610555399999998</v>
      </c>
      <c r="Q53" s="1">
        <v>0.73300102199999995</v>
      </c>
      <c r="R53" s="1">
        <v>1.540519599</v>
      </c>
      <c r="S53" s="1">
        <v>0.573312449</v>
      </c>
      <c r="T53" s="1">
        <v>0.83167113500000001</v>
      </c>
      <c r="U53" s="1">
        <v>0.68767605600000004</v>
      </c>
      <c r="V53" s="1">
        <v>0.40025883499999998</v>
      </c>
      <c r="W53" s="1">
        <v>1.3689049740000001</v>
      </c>
      <c r="X53" s="1">
        <v>0.80136386699999995</v>
      </c>
      <c r="Y53" s="1">
        <v>0.60888901799999995</v>
      </c>
      <c r="Z53" s="1">
        <v>0.86294963999999996</v>
      </c>
      <c r="AA53" s="1">
        <v>1.332482951</v>
      </c>
      <c r="AB53" s="1">
        <v>1.2421355190000001</v>
      </c>
      <c r="AC53" s="1">
        <v>0.83772683100000001</v>
      </c>
      <c r="AD53" s="1">
        <v>0.84454462799999996</v>
      </c>
      <c r="AE53" s="1">
        <v>0.25821329100000001</v>
      </c>
      <c r="AF53" s="1">
        <v>0.35567516500000002</v>
      </c>
      <c r="AG53" s="1">
        <v>0.51621544799999997</v>
      </c>
      <c r="AH53" s="1">
        <v>0.28335363600000002</v>
      </c>
      <c r="AI53" s="1">
        <v>0.68297830800000003</v>
      </c>
      <c r="AJ53" s="1">
        <v>0.62869047199999994</v>
      </c>
      <c r="AK53" s="1">
        <v>0.68392048000000005</v>
      </c>
      <c r="AL53" s="1">
        <v>0.49551579600000001</v>
      </c>
      <c r="AM53" s="1">
        <v>0.50347759599999997</v>
      </c>
      <c r="AN53" s="1">
        <v>0.39994304200000003</v>
      </c>
      <c r="AO53" s="1">
        <v>0.86958316099999999</v>
      </c>
      <c r="AP53" s="1">
        <v>1.1153327</v>
      </c>
      <c r="AQ53" s="1">
        <v>0.27399126499999998</v>
      </c>
      <c r="AR53" s="1">
        <v>0.54585464500000003</v>
      </c>
      <c r="AS53" s="1">
        <v>1.1400683680000001</v>
      </c>
      <c r="AT53" s="1">
        <v>1.115120723</v>
      </c>
      <c r="AU53" s="1">
        <v>1.237425738</v>
      </c>
      <c r="AV53" s="1">
        <v>1.245175192</v>
      </c>
    </row>
    <row r="54" spans="1:48" x14ac:dyDescent="0.3">
      <c r="A54" s="1" t="s">
        <v>224</v>
      </c>
      <c r="B54" s="5" t="str">
        <f>IF(OR(RIGHT(A54,1)="A",RIGHT(A54,1)="T"),"A/T","G/C")</f>
        <v>G/C</v>
      </c>
      <c r="C54" s="1">
        <v>0.21294363299999999</v>
      </c>
      <c r="D54" s="1">
        <v>0.54419191899999997</v>
      </c>
      <c r="E54" s="1">
        <v>0</v>
      </c>
      <c r="F54" s="1">
        <v>0.59122983900000003</v>
      </c>
      <c r="G54" s="1">
        <v>0.775251421</v>
      </c>
      <c r="H54" s="1">
        <v>0.63568376100000001</v>
      </c>
      <c r="I54" s="1">
        <v>0.57547864500000001</v>
      </c>
      <c r="J54" s="1">
        <v>0.226839237</v>
      </c>
      <c r="K54" s="1">
        <v>0.67504383400000001</v>
      </c>
      <c r="L54" s="1">
        <v>0.64626812899999997</v>
      </c>
      <c r="M54" s="1">
        <v>0.91375645299999997</v>
      </c>
      <c r="N54" s="1">
        <v>0.66780821899999998</v>
      </c>
      <c r="O54" s="1">
        <v>0.59592078000000004</v>
      </c>
      <c r="P54" s="1">
        <v>0.52979821699999996</v>
      </c>
      <c r="Q54" s="1">
        <v>0.416197975</v>
      </c>
      <c r="R54" s="1">
        <v>0.77452415799999996</v>
      </c>
      <c r="S54" s="1">
        <v>0.79910141199999996</v>
      </c>
      <c r="T54" s="1">
        <v>0.55857510099999996</v>
      </c>
      <c r="U54" s="1">
        <v>0.19360786699999999</v>
      </c>
      <c r="V54" s="1">
        <v>0.54659949600000002</v>
      </c>
      <c r="W54" s="1">
        <v>0.73998091600000004</v>
      </c>
      <c r="X54" s="1">
        <v>0.80707395500000001</v>
      </c>
      <c r="Y54" s="1">
        <v>0.44073811200000002</v>
      </c>
      <c r="Z54" s="1">
        <v>0.6640625</v>
      </c>
      <c r="AA54" s="1">
        <v>0.69218500800000005</v>
      </c>
      <c r="AB54" s="1">
        <v>1.459935897</v>
      </c>
      <c r="AC54" s="1">
        <v>0.60473269100000004</v>
      </c>
      <c r="AD54" s="1">
        <v>0.63389986200000004</v>
      </c>
      <c r="AE54" s="1">
        <v>0.74462151399999998</v>
      </c>
      <c r="AF54" s="1">
        <v>0.762853173</v>
      </c>
      <c r="AG54" s="1">
        <v>0.97323866699999995</v>
      </c>
      <c r="AH54" s="1">
        <v>0.29060838700000002</v>
      </c>
      <c r="AI54" s="1">
        <v>0.49882904</v>
      </c>
      <c r="AJ54" s="1">
        <v>0.186106984</v>
      </c>
      <c r="AK54" s="1">
        <v>0.30744033700000001</v>
      </c>
      <c r="AL54" s="1">
        <v>0.39228007199999998</v>
      </c>
      <c r="AM54" s="1">
        <v>0.44382968499999997</v>
      </c>
      <c r="AN54" s="1">
        <v>0.43492823000000003</v>
      </c>
      <c r="AO54" s="1">
        <v>0.72479721900000005</v>
      </c>
      <c r="AP54" s="1">
        <v>1.0614489</v>
      </c>
      <c r="AQ54" s="1">
        <v>0.61233933200000001</v>
      </c>
      <c r="AR54" s="1">
        <v>0.229249012</v>
      </c>
      <c r="AS54" s="1">
        <v>0</v>
      </c>
      <c r="AT54" s="1">
        <v>0</v>
      </c>
      <c r="AU54" s="1">
        <v>0</v>
      </c>
      <c r="AV54" s="1">
        <v>0</v>
      </c>
    </row>
    <row r="55" spans="1:48" x14ac:dyDescent="0.3">
      <c r="A55" s="1" t="s">
        <v>225</v>
      </c>
      <c r="B55" s="5" t="str">
        <f>IF(OR(RIGHT(A55,1)="A",RIGHT(A55,1)="T"),"A/T","G/C")</f>
        <v>A/T</v>
      </c>
      <c r="C55" s="1">
        <v>1.1356831679999999</v>
      </c>
      <c r="D55" s="1">
        <v>1.600330721</v>
      </c>
      <c r="E55" s="1">
        <v>0.95268956599999999</v>
      </c>
      <c r="F55" s="1">
        <v>1.33387476</v>
      </c>
      <c r="G55" s="1">
        <v>1.7377549189999999</v>
      </c>
      <c r="H55" s="1">
        <v>1.6359714620000001</v>
      </c>
      <c r="I55" s="1">
        <v>1.6228231630000001</v>
      </c>
      <c r="J55" s="1">
        <v>1.144206469</v>
      </c>
      <c r="K55" s="1">
        <v>1.449232809</v>
      </c>
      <c r="L55" s="1">
        <v>1.6718780049999999</v>
      </c>
      <c r="M55" s="1">
        <v>1.383827022</v>
      </c>
      <c r="N55" s="1">
        <v>1.757834495</v>
      </c>
      <c r="O55" s="1">
        <v>1.818358994</v>
      </c>
      <c r="P55" s="1">
        <v>1.403894446</v>
      </c>
      <c r="Q55" s="1">
        <v>1.2669989779999999</v>
      </c>
      <c r="R55" s="1">
        <v>0.45948040099999998</v>
      </c>
      <c r="S55" s="1">
        <v>1.4266875510000001</v>
      </c>
      <c r="T55" s="1">
        <v>1.1683288650000001</v>
      </c>
      <c r="U55" s="1">
        <v>1.3123239440000001</v>
      </c>
      <c r="V55" s="1">
        <v>1.599741165</v>
      </c>
      <c r="W55" s="1">
        <v>0.631095026</v>
      </c>
      <c r="X55" s="1">
        <v>1.1986361329999999</v>
      </c>
      <c r="Y55" s="1">
        <v>1.3911109820000001</v>
      </c>
      <c r="Z55" s="1">
        <v>1.1370503599999999</v>
      </c>
      <c r="AA55" s="1">
        <v>0.66751704899999997</v>
      </c>
      <c r="AB55" s="1">
        <v>0.75786448100000003</v>
      </c>
      <c r="AC55" s="1">
        <v>1.1622731690000001</v>
      </c>
      <c r="AD55" s="1">
        <v>1.155455372</v>
      </c>
      <c r="AE55" s="1">
        <v>1.7417867090000001</v>
      </c>
      <c r="AF55" s="1">
        <v>1.6443248349999999</v>
      </c>
      <c r="AG55" s="1">
        <v>1.4837845519999999</v>
      </c>
      <c r="AH55" s="1">
        <v>1.716646364</v>
      </c>
      <c r="AI55" s="1">
        <v>1.317021692</v>
      </c>
      <c r="AJ55" s="1">
        <v>1.3713095280000001</v>
      </c>
      <c r="AK55" s="1">
        <v>1.3160795199999999</v>
      </c>
      <c r="AL55" s="1">
        <v>1.5044842039999999</v>
      </c>
      <c r="AM55" s="1">
        <v>1.496522404</v>
      </c>
      <c r="AN55" s="1">
        <v>1.6000569579999999</v>
      </c>
      <c r="AO55" s="1">
        <v>1.130416839</v>
      </c>
      <c r="AP55" s="1">
        <v>0.88466730000000005</v>
      </c>
      <c r="AQ55" s="1">
        <v>1.726008735</v>
      </c>
      <c r="AR55" s="1">
        <v>1.4541453550000001</v>
      </c>
      <c r="AS55" s="1">
        <v>0.859931632</v>
      </c>
      <c r="AT55" s="1">
        <v>0.88487927700000002</v>
      </c>
      <c r="AU55" s="1">
        <v>0.762574262</v>
      </c>
      <c r="AV55" s="1">
        <v>0.75482480799999996</v>
      </c>
    </row>
    <row r="56" spans="1:48" x14ac:dyDescent="0.3">
      <c r="A56" s="1" t="s">
        <v>226</v>
      </c>
      <c r="B56" s="5" t="str">
        <f>IF(OR(RIGHT(A56,1)="A",RIGHT(A56,1)="T"),"A/T","G/C")</f>
        <v>A/T</v>
      </c>
      <c r="C56" s="1">
        <v>0.73198527000000002</v>
      </c>
      <c r="D56" s="1">
        <v>1.3648172999999999</v>
      </c>
      <c r="E56" s="1">
        <v>0</v>
      </c>
      <c r="F56" s="1">
        <v>0</v>
      </c>
      <c r="G56" s="1">
        <v>1.672433622</v>
      </c>
      <c r="H56" s="1">
        <v>1.688362991</v>
      </c>
      <c r="I56" s="1">
        <v>2.0111322450000002</v>
      </c>
      <c r="J56" s="1">
        <v>0.73805382799999997</v>
      </c>
      <c r="K56" s="1">
        <v>1.5680134779999999</v>
      </c>
      <c r="L56" s="1">
        <v>1.9386101419999999</v>
      </c>
      <c r="M56" s="1">
        <v>0.71140616000000001</v>
      </c>
      <c r="N56" s="1">
        <v>1.896480266</v>
      </c>
      <c r="O56" s="1">
        <v>1.8137184850000001</v>
      </c>
      <c r="P56" s="1">
        <v>0.40806788199999999</v>
      </c>
      <c r="Q56" s="1">
        <v>0.45029607599999999</v>
      </c>
      <c r="R56" s="1">
        <v>0.12895183499999999</v>
      </c>
      <c r="S56" s="1">
        <v>1.0289047899999999</v>
      </c>
      <c r="T56" s="1">
        <v>0.72152671800000001</v>
      </c>
      <c r="U56" s="1">
        <v>1.863101036</v>
      </c>
      <c r="V56" s="1">
        <v>1.3628493319999999</v>
      </c>
      <c r="W56" s="1">
        <v>1.0550101759999999</v>
      </c>
      <c r="X56" s="1">
        <v>1.304988461</v>
      </c>
      <c r="Y56" s="1">
        <v>0.86147662400000002</v>
      </c>
      <c r="Z56" s="1">
        <v>1.940661116</v>
      </c>
      <c r="AA56" s="1">
        <v>1.0974331159999999</v>
      </c>
      <c r="AB56" s="1">
        <v>0.24021867299999999</v>
      </c>
      <c r="AC56" s="1">
        <v>0.31406213199999999</v>
      </c>
      <c r="AD56" s="1">
        <v>0.31273651400000002</v>
      </c>
      <c r="AE56" s="1">
        <v>1.4989766680000001</v>
      </c>
      <c r="AF56" s="1">
        <v>0.68108108099999998</v>
      </c>
      <c r="AG56" s="1">
        <v>1.7742094509999999</v>
      </c>
      <c r="AH56" s="1">
        <v>0.86829652999999996</v>
      </c>
      <c r="AI56" s="1">
        <v>1.9599084179999999</v>
      </c>
      <c r="AJ56" s="1">
        <v>0.36456380900000002</v>
      </c>
      <c r="AK56" s="1">
        <v>0.32938294099999998</v>
      </c>
      <c r="AL56" s="1">
        <v>0.95357884699999995</v>
      </c>
      <c r="AM56" s="1">
        <v>0.93897909099999999</v>
      </c>
      <c r="AN56" s="1">
        <v>0.89142222299999996</v>
      </c>
      <c r="AO56" s="1">
        <v>1.6832630449999999</v>
      </c>
      <c r="AP56" s="1">
        <v>0.27977801800000002</v>
      </c>
      <c r="AQ56" s="1">
        <v>1.8139534879999999</v>
      </c>
      <c r="AR56" s="1">
        <v>0.62913132500000002</v>
      </c>
      <c r="AS56" s="1">
        <v>0.84527182899999997</v>
      </c>
      <c r="AT56" s="1">
        <v>0.86527295400000004</v>
      </c>
      <c r="AU56" s="1">
        <v>0.73393530200000001</v>
      </c>
      <c r="AV56" s="1">
        <v>0.74031275900000004</v>
      </c>
    </row>
    <row r="57" spans="1:48" x14ac:dyDescent="0.3">
      <c r="A57" s="1" t="s">
        <v>227</v>
      </c>
      <c r="B57" s="5" t="str">
        <f>IF(OR(RIGHT(A57,1)="A",RIGHT(A57,1)="T"),"A/T","G/C")</f>
        <v>G/C</v>
      </c>
      <c r="C57" s="1">
        <v>0.89447638699999998</v>
      </c>
      <c r="D57" s="1">
        <v>0.38378364700000001</v>
      </c>
      <c r="E57" s="1">
        <v>0</v>
      </c>
      <c r="F57" s="1">
        <v>0</v>
      </c>
      <c r="G57" s="1">
        <v>0.53447672400000001</v>
      </c>
      <c r="H57" s="1">
        <v>0.10654876200000001</v>
      </c>
      <c r="I57" s="1">
        <v>0.23041345499999999</v>
      </c>
      <c r="J57" s="1">
        <v>0.897661441</v>
      </c>
      <c r="K57" s="1">
        <v>0.31091875600000002</v>
      </c>
      <c r="L57" s="1">
        <v>0.22677756900000001</v>
      </c>
      <c r="M57" s="1">
        <v>1.536744117</v>
      </c>
      <c r="N57" s="1">
        <v>0.11883255600000001</v>
      </c>
      <c r="O57" s="1">
        <v>0.21618862899999999</v>
      </c>
      <c r="P57" s="1">
        <v>2.149463726</v>
      </c>
      <c r="Q57" s="1">
        <v>1.4052881589999999</v>
      </c>
      <c r="R57" s="1">
        <v>2.853521169</v>
      </c>
      <c r="S57" s="1">
        <v>1.048048785</v>
      </c>
      <c r="T57" s="1">
        <v>1.2462086509999999</v>
      </c>
      <c r="U57" s="1">
        <v>0.45461790499999999</v>
      </c>
      <c r="V57" s="1">
        <v>0.385176185</v>
      </c>
      <c r="W57" s="1">
        <v>1.2872022030000001</v>
      </c>
      <c r="X57" s="1">
        <v>0.63571809000000001</v>
      </c>
      <c r="Y57" s="1">
        <v>0.88134123099999995</v>
      </c>
      <c r="Z57" s="1">
        <v>0.366285572</v>
      </c>
      <c r="AA57" s="1">
        <v>1.25</v>
      </c>
      <c r="AB57" s="1">
        <v>1.527334119</v>
      </c>
      <c r="AC57" s="1">
        <v>1.506713078</v>
      </c>
      <c r="AD57" s="1">
        <v>1.516117449</v>
      </c>
      <c r="AE57" s="1">
        <v>0.12675671999999999</v>
      </c>
      <c r="AF57" s="1">
        <v>1.1398525799999999</v>
      </c>
      <c r="AG57" s="1">
        <v>0.31875484199999998</v>
      </c>
      <c r="AH57" s="1">
        <v>0.21275175900000001</v>
      </c>
      <c r="AI57" s="1">
        <v>0.20606001600000001</v>
      </c>
      <c r="AJ57" s="1">
        <v>1.765024081</v>
      </c>
      <c r="AK57" s="1">
        <v>1.2139479230000001</v>
      </c>
      <c r="AL57" s="1">
        <v>1.1219214660000001</v>
      </c>
      <c r="AM57" s="1">
        <v>1.2412353810000001</v>
      </c>
      <c r="AN57" s="1">
        <v>0.91395773300000005</v>
      </c>
      <c r="AO57" s="1">
        <v>0.47812676999999998</v>
      </c>
      <c r="AP57" s="1">
        <v>2.28553059</v>
      </c>
      <c r="AQ57" s="1">
        <v>0.17844364900000001</v>
      </c>
      <c r="AR57" s="1">
        <v>1.8880520620000001</v>
      </c>
      <c r="AS57" s="1">
        <v>1.274475706</v>
      </c>
      <c r="AT57" s="1">
        <v>1.2533939140000001</v>
      </c>
      <c r="AU57" s="1">
        <v>1.405873116</v>
      </c>
      <c r="AV57" s="1">
        <v>1.400983739</v>
      </c>
    </row>
    <row r="58" spans="1:48" x14ac:dyDescent="0.3">
      <c r="A58" s="1" t="s">
        <v>228</v>
      </c>
      <c r="B58" s="5" t="str">
        <f>IF(OR(RIGHT(A58,1)="A",RIGHT(A58,1)="T"),"A/T","G/C")</f>
        <v>G/C</v>
      </c>
      <c r="C58" s="1">
        <v>0.92548614299999998</v>
      </c>
      <c r="D58" s="1">
        <v>0.43923931999999999</v>
      </c>
      <c r="E58" s="1">
        <v>0</v>
      </c>
      <c r="F58" s="1">
        <v>0</v>
      </c>
      <c r="G58" s="1">
        <v>0.28531426599999998</v>
      </c>
      <c r="H58" s="1">
        <v>0.14101402499999999</v>
      </c>
      <c r="I58" s="1">
        <v>0.48629492400000002</v>
      </c>
      <c r="J58" s="1">
        <v>0.91808160599999999</v>
      </c>
      <c r="K58" s="1">
        <v>0.23266622100000001</v>
      </c>
      <c r="L58" s="1">
        <v>3.1768178000000001E-2</v>
      </c>
      <c r="M58" s="1">
        <v>0.52337419100000004</v>
      </c>
      <c r="N58" s="1">
        <v>0.10554457</v>
      </c>
      <c r="O58" s="1">
        <v>0.148514851</v>
      </c>
      <c r="P58" s="1">
        <v>0.503992844</v>
      </c>
      <c r="Q58" s="1">
        <v>1.1554128800000001</v>
      </c>
      <c r="R58" s="1">
        <v>0.60402805500000001</v>
      </c>
      <c r="S58" s="1">
        <v>0.54056299200000002</v>
      </c>
      <c r="T58" s="1">
        <v>1.6082442749999999</v>
      </c>
      <c r="U58" s="1">
        <v>0.85468874500000003</v>
      </c>
      <c r="V58" s="1">
        <v>0.44030984200000001</v>
      </c>
      <c r="W58" s="1">
        <v>0.29019513899999999</v>
      </c>
      <c r="X58" s="1">
        <v>0.86525829899999995</v>
      </c>
      <c r="Y58" s="1">
        <v>0.96124391799999997</v>
      </c>
      <c r="Z58" s="1">
        <v>0.27289673199999998</v>
      </c>
      <c r="AA58" s="1">
        <v>0.28615329</v>
      </c>
      <c r="AB58" s="1">
        <v>1.837978347</v>
      </c>
      <c r="AC58" s="1">
        <v>1.26095946</v>
      </c>
      <c r="AD58" s="1">
        <v>1.279617711</v>
      </c>
      <c r="AE58" s="1">
        <v>7.1360349000000003E-2</v>
      </c>
      <c r="AF58" s="1">
        <v>0.410859951</v>
      </c>
      <c r="AG58" s="1">
        <v>0.51257130799999995</v>
      </c>
      <c r="AH58" s="1">
        <v>0.19455229299999999</v>
      </c>
      <c r="AI58" s="1">
        <v>0.36915432599999998</v>
      </c>
      <c r="AJ58" s="1">
        <v>0.19815416699999999</v>
      </c>
      <c r="AK58" s="1">
        <v>0.50150988500000004</v>
      </c>
      <c r="AL58" s="1">
        <v>0.36497312999999998</v>
      </c>
      <c r="AM58" s="1">
        <v>0.29359339499999998</v>
      </c>
      <c r="AN58" s="1">
        <v>0.65400587200000004</v>
      </c>
      <c r="AO58" s="1">
        <v>0.45093472699999998</v>
      </c>
      <c r="AP58" s="1">
        <v>0.74187872200000005</v>
      </c>
      <c r="AQ58" s="1">
        <v>0.17207066200000001</v>
      </c>
      <c r="AR58" s="1">
        <v>0.456712489</v>
      </c>
      <c r="AS58" s="1">
        <v>0.39815154800000002</v>
      </c>
      <c r="AT58" s="1">
        <v>0.38812095899999999</v>
      </c>
      <c r="AU58" s="1">
        <v>0.46507537700000001</v>
      </c>
      <c r="AV58" s="1">
        <v>0.466720896</v>
      </c>
    </row>
    <row r="59" spans="1:48" x14ac:dyDescent="0.3">
      <c r="A59" s="1" t="s">
        <v>229</v>
      </c>
      <c r="B59" s="5" t="str">
        <f>IF(OR(RIGHT(A59,1)="A",RIGHT(A59,1)="T"),"A/T","G/C")</f>
        <v>A/T</v>
      </c>
      <c r="C59" s="1">
        <v>0.87540538800000001</v>
      </c>
      <c r="D59" s="1">
        <v>1.338228964</v>
      </c>
      <c r="E59" s="1">
        <v>0</v>
      </c>
      <c r="F59" s="1">
        <v>0</v>
      </c>
      <c r="G59" s="1">
        <v>1.2870643530000001</v>
      </c>
      <c r="H59" s="1">
        <v>1.7807777330000001</v>
      </c>
      <c r="I59" s="1">
        <v>1.25766343</v>
      </c>
      <c r="J59" s="1">
        <v>0.86973386200000002</v>
      </c>
      <c r="K59" s="1">
        <v>1.5357713420000001</v>
      </c>
      <c r="L59" s="1">
        <v>1.538824792</v>
      </c>
      <c r="M59" s="1">
        <v>0.95573645900000004</v>
      </c>
      <c r="N59" s="1">
        <v>1.5073321209999999</v>
      </c>
      <c r="O59" s="1">
        <v>1.278758804</v>
      </c>
      <c r="P59" s="1">
        <v>0.64435078999999995</v>
      </c>
      <c r="Q59" s="1">
        <v>0.65006615599999995</v>
      </c>
      <c r="R59" s="1">
        <v>0.19960049899999999</v>
      </c>
      <c r="S59" s="1">
        <v>1.1505654460000001</v>
      </c>
      <c r="T59" s="1">
        <v>0.69078880399999998</v>
      </c>
      <c r="U59" s="1">
        <v>0.95829274799999997</v>
      </c>
      <c r="V59" s="1">
        <v>1.338092345</v>
      </c>
      <c r="W59" s="1">
        <v>0.72764276299999997</v>
      </c>
      <c r="X59" s="1">
        <v>0.707260785</v>
      </c>
      <c r="Y59" s="1">
        <v>1.2191030249999999</v>
      </c>
      <c r="Z59" s="1">
        <v>1.1482540080000001</v>
      </c>
      <c r="AA59" s="1">
        <v>0.731200289</v>
      </c>
      <c r="AB59" s="1">
        <v>0.50519884199999998</v>
      </c>
      <c r="AC59" s="1">
        <v>0.61132193999999995</v>
      </c>
      <c r="AD59" s="1">
        <v>0.61851227799999997</v>
      </c>
      <c r="AE59" s="1">
        <v>2.089780325</v>
      </c>
      <c r="AF59" s="1">
        <v>1.7159705160000001</v>
      </c>
      <c r="AG59" s="1">
        <v>1.4891189520000001</v>
      </c>
      <c r="AH59" s="1">
        <v>1.4524993930000001</v>
      </c>
      <c r="AI59" s="1">
        <v>1.345235776</v>
      </c>
      <c r="AJ59" s="1">
        <v>1.369000451</v>
      </c>
      <c r="AK59" s="1">
        <v>0.87977892999999996</v>
      </c>
      <c r="AL59" s="1">
        <v>1.347631136</v>
      </c>
      <c r="AM59" s="1">
        <v>1.337629779</v>
      </c>
      <c r="AN59" s="1">
        <v>1.1875578600000001</v>
      </c>
      <c r="AO59" s="1">
        <v>0.99232076499999999</v>
      </c>
      <c r="AP59" s="1">
        <v>0.67142663800000002</v>
      </c>
      <c r="AQ59" s="1">
        <v>1.8407871200000001</v>
      </c>
      <c r="AR59" s="1">
        <v>1.1994735299999999</v>
      </c>
      <c r="AS59" s="1">
        <v>1.1232462919999999</v>
      </c>
      <c r="AT59" s="1">
        <v>1.1421668890000001</v>
      </c>
      <c r="AU59" s="1">
        <v>0.98828517599999999</v>
      </c>
      <c r="AV59" s="1">
        <v>0.98088019500000001</v>
      </c>
    </row>
    <row r="60" spans="1:48" x14ac:dyDescent="0.3">
      <c r="A60" s="1" t="s">
        <v>230</v>
      </c>
      <c r="B60" s="5" t="str">
        <f>IF(OR(RIGHT(A60,1)="A",RIGHT(A60,1)="T"),"A/T","G/C")</f>
        <v>A/T</v>
      </c>
      <c r="C60" s="1">
        <v>0.867084203</v>
      </c>
      <c r="D60" s="1">
        <v>0.37752525300000001</v>
      </c>
      <c r="E60" s="1">
        <v>0</v>
      </c>
      <c r="F60" s="1">
        <v>0.32358871</v>
      </c>
      <c r="G60" s="1">
        <v>0.444687363</v>
      </c>
      <c r="H60" s="1">
        <v>0.13354700899999999</v>
      </c>
      <c r="I60" s="1">
        <v>0.244108984</v>
      </c>
      <c r="J60" s="1">
        <v>0.86989100799999997</v>
      </c>
      <c r="K60" s="1">
        <v>0.194623027</v>
      </c>
      <c r="L60" s="1">
        <v>0.100813583</v>
      </c>
      <c r="M60" s="1">
        <v>0.54296993599999999</v>
      </c>
      <c r="N60" s="1">
        <v>0.140099626</v>
      </c>
      <c r="O60" s="1">
        <v>0.840673958</v>
      </c>
      <c r="P60" s="1">
        <v>0.99483810399999995</v>
      </c>
      <c r="Q60" s="1">
        <v>0.94038245200000004</v>
      </c>
      <c r="R60" s="1">
        <v>1.0622254760000001</v>
      </c>
      <c r="S60" s="1">
        <v>0.44287548100000002</v>
      </c>
      <c r="T60" s="1">
        <v>1.5016525890000001</v>
      </c>
      <c r="U60" s="1">
        <v>0.66011063299999995</v>
      </c>
      <c r="V60" s="1">
        <v>0.38035264499999999</v>
      </c>
      <c r="W60" s="1">
        <v>0.49809160299999999</v>
      </c>
      <c r="X60" s="1">
        <v>0.44372990400000001</v>
      </c>
      <c r="Y60" s="1">
        <v>0.708303762</v>
      </c>
      <c r="Z60" s="1">
        <v>0.24062500000000001</v>
      </c>
      <c r="AA60" s="1">
        <v>0.41467304599999999</v>
      </c>
      <c r="AB60" s="1">
        <v>0.315705128</v>
      </c>
      <c r="AC60" s="1">
        <v>0.84399649399999999</v>
      </c>
      <c r="AD60" s="1">
        <v>0.81166743200000002</v>
      </c>
      <c r="AE60" s="1">
        <v>0.17808764899999999</v>
      </c>
      <c r="AF60" s="1">
        <v>0.52524316800000004</v>
      </c>
      <c r="AG60" s="1">
        <v>0.252321136</v>
      </c>
      <c r="AH60" s="1">
        <v>0.79740106300000002</v>
      </c>
      <c r="AI60" s="1">
        <v>0.466510539</v>
      </c>
      <c r="AJ60" s="1">
        <v>0.96731054999999999</v>
      </c>
      <c r="AK60" s="1">
        <v>0.68928404300000001</v>
      </c>
      <c r="AL60" s="1">
        <v>0.841113106</v>
      </c>
      <c r="AM60" s="1">
        <v>0.84291556400000001</v>
      </c>
      <c r="AN60" s="1">
        <v>0.29569378000000002</v>
      </c>
      <c r="AO60" s="1">
        <v>0.30764774</v>
      </c>
      <c r="AP60" s="1">
        <v>0.31630012899999999</v>
      </c>
      <c r="AQ60" s="1">
        <v>0.24524421599999999</v>
      </c>
      <c r="AR60" s="1">
        <v>1.011857708</v>
      </c>
      <c r="AS60" s="1">
        <v>0</v>
      </c>
      <c r="AT60" s="1">
        <v>0</v>
      </c>
      <c r="AU60" s="1">
        <v>0</v>
      </c>
      <c r="AV60" s="1">
        <v>0</v>
      </c>
    </row>
    <row r="61" spans="1:48" x14ac:dyDescent="0.3">
      <c r="A61" s="1" t="s">
        <v>231</v>
      </c>
      <c r="B61" s="5" t="str">
        <f>IF(OR(RIGHT(A61,1)="A",RIGHT(A61,1)="T"),"A/T","G/C")</f>
        <v>G/C</v>
      </c>
      <c r="C61" s="1">
        <v>1.115771812</v>
      </c>
      <c r="D61" s="1">
        <v>0.48141332399999998</v>
      </c>
      <c r="E61" s="1">
        <v>0</v>
      </c>
      <c r="F61" s="1">
        <v>0</v>
      </c>
      <c r="G61" s="1">
        <v>0.44686452799999998</v>
      </c>
      <c r="H61" s="1">
        <v>0.37969224699999998</v>
      </c>
      <c r="I61" s="1">
        <v>0.39532060499999999</v>
      </c>
      <c r="J61" s="1">
        <v>1.106856005</v>
      </c>
      <c r="K61" s="1">
        <v>0.52341958700000002</v>
      </c>
      <c r="L61" s="1">
        <v>0.41193853400000002</v>
      </c>
      <c r="M61" s="1">
        <v>1.370321211</v>
      </c>
      <c r="N61" s="1">
        <v>0.354415274</v>
      </c>
      <c r="O61" s="1">
        <v>0.56682629500000004</v>
      </c>
      <c r="P61" s="1">
        <v>1.0978645650000001</v>
      </c>
      <c r="Q61" s="1">
        <v>1.400677854</v>
      </c>
      <c r="R61" s="1">
        <v>1.7837008089999999</v>
      </c>
      <c r="S61" s="1">
        <v>0.83708383600000003</v>
      </c>
      <c r="T61" s="1">
        <v>1.3369278170000001</v>
      </c>
      <c r="U61" s="1">
        <v>1.1897888839999999</v>
      </c>
      <c r="V61" s="1">
        <v>0.48248027900000001</v>
      </c>
      <c r="W61" s="1">
        <v>1.556009186</v>
      </c>
      <c r="X61" s="1">
        <v>1.044376221</v>
      </c>
      <c r="Y61" s="1">
        <v>0.85404433199999996</v>
      </c>
      <c r="Z61" s="1">
        <v>0.75997544500000003</v>
      </c>
      <c r="AA61" s="1">
        <v>1.5205836370000001</v>
      </c>
      <c r="AB61" s="1">
        <v>1.7081998110000001</v>
      </c>
      <c r="AC61" s="1">
        <v>1.3503234660000001</v>
      </c>
      <c r="AD61" s="1">
        <v>1.3589664720000001</v>
      </c>
      <c r="AE61" s="1">
        <v>0.214839424</v>
      </c>
      <c r="AF61" s="1">
        <v>0.47058823500000002</v>
      </c>
      <c r="AG61" s="1">
        <v>0.55607688799999999</v>
      </c>
      <c r="AH61" s="1">
        <v>0.675710594</v>
      </c>
      <c r="AI61" s="1">
        <v>0.559615898</v>
      </c>
      <c r="AJ61" s="1">
        <v>1.0732904539999999</v>
      </c>
      <c r="AK61" s="1">
        <v>1.426221577</v>
      </c>
      <c r="AL61" s="1">
        <v>0.78891656300000002</v>
      </c>
      <c r="AM61" s="1">
        <v>0.80247702399999998</v>
      </c>
      <c r="AN61" s="1">
        <v>0.70996288900000004</v>
      </c>
      <c r="AO61" s="1">
        <v>0.69637305699999996</v>
      </c>
      <c r="AP61" s="1">
        <v>1.474956358</v>
      </c>
      <c r="AQ61" s="1">
        <v>0.328108224</v>
      </c>
      <c r="AR61" s="1">
        <v>1.116287035</v>
      </c>
      <c r="AS61" s="1">
        <v>1.0745416290000001</v>
      </c>
      <c r="AT61" s="1">
        <v>1.0508628520000001</v>
      </c>
      <c r="AU61" s="1">
        <v>1.183393897</v>
      </c>
      <c r="AV61" s="1">
        <v>1.1807198109999999</v>
      </c>
    </row>
    <row r="62" spans="1:48" x14ac:dyDescent="0.3">
      <c r="A62" s="1" t="s">
        <v>232</v>
      </c>
      <c r="B62" s="5" t="str">
        <f>IF(OR(RIGHT(A62,1)="A",RIGHT(A62,1)="T"),"A/T","G/C")</f>
        <v>A/T</v>
      </c>
      <c r="C62" s="1">
        <v>0.88422818800000003</v>
      </c>
      <c r="D62" s="1">
        <v>1.518586676</v>
      </c>
      <c r="E62" s="1">
        <v>0</v>
      </c>
      <c r="F62" s="1">
        <v>0</v>
      </c>
      <c r="G62" s="1">
        <v>1.5531354719999999</v>
      </c>
      <c r="H62" s="1">
        <v>1.6203077530000001</v>
      </c>
      <c r="I62" s="1">
        <v>1.604679395</v>
      </c>
      <c r="J62" s="1">
        <v>0.89314399499999997</v>
      </c>
      <c r="K62" s="1">
        <v>1.476580413</v>
      </c>
      <c r="L62" s="1">
        <v>1.5880614660000001</v>
      </c>
      <c r="M62" s="1">
        <v>0.62967878899999996</v>
      </c>
      <c r="N62" s="1">
        <v>1.6455847260000001</v>
      </c>
      <c r="O62" s="1">
        <v>1.433173705</v>
      </c>
      <c r="P62" s="1">
        <v>0.90213543500000004</v>
      </c>
      <c r="Q62" s="1">
        <v>0.599322146</v>
      </c>
      <c r="R62" s="1">
        <v>0.216299191</v>
      </c>
      <c r="S62" s="1">
        <v>1.1629161640000001</v>
      </c>
      <c r="T62" s="1">
        <v>0.66307218300000004</v>
      </c>
      <c r="U62" s="1">
        <v>0.81021111599999995</v>
      </c>
      <c r="V62" s="1">
        <v>1.517519721</v>
      </c>
      <c r="W62" s="1">
        <v>0.44399081400000001</v>
      </c>
      <c r="X62" s="1">
        <v>0.95562377899999995</v>
      </c>
      <c r="Y62" s="1">
        <v>1.145955668</v>
      </c>
      <c r="Z62" s="1">
        <v>1.240024555</v>
      </c>
      <c r="AA62" s="1">
        <v>0.47941636300000001</v>
      </c>
      <c r="AB62" s="1">
        <v>0.29180018899999999</v>
      </c>
      <c r="AC62" s="1">
        <v>0.64967653400000003</v>
      </c>
      <c r="AD62" s="1">
        <v>0.64103352800000002</v>
      </c>
      <c r="AE62" s="1">
        <v>1.785160576</v>
      </c>
      <c r="AF62" s="1">
        <v>1.5294117650000001</v>
      </c>
      <c r="AG62" s="1">
        <v>1.443923112</v>
      </c>
      <c r="AH62" s="1">
        <v>1.3242894059999999</v>
      </c>
      <c r="AI62" s="1">
        <v>1.4403841020000001</v>
      </c>
      <c r="AJ62" s="1">
        <v>0.926709546</v>
      </c>
      <c r="AK62" s="1">
        <v>0.57377842300000004</v>
      </c>
      <c r="AL62" s="1">
        <v>1.2110834370000001</v>
      </c>
      <c r="AM62" s="1">
        <v>1.1975229759999999</v>
      </c>
      <c r="AN62" s="1">
        <v>1.290037111</v>
      </c>
      <c r="AO62" s="1">
        <v>1.303626943</v>
      </c>
      <c r="AP62" s="1">
        <v>0.52504364199999998</v>
      </c>
      <c r="AQ62" s="1">
        <v>1.6718917760000001</v>
      </c>
      <c r="AR62" s="1">
        <v>0.88371296499999996</v>
      </c>
      <c r="AS62" s="1">
        <v>0.92545837099999995</v>
      </c>
      <c r="AT62" s="1">
        <v>0.94913714800000004</v>
      </c>
      <c r="AU62" s="1">
        <v>0.81660610300000003</v>
      </c>
      <c r="AV62" s="1">
        <v>0.81928018899999999</v>
      </c>
    </row>
    <row r="63" spans="1:48" x14ac:dyDescent="0.3">
      <c r="A63" s="1" t="s">
        <v>233</v>
      </c>
      <c r="B63" s="5" t="str">
        <f>IF(OR(RIGHT(A63,1)="A",RIGHT(A63,1)="T"),"A/T","G/C")</f>
        <v>A/T</v>
      </c>
      <c r="C63" s="1">
        <v>0.77661286900000004</v>
      </c>
      <c r="D63" s="1">
        <v>3.05269492</v>
      </c>
      <c r="E63" s="1">
        <v>0.22883842900000001</v>
      </c>
      <c r="F63" s="1">
        <v>2.3500854119999999</v>
      </c>
      <c r="G63" s="1">
        <v>1.9988413039999999</v>
      </c>
      <c r="H63" s="1">
        <v>3.791901427</v>
      </c>
      <c r="I63" s="1">
        <v>3.6203941629999998</v>
      </c>
      <c r="J63" s="1">
        <v>0.777245254</v>
      </c>
      <c r="K63" s="1">
        <v>2.92057345</v>
      </c>
      <c r="L63" s="1">
        <v>3.943232064</v>
      </c>
      <c r="M63" s="1">
        <v>0.69136827499999998</v>
      </c>
      <c r="N63" s="1">
        <v>4.00723275</v>
      </c>
      <c r="O63" s="1">
        <v>3.0009732179999999</v>
      </c>
      <c r="P63" s="1">
        <v>0.50239283800000001</v>
      </c>
      <c r="Q63" s="1">
        <v>0.55281045200000001</v>
      </c>
      <c r="R63" s="1">
        <v>9.5151482999999995E-2</v>
      </c>
      <c r="S63" s="1">
        <v>0.73682332399999995</v>
      </c>
      <c r="T63" s="1">
        <v>0.20832404500000001</v>
      </c>
      <c r="U63" s="1">
        <v>0.51335075600000002</v>
      </c>
      <c r="V63" s="1">
        <v>3.048616091</v>
      </c>
      <c r="W63" s="1">
        <v>0.64099338100000003</v>
      </c>
      <c r="X63" s="1">
        <v>0.77906615599999995</v>
      </c>
      <c r="Y63" s="1">
        <v>0.85896393100000001</v>
      </c>
      <c r="Z63" s="1">
        <v>2.0351127660000001</v>
      </c>
      <c r="AA63" s="1">
        <v>0.66914457299999996</v>
      </c>
      <c r="AB63" s="1">
        <v>7.4193767999999993E-2</v>
      </c>
      <c r="AC63" s="1">
        <v>0.48172542200000001</v>
      </c>
      <c r="AD63" s="1">
        <v>0.47264935699999999</v>
      </c>
      <c r="AE63" s="1">
        <v>3.327160154</v>
      </c>
      <c r="AF63" s="1">
        <v>2.1809529680000002</v>
      </c>
      <c r="AG63" s="1">
        <v>1.4903635310000001</v>
      </c>
      <c r="AH63" s="1">
        <v>2.6019368630000002</v>
      </c>
      <c r="AI63" s="1">
        <v>1.57018999</v>
      </c>
      <c r="AJ63" s="1">
        <v>0.411392064</v>
      </c>
      <c r="AK63" s="1">
        <v>0.56480876999999996</v>
      </c>
      <c r="AL63" s="1">
        <v>0.64977935799999997</v>
      </c>
      <c r="AM63" s="1">
        <v>0.83518630599999999</v>
      </c>
      <c r="AN63" s="1">
        <v>2.5740923859999998</v>
      </c>
      <c r="AO63" s="1">
        <v>1.9480473229999999</v>
      </c>
      <c r="AP63" s="1">
        <v>0.25352488499999998</v>
      </c>
      <c r="AQ63" s="1">
        <v>3.334886451</v>
      </c>
      <c r="AR63" s="1">
        <v>0.374460982</v>
      </c>
      <c r="AS63" s="1">
        <v>0.473371606</v>
      </c>
      <c r="AT63" s="1">
        <v>0.49946871300000001</v>
      </c>
      <c r="AU63" s="1">
        <v>0.344779365</v>
      </c>
      <c r="AV63" s="1">
        <v>0.34959584700000002</v>
      </c>
    </row>
    <row r="64" spans="1:48" x14ac:dyDescent="0.3">
      <c r="A64" s="1" t="s">
        <v>234</v>
      </c>
      <c r="B64" s="5" t="str">
        <f>IF(OR(RIGHT(A64,1)="A",RIGHT(A64,1)="T"),"A/T","G/C")</f>
        <v>G/C</v>
      </c>
      <c r="C64" s="1">
        <v>0.85343021399999996</v>
      </c>
      <c r="D64" s="1">
        <v>0.46699023099999998</v>
      </c>
      <c r="E64" s="1">
        <v>0</v>
      </c>
      <c r="F64" s="1">
        <v>0</v>
      </c>
      <c r="G64" s="1">
        <v>0.722002374</v>
      </c>
      <c r="H64" s="1">
        <v>0.356454942</v>
      </c>
      <c r="I64" s="1">
        <v>0.50668993600000001</v>
      </c>
      <c r="J64" s="1">
        <v>0.847303468</v>
      </c>
      <c r="K64" s="1">
        <v>0.43746184199999999</v>
      </c>
      <c r="L64" s="1">
        <v>0.38849024500000001</v>
      </c>
      <c r="M64" s="1">
        <v>0.90242225499999995</v>
      </c>
      <c r="N64" s="1">
        <v>0.30073771100000002</v>
      </c>
      <c r="O64" s="1">
        <v>0.33876543199999998</v>
      </c>
      <c r="P64" s="1">
        <v>0.77412138200000002</v>
      </c>
      <c r="Q64" s="1">
        <v>0.75583515700000004</v>
      </c>
      <c r="R64" s="1">
        <v>1.4233508960000001</v>
      </c>
      <c r="S64" s="1">
        <v>0.69506352800000004</v>
      </c>
      <c r="T64" s="1">
        <v>1.0939395460000001</v>
      </c>
      <c r="U64" s="1">
        <v>0.72495023199999997</v>
      </c>
      <c r="V64" s="1">
        <v>0.46724727799999999</v>
      </c>
      <c r="W64" s="1">
        <v>1.0021312490000001</v>
      </c>
      <c r="X64" s="1">
        <v>0.60008382199999999</v>
      </c>
      <c r="Y64" s="1">
        <v>0.93544934800000001</v>
      </c>
      <c r="Z64" s="1">
        <v>0.74224861799999997</v>
      </c>
      <c r="AA64" s="1">
        <v>0.98884958099999998</v>
      </c>
      <c r="AB64" s="1">
        <v>0.99102749599999995</v>
      </c>
      <c r="AC64" s="1">
        <v>1.2823967380000001</v>
      </c>
      <c r="AD64" s="1">
        <v>1.293733051</v>
      </c>
      <c r="AE64" s="1">
        <v>0.31024120799999999</v>
      </c>
      <c r="AF64" s="1">
        <v>0.448775021</v>
      </c>
      <c r="AG64" s="1">
        <v>0.452083179</v>
      </c>
      <c r="AH64" s="1">
        <v>0.16573326399999999</v>
      </c>
      <c r="AI64" s="1">
        <v>0.55836122099999996</v>
      </c>
      <c r="AJ64" s="1">
        <v>0.86454899600000001</v>
      </c>
      <c r="AK64" s="1">
        <v>0.87556857600000004</v>
      </c>
      <c r="AL64" s="1">
        <v>0.61935974199999999</v>
      </c>
      <c r="AM64" s="1">
        <v>0.63903236100000005</v>
      </c>
      <c r="AN64" s="1">
        <v>0.479892019</v>
      </c>
      <c r="AO64" s="1">
        <v>0.64719948500000002</v>
      </c>
      <c r="AP64" s="1">
        <v>1.2676881040000001</v>
      </c>
      <c r="AQ64" s="1">
        <v>0.28216082100000001</v>
      </c>
      <c r="AR64" s="1">
        <v>0.86681834999999996</v>
      </c>
      <c r="AS64" s="1">
        <v>1.0667139590000001</v>
      </c>
      <c r="AT64" s="1">
        <v>1.0469022939999999</v>
      </c>
      <c r="AU64" s="1">
        <v>1.170898386</v>
      </c>
      <c r="AV64" s="1">
        <v>1.17440078</v>
      </c>
    </row>
    <row r="65" spans="1:48" x14ac:dyDescent="0.3">
      <c r="A65" s="1" t="s">
        <v>235</v>
      </c>
      <c r="B65" s="5" t="str">
        <f>IF(OR(RIGHT(A65,1)="A",RIGHT(A65,1)="T"),"A/T","G/C")</f>
        <v>G/C</v>
      </c>
      <c r="C65" s="1">
        <v>0.76771041799999995</v>
      </c>
      <c r="D65" s="1">
        <v>1.1356485860000001</v>
      </c>
      <c r="E65" s="1">
        <v>0.32518159299999999</v>
      </c>
      <c r="F65" s="1">
        <v>0.97441065900000001</v>
      </c>
      <c r="G65" s="1">
        <v>0.84587824499999997</v>
      </c>
      <c r="H65" s="1">
        <v>0.34279395499999998</v>
      </c>
      <c r="I65" s="1">
        <v>0.59855864000000003</v>
      </c>
      <c r="J65" s="1">
        <v>0.75925709500000005</v>
      </c>
      <c r="K65" s="1">
        <v>0.90552969699999997</v>
      </c>
      <c r="L65" s="1">
        <v>0.243759806</v>
      </c>
      <c r="M65" s="1">
        <v>0.75751600100000005</v>
      </c>
      <c r="N65" s="1">
        <v>0.34530260699999998</v>
      </c>
      <c r="O65" s="1">
        <v>0.78354900299999997</v>
      </c>
      <c r="P65" s="1">
        <v>0.61268424899999996</v>
      </c>
      <c r="Q65" s="1">
        <v>0.95575725499999997</v>
      </c>
      <c r="R65" s="1">
        <v>0.27463153200000001</v>
      </c>
      <c r="S65" s="1">
        <v>0.619776612</v>
      </c>
      <c r="T65" s="1">
        <v>0.69893887399999999</v>
      </c>
      <c r="U65" s="1">
        <v>1.3098966030000001</v>
      </c>
      <c r="V65" s="1">
        <v>1.1372723360000001</v>
      </c>
      <c r="W65" s="1">
        <v>1.6524260159999999</v>
      </c>
      <c r="X65" s="1">
        <v>1.327259551</v>
      </c>
      <c r="Y65" s="1">
        <v>1.5048802379999999</v>
      </c>
      <c r="Z65" s="1">
        <v>1.7364613280000001</v>
      </c>
      <c r="AA65" s="1">
        <v>1.6435842979999999</v>
      </c>
      <c r="AB65" s="1">
        <v>0.56323989699999999</v>
      </c>
      <c r="AC65" s="1">
        <v>1.0409501269999999</v>
      </c>
      <c r="AD65" s="1">
        <v>1.0450277290000001</v>
      </c>
      <c r="AE65" s="1">
        <v>0.47303247100000001</v>
      </c>
      <c r="AF65" s="1">
        <v>1.965195429</v>
      </c>
      <c r="AG65" s="1">
        <v>1.8428159260000001</v>
      </c>
      <c r="AH65" s="1">
        <v>0.96300555200000004</v>
      </c>
      <c r="AI65" s="1">
        <v>1.6759209989999999</v>
      </c>
      <c r="AJ65" s="1">
        <v>1.322002372</v>
      </c>
      <c r="AK65" s="1">
        <v>1.047720268</v>
      </c>
      <c r="AL65" s="1">
        <v>0.63557688199999995</v>
      </c>
      <c r="AM65" s="1">
        <v>0.68226852299999996</v>
      </c>
      <c r="AN65" s="1">
        <v>1.7520271220000001</v>
      </c>
      <c r="AO65" s="1">
        <v>1.0331974829999999</v>
      </c>
      <c r="AP65" s="1">
        <v>0.87279277700000002</v>
      </c>
      <c r="AQ65" s="1">
        <v>0.76815279800000003</v>
      </c>
      <c r="AR65" s="1">
        <v>0.46654611200000001</v>
      </c>
      <c r="AS65" s="1">
        <v>0.81561903199999997</v>
      </c>
      <c r="AT65" s="1">
        <v>0.83965692300000005</v>
      </c>
      <c r="AU65" s="1">
        <v>0.71511504800000003</v>
      </c>
      <c r="AV65" s="1">
        <v>0.71472928599999996</v>
      </c>
    </row>
    <row r="66" spans="1:48" x14ac:dyDescent="0.3">
      <c r="A66" s="1" t="s">
        <v>236</v>
      </c>
      <c r="B66" s="5" t="str">
        <f>IF(OR(RIGHT(A66,1)="A",RIGHT(A66,1)="T"),"A/T","G/C")</f>
        <v>A/T</v>
      </c>
      <c r="C66" s="1">
        <v>1.1465697859999999</v>
      </c>
      <c r="D66" s="1">
        <v>1.533009769</v>
      </c>
      <c r="E66" s="1">
        <v>0</v>
      </c>
      <c r="F66" s="1">
        <v>0</v>
      </c>
      <c r="G66" s="1">
        <v>1.2779976260000001</v>
      </c>
      <c r="H66" s="1">
        <v>1.6435450579999999</v>
      </c>
      <c r="I66" s="1">
        <v>1.4933100640000001</v>
      </c>
      <c r="J66" s="1">
        <v>1.152696532</v>
      </c>
      <c r="K66" s="1">
        <v>1.562538158</v>
      </c>
      <c r="L66" s="1">
        <v>1.6115097549999999</v>
      </c>
      <c r="M66" s="1">
        <v>1.0975777449999999</v>
      </c>
      <c r="N66" s="1">
        <v>1.699262289</v>
      </c>
      <c r="O66" s="1">
        <v>1.661234568</v>
      </c>
      <c r="P66" s="1">
        <v>1.2258786180000001</v>
      </c>
      <c r="Q66" s="1">
        <v>1.2441648430000001</v>
      </c>
      <c r="R66" s="1">
        <v>0.57664910400000002</v>
      </c>
      <c r="S66" s="1">
        <v>1.3049364720000001</v>
      </c>
      <c r="T66" s="1">
        <v>0.90606045400000002</v>
      </c>
      <c r="U66" s="1">
        <v>1.2750497679999999</v>
      </c>
      <c r="V66" s="1">
        <v>1.5327527219999999</v>
      </c>
      <c r="W66" s="1">
        <v>0.99786875100000005</v>
      </c>
      <c r="X66" s="1">
        <v>1.399916178</v>
      </c>
      <c r="Y66" s="1">
        <v>1.0645506520000001</v>
      </c>
      <c r="Z66" s="1">
        <v>1.2577513819999999</v>
      </c>
      <c r="AA66" s="1">
        <v>1.011150419</v>
      </c>
      <c r="AB66" s="1">
        <v>1.0089725039999999</v>
      </c>
      <c r="AC66" s="1">
        <v>0.71760326200000002</v>
      </c>
      <c r="AD66" s="1">
        <v>0.70626694899999998</v>
      </c>
      <c r="AE66" s="1">
        <v>1.6897587919999999</v>
      </c>
      <c r="AF66" s="1">
        <v>1.5512249789999999</v>
      </c>
      <c r="AG66" s="1">
        <v>1.5479168210000001</v>
      </c>
      <c r="AH66" s="1">
        <v>1.834266736</v>
      </c>
      <c r="AI66" s="1">
        <v>1.441638779</v>
      </c>
      <c r="AJ66" s="1">
        <v>1.1354510040000001</v>
      </c>
      <c r="AK66" s="1">
        <v>1.124431424</v>
      </c>
      <c r="AL66" s="1">
        <v>1.3806402579999999</v>
      </c>
      <c r="AM66" s="1">
        <v>1.3609676390000001</v>
      </c>
      <c r="AN66" s="1">
        <v>1.520107981</v>
      </c>
      <c r="AO66" s="1">
        <v>1.352800515</v>
      </c>
      <c r="AP66" s="1">
        <v>0.73231189600000002</v>
      </c>
      <c r="AQ66" s="1">
        <v>1.717839179</v>
      </c>
      <c r="AR66" s="1">
        <v>1.13318165</v>
      </c>
      <c r="AS66" s="1">
        <v>0.93328604100000001</v>
      </c>
      <c r="AT66" s="1">
        <v>0.95309770599999999</v>
      </c>
      <c r="AU66" s="1">
        <v>0.82910161400000004</v>
      </c>
      <c r="AV66" s="1">
        <v>0.82559921999999997</v>
      </c>
    </row>
    <row r="67" spans="1:48" x14ac:dyDescent="0.3">
      <c r="A67" s="1" t="s">
        <v>237</v>
      </c>
      <c r="C67" s="1">
        <f>AVERAGEIF($B5:$B66,"A/T",C5:C66)</f>
        <v>0.9089904027812501</v>
      </c>
      <c r="D67" s="1">
        <f>AVERAGEIF($B5:$B66,"A/T",D5:D66)</f>
        <v>1.4144161355937499</v>
      </c>
      <c r="E67" s="1">
        <f>AVERAGEIF($B5:$B66,"A/T",E5:E66)</f>
        <v>0.19386721709374999</v>
      </c>
      <c r="F67" s="1">
        <f>AVERAGEIF($B5:$B66,"A/T",F5:F66)</f>
        <v>0.71684540140624986</v>
      </c>
      <c r="G67" s="1">
        <f>AVERAGEIF($B5:$B66,"A/T",G5:G66)</f>
        <v>1.4279897263437498</v>
      </c>
      <c r="H67" s="1">
        <f>AVERAGEIF($B5:$B66,"A/T",H5:H66)</f>
        <v>1.7084742300624998</v>
      </c>
      <c r="I67" s="1">
        <f>AVERAGEIF($B5:$B66,"A/T",I5:I66)</f>
        <v>1.5096558383437499</v>
      </c>
      <c r="J67" s="1">
        <f>AVERAGEIF($B5:$B66,"A/T",J5:J66)</f>
        <v>0.91146861771874998</v>
      </c>
      <c r="K67" s="1">
        <f>AVERAGEIF($B5:$B66,"A/T",K5:K66)</f>
        <v>1.5319887820625</v>
      </c>
      <c r="L67" s="1">
        <f>AVERAGEIF($B5:$B66,"A/T",L5:L66)</f>
        <v>1.6989295572499998</v>
      </c>
      <c r="M67" s="1">
        <f>AVERAGEIF($B5:$B66,"A/T",M5:M66)</f>
        <v>0.92000511503124982</v>
      </c>
      <c r="N67" s="1">
        <f>AVERAGEIF($B5:$B66,"A/T",N5:N66)</f>
        <v>1.7197576551874998</v>
      </c>
      <c r="O67" s="1">
        <f>AVERAGEIF($B5:$B66,"A/T",O5:O66)</f>
        <v>1.6101517819687503</v>
      </c>
      <c r="P67" s="1">
        <f>AVERAGEIF($B5:$B66,"A/T",P5:P66)</f>
        <v>0.87471586300000004</v>
      </c>
      <c r="Q67" s="1">
        <f>AVERAGEIF($B5:$B66,"A/T",Q5:Q66)</f>
        <v>0.79976534025000001</v>
      </c>
      <c r="R67" s="1">
        <f>AVERAGEIF($B5:$B66,"A/T",R5:R66)</f>
        <v>0.29372803356249994</v>
      </c>
      <c r="S67" s="1">
        <f>AVERAGEIF($B5:$B66,"A/T",S5:S66)</f>
        <v>1.1500348270937502</v>
      </c>
      <c r="T67" s="1">
        <f>AVERAGEIF($B5:$B66,"A/T",T5:T66)</f>
        <v>0.76655068709375007</v>
      </c>
      <c r="U67" s="1">
        <f>AVERAGEIF($B5:$B66,"A/T",U5:U66)</f>
        <v>1.2509115220937501</v>
      </c>
      <c r="V67" s="1">
        <f>AVERAGEIF($B5:$B66,"A/T",V5:V66)</f>
        <v>1.41380685828125</v>
      </c>
      <c r="W67" s="1">
        <f>AVERAGEIF($B5:$B66,"A/T",W5:W66)</f>
        <v>0.73486264115624989</v>
      </c>
      <c r="X67" s="1">
        <f>AVERAGEIF($B5:$B66,"A/T",X5:X66)</f>
        <v>0.9784006137187502</v>
      </c>
      <c r="Y67" s="1">
        <f>AVERAGEIF($B5:$B66,"A/T",Y5:Y66)</f>
        <v>1.0953515829999998</v>
      </c>
      <c r="Z67" s="1">
        <f>AVERAGEIF($B5:$B66,"A/T",Z5:Z66)</f>
        <v>1.3584600052812497</v>
      </c>
      <c r="AA67" s="1">
        <f>AVERAGEIF($B5:$B66,"A/T",AA5:AA66)</f>
        <v>0.75518653553125004</v>
      </c>
      <c r="AB67" s="1">
        <f>AVERAGEIF($B5:$B66,"A/T",AB5:AB66)</f>
        <v>0.47886589393750001</v>
      </c>
      <c r="AC67" s="1">
        <f>AVERAGEIF($B5:$B66,"A/T",AC5:AC66)</f>
        <v>0.66405032487500004</v>
      </c>
      <c r="AD67" s="1">
        <f>AVERAGEIF($B5:$B66,"A/T",AD5:AD66)</f>
        <v>0.65751557509375014</v>
      </c>
      <c r="AE67" s="1">
        <f>AVERAGEIF($B5:$B66,"A/T",AE5:AE66)</f>
        <v>1.7174321326874997</v>
      </c>
      <c r="AF67" s="1">
        <f>AVERAGEIF($B5:$B66,"A/T",AF5:AF66)</f>
        <v>1.3802257139062499</v>
      </c>
      <c r="AG67" s="1">
        <f>AVERAGEIF($B5:$B66,"A/T",AG5:AG66)</f>
        <v>1.4534230583124996</v>
      </c>
      <c r="AH67" s="1">
        <f>AVERAGEIF($B5:$B66,"A/T",AH5:AH66)</f>
        <v>1.5349549756562499</v>
      </c>
      <c r="AI67" s="1">
        <f>AVERAGEIF($B5:$B66,"A/T",AI5:AI66)</f>
        <v>1.418084605375</v>
      </c>
      <c r="AJ67" s="1">
        <f>AVERAGEIF($B5:$B66,"A/T",AJ5:AJ66)</f>
        <v>1.04246837490625</v>
      </c>
      <c r="AK67" s="1">
        <f>AVERAGEIF($B5:$B66,"A/T",AK5:AK66)</f>
        <v>0.95884198028124989</v>
      </c>
      <c r="AL67" s="1">
        <f>AVERAGEIF($B5:$B66,"A/T",AL5:AL66)</f>
        <v>1.2308952524999999</v>
      </c>
      <c r="AM67" s="1">
        <f>AVERAGEIF($B5:$B66,"A/T",AM5:AM66)</f>
        <v>1.2039934946875002</v>
      </c>
      <c r="AN67" s="1">
        <f>AVERAGEIF($B5:$B66,"A/T",AN5:AN66)</f>
        <v>1.2348928792187499</v>
      </c>
      <c r="AO67" s="1">
        <f>AVERAGEIF($B5:$B66,"A/T",AO5:AO66)</f>
        <v>1.2943889942812496</v>
      </c>
      <c r="AP67" s="1">
        <f>AVERAGEIF($B5:$B66,"A/T",AP5:AP66)</f>
        <v>0.73680723568749984</v>
      </c>
      <c r="AQ67" s="1">
        <f>AVERAGEIF($B5:$B66,"A/T",AQ5:AQ66)</f>
        <v>1.6900433574375004</v>
      </c>
      <c r="AR67" s="1">
        <f>AVERAGEIF($B5:$B66,"A/T",AR5:AR66)</f>
        <v>1.026174609625</v>
      </c>
      <c r="AS67" s="1">
        <f>AVERAGEIF($B5:$B66,"A/T",AS5:AS66)</f>
        <v>0.78361957418749995</v>
      </c>
      <c r="AT67" s="1">
        <f>AVERAGEIF($B5:$B66,"A/T",AT5:AT66)</f>
        <v>0.80302758343749991</v>
      </c>
      <c r="AU67" s="1">
        <f>AVERAGEIF($B5:$B66,"A/T",AU5:AU66)</f>
        <v>0.68292306718750007</v>
      </c>
      <c r="AV67" s="1">
        <f>AVERAGEIF($B5:$B66,"A/T",AV5:AV66)</f>
        <v>0.68045617437500006</v>
      </c>
    </row>
    <row r="68" spans="1:48" x14ac:dyDescent="0.3">
      <c r="A68" s="1" t="s">
        <v>238</v>
      </c>
      <c r="C68" s="1">
        <f>AVERAGEIF($B5:$B66,"G/C",C5:C66)</f>
        <v>1.0970769036666668</v>
      </c>
      <c r="D68" s="1">
        <f>AVERAGEIF($B5:$B66,"G/C",D5:D66)</f>
        <v>0.55795612206666656</v>
      </c>
      <c r="E68" s="1">
        <f>AVERAGEIF($B5:$B66,"G/C",E5:E66)</f>
        <v>0.52654163509999996</v>
      </c>
      <c r="F68" s="1">
        <f>AVERAGEIF($B5:$B66,"G/C",F5:F66)</f>
        <v>0.33536490520000001</v>
      </c>
      <c r="G68" s="1">
        <f>AVERAGEIF($B5:$B66,"G/C",G5:G66)</f>
        <v>0.54347762519999987</v>
      </c>
      <c r="H68" s="1">
        <f>AVERAGEIF($B5:$B66,"G/C",H5:H66)</f>
        <v>0.24429415460000004</v>
      </c>
      <c r="I68" s="1">
        <f>AVERAGEIF($B5:$B66,"G/C",I5:I66)</f>
        <v>0.45636710576666678</v>
      </c>
      <c r="J68" s="1">
        <f>AVERAGEIF($B5:$B66,"G/C",J5:J66)</f>
        <v>1.0944334743999999</v>
      </c>
      <c r="K68" s="1">
        <f>AVERAGEIF($B5:$B66,"G/C",K5:K66)</f>
        <v>0.43254529920000001</v>
      </c>
      <c r="L68" s="1">
        <f>AVERAGEIF($B5:$B66,"G/C",L5:L66)</f>
        <v>0.25447513896666668</v>
      </c>
      <c r="M68" s="1">
        <f>AVERAGEIF($B5:$B66,"G/C",M5:M66)</f>
        <v>1.0853278773333335</v>
      </c>
      <c r="N68" s="1">
        <f>AVERAGEIF($B5:$B66,"G/C",N5:N66)</f>
        <v>0.23225850113333332</v>
      </c>
      <c r="O68" s="1">
        <f>AVERAGEIF($B5:$B66,"G/C",O5:O66)</f>
        <v>0.3491714326</v>
      </c>
      <c r="P68" s="1">
        <f>AVERAGEIF($B5:$B66,"G/C",P5:P66)</f>
        <v>1.1336364127666665</v>
      </c>
      <c r="Q68" s="1">
        <f>AVERAGEIF($B5:$B66,"G/C",Q5:Q66)</f>
        <v>1.2135836370333335</v>
      </c>
      <c r="R68" s="1">
        <f>AVERAGEIF($B5:$B66,"G/C",R5:R66)</f>
        <v>1.753356764166667</v>
      </c>
      <c r="S68" s="1">
        <f>AVERAGEIF($B5:$B66,"G/C",S5:S66)</f>
        <v>0.83996285123333314</v>
      </c>
      <c r="T68" s="1">
        <f>AVERAGEIF($B5:$B66,"G/C",T5:T66)</f>
        <v>1.2490126004</v>
      </c>
      <c r="U68" s="1">
        <f>AVERAGEIF($B5:$B66,"G/C",U5:U66)</f>
        <v>0.73236104309999994</v>
      </c>
      <c r="V68" s="1">
        <f>AVERAGEIF($B5:$B66,"G/C",V5:V66)</f>
        <v>0.55860601783333341</v>
      </c>
      <c r="W68" s="1">
        <f>AVERAGEIF($B5:$B66,"G/C",W5:W66)</f>
        <v>1.2828131827666667</v>
      </c>
      <c r="X68" s="1">
        <f>AVERAGEIF($B5:$B66,"G/C",X5:X66)</f>
        <v>1.0230393454666666</v>
      </c>
      <c r="Y68" s="1">
        <f>AVERAGEIF($B5:$B66,"G/C",Y5:Y66)</f>
        <v>0.89829164483333324</v>
      </c>
      <c r="Z68" s="1">
        <f>AVERAGEIF($B5:$B66,"G/C",Z5:Z66)</f>
        <v>0.61764266099999998</v>
      </c>
      <c r="AA68" s="1">
        <f>AVERAGEIF($B5:$B66,"G/C",AA5:AA66)</f>
        <v>1.2611343619333331</v>
      </c>
      <c r="AB68" s="1">
        <f>AVERAGEIF($B5:$B66,"G/C",AB5:AB66)</f>
        <v>1.5558763796666668</v>
      </c>
      <c r="AC68" s="1">
        <f>AVERAGEIF($B5:$B66,"G/C",AC5:AC66)</f>
        <v>1.3583463201666668</v>
      </c>
      <c r="AD68" s="1">
        <f>AVERAGEIF($B5:$B66,"G/C",AD5:AD66)</f>
        <v>1.3653167198999998</v>
      </c>
      <c r="AE68" s="1">
        <f>AVERAGEIF($B5:$B66,"G/C",AE5:AE66)</f>
        <v>0.23473905853333335</v>
      </c>
      <c r="AF68" s="1">
        <f>AVERAGEIF($B5:$B66,"G/C",AF5:AF66)</f>
        <v>0.5944259050666667</v>
      </c>
      <c r="AG68" s="1">
        <f>AVERAGEIF($B5:$B66,"G/C",AG5:AG66)</f>
        <v>0.5163487377</v>
      </c>
      <c r="AH68" s="1">
        <f>AVERAGEIF($B5:$B66,"G/C",AH5:AH66)</f>
        <v>0.42938135920000003</v>
      </c>
      <c r="AI68" s="1">
        <f>AVERAGEIF($B5:$B66,"G/C",AI5:AI66)</f>
        <v>0.55404308766666666</v>
      </c>
      <c r="AJ68" s="1">
        <f>AVERAGEIF($B5:$B66,"G/C",AJ5:AJ66)</f>
        <v>0.9547004001999998</v>
      </c>
      <c r="AK68" s="1">
        <f>AVERAGEIF($B5:$B66,"G/C",AK5:AK66)</f>
        <v>1.0439018875333335</v>
      </c>
      <c r="AL68" s="1">
        <f>AVERAGEIF($B5:$B66,"G/C",AL5:AL66)</f>
        <v>0.75371173059999985</v>
      </c>
      <c r="AM68" s="1">
        <f>AVERAGEIF($B5:$B66,"G/C",AM5:AM66)</f>
        <v>0.78240693910000003</v>
      </c>
      <c r="AN68" s="1">
        <f>AVERAGEIF($B5:$B66,"G/C",AN5:AN66)</f>
        <v>0.74944759546666673</v>
      </c>
      <c r="AO68" s="1">
        <f>AVERAGEIF($B5:$B66,"G/C",AO5:AO66)</f>
        <v>0.68598507279999998</v>
      </c>
      <c r="AP68" s="1">
        <f>AVERAGEIF($B5:$B66,"G/C",AP5:AP66)</f>
        <v>1.2807389486</v>
      </c>
      <c r="AQ68" s="1">
        <f>AVERAGEIF($B5:$B66,"G/C",AQ5:AQ66)</f>
        <v>0.26395375210000005</v>
      </c>
      <c r="AR68" s="1">
        <f>AVERAGEIF($B5:$B66,"G/C",AR5:AR66)</f>
        <v>0.97208041653333332</v>
      </c>
      <c r="AS68" s="1">
        <f>AVERAGEIF($B5:$B66,"G/C",AS5:AS66)</f>
        <v>1.1308057874999997</v>
      </c>
      <c r="AT68" s="1">
        <f>AVERAGEIF($B5:$B66,"G/C",AT5:AT66)</f>
        <v>1.1101039111</v>
      </c>
      <c r="AU68" s="1">
        <f>AVERAGEIF($B5:$B66,"G/C",AU5:AU66)</f>
        <v>1.2382153950666668</v>
      </c>
      <c r="AV68" s="1">
        <f>AVERAGEIF($B5:$B66,"G/C",AV5:AV66)</f>
        <v>1.2408467472666664</v>
      </c>
    </row>
  </sheetData>
  <phoneticPr fontId="2" type="noConversion"/>
  <conditionalFormatting sqref="A1:XFD3 AS4:XFD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尔佳 侯</dc:creator>
  <cp:lastModifiedBy>尔佳 侯</cp:lastModifiedBy>
  <dcterms:created xsi:type="dcterms:W3CDTF">2025-10-17T05:36:43Z</dcterms:created>
  <dcterms:modified xsi:type="dcterms:W3CDTF">2025-10-17T05:38:35Z</dcterms:modified>
</cp:coreProperties>
</file>