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 activeTab="1"/>
  </bookViews>
  <sheets>
    <sheet name="cluster1" sheetId="3" r:id="rId1"/>
    <sheet name="cluster2" sheetId="4" r:id="rId2"/>
    <sheet name="cluster3" sheetId="2" r:id="rId3"/>
    <sheet name="cluster4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<sst xmlns="http://schemas.openxmlformats.org/spreadsheetml/2006/main" count="229" uniqueCount="144">
  <si>
    <t>Term</t>
  </si>
  <si>
    <t>Database</t>
  </si>
  <si>
    <t>ID</t>
  </si>
  <si>
    <t>Input number</t>
  </si>
  <si>
    <t>Background number</t>
  </si>
  <si>
    <t>gene_ratio</t>
  </si>
  <si>
    <t>P-Value</t>
  </si>
  <si>
    <t>padj</t>
  </si>
  <si>
    <t>-log2(padj)</t>
  </si>
  <si>
    <t>Input</t>
  </si>
  <si>
    <t>Hyperlink</t>
  </si>
  <si>
    <t>cytokine receptor activity</t>
  </si>
  <si>
    <t>Gene Ontology</t>
  </si>
  <si>
    <t>GO:0004896</t>
  </si>
  <si>
    <t>ENSSSCG00000015085|ENSSSCG00000007816</t>
  </si>
  <si>
    <t>http://amigo.geneontology.org/amigo/term/GO:0004896</t>
  </si>
  <si>
    <t>cytokine receptor binding</t>
  </si>
  <si>
    <t>GO:0005126</t>
  </si>
  <si>
    <t>ENSSSCG00000009051</t>
  </si>
  <si>
    <t>http://amigo.geneontology.org/amigo/term/GO:0005126</t>
  </si>
  <si>
    <t>positive regulation of immunoglobulin production</t>
  </si>
  <si>
    <t>GO:0002639</t>
  </si>
  <si>
    <t>ENSSSCG00000030996</t>
  </si>
  <si>
    <t>http://amigo.geneontology.org/amigo/term/GO:0002639</t>
  </si>
  <si>
    <t>positive regulation of natural killer cell differentiation</t>
  </si>
  <si>
    <t>GO:0032825</t>
  </si>
  <si>
    <t>http://amigo.geneontology.org/amigo/term/GO:0032825</t>
  </si>
  <si>
    <t>cellular response to leukemia inhibitory factor</t>
  </si>
  <si>
    <t>GO:1990830</t>
  </si>
  <si>
    <t>ENSSSCG00000030996|ENSSSCG00000026478</t>
  </si>
  <si>
    <t>http://amigo.geneontology.org/amigo/term/GO:1990830</t>
  </si>
  <si>
    <t>negative regulation of interferon-beta production</t>
  </si>
  <si>
    <t>GO:0032688</t>
  </si>
  <si>
    <t>ENSSSCG00000008388</t>
  </si>
  <si>
    <t>http://amigo.geneontology.org/amigo/term/GO:0032688</t>
  </si>
  <si>
    <t>positive regulation of immune response</t>
  </si>
  <si>
    <t>GO:0050778</t>
  </si>
  <si>
    <t>http://amigo.geneontology.org/amigo/term/GO:0050778</t>
  </si>
  <si>
    <t>cytokine-mediated signaling pathway</t>
  </si>
  <si>
    <t>GO:0019221</t>
  </si>
  <si>
    <t>http://amigo.geneontology.org/amigo/term/GO:0019221</t>
  </si>
  <si>
    <t>positive regulation of T cell differentiation</t>
  </si>
  <si>
    <t>GO:0045582</t>
  </si>
  <si>
    <t>http://amigo.geneontology.org/amigo/term/GO:0045582</t>
  </si>
  <si>
    <t>NIK/NF-kappaB signaling</t>
  </si>
  <si>
    <t>GO:0038061</t>
  </si>
  <si>
    <t>http://amigo.geneontology.org/amigo/term/GO:0038061</t>
  </si>
  <si>
    <t>neutrophil activation</t>
  </si>
  <si>
    <t>GO:0042119</t>
  </si>
  <si>
    <t>http://amigo.geneontology.org/amigo/term/GO:0042119</t>
  </si>
  <si>
    <t>protein maturation</t>
  </si>
  <si>
    <t>GO:0051604</t>
  </si>
  <si>
    <t>ENSSSCG00000014051</t>
  </si>
  <si>
    <t>http://amigo.geneontology.org/amigo/term/GO:0051604</t>
  </si>
  <si>
    <t>mitochondrial small ribosomal subunit</t>
  </si>
  <si>
    <t>GO:0005763</t>
  </si>
  <si>
    <t>ENSSSCG00000008113</t>
  </si>
  <si>
    <t>http://amigo.geneontology.org/amigo/term/GO:0005763</t>
  </si>
  <si>
    <t>ribosome</t>
  </si>
  <si>
    <t>GO:0005840</t>
  </si>
  <si>
    <t>http://amigo.geneontology.org/amigo/term/GO:0005840</t>
  </si>
  <si>
    <t>protein localization to plasma membrane</t>
  </si>
  <si>
    <t>GO:0072659</t>
  </si>
  <si>
    <t>http://amigo.geneontology.org/amigo/term/GO:0072659</t>
  </si>
  <si>
    <t>ribonucleoprotein complex</t>
  </si>
  <si>
    <t>GO:1990904</t>
  </si>
  <si>
    <t>http://amigo.geneontology.org/amigo/term/GO:1990904</t>
  </si>
  <si>
    <t>translation</t>
  </si>
  <si>
    <t>GO:0006412</t>
  </si>
  <si>
    <t>http://amigo.geneontology.org/amigo/term/GO:0006412</t>
  </si>
  <si>
    <t>structural constituent of ribosome</t>
  </si>
  <si>
    <t>GO:0003735</t>
  </si>
  <si>
    <t>http://amigo.geneontology.org/amigo/term/GO:0003735</t>
  </si>
  <si>
    <t>RNA binding</t>
  </si>
  <si>
    <t>GO:0003723</t>
  </si>
  <si>
    <t>http://amigo.geneontology.org/amigo/term/GO:0003723</t>
  </si>
  <si>
    <t>nucleolus</t>
  </si>
  <si>
    <t>GO:0005730</t>
  </si>
  <si>
    <t>ENSSSCG00000017893</t>
  </si>
  <si>
    <t>http://amigo.geneontology.org/amigo/term/GO:0005730</t>
  </si>
  <si>
    <t>integral component of plasma membrane</t>
  </si>
  <si>
    <t>GO:0005887</t>
  </si>
  <si>
    <t>http://amigo.geneontology.org/amigo/term/GO:0005887</t>
  </si>
  <si>
    <t>nucleoplasm</t>
  </si>
  <si>
    <t>GO:0005654</t>
  </si>
  <si>
    <t>http://amigo.geneontology.org/amigo/term/GO:0005654</t>
  </si>
  <si>
    <t>glucose transmembrane transport</t>
  </si>
  <si>
    <t>GO:1904659</t>
  </si>
  <si>
    <t>http://amigo.geneontology.org/amigo/term/GO:1904659</t>
  </si>
  <si>
    <t>ENSSSCG00000010039</t>
  </si>
  <si>
    <t>monocarboxylic acid transmembrane transporter activity</t>
  </si>
  <si>
    <t>GO:0008028</t>
  </si>
  <si>
    <t>http://amigo.geneontology.org/amigo/term/GO:0008028</t>
  </si>
  <si>
    <t>ENSSSCG00000017215</t>
  </si>
  <si>
    <t>protein maturation by iron-sulfur cluster transfer</t>
  </si>
  <si>
    <t>GO:0097428</t>
  </si>
  <si>
    <t>http://amigo.geneontology.org/amigo/term/GO:0097428</t>
  </si>
  <si>
    <t>ENSSSCG00000002367</t>
  </si>
  <si>
    <t>oligosaccharide-lipid intermediate biosynthetic process</t>
  </si>
  <si>
    <t>GO:0006490</t>
  </si>
  <si>
    <t>http://amigo.geneontology.org/amigo/term/GO:0006490</t>
  </si>
  <si>
    <t>ENSSSCG00000009381</t>
  </si>
  <si>
    <t>mannosylation</t>
  </si>
  <si>
    <t>GO:0097502</t>
  </si>
  <si>
    <t>http://amigo.geneontology.org/amigo/term/GO:0097502</t>
  </si>
  <si>
    <t>mannose binding</t>
  </si>
  <si>
    <t>GO:0005537</t>
  </si>
  <si>
    <t>http://amigo.geneontology.org/amigo/term/GO:0005537</t>
  </si>
  <si>
    <t>ENSSSCG00000001899</t>
  </si>
  <si>
    <t>UDP-galactose:beta-N-acetylglucosamine beta-1,3-galactosyltransferase activity</t>
  </si>
  <si>
    <t>GO:0008499</t>
  </si>
  <si>
    <t>http://amigo.geneontology.org/amigo/term/GO:0008499</t>
  </si>
  <si>
    <t>ENSSSCG00000021774</t>
  </si>
  <si>
    <t>oligosaccharide biosynthetic process</t>
  </si>
  <si>
    <t>GO:0009312</t>
  </si>
  <si>
    <t>http://amigo.geneontology.org/amigo/term/GO:0009312</t>
  </si>
  <si>
    <t>collagen biosynthetic process</t>
  </si>
  <si>
    <t>GO:0032964</t>
  </si>
  <si>
    <t>http://amigo.geneontology.org/amigo/term/GO:0032964</t>
  </si>
  <si>
    <t>ENSSSCG00000008449|ENSSSCG00000003619</t>
  </si>
  <si>
    <t>protein secretion</t>
  </si>
  <si>
    <t>GO:0009306</t>
  </si>
  <si>
    <t>http://amigo.geneontology.org/amigo/term/GO:0009306</t>
  </si>
  <si>
    <t>ENSSSCG00000008601</t>
  </si>
  <si>
    <t>peptidase activator activity</t>
  </si>
  <si>
    <t>GO:0016504</t>
  </si>
  <si>
    <t>http://amigo.geneontology.org/amigo/term/GO:0016504</t>
  </si>
  <si>
    <t>ENSSSCG00000010681</t>
  </si>
  <si>
    <t>ornithine decarboxylase activity</t>
  </si>
  <si>
    <t>GO:0004586</t>
  </si>
  <si>
    <t>http://amigo.geneontology.org/amigo/term/GO:0004586</t>
  </si>
  <si>
    <t>ENSSSCG00000028883</t>
  </si>
  <si>
    <t>putrescine biosynthetic process from ornithine</t>
  </si>
  <si>
    <t>GO:0033387</t>
  </si>
  <si>
    <t>http://amigo.geneontology.org/amigo/term/GO:0033387</t>
  </si>
  <si>
    <t>ENSSSCG00000028101|ENSSSCG00000010541</t>
  </si>
  <si>
    <t>response to amino acid</t>
  </si>
  <si>
    <t>GO:0043200</t>
  </si>
  <si>
    <t>http://amigo.geneontology.org/amigo/term/GO:0043200</t>
  </si>
  <si>
    <t>ENSSSCG00000009912</t>
  </si>
  <si>
    <t>negative regulation of cell population proliferation</t>
  </si>
  <si>
    <t>GO:0008285</t>
  </si>
  <si>
    <t>http://amigo.geneontology.org/amigo/term/GO:0008285</t>
  </si>
  <si>
    <t>ENSSSCG00000028101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</si>
</sst>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J2" sqref="J2"/>
    </sheetView>
  </sheetViews>
  <sheetFormatPr defaultColWidth="8.88888888888889" defaultRowHeight="14.4"/>
  <cols>
    <col min="1" max="1" width="39.7777777777778" customWidth="1"/>
    <col min="6" max="7" width="12.8888888888889"/>
    <col min="8" max="9" width="13.6666666666667" customWidth="1"/>
    <col min="10" max="10" width="40.2222222222222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>
        <v>2</v>
      </c>
      <c r="E2" s="1">
        <v>38</v>
      </c>
      <c r="F2" s="1">
        <f>D2/E2</f>
        <v>0.0526315789473684</v>
      </c>
      <c r="G2" s="2">
        <v>0.0061133095992</v>
      </c>
      <c r="H2" s="1">
        <v>0.121670771015</v>
      </c>
      <c r="I2" s="1">
        <f>-LOG(H2,2)</f>
        <v>3.03894546402864</v>
      </c>
      <c r="J2" s="1" t="s">
        <v>14</v>
      </c>
      <c r="K2" s="1" t="s">
        <v>15</v>
      </c>
    </row>
    <row r="3" s="1" customFormat="1" spans="1:11">
      <c r="A3" s="1" t="s">
        <v>16</v>
      </c>
      <c r="B3" s="1" t="s">
        <v>12</v>
      </c>
      <c r="C3" s="1" t="s">
        <v>17</v>
      </c>
      <c r="D3" s="1">
        <v>1</v>
      </c>
      <c r="E3" s="1">
        <v>5</v>
      </c>
      <c r="F3" s="1">
        <f t="shared" ref="F3:F12" si="0">D3/E3</f>
        <v>0.2</v>
      </c>
      <c r="G3" s="2">
        <v>0.0174816071959</v>
      </c>
      <c r="H3" s="1">
        <v>0.121670771015</v>
      </c>
      <c r="I3" s="1">
        <f t="shared" ref="I3:I12" si="1">-LOG(H3,2)</f>
        <v>3.03894546402864</v>
      </c>
      <c r="J3" s="1" t="s">
        <v>18</v>
      </c>
      <c r="K3" s="1" t="s">
        <v>19</v>
      </c>
    </row>
    <row r="4" s="1" customFormat="1" spans="1:11">
      <c r="A4" s="1" t="s">
        <v>20</v>
      </c>
      <c r="B4" s="1" t="s">
        <v>12</v>
      </c>
      <c r="C4" s="1" t="s">
        <v>21</v>
      </c>
      <c r="D4" s="1">
        <v>1</v>
      </c>
      <c r="E4" s="1">
        <v>5</v>
      </c>
      <c r="F4" s="1">
        <f t="shared" si="0"/>
        <v>0.2</v>
      </c>
      <c r="G4" s="2">
        <v>0.0174816071959</v>
      </c>
      <c r="H4" s="1">
        <v>0.121670771015</v>
      </c>
      <c r="I4" s="1">
        <f t="shared" si="1"/>
        <v>3.03894546402864</v>
      </c>
      <c r="J4" s="1" t="s">
        <v>22</v>
      </c>
      <c r="K4" s="1" t="s">
        <v>23</v>
      </c>
    </row>
    <row r="5" s="1" customFormat="1" spans="1:11">
      <c r="A5" s="1" t="s">
        <v>24</v>
      </c>
      <c r="B5" s="1" t="s">
        <v>12</v>
      </c>
      <c r="C5" s="1" t="s">
        <v>25</v>
      </c>
      <c r="D5" s="1">
        <v>1</v>
      </c>
      <c r="E5" s="1">
        <v>5</v>
      </c>
      <c r="F5" s="1">
        <f t="shared" si="0"/>
        <v>0.2</v>
      </c>
      <c r="G5" s="2">
        <v>0.0174816071959</v>
      </c>
      <c r="H5" s="1">
        <v>0.121670771015</v>
      </c>
      <c r="I5" s="1">
        <f t="shared" si="1"/>
        <v>3.03894546402864</v>
      </c>
      <c r="J5" s="1" t="s">
        <v>18</v>
      </c>
      <c r="K5" s="1" t="s">
        <v>26</v>
      </c>
    </row>
    <row r="6" s="1" customFormat="1" spans="1:11">
      <c r="A6" s="1" t="s">
        <v>27</v>
      </c>
      <c r="B6" s="1" t="s">
        <v>12</v>
      </c>
      <c r="C6" s="1" t="s">
        <v>28</v>
      </c>
      <c r="D6" s="1">
        <v>2</v>
      </c>
      <c r="E6" s="1">
        <v>69</v>
      </c>
      <c r="F6" s="1">
        <f t="shared" si="0"/>
        <v>0.0289855072463768</v>
      </c>
      <c r="G6" s="2">
        <v>0.0183914448463</v>
      </c>
      <c r="H6" s="1">
        <v>0.121670771015</v>
      </c>
      <c r="I6" s="1">
        <f t="shared" si="1"/>
        <v>3.03894546402864</v>
      </c>
      <c r="J6" s="1" t="s">
        <v>29</v>
      </c>
      <c r="K6" s="1" t="s">
        <v>30</v>
      </c>
    </row>
    <row r="7" s="1" customFormat="1" spans="1:11">
      <c r="A7" s="1" t="s">
        <v>31</v>
      </c>
      <c r="B7" s="1" t="s">
        <v>12</v>
      </c>
      <c r="C7" s="1" t="s">
        <v>32</v>
      </c>
      <c r="D7" s="1">
        <v>1</v>
      </c>
      <c r="E7" s="1">
        <v>6</v>
      </c>
      <c r="F7" s="1">
        <f t="shared" si="0"/>
        <v>0.166666666666667</v>
      </c>
      <c r="G7" s="2">
        <v>0.0203660402464</v>
      </c>
      <c r="H7" s="1">
        <v>0.121670771015</v>
      </c>
      <c r="I7" s="1">
        <f t="shared" si="1"/>
        <v>3.03894546402864</v>
      </c>
      <c r="J7" s="1" t="s">
        <v>33</v>
      </c>
      <c r="K7" s="1" t="s">
        <v>34</v>
      </c>
    </row>
    <row r="8" s="1" customFormat="1" spans="1:11">
      <c r="A8" s="1" t="s">
        <v>35</v>
      </c>
      <c r="B8" s="1" t="s">
        <v>12</v>
      </c>
      <c r="C8" s="1" t="s">
        <v>36</v>
      </c>
      <c r="D8" s="1">
        <v>1</v>
      </c>
      <c r="E8" s="1">
        <v>6</v>
      </c>
      <c r="F8" s="1">
        <f t="shared" si="0"/>
        <v>0.166666666666667</v>
      </c>
      <c r="G8" s="2">
        <v>0.0203660402464</v>
      </c>
      <c r="H8" s="1">
        <v>0.121670771015</v>
      </c>
      <c r="I8" s="1">
        <f t="shared" si="1"/>
        <v>3.03894546402864</v>
      </c>
      <c r="J8" s="1" t="s">
        <v>18</v>
      </c>
      <c r="K8" s="1" t="s">
        <v>37</v>
      </c>
    </row>
    <row r="9" s="1" customFormat="1" spans="1:11">
      <c r="A9" s="1" t="s">
        <v>38</v>
      </c>
      <c r="B9" s="1" t="s">
        <v>12</v>
      </c>
      <c r="C9" s="1" t="s">
        <v>39</v>
      </c>
      <c r="D9" s="1">
        <v>2</v>
      </c>
      <c r="E9" s="1">
        <v>76</v>
      </c>
      <c r="F9" s="1">
        <f t="shared" si="0"/>
        <v>0.0263157894736842</v>
      </c>
      <c r="G9" s="2">
        <v>0.0219403997768</v>
      </c>
      <c r="H9" s="1">
        <v>0.121670771015</v>
      </c>
      <c r="I9" s="1">
        <f t="shared" si="1"/>
        <v>3.03894546402864</v>
      </c>
      <c r="J9" s="1" t="s">
        <v>14</v>
      </c>
      <c r="K9" s="1" t="s">
        <v>40</v>
      </c>
    </row>
    <row r="10" s="1" customFormat="1" spans="1:11">
      <c r="A10" s="1" t="s">
        <v>41</v>
      </c>
      <c r="B10" s="1" t="s">
        <v>12</v>
      </c>
      <c r="C10" s="1" t="s">
        <v>42</v>
      </c>
      <c r="D10" s="1">
        <v>1</v>
      </c>
      <c r="E10" s="1">
        <v>7</v>
      </c>
      <c r="F10" s="1">
        <f t="shared" si="0"/>
        <v>0.142857142857143</v>
      </c>
      <c r="G10" s="2">
        <v>0.0232422016741</v>
      </c>
      <c r="H10" s="1">
        <v>0.121670771015</v>
      </c>
      <c r="I10" s="1">
        <f t="shared" si="1"/>
        <v>3.03894546402864</v>
      </c>
      <c r="J10" s="1" t="s">
        <v>22</v>
      </c>
      <c r="K10" s="1" t="s">
        <v>43</v>
      </c>
    </row>
    <row r="11" s="1" customFormat="1" spans="1:11">
      <c r="A11" s="1" t="s">
        <v>44</v>
      </c>
      <c r="B11" s="1" t="s">
        <v>12</v>
      </c>
      <c r="C11" s="1" t="s">
        <v>45</v>
      </c>
      <c r="D11" s="1">
        <v>1</v>
      </c>
      <c r="E11" s="1">
        <v>8</v>
      </c>
      <c r="F11" s="1">
        <f t="shared" si="0"/>
        <v>0.125</v>
      </c>
      <c r="G11" s="1">
        <v>0.026110114636</v>
      </c>
      <c r="H11" s="1">
        <v>0.121670771015</v>
      </c>
      <c r="I11" s="1">
        <f t="shared" si="1"/>
        <v>3.03894546402864</v>
      </c>
      <c r="J11" s="1" t="s">
        <v>33</v>
      </c>
      <c r="K11" s="1" t="s">
        <v>46</v>
      </c>
    </row>
    <row r="12" s="1" customFormat="1" spans="1:11">
      <c r="A12" s="1" t="s">
        <v>47</v>
      </c>
      <c r="B12" s="1" t="s">
        <v>12</v>
      </c>
      <c r="C12" s="1" t="s">
        <v>48</v>
      </c>
      <c r="D12" s="1">
        <v>1</v>
      </c>
      <c r="E12" s="1">
        <v>8</v>
      </c>
      <c r="F12" s="1">
        <f t="shared" si="0"/>
        <v>0.125</v>
      </c>
      <c r="G12" s="1">
        <v>0.026110114636</v>
      </c>
      <c r="H12" s="1">
        <v>0.121670771015</v>
      </c>
      <c r="I12" s="1">
        <f t="shared" si="1"/>
        <v>3.03894546402864</v>
      </c>
      <c r="J12" s="1" t="s">
        <v>18</v>
      </c>
      <c r="K12" s="1" t="s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B21" sqref="B21"/>
    </sheetView>
  </sheetViews>
  <sheetFormatPr defaultColWidth="8.88888888888889" defaultRowHeight="14.4"/>
  <cols>
    <col min="1" max="1" width="37.2222222222222" customWidth="1"/>
    <col min="6" max="9" width="12.8888888888889"/>
    <col min="10" max="10" width="24.1111111111111" customWidth="1"/>
    <col min="11" max="11" width="12.8888888888889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/>
      <c r="L1" s="1" t="s">
        <v>10</v>
      </c>
      <c r="M1" s="1"/>
      <c r="N1" s="1"/>
      <c r="O1" s="1"/>
    </row>
    <row r="2" spans="1:15">
      <c r="A2" s="1" t="s">
        <v>50</v>
      </c>
      <c r="B2" s="1" t="s">
        <v>12</v>
      </c>
      <c r="C2" s="1" t="s">
        <v>51</v>
      </c>
      <c r="D2" s="1">
        <v>1</v>
      </c>
      <c r="E2" s="1">
        <v>9</v>
      </c>
      <c r="F2" s="1">
        <f>D2/E2</f>
        <v>0.111111111111111</v>
      </c>
      <c r="G2" s="2">
        <v>0.00205170227942</v>
      </c>
      <c r="H2" s="1">
        <v>0.024620427353</v>
      </c>
      <c r="I2" s="1">
        <f t="shared" ref="I2:I12" si="0">-LOG(H2,2)</f>
        <v>5.34400038592543</v>
      </c>
      <c r="J2" s="1" t="s">
        <v>52</v>
      </c>
      <c r="K2" s="1">
        <f t="shared" ref="K2:K12" si="1">-LOG(H2,2)</f>
        <v>5.34400038592543</v>
      </c>
      <c r="L2" s="1" t="s">
        <v>53</v>
      </c>
      <c r="M2" s="1"/>
      <c r="N2" s="1"/>
      <c r="O2" s="1"/>
    </row>
    <row r="3" spans="1:15">
      <c r="A3" s="1" t="s">
        <v>54</v>
      </c>
      <c r="B3" s="1" t="s">
        <v>12</v>
      </c>
      <c r="C3" s="1" t="s">
        <v>55</v>
      </c>
      <c r="D3" s="1">
        <v>1</v>
      </c>
      <c r="E3" s="1">
        <v>20</v>
      </c>
      <c r="F3" s="1">
        <f t="shared" ref="F3:F12" si="2">D3/E3</f>
        <v>0.05</v>
      </c>
      <c r="G3" s="2">
        <v>0.00430533134074</v>
      </c>
      <c r="H3" s="2">
        <v>0.0258319880445</v>
      </c>
      <c r="I3" s="1">
        <f t="shared" si="0"/>
        <v>5.27469751141477</v>
      </c>
      <c r="J3" s="1" t="s">
        <v>56</v>
      </c>
      <c r="K3" s="1">
        <f t="shared" si="1"/>
        <v>5.27469751141477</v>
      </c>
      <c r="L3" s="1" t="s">
        <v>57</v>
      </c>
      <c r="M3" s="1"/>
      <c r="N3" s="1"/>
      <c r="O3" s="1"/>
    </row>
    <row r="4" spans="1:15">
      <c r="A4" s="1" t="s">
        <v>58</v>
      </c>
      <c r="B4" s="1" t="s">
        <v>12</v>
      </c>
      <c r="C4" s="1" t="s">
        <v>59</v>
      </c>
      <c r="D4" s="1">
        <v>1</v>
      </c>
      <c r="E4" s="1">
        <v>49</v>
      </c>
      <c r="F4" s="1">
        <f t="shared" si="2"/>
        <v>0.0204081632653061</v>
      </c>
      <c r="G4" s="2">
        <v>0.0102304482041</v>
      </c>
      <c r="H4" s="2">
        <v>0.0362788311831</v>
      </c>
      <c r="I4" s="1">
        <f t="shared" si="0"/>
        <v>4.78472821333245</v>
      </c>
      <c r="J4" s="1" t="s">
        <v>56</v>
      </c>
      <c r="K4" s="1">
        <f t="shared" si="1"/>
        <v>4.78472821333245</v>
      </c>
      <c r="L4" s="1" t="s">
        <v>60</v>
      </c>
      <c r="M4" s="1"/>
      <c r="N4" s="1"/>
      <c r="O4" s="1"/>
    </row>
    <row r="5" spans="1:15">
      <c r="A5" s="1" t="s">
        <v>61</v>
      </c>
      <c r="B5" s="1" t="s">
        <v>12</v>
      </c>
      <c r="C5" s="1" t="s">
        <v>62</v>
      </c>
      <c r="D5" s="1">
        <v>1</v>
      </c>
      <c r="E5" s="1">
        <v>73</v>
      </c>
      <c r="F5" s="1">
        <f t="shared" si="2"/>
        <v>0.0136986301369863</v>
      </c>
      <c r="G5" s="2">
        <v>0.0151161796596</v>
      </c>
      <c r="H5" s="2">
        <v>0.0362788311831</v>
      </c>
      <c r="I5" s="1">
        <f t="shared" si="0"/>
        <v>4.78472821333245</v>
      </c>
      <c r="J5" s="1" t="s">
        <v>52</v>
      </c>
      <c r="K5" s="1">
        <f t="shared" si="1"/>
        <v>4.78472821333245</v>
      </c>
      <c r="L5" s="1" t="s">
        <v>63</v>
      </c>
      <c r="M5" s="1"/>
      <c r="N5" s="1"/>
      <c r="O5" s="1"/>
    </row>
    <row r="6" spans="1:15">
      <c r="A6" s="1" t="s">
        <v>64</v>
      </c>
      <c r="B6" s="1" t="s">
        <v>12</v>
      </c>
      <c r="C6" s="1" t="s">
        <v>65</v>
      </c>
      <c r="D6" s="1">
        <v>1</v>
      </c>
      <c r="E6" s="1">
        <v>73</v>
      </c>
      <c r="F6" s="1">
        <f t="shared" si="2"/>
        <v>0.0136986301369863</v>
      </c>
      <c r="G6" s="2">
        <v>0.0151161796596</v>
      </c>
      <c r="H6" s="2">
        <v>0.0362788311831</v>
      </c>
      <c r="I6" s="1">
        <f t="shared" si="0"/>
        <v>4.78472821333245</v>
      </c>
      <c r="J6" s="1" t="s">
        <v>56</v>
      </c>
      <c r="K6" s="1">
        <f t="shared" si="1"/>
        <v>4.78472821333245</v>
      </c>
      <c r="L6" s="1" t="s">
        <v>66</v>
      </c>
      <c r="M6" s="1"/>
      <c r="N6" s="1"/>
      <c r="O6" s="1"/>
    </row>
    <row r="7" spans="1:15">
      <c r="A7" s="1" t="s">
        <v>67</v>
      </c>
      <c r="B7" s="1" t="s">
        <v>12</v>
      </c>
      <c r="C7" s="1" t="s">
        <v>68</v>
      </c>
      <c r="D7" s="1">
        <v>1</v>
      </c>
      <c r="E7" s="1">
        <v>104</v>
      </c>
      <c r="F7" s="1">
        <f t="shared" si="2"/>
        <v>0.00961538461538462</v>
      </c>
      <c r="G7" s="2">
        <v>0.0214030846106</v>
      </c>
      <c r="H7" s="2">
        <v>0.0405877989694</v>
      </c>
      <c r="I7" s="1">
        <f t="shared" si="0"/>
        <v>4.62281008334418</v>
      </c>
      <c r="J7" s="1" t="s">
        <v>56</v>
      </c>
      <c r="K7" s="1">
        <f t="shared" si="1"/>
        <v>4.62281008334418</v>
      </c>
      <c r="L7" s="1" t="s">
        <v>69</v>
      </c>
      <c r="M7" s="1"/>
      <c r="N7" s="1"/>
      <c r="O7" s="1"/>
    </row>
    <row r="8" spans="1:15">
      <c r="A8" s="1" t="s">
        <v>70</v>
      </c>
      <c r="B8" s="1" t="s">
        <v>12</v>
      </c>
      <c r="C8" s="1" t="s">
        <v>71</v>
      </c>
      <c r="D8" s="1">
        <v>1</v>
      </c>
      <c r="E8" s="1">
        <v>132</v>
      </c>
      <c r="F8" s="1">
        <f t="shared" si="2"/>
        <v>0.00757575757575758</v>
      </c>
      <c r="G8" s="2">
        <v>0.0270585326462</v>
      </c>
      <c r="H8" s="2">
        <v>0.0405877989694</v>
      </c>
      <c r="I8" s="1">
        <f t="shared" si="0"/>
        <v>4.62281008334418</v>
      </c>
      <c r="J8" s="1" t="s">
        <v>56</v>
      </c>
      <c r="K8" s="1">
        <f t="shared" si="1"/>
        <v>4.62281008334418</v>
      </c>
      <c r="L8" s="1" t="s">
        <v>72</v>
      </c>
      <c r="M8" s="1"/>
      <c r="N8" s="1"/>
      <c r="O8" s="1"/>
    </row>
    <row r="9" spans="1:15">
      <c r="A9" s="1" t="s">
        <v>73</v>
      </c>
      <c r="B9" s="1" t="s">
        <v>12</v>
      </c>
      <c r="C9" s="1" t="s">
        <v>74</v>
      </c>
      <c r="D9" s="1">
        <v>1</v>
      </c>
      <c r="E9" s="1">
        <v>354</v>
      </c>
      <c r="F9" s="1">
        <f t="shared" si="2"/>
        <v>0.00282485875706215</v>
      </c>
      <c r="G9" s="2">
        <v>0.0711288845613</v>
      </c>
      <c r="H9" s="2">
        <v>0.0948385127484</v>
      </c>
      <c r="I9" s="1">
        <f t="shared" si="0"/>
        <v>3.39838315103042</v>
      </c>
      <c r="J9" s="1" t="s">
        <v>56</v>
      </c>
      <c r="K9" s="1">
        <f t="shared" si="1"/>
        <v>3.39838315103042</v>
      </c>
      <c r="L9" s="1" t="s">
        <v>75</v>
      </c>
      <c r="M9" s="1"/>
      <c r="N9" s="1"/>
      <c r="O9" s="1"/>
    </row>
    <row r="10" spans="1:15">
      <c r="A10" s="1" t="s">
        <v>76</v>
      </c>
      <c r="B10" s="1" t="s">
        <v>12</v>
      </c>
      <c r="C10" s="1" t="s">
        <v>77</v>
      </c>
      <c r="D10" s="1">
        <v>1</v>
      </c>
      <c r="E10" s="1">
        <v>398</v>
      </c>
      <c r="F10" s="1">
        <f t="shared" si="2"/>
        <v>0.00251256281407035</v>
      </c>
      <c r="G10" s="2">
        <v>0.0797024255927</v>
      </c>
      <c r="H10" s="2">
        <v>0.0956429107112</v>
      </c>
      <c r="I10" s="1">
        <f t="shared" si="0"/>
        <v>3.38619815336054</v>
      </c>
      <c r="J10" s="1" t="s">
        <v>78</v>
      </c>
      <c r="K10" s="1">
        <f t="shared" si="1"/>
        <v>3.38619815336054</v>
      </c>
      <c r="L10" s="1" t="s">
        <v>79</v>
      </c>
      <c r="M10" s="1"/>
      <c r="N10" s="1"/>
      <c r="O10" s="1"/>
    </row>
    <row r="11" spans="1:15">
      <c r="A11" s="1" t="s">
        <v>80</v>
      </c>
      <c r="B11" s="1" t="s">
        <v>12</v>
      </c>
      <c r="C11" s="1" t="s">
        <v>81</v>
      </c>
      <c r="D11" s="1">
        <v>1</v>
      </c>
      <c r="E11" s="1">
        <v>534</v>
      </c>
      <c r="F11" s="1">
        <f t="shared" si="2"/>
        <v>0.00187265917602996</v>
      </c>
      <c r="G11" s="1">
        <v>0.105868611517</v>
      </c>
      <c r="H11" s="1">
        <v>0.115493030746</v>
      </c>
      <c r="I11" s="1">
        <f t="shared" si="0"/>
        <v>3.1141222978914</v>
      </c>
      <c r="J11" s="1" t="s">
        <v>52</v>
      </c>
      <c r="K11" s="1">
        <f t="shared" si="1"/>
        <v>3.1141222978914</v>
      </c>
      <c r="L11" s="1" t="s">
        <v>82</v>
      </c>
      <c r="M11" s="1"/>
      <c r="N11" s="1"/>
      <c r="O11" s="1"/>
    </row>
    <row r="12" spans="1:15">
      <c r="A12" s="1" t="s">
        <v>83</v>
      </c>
      <c r="B12" s="1" t="s">
        <v>12</v>
      </c>
      <c r="C12" s="1" t="s">
        <v>84</v>
      </c>
      <c r="D12" s="1">
        <v>1</v>
      </c>
      <c r="E12" s="1">
        <v>1302</v>
      </c>
      <c r="F12" s="1">
        <f t="shared" si="2"/>
        <v>0.000768049155145929</v>
      </c>
      <c r="G12" s="1">
        <v>0.244373319363</v>
      </c>
      <c r="H12" s="1">
        <v>0.244373319363</v>
      </c>
      <c r="I12" s="1">
        <f t="shared" si="0"/>
        <v>2.03284131432928</v>
      </c>
      <c r="J12" s="1" t="s">
        <v>78</v>
      </c>
      <c r="K12" s="1">
        <f t="shared" si="1"/>
        <v>2.03284131432928</v>
      </c>
      <c r="L12" s="1" t="s">
        <v>85</v>
      </c>
      <c r="M12" s="1"/>
      <c r="N12" s="1"/>
      <c r="O12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2" sqref="A2"/>
    </sheetView>
  </sheetViews>
  <sheetFormatPr defaultColWidth="8.88888888888889" defaultRowHeight="14.4"/>
  <cols>
    <col min="1" max="1" width="18.3333333333333" customWidth="1"/>
    <col min="6" max="8" width="12.8888888888889"/>
    <col min="9" max="9" width="9.66666666666667"/>
    <col min="11" max="11" width="21.333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9</v>
      </c>
    </row>
    <row r="2" s="1" customFormat="1" spans="1:11">
      <c r="A2" s="1" t="s">
        <v>86</v>
      </c>
      <c r="B2" s="1" t="s">
        <v>12</v>
      </c>
      <c r="C2" s="1" t="s">
        <v>87</v>
      </c>
      <c r="D2" s="1">
        <v>1</v>
      </c>
      <c r="E2" s="1">
        <v>6</v>
      </c>
      <c r="F2" s="1">
        <f>D2/E2</f>
        <v>0.166666666666667</v>
      </c>
      <c r="G2" s="2">
        <v>0.0236363782473</v>
      </c>
      <c r="H2" s="1">
        <v>0.131771931251</v>
      </c>
      <c r="I2" s="1">
        <f>-LOG(H2,2)</f>
        <v>2.92388500039545</v>
      </c>
      <c r="J2" s="1" t="s">
        <v>88</v>
      </c>
      <c r="K2" s="1" t="s">
        <v>89</v>
      </c>
    </row>
    <row r="3" s="1" customFormat="1" spans="1:11">
      <c r="A3" s="1" t="s">
        <v>90</v>
      </c>
      <c r="B3" s="1" t="s">
        <v>12</v>
      </c>
      <c r="C3" s="1" t="s">
        <v>91</v>
      </c>
      <c r="D3" s="1">
        <v>1</v>
      </c>
      <c r="E3" s="1">
        <v>10</v>
      </c>
      <c r="F3" s="1">
        <f t="shared" ref="F3:F9" si="0">D3/E3</f>
        <v>0.1</v>
      </c>
      <c r="G3" s="2">
        <v>0.0368961407502</v>
      </c>
      <c r="H3" s="1">
        <v>0.131771931251</v>
      </c>
      <c r="I3" s="1">
        <f t="shared" ref="I2:I9" si="1">-LOG(H3,2)</f>
        <v>2.92388500039545</v>
      </c>
      <c r="J3" s="1" t="s">
        <v>92</v>
      </c>
      <c r="K3" s="1" t="s">
        <v>93</v>
      </c>
    </row>
    <row r="4" s="1" customFormat="1" spans="1:11">
      <c r="A4" s="1" t="s">
        <v>94</v>
      </c>
      <c r="B4" s="1" t="s">
        <v>12</v>
      </c>
      <c r="C4" s="1" t="s">
        <v>95</v>
      </c>
      <c r="D4" s="1">
        <v>1</v>
      </c>
      <c r="E4" s="1">
        <v>6</v>
      </c>
      <c r="F4" s="1">
        <f t="shared" si="0"/>
        <v>0.166666666666667</v>
      </c>
      <c r="G4" s="2">
        <v>0.0236363782473</v>
      </c>
      <c r="H4" s="1">
        <v>0.131771931251</v>
      </c>
      <c r="I4" s="1">
        <f t="shared" si="1"/>
        <v>2.92388500039545</v>
      </c>
      <c r="J4" s="1" t="s">
        <v>96</v>
      </c>
      <c r="K4" s="1" t="s">
        <v>97</v>
      </c>
    </row>
    <row r="5" s="1" customFormat="1" spans="1:11">
      <c r="A5" s="1" t="s">
        <v>98</v>
      </c>
      <c r="B5" s="1" t="s">
        <v>12</v>
      </c>
      <c r="C5" s="1" t="s">
        <v>99</v>
      </c>
      <c r="D5" s="1">
        <v>1</v>
      </c>
      <c r="E5" s="1">
        <v>5</v>
      </c>
      <c r="F5" s="1">
        <f t="shared" si="0"/>
        <v>0.2</v>
      </c>
      <c r="G5" s="2">
        <v>0.0202935830482</v>
      </c>
      <c r="H5" s="1">
        <v>0.131771931251</v>
      </c>
      <c r="I5" s="1">
        <f t="shared" si="1"/>
        <v>2.92388500039545</v>
      </c>
      <c r="J5" s="1" t="s">
        <v>100</v>
      </c>
      <c r="K5" s="1" t="s">
        <v>101</v>
      </c>
    </row>
    <row r="6" s="1" customFormat="1" spans="1:11">
      <c r="A6" s="1" t="s">
        <v>102</v>
      </c>
      <c r="B6" s="1" t="s">
        <v>12</v>
      </c>
      <c r="C6" s="1" t="s">
        <v>103</v>
      </c>
      <c r="D6" s="1">
        <v>1</v>
      </c>
      <c r="E6" s="1">
        <v>9</v>
      </c>
      <c r="F6" s="1">
        <f t="shared" si="0"/>
        <v>0.111111111111111</v>
      </c>
      <c r="G6" s="2">
        <v>0.0335978398624</v>
      </c>
      <c r="H6" s="1">
        <v>0.131771931251</v>
      </c>
      <c r="I6" s="1">
        <f t="shared" si="1"/>
        <v>2.92388500039545</v>
      </c>
      <c r="J6" s="1" t="s">
        <v>104</v>
      </c>
      <c r="K6" s="1" t="s">
        <v>101</v>
      </c>
    </row>
    <row r="7" s="1" customFormat="1" spans="1:11">
      <c r="A7" s="1" t="s">
        <v>105</v>
      </c>
      <c r="B7" s="1" t="s">
        <v>12</v>
      </c>
      <c r="C7" s="1" t="s">
        <v>106</v>
      </c>
      <c r="D7" s="1">
        <v>1</v>
      </c>
      <c r="E7" s="1">
        <v>10</v>
      </c>
      <c r="F7" s="1">
        <f t="shared" si="0"/>
        <v>0.1</v>
      </c>
      <c r="G7" s="2">
        <v>0.0368961407502</v>
      </c>
      <c r="H7" s="1">
        <v>0.131771931251</v>
      </c>
      <c r="I7" s="1">
        <f t="shared" si="1"/>
        <v>2.92388500039545</v>
      </c>
      <c r="J7" s="1" t="s">
        <v>107</v>
      </c>
      <c r="K7" s="1" t="s">
        <v>108</v>
      </c>
    </row>
    <row r="8" s="1" customFormat="1" spans="1:11">
      <c r="A8" s="1" t="s">
        <v>109</v>
      </c>
      <c r="B8" s="1" t="s">
        <v>12</v>
      </c>
      <c r="C8" s="1" t="s">
        <v>110</v>
      </c>
      <c r="D8" s="1">
        <v>1</v>
      </c>
      <c r="E8" s="1">
        <v>6</v>
      </c>
      <c r="F8" s="1">
        <f t="shared" si="0"/>
        <v>0.166666666666667</v>
      </c>
      <c r="G8" s="2">
        <v>0.0236363782473</v>
      </c>
      <c r="H8" s="1">
        <v>0.131771931251</v>
      </c>
      <c r="I8" s="1">
        <f t="shared" si="1"/>
        <v>2.92388500039545</v>
      </c>
      <c r="J8" s="1" t="s">
        <v>111</v>
      </c>
      <c r="K8" s="1" t="s">
        <v>112</v>
      </c>
    </row>
    <row r="9" s="1" customFormat="1" spans="1:11">
      <c r="A9" s="1" t="s">
        <v>113</v>
      </c>
      <c r="B9" s="1" t="s">
        <v>12</v>
      </c>
      <c r="C9" s="1" t="s">
        <v>114</v>
      </c>
      <c r="D9" s="1">
        <v>1</v>
      </c>
      <c r="E9" s="1">
        <v>9</v>
      </c>
      <c r="F9" s="1">
        <f t="shared" si="0"/>
        <v>0.111111111111111</v>
      </c>
      <c r="G9" s="2">
        <v>0.0335978398624</v>
      </c>
      <c r="H9" s="1">
        <v>0.131771931251</v>
      </c>
      <c r="I9" s="1">
        <f t="shared" si="1"/>
        <v>2.92388500039545</v>
      </c>
      <c r="J9" s="1" t="s">
        <v>115</v>
      </c>
      <c r="K9" s="1" t="s">
        <v>112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F1" sqref="F1"/>
    </sheetView>
  </sheetViews>
  <sheetFormatPr defaultColWidth="8.88888888888889" defaultRowHeight="14.4" outlineLevelRow="7"/>
  <cols>
    <col min="1" max="1" width="17" customWidth="1"/>
    <col min="6" max="6" width="12.8888888888889"/>
    <col min="7" max="7" width="18" customWidth="1"/>
    <col min="8" max="9" width="12.8888888888889"/>
    <col min="11" max="11" width="3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9</v>
      </c>
    </row>
    <row r="2" s="1" customFormat="1" spans="1:11">
      <c r="A2" s="1" t="s">
        <v>116</v>
      </c>
      <c r="B2" s="1" t="s">
        <v>12</v>
      </c>
      <c r="C2" s="1" t="s">
        <v>117</v>
      </c>
      <c r="D2" s="1">
        <v>1</v>
      </c>
      <c r="E2" s="1">
        <v>6</v>
      </c>
      <c r="F2" s="1">
        <f>D2/E2</f>
        <v>0.166666666666667</v>
      </c>
      <c r="G2" s="2">
        <v>0.0278227810785</v>
      </c>
      <c r="H2" s="1">
        <v>0.179306409237</v>
      </c>
      <c r="I2" s="1">
        <f>-LOG(H2,2)</f>
        <v>2.4795010371932</v>
      </c>
      <c r="J2" s="1" t="s">
        <v>118</v>
      </c>
      <c r="K2" s="1" t="s">
        <v>119</v>
      </c>
    </row>
    <row r="3" s="1" customFormat="1" spans="1:11">
      <c r="A3" s="1" t="s">
        <v>120</v>
      </c>
      <c r="B3" s="1" t="s">
        <v>12</v>
      </c>
      <c r="C3" s="1" t="s">
        <v>121</v>
      </c>
      <c r="D3" s="1">
        <v>2</v>
      </c>
      <c r="E3" s="1">
        <v>27</v>
      </c>
      <c r="F3" s="1">
        <f t="shared" ref="F3:F8" si="0">D3/E3</f>
        <v>0.0740740740740741</v>
      </c>
      <c r="G3" s="2">
        <v>0.00602177004449</v>
      </c>
      <c r="H3" s="1">
        <v>0.179306409237</v>
      </c>
      <c r="I3" s="1">
        <f>-LOG(H3,2)</f>
        <v>2.4795010371932</v>
      </c>
      <c r="J3" s="1" t="s">
        <v>122</v>
      </c>
      <c r="K3" s="1" t="s">
        <v>123</v>
      </c>
    </row>
    <row r="4" s="1" customFormat="1" spans="1:11">
      <c r="A4" s="1" t="s">
        <v>124</v>
      </c>
      <c r="B4" s="1" t="s">
        <v>12</v>
      </c>
      <c r="C4" s="1" t="s">
        <v>125</v>
      </c>
      <c r="D4" s="1">
        <v>1</v>
      </c>
      <c r="E4" s="1">
        <v>5</v>
      </c>
      <c r="F4" s="1">
        <f t="shared" si="0"/>
        <v>0.2</v>
      </c>
      <c r="G4" s="2">
        <v>0.0238951957652</v>
      </c>
      <c r="H4" s="1">
        <v>0.179306409237</v>
      </c>
      <c r="I4" s="1">
        <f t="shared" ref="I3:I8" si="1">-LOG(H4,2)</f>
        <v>2.4795010371932</v>
      </c>
      <c r="J4" s="1" t="s">
        <v>126</v>
      </c>
      <c r="K4" s="1" t="s">
        <v>127</v>
      </c>
    </row>
    <row r="5" spans="1:11">
      <c r="A5" s="1" t="s">
        <v>128</v>
      </c>
      <c r="B5" s="1" t="s">
        <v>12</v>
      </c>
      <c r="C5" s="1" t="s">
        <v>129</v>
      </c>
      <c r="D5" s="1">
        <v>1</v>
      </c>
      <c r="E5" s="1">
        <v>5</v>
      </c>
      <c r="F5" s="1">
        <f t="shared" si="0"/>
        <v>0.2</v>
      </c>
      <c r="G5" s="2">
        <v>0.0238951957652</v>
      </c>
      <c r="H5" s="1">
        <v>0.179306409237</v>
      </c>
      <c r="I5" s="1">
        <f t="shared" si="1"/>
        <v>2.4795010371932</v>
      </c>
      <c r="J5" s="1" t="s">
        <v>130</v>
      </c>
      <c r="K5" s="1" t="s">
        <v>131</v>
      </c>
    </row>
    <row r="6" s="1" customFormat="1" spans="1:11">
      <c r="A6" s="1" t="s">
        <v>132</v>
      </c>
      <c r="B6" s="1" t="s">
        <v>12</v>
      </c>
      <c r="C6" s="1" t="s">
        <v>133</v>
      </c>
      <c r="D6" s="1">
        <v>1</v>
      </c>
      <c r="E6" s="1">
        <v>5</v>
      </c>
      <c r="F6" s="1">
        <f t="shared" si="0"/>
        <v>0.2</v>
      </c>
      <c r="G6" s="2">
        <v>0.0238951957652</v>
      </c>
      <c r="H6" s="1">
        <v>0.179306409237</v>
      </c>
      <c r="I6" s="1">
        <f t="shared" si="1"/>
        <v>2.4795010371932</v>
      </c>
      <c r="J6" s="1" t="s">
        <v>134</v>
      </c>
      <c r="K6" s="1" t="s">
        <v>135</v>
      </c>
    </row>
    <row r="7" s="1" customFormat="1" spans="1:11">
      <c r="A7" s="1" t="s">
        <v>136</v>
      </c>
      <c r="B7" s="1" t="s">
        <v>12</v>
      </c>
      <c r="C7" s="1" t="s">
        <v>137</v>
      </c>
      <c r="D7" s="1">
        <v>1</v>
      </c>
      <c r="E7" s="1">
        <v>6</v>
      </c>
      <c r="F7" s="1">
        <f t="shared" si="0"/>
        <v>0.166666666666667</v>
      </c>
      <c r="G7" s="2">
        <v>0.0278227810785</v>
      </c>
      <c r="H7" s="1">
        <v>0.179306409237</v>
      </c>
      <c r="I7" s="1">
        <f t="shared" si="1"/>
        <v>2.4795010371932</v>
      </c>
      <c r="J7" s="1" t="s">
        <v>138</v>
      </c>
      <c r="K7" s="1" t="s">
        <v>139</v>
      </c>
    </row>
    <row r="8" s="1" customFormat="1" spans="1:11">
      <c r="A8" s="1" t="s">
        <v>140</v>
      </c>
      <c r="B8" s="1" t="s">
        <v>12</v>
      </c>
      <c r="C8" s="1" t="s">
        <v>141</v>
      </c>
      <c r="D8" s="1">
        <v>3</v>
      </c>
      <c r="E8" s="1">
        <v>147</v>
      </c>
      <c r="F8" s="1">
        <f t="shared" si="0"/>
        <v>0.0204081632653061</v>
      </c>
      <c r="G8" s="2">
        <v>0.0224535428588</v>
      </c>
      <c r="H8" s="1">
        <v>0.179306409237</v>
      </c>
      <c r="I8" s="1">
        <f t="shared" si="1"/>
        <v>2.4795010371932</v>
      </c>
      <c r="J8" s="1" t="s">
        <v>142</v>
      </c>
      <c r="K8" s="1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cluster1</vt:lpstr>
      <vt:lpstr>cluster2</vt:lpstr>
      <vt:lpstr>cluster3</vt:lpstr>
      <vt:lpstr>cluster4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85305</dc:creator>
  <cp:lastModifiedBy>闲闲</cp:lastModifiedBy>
  <dcterms:created xsi:type="dcterms:W3CDTF">2025-02-14T12:16:00Z</dcterms:created>
  <dcterms:modified xsi:type="dcterms:W3CDTF">2025-02-15T08:57:54Z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D1355B228292419C9778E17B0C1EFDE9_11</vt:lpwstr>
  </property>
  <property fmtid="{D5CDD505-2E9C-101B-9397-08002B2CF9AE}" pid="3" name="KSOProductBuildVer">
    <vt:lpwstr>2052-12.1.0.19302</vt:lpwstr>
  </property>
</Properties>
</file>