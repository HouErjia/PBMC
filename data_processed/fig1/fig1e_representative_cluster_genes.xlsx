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7"/>
  </bookViews>
  <sheets>
    <sheet name="1_IL15_+1" sheetId="5" r:id="rId1"/>
    <sheet name="2_MRPS5" sheetId="6" r:id="rId2"/>
    <sheet name="3_SLC16A5" sheetId="7" r:id="rId3"/>
    <sheet name="4_SDC1" sheetId="8" r:id="rId4"/>
    <sheet name="cluster1" sheetId="1" r:id="rId5"/>
    <sheet name="cluster2" sheetId="2" r:id="rId6"/>
    <sheet name="cluster3" sheetId="3" r:id="rId7"/>
    <sheet name="cluster4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<sst xmlns="http://schemas.openxmlformats.org/spreadsheetml/2006/main" count="158" uniqueCount="81">
  <si>
    <t>H2</t>
  </si>
  <si>
    <t>H3</t>
  </si>
  <si>
    <t>H6</t>
  </si>
  <si>
    <t>H7</t>
  </si>
  <si>
    <t>H8</t>
  </si>
  <si>
    <t>W1</t>
  </si>
  <si>
    <t>W10</t>
  </si>
  <si>
    <t>W6</t>
  </si>
  <si>
    <t>W7</t>
  </si>
  <si>
    <t>W9</t>
  </si>
  <si>
    <t>IL10RA</t>
  </si>
  <si>
    <t>ttest</t>
  </si>
  <si>
    <t>MRPS5</t>
  </si>
  <si>
    <t>SLC16A5</t>
  </si>
  <si>
    <t>SDC1</t>
  </si>
  <si>
    <t>transcript</t>
  </si>
  <si>
    <t>ENSSSCG00000026478</t>
  </si>
  <si>
    <t>PADI2</t>
  </si>
  <si>
    <t>ENSSSCT00000027772</t>
  </si>
  <si>
    <t>ENSSSCG00000009051</t>
  </si>
  <si>
    <t>IL15</t>
  </si>
  <si>
    <t>ENSSSCT00000036525</t>
  </si>
  <si>
    <t>ENSSSCG00000015085</t>
  </si>
  <si>
    <t>ENSSSCT00000016451</t>
  </si>
  <si>
    <t>ENSSSCG00000007816</t>
  </si>
  <si>
    <t>IL21R</t>
  </si>
  <si>
    <t>ENSSSCT00000065215</t>
  </si>
  <si>
    <t>ENSSSCG00000030996</t>
  </si>
  <si>
    <t>XBP1</t>
  </si>
  <si>
    <t>ENSSSCT00000047245</t>
  </si>
  <si>
    <t>ENSSSCG00000008388</t>
  </si>
  <si>
    <t>REL</t>
  </si>
  <si>
    <t>ENSSSCT00000054060</t>
  </si>
  <si>
    <t>ENSSSCG00000008113</t>
  </si>
  <si>
    <t>ENSSSCT00000089850</t>
  </si>
  <si>
    <t>ENSSSCG00000014051</t>
  </si>
  <si>
    <t>TSPAN17</t>
  </si>
  <si>
    <t>ENSSSCT00000050435</t>
  </si>
  <si>
    <t>ENSSSCG00000017893</t>
  </si>
  <si>
    <t>PIMREG</t>
  </si>
  <si>
    <t>ENSSSCT00000019470</t>
  </si>
  <si>
    <t>ENSSSCG00000010039</t>
  </si>
  <si>
    <t>SLC5A4</t>
  </si>
  <si>
    <t>ENSSSCT00000010997</t>
  </si>
  <si>
    <t>ENSSSCG00000017215</t>
  </si>
  <si>
    <t>ENSSSCT00000056535</t>
  </si>
  <si>
    <t>ENSSSCG00000002367</t>
  </si>
  <si>
    <t>ISCA2</t>
  </si>
  <si>
    <t>ENSSSCT00000068881</t>
  </si>
  <si>
    <t>ENSSSCG00000009381</t>
  </si>
  <si>
    <t>ALG11</t>
  </si>
  <si>
    <t>ENSSSCT00000010279</t>
  </si>
  <si>
    <t>ENSSSCG00000001899</t>
  </si>
  <si>
    <t>LMAN1L</t>
  </si>
  <si>
    <t>ENSSSCT00000002127</t>
  </si>
  <si>
    <t>ENSSSCG00000021774</t>
  </si>
  <si>
    <t>B3GALNT1</t>
  </si>
  <si>
    <t>ENSSSCT00000061956</t>
  </si>
  <si>
    <t>ENSSSCG00000008449</t>
  </si>
  <si>
    <t>SLC3A1</t>
  </si>
  <si>
    <t>ENSSSCT00000009251</t>
  </si>
  <si>
    <t>ENSSSCG00000003619</t>
  </si>
  <si>
    <t>AZIN2</t>
  </si>
  <si>
    <t>ENSSSCT00000004015</t>
  </si>
  <si>
    <t>ENSSSCG00000008601</t>
  </si>
  <si>
    <t>ENSSSCT00000033465</t>
  </si>
  <si>
    <t>ENSSSCG00000010681</t>
  </si>
  <si>
    <t>SFXN4</t>
  </si>
  <si>
    <t>ENSSSCT00000061012</t>
  </si>
  <si>
    <t>ENSSSCG00000028883</t>
  </si>
  <si>
    <t>SETD4</t>
  </si>
  <si>
    <t>ENSSSCT00000026968</t>
  </si>
  <si>
    <t>ENSSSCG00000028101</t>
  </si>
  <si>
    <t>SLC9B2</t>
  </si>
  <si>
    <t>ENSSSCT00000047847</t>
  </si>
  <si>
    <t>ENSSSCG00000010541</t>
  </si>
  <si>
    <t>COX15</t>
  </si>
  <si>
    <t>ENSSSCT00000011532</t>
  </si>
  <si>
    <t>ENSSSCG00000009912</t>
  </si>
  <si>
    <t>POP5</t>
  </si>
  <si>
    <t>ENSSSCT00000010862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</si>
</sst>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3" sqref="A3"/>
    </sheetView>
  </sheetViews>
  <sheetFormatPr defaultColWidth="8.88495575221239" defaultRowHeight="13.5" outlineLevelRow="2"/>
  <cols>
    <col min="2" max="7" width="12.7964601769912"/>
    <col min="8" max="10" width="12.8849557522124"/>
    <col min="11" max="11" width="13.858407079646"/>
    <col min="12" max="12" width="12.8849557522124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3" t="s">
        <v>10</v>
      </c>
      <c r="B2" s="4">
        <v>5.151013103</v>
      </c>
      <c r="C2" s="4">
        <v>3.084393046</v>
      </c>
      <c r="D2" s="4">
        <v>5.274020474</v>
      </c>
      <c r="E2" s="4">
        <v>3.224024404</v>
      </c>
      <c r="F2" s="4">
        <v>3.363448197</v>
      </c>
      <c r="G2" s="4">
        <v>6.043574844</v>
      </c>
      <c r="H2" s="4">
        <v>5.084597135</v>
      </c>
      <c r="I2" s="4">
        <v>6.282738804</v>
      </c>
      <c r="J2" s="4">
        <v>5.253271628</v>
      </c>
      <c r="K2" s="4">
        <v>6.514605831</v>
      </c>
    </row>
    <row r="3" spans="1:2">
      <c r="A3" t="s">
        <v>11</v>
      </c>
      <c r="B3" cm="1">
        <f t="array" ref="B3">TTEST(B2:F2,G2:K2,2,2)</f>
        <v>0.012402710799572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3" sqref="A3"/>
    </sheetView>
  </sheetViews>
  <sheetFormatPr defaultColWidth="8.88495575221239" defaultRowHeight="13.5" outlineLevelRow="1"/>
  <cols>
    <col min="2" max="6" width="12.8849557522124"/>
    <col min="7" max="7" width="12.7964601769912"/>
    <col min="8" max="11" width="12.8849557522124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12</v>
      </c>
      <c r="B2">
        <v>7.021747894</v>
      </c>
      <c r="C2">
        <v>1.375989219</v>
      </c>
      <c r="D2">
        <v>15.58867399</v>
      </c>
      <c r="E2">
        <v>3.027585777</v>
      </c>
      <c r="F2">
        <v>6.256116295</v>
      </c>
      <c r="G2">
        <v>54.547677</v>
      </c>
      <c r="H2">
        <v>20.83640818</v>
      </c>
      <c r="I2">
        <v>14.94808678</v>
      </c>
      <c r="J2">
        <v>19.89421566</v>
      </c>
      <c r="K2">
        <v>32.29322745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2" sqref="A2"/>
    </sheetView>
  </sheetViews>
  <sheetFormatPr defaultColWidth="8.88495575221239" defaultRowHeight="13.5" outlineLevelRow="1"/>
  <cols>
    <col min="2" max="2" width="12.8849557522124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13</v>
      </c>
      <c r="B2">
        <v>123.7831259</v>
      </c>
      <c r="C2">
        <v>211.39886</v>
      </c>
      <c r="D2">
        <v>837.0976707</v>
      </c>
      <c r="E2">
        <v>55.85060255</v>
      </c>
      <c r="F2">
        <v>213.5591597</v>
      </c>
      <c r="G2">
        <v>0</v>
      </c>
      <c r="H2">
        <v>0.185852238</v>
      </c>
      <c r="I2">
        <v>0.271812912</v>
      </c>
      <c r="J2">
        <v>0.273579525</v>
      </c>
      <c r="K2">
        <v>0.199955453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2" sqref="A2"/>
    </sheetView>
  </sheetViews>
  <sheetFormatPr defaultColWidth="8.88495575221239" defaultRowHeight="13.5" outlineLevelRow="1"/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14</v>
      </c>
      <c r="B2">
        <v>34.20256306</v>
      </c>
      <c r="C2">
        <v>78.17522862</v>
      </c>
      <c r="D2">
        <v>171.8223277</v>
      </c>
      <c r="E2">
        <v>39.02989154</v>
      </c>
      <c r="F2">
        <v>1512.993115</v>
      </c>
      <c r="G2">
        <v>0</v>
      </c>
      <c r="H2">
        <v>0.70017308</v>
      </c>
      <c r="I2">
        <v>0.749942152</v>
      </c>
      <c r="J2">
        <v>0.20510506</v>
      </c>
      <c r="K2">
        <v>0.748164432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opLeftCell="B1" workbookViewId="0">
      <selection activeCell="B11" sqref="$A11:$XFD14"/>
    </sheetView>
  </sheetViews>
  <sheetFormatPr defaultColWidth="8.88495575221239" defaultRowHeight="13.5" outlineLevelRow="6"/>
  <cols>
    <col min="1" max="1" width="22.7787610619469" customWidth="1"/>
    <col min="2" max="3" width="20" customWidth="1"/>
    <col min="4" max="13" width="12.8849557522124"/>
  </cols>
  <sheetData>
    <row r="1" spans="3:13">
      <c r="C1" t="s">
        <v>15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>
      <c r="A2" t="s">
        <v>16</v>
      </c>
      <c r="B2" t="s">
        <v>17</v>
      </c>
      <c r="C2" t="s">
        <v>18</v>
      </c>
      <c r="D2">
        <v>0.559671218</v>
      </c>
      <c r="E2">
        <v>0</v>
      </c>
      <c r="F2">
        <v>0.194060184</v>
      </c>
      <c r="G2">
        <v>0</v>
      </c>
      <c r="H2">
        <v>0.483760053</v>
      </c>
      <c r="I2">
        <v>1.168987267</v>
      </c>
      <c r="J2">
        <v>1.718090942</v>
      </c>
      <c r="K2">
        <v>2.607064405</v>
      </c>
      <c r="L2">
        <v>1.158590427</v>
      </c>
      <c r="M2">
        <v>9.074047621</v>
      </c>
    </row>
    <row r="3" spans="1:13">
      <c r="A3" t="s">
        <v>19</v>
      </c>
      <c r="B3" s="2" t="s">
        <v>20</v>
      </c>
      <c r="C3" t="s">
        <v>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1.679409628</v>
      </c>
      <c r="K3">
        <v>2.105993842</v>
      </c>
      <c r="L3">
        <v>5.948278628</v>
      </c>
      <c r="M3">
        <v>0.464473765</v>
      </c>
    </row>
    <row r="4" spans="1:13">
      <c r="A4" t="s">
        <v>22</v>
      </c>
      <c r="B4" t="s">
        <v>10</v>
      </c>
      <c r="C4" t="s">
        <v>23</v>
      </c>
      <c r="D4">
        <v>35.53116539</v>
      </c>
      <c r="E4">
        <v>8.481932758</v>
      </c>
      <c r="F4">
        <v>38.69353074</v>
      </c>
      <c r="G4">
        <v>9.343897212</v>
      </c>
      <c r="H4">
        <v>10.29197674</v>
      </c>
      <c r="I4">
        <v>65.96253068</v>
      </c>
      <c r="J4">
        <v>33.93253092</v>
      </c>
      <c r="K4">
        <v>77.85613404</v>
      </c>
      <c r="L4">
        <v>38.14102284</v>
      </c>
      <c r="M4">
        <v>91.43064109</v>
      </c>
    </row>
    <row r="5" spans="1:13">
      <c r="A5" t="s">
        <v>24</v>
      </c>
      <c r="B5" s="2" t="s">
        <v>25</v>
      </c>
      <c r="C5" t="s">
        <v>26</v>
      </c>
      <c r="D5">
        <v>3.772091803</v>
      </c>
      <c r="E5">
        <v>5.520535799</v>
      </c>
      <c r="F5">
        <v>9.923063984</v>
      </c>
      <c r="G5">
        <v>4.502107526</v>
      </c>
      <c r="H5">
        <v>4.969760991</v>
      </c>
      <c r="I5">
        <v>13.22581984</v>
      </c>
      <c r="J5">
        <v>9.353978182</v>
      </c>
      <c r="K5">
        <v>15.67328969</v>
      </c>
      <c r="L5">
        <v>22.11321546</v>
      </c>
      <c r="M5">
        <v>45.16424995</v>
      </c>
    </row>
    <row r="6" spans="1:13">
      <c r="A6" t="s">
        <v>27</v>
      </c>
      <c r="B6" t="s">
        <v>28</v>
      </c>
      <c r="C6" t="s">
        <v>29</v>
      </c>
      <c r="D6">
        <v>22.42528361</v>
      </c>
      <c r="E6">
        <v>6.117746942</v>
      </c>
      <c r="F6">
        <v>35.08141794</v>
      </c>
      <c r="G6">
        <v>5.894096255</v>
      </c>
      <c r="H6">
        <v>11.94915982</v>
      </c>
      <c r="I6">
        <v>76.76987895</v>
      </c>
      <c r="J6">
        <v>19.7454108</v>
      </c>
      <c r="K6">
        <v>19.3141892</v>
      </c>
      <c r="L6">
        <v>112.0649217</v>
      </c>
      <c r="M6">
        <v>115.1124489</v>
      </c>
    </row>
    <row r="7" spans="1:13">
      <c r="A7" t="s">
        <v>30</v>
      </c>
      <c r="B7" t="s">
        <v>31</v>
      </c>
      <c r="C7" t="s">
        <v>32</v>
      </c>
      <c r="D7">
        <v>4.874461593</v>
      </c>
      <c r="E7">
        <v>7.921870702</v>
      </c>
      <c r="F7">
        <v>30.30915065</v>
      </c>
      <c r="G7">
        <v>8.407552238</v>
      </c>
      <c r="H7">
        <v>8.228542679</v>
      </c>
      <c r="I7">
        <v>19.6638313</v>
      </c>
      <c r="J7">
        <v>17.24346002</v>
      </c>
      <c r="K7">
        <v>13.11077539</v>
      </c>
      <c r="L7">
        <v>116.2162355</v>
      </c>
      <c r="M7">
        <v>66.15836057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B2" sqref="B2"/>
    </sheetView>
  </sheetViews>
  <sheetFormatPr defaultColWidth="8.88495575221239" defaultRowHeight="13.5" outlineLevelRow="3"/>
  <cols>
    <col min="1" max="1" width="19.7787610619469" customWidth="1"/>
    <col min="3" max="3" width="25.2212389380531" customWidth="1"/>
    <col min="4" max="13" width="12.8849557522124"/>
  </cols>
  <sheetData>
    <row r="1" customFormat="1" spans="3:13">
      <c r="C1" t="s">
        <v>15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>
      <c r="A2" t="s">
        <v>33</v>
      </c>
      <c r="B2" s="2" t="s">
        <v>12</v>
      </c>
      <c r="C2" t="s">
        <v>34</v>
      </c>
      <c r="D2">
        <v>7.021747894</v>
      </c>
      <c r="E2">
        <v>1.375989219</v>
      </c>
      <c r="F2">
        <v>15.58867399</v>
      </c>
      <c r="G2">
        <v>3.027585777</v>
      </c>
      <c r="H2">
        <v>6.256116295</v>
      </c>
      <c r="I2">
        <v>54.547677</v>
      </c>
      <c r="J2">
        <v>20.83640818</v>
      </c>
      <c r="K2">
        <v>14.94808678</v>
      </c>
      <c r="L2">
        <v>19.89421566</v>
      </c>
      <c r="M2">
        <v>32.29322745</v>
      </c>
    </row>
    <row r="3" spans="1:13">
      <c r="A3" t="s">
        <v>35</v>
      </c>
      <c r="B3" t="s">
        <v>36</v>
      </c>
      <c r="C3" t="s">
        <v>37</v>
      </c>
      <c r="D3">
        <v>0</v>
      </c>
      <c r="E3">
        <v>3.157769289</v>
      </c>
      <c r="F3">
        <v>0.462511044</v>
      </c>
      <c r="G3">
        <v>3.281474021</v>
      </c>
      <c r="H3">
        <v>5.625754074</v>
      </c>
      <c r="I3">
        <v>54.00442771</v>
      </c>
      <c r="J3">
        <v>8.067038287</v>
      </c>
      <c r="K3">
        <v>4.097157881</v>
      </c>
      <c r="L3">
        <v>16.42867838</v>
      </c>
      <c r="M3">
        <v>18.12755197</v>
      </c>
    </row>
    <row r="4" spans="1:13">
      <c r="A4" t="s">
        <v>38</v>
      </c>
      <c r="B4" t="s">
        <v>39</v>
      </c>
      <c r="C4" t="s">
        <v>40</v>
      </c>
      <c r="D4">
        <v>0</v>
      </c>
      <c r="E4">
        <v>0.422321064</v>
      </c>
      <c r="F4">
        <v>0</v>
      </c>
      <c r="G4">
        <v>0.339721386</v>
      </c>
      <c r="H4">
        <v>0.44946586</v>
      </c>
      <c r="I4">
        <v>16.68059428</v>
      </c>
      <c r="J4">
        <v>0.703418889</v>
      </c>
      <c r="K4">
        <v>1.903674882</v>
      </c>
      <c r="L4">
        <v>1.864379072</v>
      </c>
      <c r="M4">
        <v>2.674228617</v>
      </c>
    </row>
  </sheetData>
  <conditionalFormatting sqref="A1">
    <cfRule type="duplicateValues" dxfId="0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D1" sqref="D1:M1"/>
    </sheetView>
  </sheetViews>
  <sheetFormatPr defaultColWidth="8.88495575221239" defaultRowHeight="13.5" outlineLevelRow="6"/>
  <cols>
    <col min="1" max="1" width="22.2212389380531" customWidth="1"/>
    <col min="3" max="3" width="25" customWidth="1"/>
    <col min="4" max="8" width="12.8849557522124"/>
    <col min="10" max="13" width="12.8849557522124"/>
  </cols>
  <sheetData>
    <row r="1" customFormat="1" spans="3:13">
      <c r="C1" t="s">
        <v>15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>
      <c r="A2" t="s">
        <v>41</v>
      </c>
      <c r="B2" t="s">
        <v>42</v>
      </c>
      <c r="C2" t="s">
        <v>43</v>
      </c>
      <c r="D2">
        <v>27.414552</v>
      </c>
      <c r="E2">
        <v>962.6602602</v>
      </c>
      <c r="F2">
        <v>731.0356232</v>
      </c>
      <c r="G2">
        <v>106.7252429</v>
      </c>
      <c r="H2">
        <v>52.76329646</v>
      </c>
      <c r="I2">
        <v>0</v>
      </c>
      <c r="J2">
        <v>0.350684554</v>
      </c>
      <c r="K2">
        <v>1.780280941</v>
      </c>
      <c r="L2">
        <v>0.447438394</v>
      </c>
      <c r="M2">
        <v>2.117288171</v>
      </c>
    </row>
    <row r="3" spans="1:13">
      <c r="A3" t="s">
        <v>44</v>
      </c>
      <c r="B3" t="s">
        <v>13</v>
      </c>
      <c r="C3" t="s">
        <v>45</v>
      </c>
      <c r="D3">
        <v>123.7831259</v>
      </c>
      <c r="E3">
        <v>211.39886</v>
      </c>
      <c r="F3">
        <v>837.0976707</v>
      </c>
      <c r="G3">
        <v>55.85060255</v>
      </c>
      <c r="H3">
        <v>213.5591597</v>
      </c>
      <c r="I3">
        <v>0</v>
      </c>
      <c r="J3">
        <v>0.185852238</v>
      </c>
      <c r="K3">
        <v>0.271812912</v>
      </c>
      <c r="L3">
        <v>0.273579525</v>
      </c>
      <c r="M3">
        <v>0.199955453</v>
      </c>
    </row>
    <row r="4" spans="1:13">
      <c r="A4" t="s">
        <v>46</v>
      </c>
      <c r="B4" t="s">
        <v>47</v>
      </c>
      <c r="C4" t="s">
        <v>48</v>
      </c>
      <c r="D4">
        <v>418.5949729</v>
      </c>
      <c r="E4">
        <v>626.0449481</v>
      </c>
      <c r="F4">
        <v>2200.756189</v>
      </c>
      <c r="G4">
        <v>2654.489766</v>
      </c>
      <c r="H4">
        <v>1900.546951</v>
      </c>
      <c r="I4">
        <v>0</v>
      </c>
      <c r="J4">
        <v>1.507922269</v>
      </c>
      <c r="K4">
        <v>0.847936914</v>
      </c>
      <c r="L4">
        <v>1.551305804</v>
      </c>
      <c r="M4">
        <v>1.044022919</v>
      </c>
    </row>
    <row r="5" spans="1:13">
      <c r="A5" t="s">
        <v>49</v>
      </c>
      <c r="B5" t="s">
        <v>50</v>
      </c>
      <c r="C5" t="s">
        <v>51</v>
      </c>
      <c r="D5">
        <v>468.3165513</v>
      </c>
      <c r="E5">
        <v>658.6350003</v>
      </c>
      <c r="F5">
        <v>253.6980228</v>
      </c>
      <c r="G5">
        <v>4165.101855</v>
      </c>
      <c r="H5">
        <v>3079.613293</v>
      </c>
      <c r="I5">
        <v>0</v>
      </c>
      <c r="J5">
        <v>3.308402718</v>
      </c>
      <c r="K5">
        <v>0.417218081</v>
      </c>
      <c r="L5">
        <v>1.151593133</v>
      </c>
      <c r="M5">
        <v>0.211475062</v>
      </c>
    </row>
    <row r="6" spans="1:13">
      <c r="A6" t="s">
        <v>52</v>
      </c>
      <c r="B6" t="s">
        <v>53</v>
      </c>
      <c r="C6" t="s">
        <v>54</v>
      </c>
      <c r="D6">
        <v>27.59663068</v>
      </c>
      <c r="E6">
        <v>183.7660785</v>
      </c>
      <c r="F6">
        <v>26.56607894</v>
      </c>
      <c r="G6">
        <v>47.72261956</v>
      </c>
      <c r="H6">
        <v>27.10014157</v>
      </c>
      <c r="I6">
        <v>0</v>
      </c>
      <c r="J6">
        <v>0</v>
      </c>
      <c r="K6">
        <v>0.071066846</v>
      </c>
      <c r="L6">
        <v>0.164027864</v>
      </c>
      <c r="M6">
        <v>0</v>
      </c>
    </row>
    <row r="7" spans="1:13">
      <c r="A7" t="s">
        <v>55</v>
      </c>
      <c r="B7" t="s">
        <v>56</v>
      </c>
      <c r="C7" t="s">
        <v>57</v>
      </c>
      <c r="D7">
        <v>68.34848979</v>
      </c>
      <c r="E7">
        <v>356.3103193</v>
      </c>
      <c r="F7">
        <v>498.2832879</v>
      </c>
      <c r="G7">
        <v>151.903894</v>
      </c>
      <c r="H7">
        <v>185.462715</v>
      </c>
      <c r="I7">
        <v>0</v>
      </c>
      <c r="J7">
        <v>0.360291311</v>
      </c>
      <c r="K7">
        <v>0</v>
      </c>
      <c r="L7">
        <v>0.454836049</v>
      </c>
      <c r="M7">
        <v>0.234557997</v>
      </c>
    </row>
  </sheetData>
  <conditionalFormatting sqref="A1">
    <cfRule type="duplicateValues" dxfId="0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C21" sqref="C21"/>
    </sheetView>
  </sheetViews>
  <sheetFormatPr defaultColWidth="8.88495575221239" defaultRowHeight="13.5"/>
  <cols>
    <col min="1" max="1" width="21.7787610619469" customWidth="1"/>
    <col min="3" max="3" width="21.7787610619469" customWidth="1"/>
    <col min="4" max="8" width="12.8849557522124"/>
    <col min="10" max="13" width="12.8849557522124"/>
  </cols>
  <sheetData>
    <row r="1" customFormat="1" spans="3:13">
      <c r="C1" t="s">
        <v>15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>
      <c r="A2" s="1" t="s">
        <v>58</v>
      </c>
      <c r="B2" t="s">
        <v>59</v>
      </c>
      <c r="C2" t="s">
        <v>60</v>
      </c>
      <c r="D2">
        <v>0</v>
      </c>
      <c r="E2">
        <v>3.211063784</v>
      </c>
      <c r="F2">
        <v>18.80670335</v>
      </c>
      <c r="G2">
        <v>2.488019607</v>
      </c>
      <c r="H2">
        <v>75.90048971</v>
      </c>
      <c r="I2">
        <v>0</v>
      </c>
      <c r="J2">
        <v>0</v>
      </c>
      <c r="K2">
        <v>0</v>
      </c>
      <c r="L2">
        <v>0</v>
      </c>
      <c r="M2">
        <v>0.077150632</v>
      </c>
    </row>
    <row r="3" spans="1:13">
      <c r="A3" s="1" t="s">
        <v>61</v>
      </c>
      <c r="B3" t="s">
        <v>62</v>
      </c>
      <c r="C3" t="s">
        <v>63</v>
      </c>
      <c r="D3">
        <v>32.66307974</v>
      </c>
      <c r="E3">
        <v>11.82790926</v>
      </c>
      <c r="F3">
        <v>40.1135985</v>
      </c>
      <c r="G3">
        <v>92.09630492</v>
      </c>
      <c r="H3">
        <v>162.3067244</v>
      </c>
      <c r="I3">
        <v>0</v>
      </c>
      <c r="J3">
        <v>0</v>
      </c>
      <c r="K3">
        <v>0</v>
      </c>
      <c r="L3">
        <v>0.387267836</v>
      </c>
      <c r="M3">
        <v>0.266003304</v>
      </c>
    </row>
    <row r="4" spans="1:13">
      <c r="A4" s="1" t="s">
        <v>64</v>
      </c>
      <c r="B4" t="s">
        <v>14</v>
      </c>
      <c r="C4" t="s">
        <v>65</v>
      </c>
      <c r="D4">
        <v>34.20256306</v>
      </c>
      <c r="E4">
        <v>78.17522862</v>
      </c>
      <c r="F4">
        <v>171.8223277</v>
      </c>
      <c r="G4">
        <v>39.02989154</v>
      </c>
      <c r="H4">
        <v>1512.993115</v>
      </c>
      <c r="I4">
        <v>0</v>
      </c>
      <c r="J4">
        <v>0.70017308</v>
      </c>
      <c r="K4">
        <v>0.749942152</v>
      </c>
      <c r="L4">
        <v>0.20510506</v>
      </c>
      <c r="M4">
        <v>0.748164432</v>
      </c>
    </row>
    <row r="5" spans="1:13">
      <c r="A5" s="1" t="s">
        <v>66</v>
      </c>
      <c r="B5" t="s">
        <v>67</v>
      </c>
      <c r="C5" t="s">
        <v>68</v>
      </c>
      <c r="D5">
        <v>1181.60852</v>
      </c>
      <c r="E5">
        <v>420.6387931</v>
      </c>
      <c r="F5">
        <v>1385.785995</v>
      </c>
      <c r="G5">
        <v>196.3894198</v>
      </c>
      <c r="H5">
        <v>1280.594417</v>
      </c>
      <c r="I5">
        <v>0</v>
      </c>
      <c r="J5">
        <v>1.109623515</v>
      </c>
      <c r="K5">
        <v>0.440066149</v>
      </c>
      <c r="L5">
        <v>0.242231978</v>
      </c>
      <c r="M5">
        <v>0.510219317</v>
      </c>
    </row>
    <row r="6" spans="1:13">
      <c r="A6" s="1" t="s">
        <v>69</v>
      </c>
      <c r="B6" t="s">
        <v>70</v>
      </c>
      <c r="C6" t="s">
        <v>71</v>
      </c>
      <c r="D6">
        <v>220.8005983</v>
      </c>
      <c r="E6">
        <v>299.8098551</v>
      </c>
      <c r="F6">
        <v>29.95824625</v>
      </c>
      <c r="G6">
        <v>185.9438552</v>
      </c>
      <c r="H6">
        <v>320.9602772</v>
      </c>
      <c r="I6">
        <v>0</v>
      </c>
      <c r="J6">
        <v>0.860411193</v>
      </c>
      <c r="K6">
        <v>0.231405933</v>
      </c>
      <c r="L6">
        <v>0.364528532</v>
      </c>
      <c r="M6">
        <v>0.264951314</v>
      </c>
    </row>
    <row r="7" spans="1:13">
      <c r="A7" s="1" t="s">
        <v>72</v>
      </c>
      <c r="B7" t="s">
        <v>73</v>
      </c>
      <c r="C7" t="s">
        <v>74</v>
      </c>
      <c r="D7">
        <v>253.8106348</v>
      </c>
      <c r="E7">
        <v>24.49600406</v>
      </c>
      <c r="F7">
        <v>119.3231488</v>
      </c>
      <c r="G7">
        <v>29.12893115</v>
      </c>
      <c r="H7">
        <v>147.799862</v>
      </c>
      <c r="I7">
        <v>0</v>
      </c>
      <c r="J7">
        <v>0.16257847</v>
      </c>
      <c r="K7">
        <v>4.266502955</v>
      </c>
      <c r="L7">
        <v>0.173651531</v>
      </c>
      <c r="M7">
        <v>0.238060429</v>
      </c>
    </row>
    <row r="8" spans="1:13">
      <c r="A8" s="1" t="s">
        <v>75</v>
      </c>
      <c r="B8" t="s">
        <v>76</v>
      </c>
      <c r="C8" t="s">
        <v>77</v>
      </c>
      <c r="D8">
        <v>158.4774828</v>
      </c>
      <c r="E8">
        <v>62.42512512</v>
      </c>
      <c r="F8">
        <v>76.04142807</v>
      </c>
      <c r="G8">
        <v>150.5986849</v>
      </c>
      <c r="H8">
        <v>462.1509517</v>
      </c>
      <c r="I8">
        <v>0</v>
      </c>
      <c r="J8">
        <v>0.203459384</v>
      </c>
      <c r="K8">
        <v>0.264685069</v>
      </c>
      <c r="L8">
        <v>0.230211676</v>
      </c>
      <c r="M8">
        <v>0.671022009</v>
      </c>
    </row>
    <row r="9" spans="1:13">
      <c r="A9" s="1" t="s">
        <v>78</v>
      </c>
      <c r="B9" t="s">
        <v>79</v>
      </c>
      <c r="C9" t="s">
        <v>80</v>
      </c>
      <c r="D9">
        <v>2285.992584</v>
      </c>
      <c r="E9">
        <v>701.9015403</v>
      </c>
      <c r="F9">
        <v>1966.622495</v>
      </c>
      <c r="G9">
        <v>222.8540013</v>
      </c>
      <c r="H9">
        <v>4122.461098</v>
      </c>
      <c r="I9">
        <v>0</v>
      </c>
      <c r="J9">
        <v>0.682797098</v>
      </c>
      <c r="K9">
        <v>0.576358655</v>
      </c>
      <c r="L9">
        <v>0.465788475</v>
      </c>
      <c r="M9">
        <v>1.132718623</v>
      </c>
    </row>
  </sheetData>
  <conditionalFormatting sqref="A1">
    <cfRule type="duplicateValues" dxfId="0" priority="1"/>
  </conditionalFormatting>
  <conditionalFormatting sqref="A2:A9">
    <cfRule type="duplicateValues" dxfId="0" priority="2"/>
  </conditionalFormatting>
  <conditionalFormatting sqref="A10:A1048576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1_IL15_+1</vt:lpstr>
      <vt:lpstr>2_MRPS5</vt:lpstr>
      <vt:lpstr>3_SLC16A5</vt:lpstr>
      <vt:lpstr>4_SDC1</vt:lpstr>
      <vt:lpstr>cluster1</vt:lpstr>
      <vt:lpstr>cluster2</vt:lpstr>
      <vt:lpstr>cluster3</vt:lpstr>
      <vt:lpstr>cluster4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ཧྥང་ཇན་李一亮</cp:lastModifiedBy>
  <dcterms:created xsi:type="dcterms:W3CDTF">2025-02-17T08:29:00Z</dcterms:created>
  <dcterms:modified xsi:type="dcterms:W3CDTF">2025-09-11T11:40:51Z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1E5D664F8682442180501BA7741253D7_13</vt:lpwstr>
  </property>
  <property fmtid="{D5CDD505-2E9C-101B-9397-08002B2CF9AE}" pid="3" name="KSOProductBuildVer">
    <vt:lpwstr>2052-12.1.0.21915</vt:lpwstr>
  </property>
</Properties>
</file>